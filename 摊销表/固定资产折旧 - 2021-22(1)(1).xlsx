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1 (2)" sheetId="5" r:id="rId2"/>
    <sheet name="Sheet2" sheetId="2" r:id="rId3"/>
    <sheet name="Sheet3" sheetId="3" r:id="rId4"/>
    <sheet name="Sheet4" sheetId="4" r:id="rId5"/>
  </sheets>
  <definedNames>
    <definedName name="_xlnm.Print_Area" localSheetId="0">Sheet1!$A$1:$Y$39</definedName>
  </definedNames>
  <calcPr calcId="144525"/>
</workbook>
</file>

<file path=xl/sharedStrings.xml><?xml version="1.0" encoding="utf-8"?>
<sst xmlns="http://schemas.openxmlformats.org/spreadsheetml/2006/main" count="431" uniqueCount="93">
  <si>
    <t>设备折旧情况</t>
  </si>
  <si>
    <t>序号</t>
  </si>
  <si>
    <t>设备名称</t>
  </si>
  <si>
    <t>数量</t>
  </si>
  <si>
    <t>单价</t>
  </si>
  <si>
    <t>原值</t>
  </si>
  <si>
    <t>本月折旧</t>
  </si>
  <si>
    <t>净值</t>
  </si>
  <si>
    <t>2023年1月剩余价值</t>
  </si>
  <si>
    <t>12月剩余价值</t>
  </si>
  <si>
    <t>11月剩余价值</t>
  </si>
  <si>
    <t>10月剩余价值</t>
  </si>
  <si>
    <t>9月剩余价值</t>
  </si>
  <si>
    <t>8月剩余价值</t>
  </si>
  <si>
    <t>7月剩余价值</t>
  </si>
  <si>
    <t>6月剩余价值</t>
  </si>
  <si>
    <t>5月剩余价值</t>
  </si>
  <si>
    <t>4月剩余价值</t>
  </si>
  <si>
    <t>3月剩余价值</t>
  </si>
  <si>
    <t>2月剩余价值</t>
  </si>
  <si>
    <t>1月剩余价值</t>
  </si>
  <si>
    <t>2021.12月剩余价值</t>
  </si>
  <si>
    <t>切割线（银锐)</t>
  </si>
  <si>
    <t>自动上片机</t>
  </si>
  <si>
    <t>四边磨</t>
  </si>
  <si>
    <t>玻璃清洗机</t>
  </si>
  <si>
    <t>全自动上下片机</t>
  </si>
  <si>
    <t>钢化炉（杭州精工）</t>
  </si>
  <si>
    <t>钢化炉（融资租赁）</t>
  </si>
  <si>
    <t>钢化炉</t>
  </si>
  <si>
    <t>中空生产线</t>
  </si>
  <si>
    <t>中空线（韩江）</t>
  </si>
  <si>
    <t>丁基胶机</t>
  </si>
  <si>
    <t>自动涂胶机</t>
  </si>
  <si>
    <t>济南利江折磨机</t>
  </si>
  <si>
    <t>廊坊正景自动化</t>
  </si>
  <si>
    <t>打胶机</t>
  </si>
  <si>
    <t>铝条折弯灌装机</t>
  </si>
  <si>
    <t>除膜机</t>
  </si>
  <si>
    <t>航吊</t>
  </si>
  <si>
    <t>电动叉车2台</t>
  </si>
  <si>
    <t>变压器</t>
  </si>
  <si>
    <t>办公楼</t>
  </si>
  <si>
    <t>汉玻双边磨</t>
  </si>
  <si>
    <t>购进涂布机3.5台</t>
  </si>
  <si>
    <t>光伏电站0.5组</t>
  </si>
  <si>
    <t>全自动玻璃覆膜机-LC-AM3720</t>
  </si>
  <si>
    <t>玻璃倒角除膜一体机</t>
  </si>
  <si>
    <t>玻璃清洗机-1200型</t>
  </si>
  <si>
    <t>全自动玻璃四边磨边机</t>
  </si>
  <si>
    <t>玻璃自动下片机</t>
  </si>
  <si>
    <t>玻璃自动上片机</t>
  </si>
  <si>
    <t>立式打孔机</t>
  </si>
  <si>
    <t>全自动玻璃上下片台（套）</t>
  </si>
  <si>
    <t>合    计</t>
  </si>
  <si>
    <t xml:space="preserve">         研发用设备折旧按折旧总额的5%计算：187630.34*5%=9381.52元</t>
  </si>
  <si>
    <t xml:space="preserve">         生产用设备折旧总额为：187630.34-9381.52=178248.82元</t>
  </si>
  <si>
    <t>剩余价值4</t>
  </si>
  <si>
    <t>剩余价值3</t>
  </si>
  <si>
    <t>剩余价值5</t>
  </si>
  <si>
    <t>剩余价值</t>
  </si>
  <si>
    <t>平邑华玉节能玻璃有限公司研发人员考勤表</t>
  </si>
  <si>
    <t>姓名</t>
  </si>
  <si>
    <t>项目名称</t>
  </si>
  <si>
    <t>合计</t>
  </si>
  <si>
    <t>出勤天数</t>
  </si>
  <si>
    <t>工时比例</t>
  </si>
  <si>
    <t>魏延群</t>
  </si>
  <si>
    <t>/</t>
  </si>
  <si>
    <t>赵连洲</t>
  </si>
  <si>
    <t>马   超</t>
  </si>
  <si>
    <t>高付乾</t>
  </si>
  <si>
    <t>朱玉振</t>
  </si>
  <si>
    <t>李堂雷</t>
  </si>
  <si>
    <t>梁文艳</t>
  </si>
  <si>
    <t>陈朝阳</t>
  </si>
  <si>
    <t>曾现秀</t>
  </si>
  <si>
    <t>高卫兰</t>
  </si>
  <si>
    <t>制表：马  超</t>
  </si>
  <si>
    <t>审核：赵连洲</t>
  </si>
  <si>
    <t>5月份研发人员工资表</t>
  </si>
  <si>
    <t>岗位工资</t>
  </si>
  <si>
    <t>加班费</t>
  </si>
  <si>
    <t>应发工资</t>
  </si>
  <si>
    <t>扣款</t>
  </si>
  <si>
    <t>实发工资</t>
  </si>
  <si>
    <t>备注</t>
  </si>
  <si>
    <t>马  超</t>
  </si>
  <si>
    <t>合  计</t>
  </si>
  <si>
    <t>审核：王传梅</t>
  </si>
  <si>
    <t>5月份研发人员工资项目分摊表</t>
  </si>
  <si>
    <t>工时</t>
  </si>
  <si>
    <t>人工费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</si>
</sst>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7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u/>
      <sz val="2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0" fillId="0" borderId="0" xfId="0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5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left" vertical="center"/>
    </xf>
    <xf numFmtId="57" fontId="3" fillId="0" borderId="0" xfId="0" applyNumberFormat="1" applyFont="1" applyAlignment="1">
      <alignment horizontal="left" vertical="center"/>
    </xf>
    <xf numFmtId="177" fontId="0" fillId="0" borderId="1" xfId="0" applyNumberFormat="1" applyBorder="1">
      <alignment vertical="center"/>
    </xf>
    <xf numFmtId="0" fontId="0" fillId="0" borderId="5" xfId="0" applyBorder="1">
      <alignment vertical="center"/>
    </xf>
    <xf numFmtId="177" fontId="0" fillId="0" borderId="5" xfId="0" applyNumberFormat="1" applyBorder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3"/>
  <sheetViews>
    <sheetView tabSelected="1" topLeftCell="J1" workbookViewId="0">
      <selection activeCell="U4" sqref="U4"/>
    </sheetView>
  </sheetViews>
  <sheetFormatPr defaultColWidth="9" defaultRowHeight="13.5"/>
  <cols>
    <col min="1" max="1" width="7.84166666666667" style="14" customWidth="1"/>
    <col min="2" max="2" width="29.375" customWidth="1"/>
    <col min="3" max="4" width="10.75" customWidth="1"/>
    <col min="5" max="5" width="18.2166666666667" customWidth="1"/>
    <col min="6" max="6" width="13.5416666666667" customWidth="1"/>
    <col min="7" max="7" width="12.625" customWidth="1"/>
    <col min="8" max="8" width="17.875" customWidth="1"/>
    <col min="9" max="16" width="12.625" customWidth="1"/>
    <col min="17" max="17" width="12.875" customWidth="1"/>
    <col min="18" max="20" width="12.5" customWidth="1"/>
    <col min="21" max="21" width="19.375" customWidth="1"/>
    <col min="22" max="24" width="12.5" customWidth="1"/>
    <col min="25" max="25" width="14.625" customWidth="1"/>
    <col min="26" max="26" width="12.125" customWidth="1"/>
    <col min="27" max="28" width="9.875" customWidth="1"/>
  </cols>
  <sheetData>
    <row r="1" ht="30" customHeight="1" spans="1: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36"/>
      <c r="Y1" s="36"/>
    </row>
    <row r="2" spans="6:25">
      <c r="F2" s="31">
        <v>44957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7"/>
    </row>
    <row r="3" ht="20" customHeight="1" spans="1:25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0" t="s">
        <v>16</v>
      </c>
      <c r="Q3" s="20" t="s">
        <v>17</v>
      </c>
      <c r="R3" s="20" t="s">
        <v>18</v>
      </c>
      <c r="S3" s="20" t="s">
        <v>19</v>
      </c>
      <c r="T3" s="20" t="s">
        <v>20</v>
      </c>
      <c r="U3" s="20" t="s">
        <v>21</v>
      </c>
      <c r="V3" s="20" t="s">
        <v>10</v>
      </c>
      <c r="W3" s="20" t="s">
        <v>11</v>
      </c>
      <c r="X3" s="20" t="s">
        <v>12</v>
      </c>
      <c r="Y3" s="20" t="s">
        <v>13</v>
      </c>
    </row>
    <row r="4" ht="20" customHeight="1" spans="1:26">
      <c r="A4" s="5">
        <v>1</v>
      </c>
      <c r="B4" s="29" t="s">
        <v>22</v>
      </c>
      <c r="C4" s="29">
        <v>1</v>
      </c>
      <c r="D4" s="29">
        <f>E4/C4</f>
        <v>189241.45</v>
      </c>
      <c r="E4" s="29">
        <v>189241.45</v>
      </c>
      <c r="F4" s="29">
        <v>3089.65</v>
      </c>
      <c r="G4" s="29">
        <f>H4</f>
        <v>80264.53</v>
      </c>
      <c r="H4" s="32">
        <f>I4-F4</f>
        <v>80264.53</v>
      </c>
      <c r="I4" s="29">
        <f>J4-F4</f>
        <v>83354.18</v>
      </c>
      <c r="J4" s="29">
        <f>K4-F4</f>
        <v>86443.83</v>
      </c>
      <c r="K4" s="29">
        <f>L4-F4</f>
        <v>89533.48</v>
      </c>
      <c r="L4" s="32">
        <f>M4-F4</f>
        <v>92623.13</v>
      </c>
      <c r="M4" s="29">
        <f>N4-F4</f>
        <v>95712.78</v>
      </c>
      <c r="N4" s="29">
        <f>O4-F4</f>
        <v>98802.43</v>
      </c>
      <c r="O4" s="32">
        <f>P4-F4</f>
        <v>101892.08</v>
      </c>
      <c r="P4" s="29">
        <f>Q4-F4</f>
        <v>104981.73</v>
      </c>
      <c r="Q4" s="29">
        <f>R4-F4</f>
        <v>108071.38</v>
      </c>
      <c r="R4" s="29">
        <f>S4-F4</f>
        <v>111161.03</v>
      </c>
      <c r="S4" s="29">
        <f>T4-F4</f>
        <v>114250.68</v>
      </c>
      <c r="T4" s="29">
        <f>U4-F4</f>
        <v>117340.33</v>
      </c>
      <c r="U4" s="29">
        <f>V4-F4</f>
        <v>120429.98</v>
      </c>
      <c r="V4" s="29">
        <f>W4-F4</f>
        <v>123519.63</v>
      </c>
      <c r="W4" s="29">
        <f>X4-F4</f>
        <v>126609.28</v>
      </c>
      <c r="X4" s="29">
        <f>Y4-F4</f>
        <v>129698.93</v>
      </c>
      <c r="Y4" s="29">
        <f t="shared" ref="Y4:Y16" si="0">Z4-F4</f>
        <v>132788.58</v>
      </c>
      <c r="Z4">
        <v>135878.23</v>
      </c>
    </row>
    <row r="5" ht="20" customHeight="1" spans="1:26">
      <c r="A5" s="5">
        <v>2</v>
      </c>
      <c r="B5" s="29" t="s">
        <v>23</v>
      </c>
      <c r="C5" s="29">
        <v>1</v>
      </c>
      <c r="D5" s="29">
        <f t="shared" ref="D5:D38" si="1">E5/C5</f>
        <v>107800</v>
      </c>
      <c r="E5" s="29">
        <v>107800</v>
      </c>
      <c r="F5" s="29">
        <v>1760</v>
      </c>
      <c r="G5" s="29">
        <f t="shared" ref="G5:G38" si="2">H5</f>
        <v>45721.97</v>
      </c>
      <c r="H5" s="32">
        <f t="shared" ref="H5:H38" si="3">I5-F5</f>
        <v>45721.97</v>
      </c>
      <c r="I5" s="29">
        <f t="shared" ref="I5:I38" si="4">J5-F5</f>
        <v>47481.97</v>
      </c>
      <c r="J5" s="29">
        <f t="shared" ref="J5:J38" si="5">K5-F5</f>
        <v>49241.97</v>
      </c>
      <c r="K5" s="29">
        <f t="shared" ref="K5:K38" si="6">L5-F5</f>
        <v>51001.97</v>
      </c>
      <c r="L5" s="32">
        <f t="shared" ref="L5:L37" si="7">M5-F5</f>
        <v>52761.97</v>
      </c>
      <c r="M5" s="29">
        <f t="shared" ref="M5:M37" si="8">N5-F5</f>
        <v>54521.97</v>
      </c>
      <c r="N5" s="29">
        <f t="shared" ref="N5:N37" si="9">O5-F5</f>
        <v>56281.97</v>
      </c>
      <c r="O5" s="32">
        <f t="shared" ref="O5:O37" si="10">P5-F5</f>
        <v>58041.97</v>
      </c>
      <c r="P5" s="29">
        <f t="shared" ref="P5:P33" si="11">Q5-F5</f>
        <v>59801.97</v>
      </c>
      <c r="Q5" s="29">
        <f t="shared" ref="Q5:Q30" si="12">R5-F5</f>
        <v>61561.97</v>
      </c>
      <c r="R5" s="29">
        <f t="shared" ref="R5:R30" si="13">S5-F5</f>
        <v>63321.97</v>
      </c>
      <c r="S5" s="29">
        <f t="shared" ref="S5:S30" si="14">T5-F5</f>
        <v>65081.97</v>
      </c>
      <c r="T5" s="29">
        <f t="shared" ref="T5:T30" si="15">U5-F5</f>
        <v>66841.97</v>
      </c>
      <c r="U5" s="29">
        <f t="shared" ref="U5:U27" si="16">V5-F5</f>
        <v>68601.97</v>
      </c>
      <c r="V5" s="29">
        <f t="shared" ref="V5:V29" si="17">W5-F5</f>
        <v>70361.97</v>
      </c>
      <c r="W5" s="29">
        <f t="shared" ref="W5:W29" si="18">X5-F5</f>
        <v>72121.97</v>
      </c>
      <c r="X5" s="29">
        <f t="shared" ref="X5:X28" si="19">Y5-F5</f>
        <v>73881.97</v>
      </c>
      <c r="Y5" s="29">
        <f t="shared" si="0"/>
        <v>75641.97</v>
      </c>
      <c r="Z5">
        <v>77401.97</v>
      </c>
    </row>
    <row r="6" ht="20" customHeight="1" spans="1:26">
      <c r="A6" s="5">
        <v>3</v>
      </c>
      <c r="B6" s="29" t="s">
        <v>24</v>
      </c>
      <c r="C6" s="29">
        <v>2</v>
      </c>
      <c r="D6" s="29">
        <f t="shared" si="1"/>
        <v>176724.14</v>
      </c>
      <c r="E6" s="29">
        <v>353448.28</v>
      </c>
      <c r="F6" s="29">
        <v>5714.08</v>
      </c>
      <c r="G6" s="29">
        <f t="shared" si="2"/>
        <v>151605.71</v>
      </c>
      <c r="H6" s="32">
        <f t="shared" si="3"/>
        <v>151605.71</v>
      </c>
      <c r="I6" s="29">
        <f t="shared" si="4"/>
        <v>157319.79</v>
      </c>
      <c r="J6" s="29">
        <f t="shared" si="5"/>
        <v>163033.87</v>
      </c>
      <c r="K6" s="29">
        <f t="shared" si="6"/>
        <v>168747.95</v>
      </c>
      <c r="L6" s="32">
        <f t="shared" si="7"/>
        <v>174462.03</v>
      </c>
      <c r="M6" s="29">
        <f t="shared" si="8"/>
        <v>180176.11</v>
      </c>
      <c r="N6" s="29">
        <f t="shared" si="9"/>
        <v>185890.19</v>
      </c>
      <c r="O6" s="32">
        <f t="shared" si="10"/>
        <v>191604.27</v>
      </c>
      <c r="P6" s="29">
        <f t="shared" si="11"/>
        <v>197318.35</v>
      </c>
      <c r="Q6" s="29">
        <f t="shared" si="12"/>
        <v>203032.43</v>
      </c>
      <c r="R6" s="29">
        <f t="shared" si="13"/>
        <v>208746.51</v>
      </c>
      <c r="S6" s="29">
        <f t="shared" si="14"/>
        <v>214460.59</v>
      </c>
      <c r="T6" s="29">
        <f t="shared" si="15"/>
        <v>220174.67</v>
      </c>
      <c r="U6" s="29">
        <f t="shared" si="16"/>
        <v>225888.75</v>
      </c>
      <c r="V6" s="29">
        <f t="shared" si="17"/>
        <v>231602.83</v>
      </c>
      <c r="W6" s="29">
        <f t="shared" si="18"/>
        <v>237316.91</v>
      </c>
      <c r="X6" s="29">
        <f t="shared" si="19"/>
        <v>243030.99</v>
      </c>
      <c r="Y6" s="29">
        <f t="shared" si="0"/>
        <v>248745.07</v>
      </c>
      <c r="Z6">
        <v>254459.15</v>
      </c>
    </row>
    <row r="7" ht="20" customHeight="1" spans="1:26">
      <c r="A7" s="5">
        <v>4</v>
      </c>
      <c r="B7" s="29" t="s">
        <v>25</v>
      </c>
      <c r="C7" s="29">
        <v>1</v>
      </c>
      <c r="D7" s="29">
        <f t="shared" si="1"/>
        <v>112700</v>
      </c>
      <c r="E7" s="29">
        <v>112700</v>
      </c>
      <c r="F7" s="29">
        <v>1840</v>
      </c>
      <c r="G7" s="29">
        <f t="shared" si="2"/>
        <v>47800.3</v>
      </c>
      <c r="H7" s="32">
        <f t="shared" si="3"/>
        <v>47800.3</v>
      </c>
      <c r="I7" s="29">
        <f t="shared" si="4"/>
        <v>49640.3</v>
      </c>
      <c r="J7" s="29">
        <f t="shared" si="5"/>
        <v>51480.3</v>
      </c>
      <c r="K7" s="29">
        <f t="shared" si="6"/>
        <v>53320.3</v>
      </c>
      <c r="L7" s="32">
        <f t="shared" si="7"/>
        <v>55160.3</v>
      </c>
      <c r="M7" s="29">
        <f t="shared" si="8"/>
        <v>57000.3</v>
      </c>
      <c r="N7" s="29">
        <f t="shared" si="9"/>
        <v>58840.3</v>
      </c>
      <c r="O7" s="32">
        <f t="shared" si="10"/>
        <v>60680.3</v>
      </c>
      <c r="P7" s="29">
        <f t="shared" si="11"/>
        <v>62520.3</v>
      </c>
      <c r="Q7" s="29">
        <f t="shared" si="12"/>
        <v>64360.3</v>
      </c>
      <c r="R7" s="29">
        <f t="shared" si="13"/>
        <v>66200.3</v>
      </c>
      <c r="S7" s="29">
        <f t="shared" si="14"/>
        <v>68040.3</v>
      </c>
      <c r="T7" s="29">
        <f t="shared" si="15"/>
        <v>69880.3</v>
      </c>
      <c r="U7" s="29">
        <f t="shared" si="16"/>
        <v>71720.3</v>
      </c>
      <c r="V7" s="29">
        <f t="shared" si="17"/>
        <v>73560.3</v>
      </c>
      <c r="W7" s="29">
        <f t="shared" si="18"/>
        <v>75400.3</v>
      </c>
      <c r="X7" s="29">
        <f t="shared" si="19"/>
        <v>77240.3</v>
      </c>
      <c r="Y7" s="29">
        <f t="shared" si="0"/>
        <v>79080.3</v>
      </c>
      <c r="Z7">
        <v>80920.3</v>
      </c>
    </row>
    <row r="8" ht="20" customHeight="1" spans="1:26">
      <c r="A8" s="5">
        <v>5</v>
      </c>
      <c r="B8" s="29" t="s">
        <v>26</v>
      </c>
      <c r="C8" s="29">
        <v>1</v>
      </c>
      <c r="D8" s="29">
        <f t="shared" si="1"/>
        <v>119469.02</v>
      </c>
      <c r="E8" s="29">
        <v>119469.02</v>
      </c>
      <c r="F8" s="29">
        <v>3125.65</v>
      </c>
      <c r="G8" s="29">
        <f t="shared" si="2"/>
        <v>44399.4100000001</v>
      </c>
      <c r="H8" s="32">
        <f t="shared" si="3"/>
        <v>44399.4100000001</v>
      </c>
      <c r="I8" s="29">
        <f t="shared" si="4"/>
        <v>47525.0600000001</v>
      </c>
      <c r="J8" s="29">
        <f t="shared" si="5"/>
        <v>50650.7100000001</v>
      </c>
      <c r="K8" s="29">
        <f t="shared" si="6"/>
        <v>53776.3600000001</v>
      </c>
      <c r="L8" s="32">
        <f t="shared" si="7"/>
        <v>56902.0100000001</v>
      </c>
      <c r="M8" s="29">
        <f t="shared" si="8"/>
        <v>60027.6600000001</v>
      </c>
      <c r="N8" s="29">
        <f t="shared" si="9"/>
        <v>63153.3100000001</v>
      </c>
      <c r="O8" s="32">
        <f t="shared" si="10"/>
        <v>66278.9600000001</v>
      </c>
      <c r="P8" s="29">
        <f t="shared" si="11"/>
        <v>69404.6100000001</v>
      </c>
      <c r="Q8" s="29">
        <f t="shared" si="12"/>
        <v>72530.2600000001</v>
      </c>
      <c r="R8" s="29">
        <f t="shared" si="13"/>
        <v>75655.91</v>
      </c>
      <c r="S8" s="29">
        <f t="shared" si="14"/>
        <v>78781.56</v>
      </c>
      <c r="T8" s="29">
        <f t="shared" si="15"/>
        <v>81907.21</v>
      </c>
      <c r="U8" s="29">
        <f t="shared" si="16"/>
        <v>85032.86</v>
      </c>
      <c r="V8" s="29">
        <f t="shared" si="17"/>
        <v>88158.51</v>
      </c>
      <c r="W8" s="29">
        <f t="shared" si="18"/>
        <v>91284.16</v>
      </c>
      <c r="X8" s="29">
        <f t="shared" si="19"/>
        <v>94409.81</v>
      </c>
      <c r="Y8" s="29">
        <f t="shared" si="0"/>
        <v>97535.46</v>
      </c>
      <c r="Z8">
        <v>100661.11</v>
      </c>
    </row>
    <row r="9" ht="20" customHeight="1" spans="1:26">
      <c r="A9" s="5">
        <v>6</v>
      </c>
      <c r="B9" s="29" t="s">
        <v>27</v>
      </c>
      <c r="C9" s="29">
        <v>1</v>
      </c>
      <c r="D9" s="29">
        <f t="shared" si="1"/>
        <v>1221238.92</v>
      </c>
      <c r="E9" s="29">
        <v>1221238.92</v>
      </c>
      <c r="F9" s="29">
        <v>15265.49</v>
      </c>
      <c r="G9" s="29">
        <f t="shared" si="2"/>
        <v>663254.65</v>
      </c>
      <c r="H9" s="32">
        <f t="shared" si="3"/>
        <v>663254.65</v>
      </c>
      <c r="I9" s="29">
        <f t="shared" si="4"/>
        <v>678520.14</v>
      </c>
      <c r="J9" s="29">
        <f t="shared" si="5"/>
        <v>693785.63</v>
      </c>
      <c r="K9" s="29">
        <f t="shared" si="6"/>
        <v>709051.12</v>
      </c>
      <c r="L9" s="32">
        <f t="shared" si="7"/>
        <v>724316.61</v>
      </c>
      <c r="M9" s="29">
        <f t="shared" si="8"/>
        <v>739582.1</v>
      </c>
      <c r="N9" s="29">
        <f t="shared" si="9"/>
        <v>754847.59</v>
      </c>
      <c r="O9" s="32">
        <f t="shared" si="10"/>
        <v>770113.08</v>
      </c>
      <c r="P9" s="29">
        <f t="shared" si="11"/>
        <v>785378.57</v>
      </c>
      <c r="Q9" s="29">
        <f t="shared" si="12"/>
        <v>800644.06</v>
      </c>
      <c r="R9" s="29">
        <f t="shared" si="13"/>
        <v>815909.55</v>
      </c>
      <c r="S9" s="29">
        <f t="shared" si="14"/>
        <v>831175.04</v>
      </c>
      <c r="T9" s="29">
        <f t="shared" si="15"/>
        <v>846440.53</v>
      </c>
      <c r="U9" s="29">
        <f t="shared" si="16"/>
        <v>861706.02</v>
      </c>
      <c r="V9" s="29">
        <f t="shared" si="17"/>
        <v>876971.51</v>
      </c>
      <c r="W9" s="29">
        <f t="shared" si="18"/>
        <v>892237</v>
      </c>
      <c r="X9" s="29">
        <f t="shared" si="19"/>
        <v>907502.49</v>
      </c>
      <c r="Y9" s="29">
        <f t="shared" si="0"/>
        <v>922767.98</v>
      </c>
      <c r="Z9">
        <v>938033.47</v>
      </c>
    </row>
    <row r="10" ht="20" customHeight="1" spans="1:26">
      <c r="A10" s="5">
        <v>7</v>
      </c>
      <c r="B10" s="29" t="s">
        <v>28</v>
      </c>
      <c r="C10" s="29">
        <v>1</v>
      </c>
      <c r="D10" s="29">
        <f t="shared" si="1"/>
        <v>1880530.97</v>
      </c>
      <c r="E10" s="29">
        <v>1880530.97</v>
      </c>
      <c r="F10" s="29">
        <v>29775.07</v>
      </c>
      <c r="G10" s="29">
        <f t="shared" si="2"/>
        <v>1165929.28</v>
      </c>
      <c r="H10" s="32">
        <f t="shared" si="3"/>
        <v>1165929.28</v>
      </c>
      <c r="I10" s="29">
        <f t="shared" si="4"/>
        <v>1195704.35</v>
      </c>
      <c r="J10" s="29">
        <f t="shared" si="5"/>
        <v>1225479.42</v>
      </c>
      <c r="K10" s="29">
        <f t="shared" si="6"/>
        <v>1255254.49</v>
      </c>
      <c r="L10" s="32">
        <f t="shared" si="7"/>
        <v>1285029.56</v>
      </c>
      <c r="M10" s="29">
        <f t="shared" si="8"/>
        <v>1314804.63</v>
      </c>
      <c r="N10" s="29">
        <f t="shared" si="9"/>
        <v>1344579.7</v>
      </c>
      <c r="O10" s="32">
        <f t="shared" si="10"/>
        <v>1374354.77</v>
      </c>
      <c r="P10" s="29">
        <f t="shared" si="11"/>
        <v>1404129.84</v>
      </c>
      <c r="Q10" s="29">
        <f t="shared" si="12"/>
        <v>1433904.91</v>
      </c>
      <c r="R10" s="29">
        <f t="shared" si="13"/>
        <v>1463679.98</v>
      </c>
      <c r="S10" s="29">
        <f t="shared" si="14"/>
        <v>1493455.05</v>
      </c>
      <c r="T10" s="29">
        <f t="shared" si="15"/>
        <v>1523230.12</v>
      </c>
      <c r="U10" s="29">
        <f t="shared" si="16"/>
        <v>1553005.19</v>
      </c>
      <c r="V10" s="29">
        <f t="shared" si="17"/>
        <v>1582780.26</v>
      </c>
      <c r="W10" s="29">
        <f t="shared" si="18"/>
        <v>1612555.33</v>
      </c>
      <c r="X10" s="29">
        <f t="shared" si="19"/>
        <v>1642330.4</v>
      </c>
      <c r="Y10" s="29">
        <f t="shared" si="0"/>
        <v>1672105.47</v>
      </c>
      <c r="Z10">
        <v>1701880.54</v>
      </c>
    </row>
    <row r="11" ht="20" customHeight="1" spans="1:26">
      <c r="A11" s="5">
        <v>8</v>
      </c>
      <c r="B11" s="29" t="s">
        <v>29</v>
      </c>
      <c r="C11" s="29">
        <v>1</v>
      </c>
      <c r="D11" s="29">
        <f t="shared" si="1"/>
        <v>1442477.88</v>
      </c>
      <c r="E11" s="29">
        <v>1442477.88</v>
      </c>
      <c r="F11" s="29">
        <v>21587.02</v>
      </c>
      <c r="G11" s="29">
        <f t="shared" si="2"/>
        <v>670717.87</v>
      </c>
      <c r="H11" s="32">
        <f t="shared" si="3"/>
        <v>670717.87</v>
      </c>
      <c r="I11" s="29">
        <f t="shared" si="4"/>
        <v>692304.89</v>
      </c>
      <c r="J11" s="29">
        <f t="shared" si="5"/>
        <v>713891.91</v>
      </c>
      <c r="K11" s="29">
        <f t="shared" si="6"/>
        <v>735478.93</v>
      </c>
      <c r="L11" s="32">
        <f t="shared" si="7"/>
        <v>757065.95</v>
      </c>
      <c r="M11" s="29">
        <f t="shared" si="8"/>
        <v>778652.97</v>
      </c>
      <c r="N11" s="29">
        <f t="shared" si="9"/>
        <v>800239.99</v>
      </c>
      <c r="O11" s="32">
        <f t="shared" si="10"/>
        <v>821827.01</v>
      </c>
      <c r="P11" s="29">
        <f t="shared" si="11"/>
        <v>843414.03</v>
      </c>
      <c r="Q11" s="29">
        <f t="shared" si="12"/>
        <v>865001.05</v>
      </c>
      <c r="R11" s="29">
        <f t="shared" si="13"/>
        <v>886588.07</v>
      </c>
      <c r="S11" s="29">
        <f t="shared" si="14"/>
        <v>908175.09</v>
      </c>
      <c r="T11" s="29">
        <f t="shared" si="15"/>
        <v>929762.11</v>
      </c>
      <c r="U11" s="29">
        <f t="shared" si="16"/>
        <v>951349.13</v>
      </c>
      <c r="V11" s="29">
        <f t="shared" si="17"/>
        <v>972936.15</v>
      </c>
      <c r="W11" s="29">
        <f t="shared" si="18"/>
        <v>994523.17</v>
      </c>
      <c r="X11" s="29">
        <f t="shared" si="19"/>
        <v>1016110.19</v>
      </c>
      <c r="Y11" s="29">
        <f t="shared" si="0"/>
        <v>1037697.21</v>
      </c>
      <c r="Z11">
        <v>1059284.23</v>
      </c>
    </row>
    <row r="12" ht="20" customHeight="1" spans="1:26">
      <c r="A12" s="5">
        <v>9</v>
      </c>
      <c r="B12" s="29" t="s">
        <v>30</v>
      </c>
      <c r="C12" s="29">
        <v>1</v>
      </c>
      <c r="D12" s="29">
        <f t="shared" si="1"/>
        <v>601769.91</v>
      </c>
      <c r="E12" s="29">
        <v>601769.91</v>
      </c>
      <c r="F12" s="29">
        <v>7522.12</v>
      </c>
      <c r="G12" s="29">
        <f t="shared" si="2"/>
        <v>326821.26</v>
      </c>
      <c r="H12" s="32">
        <f t="shared" si="3"/>
        <v>326821.26</v>
      </c>
      <c r="I12" s="29">
        <f t="shared" si="4"/>
        <v>334343.38</v>
      </c>
      <c r="J12" s="29">
        <f t="shared" si="5"/>
        <v>341865.5</v>
      </c>
      <c r="K12" s="29">
        <f t="shared" si="6"/>
        <v>349387.62</v>
      </c>
      <c r="L12" s="32">
        <f t="shared" si="7"/>
        <v>356909.74</v>
      </c>
      <c r="M12" s="29">
        <f t="shared" si="8"/>
        <v>364431.86</v>
      </c>
      <c r="N12" s="29">
        <f t="shared" si="9"/>
        <v>371953.98</v>
      </c>
      <c r="O12" s="32">
        <f t="shared" si="10"/>
        <v>379476.1</v>
      </c>
      <c r="P12" s="29">
        <f t="shared" si="11"/>
        <v>386998.22</v>
      </c>
      <c r="Q12" s="29">
        <f t="shared" si="12"/>
        <v>394520.34</v>
      </c>
      <c r="R12" s="29">
        <f t="shared" si="13"/>
        <v>402042.46</v>
      </c>
      <c r="S12" s="29">
        <f t="shared" si="14"/>
        <v>409564.58</v>
      </c>
      <c r="T12" s="29">
        <f t="shared" si="15"/>
        <v>417086.7</v>
      </c>
      <c r="U12" s="29">
        <f t="shared" si="16"/>
        <v>424608.82</v>
      </c>
      <c r="V12" s="29">
        <f t="shared" si="17"/>
        <v>432130.94</v>
      </c>
      <c r="W12" s="29">
        <f t="shared" si="18"/>
        <v>439653.06</v>
      </c>
      <c r="X12" s="29">
        <f t="shared" si="19"/>
        <v>447175.18</v>
      </c>
      <c r="Y12" s="29">
        <f t="shared" si="0"/>
        <v>454697.3</v>
      </c>
      <c r="Z12">
        <v>462219.42</v>
      </c>
    </row>
    <row r="13" ht="20" customHeight="1" spans="1:26">
      <c r="A13" s="5">
        <v>10</v>
      </c>
      <c r="B13" s="29" t="s">
        <v>31</v>
      </c>
      <c r="C13" s="29">
        <v>1</v>
      </c>
      <c r="D13" s="29">
        <f t="shared" si="1"/>
        <v>283185.84</v>
      </c>
      <c r="E13" s="29">
        <v>283185.84</v>
      </c>
      <c r="F13" s="29">
        <v>7472.96</v>
      </c>
      <c r="G13" s="29">
        <f t="shared" si="2"/>
        <v>103834.8</v>
      </c>
      <c r="H13" s="32">
        <f t="shared" si="3"/>
        <v>103834.8</v>
      </c>
      <c r="I13" s="29">
        <f t="shared" si="4"/>
        <v>111307.76</v>
      </c>
      <c r="J13" s="29">
        <f t="shared" si="5"/>
        <v>118780.72</v>
      </c>
      <c r="K13" s="29">
        <f t="shared" si="6"/>
        <v>126253.68</v>
      </c>
      <c r="L13" s="32">
        <f t="shared" si="7"/>
        <v>133726.64</v>
      </c>
      <c r="M13" s="29">
        <f t="shared" si="8"/>
        <v>141199.6</v>
      </c>
      <c r="N13" s="29">
        <f t="shared" si="9"/>
        <v>148672.56</v>
      </c>
      <c r="O13" s="32">
        <f t="shared" si="10"/>
        <v>156145.52</v>
      </c>
      <c r="P13" s="29">
        <f t="shared" si="11"/>
        <v>163618.48</v>
      </c>
      <c r="Q13" s="29">
        <f t="shared" si="12"/>
        <v>171091.44</v>
      </c>
      <c r="R13" s="29">
        <f t="shared" si="13"/>
        <v>178564.4</v>
      </c>
      <c r="S13" s="29">
        <f t="shared" si="14"/>
        <v>186037.36</v>
      </c>
      <c r="T13" s="29">
        <f t="shared" si="15"/>
        <v>193510.32</v>
      </c>
      <c r="U13" s="29">
        <f t="shared" si="16"/>
        <v>200983.28</v>
      </c>
      <c r="V13" s="29">
        <f t="shared" si="17"/>
        <v>208456.24</v>
      </c>
      <c r="W13" s="29">
        <f t="shared" si="18"/>
        <v>215929.2</v>
      </c>
      <c r="X13" s="29">
        <f t="shared" si="19"/>
        <v>223402.16</v>
      </c>
      <c r="Y13" s="29">
        <f t="shared" si="0"/>
        <v>230875.12</v>
      </c>
      <c r="Z13">
        <v>238348.08</v>
      </c>
    </row>
    <row r="14" ht="20" customHeight="1" spans="1:26">
      <c r="A14" s="5">
        <v>11</v>
      </c>
      <c r="B14" s="29" t="s">
        <v>32</v>
      </c>
      <c r="C14" s="29">
        <v>1</v>
      </c>
      <c r="D14" s="29">
        <f t="shared" si="1"/>
        <v>44200</v>
      </c>
      <c r="E14" s="29">
        <v>44200</v>
      </c>
      <c r="F14" s="29">
        <v>910</v>
      </c>
      <c r="G14" s="29">
        <f t="shared" si="2"/>
        <v>13095.82</v>
      </c>
      <c r="H14" s="32">
        <f t="shared" si="3"/>
        <v>13095.82</v>
      </c>
      <c r="I14" s="29">
        <f t="shared" si="4"/>
        <v>14005.82</v>
      </c>
      <c r="J14" s="29">
        <f t="shared" si="5"/>
        <v>14915.82</v>
      </c>
      <c r="K14" s="29">
        <f t="shared" si="6"/>
        <v>15825.82</v>
      </c>
      <c r="L14" s="32">
        <f t="shared" si="7"/>
        <v>16735.82</v>
      </c>
      <c r="M14" s="29">
        <f t="shared" si="8"/>
        <v>17645.82</v>
      </c>
      <c r="N14" s="29">
        <f t="shared" si="9"/>
        <v>18555.82</v>
      </c>
      <c r="O14" s="32">
        <f t="shared" si="10"/>
        <v>19465.82</v>
      </c>
      <c r="P14" s="29">
        <f t="shared" si="11"/>
        <v>20375.82</v>
      </c>
      <c r="Q14" s="29">
        <f t="shared" si="12"/>
        <v>21285.82</v>
      </c>
      <c r="R14" s="29">
        <f t="shared" si="13"/>
        <v>22195.82</v>
      </c>
      <c r="S14" s="29">
        <f t="shared" si="14"/>
        <v>23105.82</v>
      </c>
      <c r="T14" s="29">
        <f t="shared" si="15"/>
        <v>24015.82</v>
      </c>
      <c r="U14" s="29">
        <f t="shared" si="16"/>
        <v>24925.82</v>
      </c>
      <c r="V14" s="29">
        <f t="shared" si="17"/>
        <v>25835.82</v>
      </c>
      <c r="W14" s="29">
        <f t="shared" si="18"/>
        <v>26745.82</v>
      </c>
      <c r="X14" s="29">
        <f t="shared" si="19"/>
        <v>27655.82</v>
      </c>
      <c r="Y14" s="29">
        <f t="shared" si="0"/>
        <v>28565.82</v>
      </c>
      <c r="Z14">
        <v>29475.82</v>
      </c>
    </row>
    <row r="15" ht="20" customHeight="1" spans="1:26">
      <c r="A15" s="5">
        <v>12</v>
      </c>
      <c r="B15" s="29" t="s">
        <v>33</v>
      </c>
      <c r="C15" s="29">
        <v>1</v>
      </c>
      <c r="D15" s="29">
        <f t="shared" si="1"/>
        <v>766748.21</v>
      </c>
      <c r="E15" s="29">
        <v>766748.21</v>
      </c>
      <c r="F15" s="29">
        <v>9584.35</v>
      </c>
      <c r="G15" s="29">
        <f t="shared" si="2"/>
        <v>416420.93</v>
      </c>
      <c r="H15" s="32">
        <f t="shared" si="3"/>
        <v>416420.93</v>
      </c>
      <c r="I15" s="29">
        <f t="shared" si="4"/>
        <v>426005.28</v>
      </c>
      <c r="J15" s="29">
        <f t="shared" si="5"/>
        <v>435589.63</v>
      </c>
      <c r="K15" s="29">
        <f t="shared" si="6"/>
        <v>445173.98</v>
      </c>
      <c r="L15" s="32">
        <f t="shared" si="7"/>
        <v>454758.33</v>
      </c>
      <c r="M15" s="29">
        <f t="shared" si="8"/>
        <v>464342.68</v>
      </c>
      <c r="N15" s="29">
        <f t="shared" si="9"/>
        <v>473927.03</v>
      </c>
      <c r="O15" s="32">
        <f t="shared" si="10"/>
        <v>483511.38</v>
      </c>
      <c r="P15" s="29">
        <f t="shared" si="11"/>
        <v>493095.73</v>
      </c>
      <c r="Q15" s="29">
        <f t="shared" si="12"/>
        <v>502680.08</v>
      </c>
      <c r="R15" s="29">
        <f t="shared" si="13"/>
        <v>512264.43</v>
      </c>
      <c r="S15" s="29">
        <f t="shared" si="14"/>
        <v>521848.78</v>
      </c>
      <c r="T15" s="29">
        <f t="shared" si="15"/>
        <v>531433.13</v>
      </c>
      <c r="U15" s="29">
        <f t="shared" si="16"/>
        <v>541017.48</v>
      </c>
      <c r="V15" s="29">
        <f t="shared" si="17"/>
        <v>550601.83</v>
      </c>
      <c r="W15" s="29">
        <f t="shared" si="18"/>
        <v>560186.18</v>
      </c>
      <c r="X15" s="29">
        <f t="shared" si="19"/>
        <v>569770.53</v>
      </c>
      <c r="Y15" s="29">
        <f t="shared" si="0"/>
        <v>579354.88</v>
      </c>
      <c r="Z15">
        <v>588939.23</v>
      </c>
    </row>
    <row r="16" ht="20" customHeight="1" spans="1:26">
      <c r="A16" s="5">
        <v>13</v>
      </c>
      <c r="B16" s="29" t="s">
        <v>34</v>
      </c>
      <c r="C16" s="29">
        <v>1</v>
      </c>
      <c r="D16" s="29">
        <f t="shared" si="1"/>
        <v>62560</v>
      </c>
      <c r="E16" s="29">
        <v>62560</v>
      </c>
      <c r="F16" s="29">
        <v>782</v>
      </c>
      <c r="G16" s="29">
        <f t="shared" si="2"/>
        <v>33976</v>
      </c>
      <c r="H16" s="32">
        <f t="shared" si="3"/>
        <v>33976</v>
      </c>
      <c r="I16" s="29">
        <f t="shared" si="4"/>
        <v>34758</v>
      </c>
      <c r="J16" s="29">
        <f t="shared" si="5"/>
        <v>35540</v>
      </c>
      <c r="K16" s="29">
        <f t="shared" si="6"/>
        <v>36322</v>
      </c>
      <c r="L16" s="32">
        <f t="shared" si="7"/>
        <v>37104</v>
      </c>
      <c r="M16" s="29">
        <f t="shared" si="8"/>
        <v>37886</v>
      </c>
      <c r="N16" s="29">
        <f t="shared" si="9"/>
        <v>38668</v>
      </c>
      <c r="O16" s="32">
        <f t="shared" si="10"/>
        <v>39450</v>
      </c>
      <c r="P16" s="29">
        <f t="shared" si="11"/>
        <v>40232</v>
      </c>
      <c r="Q16" s="29">
        <f t="shared" si="12"/>
        <v>41014</v>
      </c>
      <c r="R16" s="29">
        <f t="shared" si="13"/>
        <v>41796</v>
      </c>
      <c r="S16" s="29">
        <f t="shared" si="14"/>
        <v>42578</v>
      </c>
      <c r="T16" s="29">
        <f t="shared" si="15"/>
        <v>43360</v>
      </c>
      <c r="U16" s="29">
        <f t="shared" si="16"/>
        <v>44142</v>
      </c>
      <c r="V16" s="29">
        <f t="shared" si="17"/>
        <v>44924</v>
      </c>
      <c r="W16" s="29">
        <f t="shared" si="18"/>
        <v>45706</v>
      </c>
      <c r="X16" s="29">
        <f t="shared" si="19"/>
        <v>46488</v>
      </c>
      <c r="Y16" s="29">
        <f t="shared" si="0"/>
        <v>47270</v>
      </c>
      <c r="Z16">
        <v>48052</v>
      </c>
    </row>
    <row r="17" ht="20" customHeight="1" spans="1:26">
      <c r="A17" s="5">
        <v>14</v>
      </c>
      <c r="B17" s="29" t="s">
        <v>31</v>
      </c>
      <c r="C17" s="29">
        <v>1</v>
      </c>
      <c r="D17" s="29">
        <f t="shared" si="1"/>
        <v>805459.55</v>
      </c>
      <c r="E17" s="29">
        <v>805459.55</v>
      </c>
      <c r="F17" s="29">
        <v>10068.24</v>
      </c>
      <c r="G17" s="29">
        <f t="shared" si="2"/>
        <v>440801.18</v>
      </c>
      <c r="H17" s="32">
        <f t="shared" si="3"/>
        <v>440801.18</v>
      </c>
      <c r="I17" s="29">
        <f t="shared" si="4"/>
        <v>450869.42</v>
      </c>
      <c r="J17" s="29">
        <f t="shared" si="5"/>
        <v>460937.66</v>
      </c>
      <c r="K17" s="29">
        <f t="shared" si="6"/>
        <v>471005.9</v>
      </c>
      <c r="L17" s="32">
        <f t="shared" si="7"/>
        <v>481074.14</v>
      </c>
      <c r="M17" s="29">
        <f t="shared" si="8"/>
        <v>491142.38</v>
      </c>
      <c r="N17" s="29">
        <f t="shared" si="9"/>
        <v>501210.62</v>
      </c>
      <c r="O17" s="32">
        <f t="shared" si="10"/>
        <v>511278.86</v>
      </c>
      <c r="P17" s="29">
        <f t="shared" si="11"/>
        <v>521347.1</v>
      </c>
      <c r="Q17" s="29">
        <f t="shared" si="12"/>
        <v>531415.34</v>
      </c>
      <c r="R17" s="29">
        <f t="shared" si="13"/>
        <v>541483.58</v>
      </c>
      <c r="S17" s="29">
        <f t="shared" si="14"/>
        <v>551551.82</v>
      </c>
      <c r="T17" s="29">
        <f t="shared" si="15"/>
        <v>561620.06</v>
      </c>
      <c r="U17" s="29">
        <f t="shared" si="16"/>
        <v>571688.3</v>
      </c>
      <c r="V17" s="29">
        <f t="shared" si="17"/>
        <v>581756.54</v>
      </c>
      <c r="W17" s="29">
        <f t="shared" si="18"/>
        <v>591824.78</v>
      </c>
      <c r="X17" s="29">
        <f t="shared" si="19"/>
        <v>601893.02</v>
      </c>
      <c r="Y17" s="29">
        <f t="shared" ref="Y17:Y29" si="20">Z17-F17</f>
        <v>611961.26</v>
      </c>
      <c r="Z17">
        <v>622029.5</v>
      </c>
    </row>
    <row r="18" ht="20" customHeight="1" spans="1:26">
      <c r="A18" s="5">
        <v>15</v>
      </c>
      <c r="B18" s="29" t="s">
        <v>35</v>
      </c>
      <c r="C18" s="29">
        <v>1</v>
      </c>
      <c r="D18" s="29">
        <f t="shared" si="1"/>
        <v>495575.22</v>
      </c>
      <c r="E18" s="29">
        <v>495575.22</v>
      </c>
      <c r="F18" s="29">
        <v>8011.79</v>
      </c>
      <c r="G18" s="29">
        <f t="shared" si="2"/>
        <v>212568.93</v>
      </c>
      <c r="H18" s="32">
        <f t="shared" si="3"/>
        <v>212568.93</v>
      </c>
      <c r="I18" s="29">
        <f t="shared" si="4"/>
        <v>220580.72</v>
      </c>
      <c r="J18" s="29">
        <f t="shared" si="5"/>
        <v>228592.51</v>
      </c>
      <c r="K18" s="29">
        <f t="shared" si="6"/>
        <v>236604.3</v>
      </c>
      <c r="L18" s="32">
        <f t="shared" si="7"/>
        <v>244616.09</v>
      </c>
      <c r="M18" s="29">
        <f t="shared" si="8"/>
        <v>252627.88</v>
      </c>
      <c r="N18" s="29">
        <f t="shared" si="9"/>
        <v>260639.67</v>
      </c>
      <c r="O18" s="32">
        <f t="shared" si="10"/>
        <v>268651.46</v>
      </c>
      <c r="P18" s="29">
        <f t="shared" si="11"/>
        <v>276663.25</v>
      </c>
      <c r="Q18" s="29">
        <f t="shared" si="12"/>
        <v>284675.04</v>
      </c>
      <c r="R18" s="29">
        <f t="shared" si="13"/>
        <v>292686.83</v>
      </c>
      <c r="S18" s="29">
        <f t="shared" si="14"/>
        <v>300698.62</v>
      </c>
      <c r="T18" s="29">
        <f t="shared" si="15"/>
        <v>308710.41</v>
      </c>
      <c r="U18" s="29">
        <f t="shared" si="16"/>
        <v>316722.2</v>
      </c>
      <c r="V18" s="29">
        <f t="shared" si="17"/>
        <v>324733.99</v>
      </c>
      <c r="W18" s="29">
        <f t="shared" si="18"/>
        <v>332745.78</v>
      </c>
      <c r="X18" s="29">
        <f t="shared" si="19"/>
        <v>340757.57</v>
      </c>
      <c r="Y18" s="29">
        <f t="shared" si="20"/>
        <v>348769.36</v>
      </c>
      <c r="Z18">
        <v>356781.15</v>
      </c>
    </row>
    <row r="19" ht="20" customHeight="1" spans="1:26">
      <c r="A19" s="5">
        <v>16</v>
      </c>
      <c r="B19" s="29" t="s">
        <v>36</v>
      </c>
      <c r="C19" s="29">
        <v>1</v>
      </c>
      <c r="D19" s="29">
        <f t="shared" si="1"/>
        <v>27433.63</v>
      </c>
      <c r="E19" s="29">
        <v>27433.63</v>
      </c>
      <c r="F19" s="29"/>
      <c r="G19" s="29">
        <f t="shared" si="2"/>
        <v>0</v>
      </c>
      <c r="H19" s="32">
        <f t="shared" si="3"/>
        <v>0</v>
      </c>
      <c r="I19" s="29"/>
      <c r="J19" s="29"/>
      <c r="K19" s="29">
        <f t="shared" si="6"/>
        <v>10059.01</v>
      </c>
      <c r="L19" s="32">
        <f t="shared" si="7"/>
        <v>10059.01</v>
      </c>
      <c r="M19" s="29">
        <f t="shared" si="8"/>
        <v>10059.01</v>
      </c>
      <c r="N19" s="29">
        <f t="shared" si="9"/>
        <v>10059.01</v>
      </c>
      <c r="O19" s="32">
        <f t="shared" si="10"/>
        <v>10059.01</v>
      </c>
      <c r="P19" s="29">
        <f t="shared" si="11"/>
        <v>10059.01</v>
      </c>
      <c r="Q19" s="29">
        <f t="shared" si="12"/>
        <v>10059.01</v>
      </c>
      <c r="R19" s="29">
        <f t="shared" si="13"/>
        <v>10059.01</v>
      </c>
      <c r="S19" s="29">
        <f t="shared" si="14"/>
        <v>10059.01</v>
      </c>
      <c r="T19" s="29">
        <f t="shared" si="15"/>
        <v>10059.01</v>
      </c>
      <c r="U19" s="29">
        <f t="shared" si="16"/>
        <v>10059.01</v>
      </c>
      <c r="V19" s="29">
        <f t="shared" si="17"/>
        <v>10059.01</v>
      </c>
      <c r="W19" s="29">
        <f t="shared" si="18"/>
        <v>10059.01</v>
      </c>
      <c r="X19" s="29">
        <f t="shared" si="19"/>
        <v>10059.01</v>
      </c>
      <c r="Y19" s="29">
        <f t="shared" si="20"/>
        <v>10059.01</v>
      </c>
      <c r="Z19">
        <v>10059.01</v>
      </c>
    </row>
    <row r="20" ht="20" customHeight="1" spans="1:26">
      <c r="A20" s="5">
        <v>17</v>
      </c>
      <c r="B20" s="29" t="s">
        <v>37</v>
      </c>
      <c r="C20" s="29">
        <v>1</v>
      </c>
      <c r="D20" s="29">
        <f t="shared" si="1"/>
        <v>123893.81</v>
      </c>
      <c r="E20" s="29">
        <v>123893.81</v>
      </c>
      <c r="F20" s="29">
        <v>3269.42</v>
      </c>
      <c r="G20" s="29">
        <f t="shared" si="2"/>
        <v>1290.56000000003</v>
      </c>
      <c r="H20" s="32">
        <f t="shared" si="3"/>
        <v>1290.56000000003</v>
      </c>
      <c r="I20" s="29">
        <f t="shared" si="4"/>
        <v>4559.98000000003</v>
      </c>
      <c r="J20" s="29">
        <f t="shared" si="5"/>
        <v>7829.40000000003</v>
      </c>
      <c r="K20" s="29">
        <f t="shared" si="6"/>
        <v>11098.82</v>
      </c>
      <c r="L20" s="32">
        <f t="shared" si="7"/>
        <v>14368.24</v>
      </c>
      <c r="M20" s="29">
        <f t="shared" si="8"/>
        <v>17637.66</v>
      </c>
      <c r="N20" s="29">
        <f t="shared" si="9"/>
        <v>20907.08</v>
      </c>
      <c r="O20" s="32">
        <f t="shared" si="10"/>
        <v>24176.5</v>
      </c>
      <c r="P20" s="29">
        <f t="shared" si="11"/>
        <v>27445.92</v>
      </c>
      <c r="Q20" s="29">
        <f t="shared" si="12"/>
        <v>30715.34</v>
      </c>
      <c r="R20" s="29">
        <f t="shared" si="13"/>
        <v>33984.76</v>
      </c>
      <c r="S20" s="29">
        <f t="shared" si="14"/>
        <v>37254.18</v>
      </c>
      <c r="T20" s="29">
        <f t="shared" si="15"/>
        <v>40523.6</v>
      </c>
      <c r="U20" s="29">
        <f t="shared" si="16"/>
        <v>43793.02</v>
      </c>
      <c r="V20" s="29">
        <f t="shared" si="17"/>
        <v>47062.44</v>
      </c>
      <c r="W20" s="29">
        <f t="shared" si="18"/>
        <v>50331.86</v>
      </c>
      <c r="X20" s="29">
        <f t="shared" si="19"/>
        <v>53601.28</v>
      </c>
      <c r="Y20" s="29">
        <f t="shared" si="20"/>
        <v>56870.7</v>
      </c>
      <c r="Z20">
        <v>60140.12</v>
      </c>
    </row>
    <row r="21" ht="20" customHeight="1" spans="1:26">
      <c r="A21" s="5">
        <v>18</v>
      </c>
      <c r="B21" s="29" t="s">
        <v>38</v>
      </c>
      <c r="C21" s="29">
        <v>1</v>
      </c>
      <c r="D21" s="29">
        <f t="shared" si="1"/>
        <v>159292.04</v>
      </c>
      <c r="E21" s="29">
        <v>159292.04</v>
      </c>
      <c r="F21" s="29">
        <v>4203.54</v>
      </c>
      <c r="G21" s="29">
        <f t="shared" si="2"/>
        <v>1659.29</v>
      </c>
      <c r="H21" s="32">
        <f t="shared" si="3"/>
        <v>1659.29</v>
      </c>
      <c r="I21" s="29">
        <f t="shared" si="4"/>
        <v>5862.83</v>
      </c>
      <c r="J21" s="29">
        <f t="shared" si="5"/>
        <v>10066.37</v>
      </c>
      <c r="K21" s="29">
        <f t="shared" si="6"/>
        <v>14269.91</v>
      </c>
      <c r="L21" s="32">
        <f t="shared" si="7"/>
        <v>18473.45</v>
      </c>
      <c r="M21" s="29">
        <f t="shared" si="8"/>
        <v>22676.99</v>
      </c>
      <c r="N21" s="29">
        <f t="shared" si="9"/>
        <v>26880.53</v>
      </c>
      <c r="O21" s="32">
        <f t="shared" si="10"/>
        <v>31084.07</v>
      </c>
      <c r="P21" s="29">
        <f t="shared" si="11"/>
        <v>35287.61</v>
      </c>
      <c r="Q21" s="29">
        <f t="shared" si="12"/>
        <v>39491.15</v>
      </c>
      <c r="R21" s="29">
        <f t="shared" si="13"/>
        <v>43694.69</v>
      </c>
      <c r="S21" s="29">
        <f t="shared" si="14"/>
        <v>47898.23</v>
      </c>
      <c r="T21" s="29">
        <f t="shared" si="15"/>
        <v>52101.77</v>
      </c>
      <c r="U21" s="29">
        <f t="shared" si="16"/>
        <v>56305.31</v>
      </c>
      <c r="V21" s="29">
        <f t="shared" si="17"/>
        <v>60508.85</v>
      </c>
      <c r="W21" s="29">
        <f t="shared" si="18"/>
        <v>64712.39</v>
      </c>
      <c r="X21" s="29">
        <f t="shared" si="19"/>
        <v>68915.93</v>
      </c>
      <c r="Y21" s="29">
        <f t="shared" si="20"/>
        <v>73119.47</v>
      </c>
      <c r="Z21">
        <v>77323.01</v>
      </c>
    </row>
    <row r="22" ht="20" customHeight="1" spans="1:26">
      <c r="A22" s="5">
        <v>19</v>
      </c>
      <c r="B22" s="29" t="s">
        <v>39</v>
      </c>
      <c r="C22" s="29">
        <v>4</v>
      </c>
      <c r="D22" s="29">
        <f t="shared" si="1"/>
        <v>42000</v>
      </c>
      <c r="E22" s="29">
        <v>168000</v>
      </c>
      <c r="F22" s="29"/>
      <c r="G22" s="29">
        <f t="shared" si="2"/>
        <v>0</v>
      </c>
      <c r="H22" s="32">
        <f t="shared" si="3"/>
        <v>0</v>
      </c>
      <c r="I22" s="29">
        <f t="shared" si="4"/>
        <v>0</v>
      </c>
      <c r="J22" s="29">
        <f t="shared" si="5"/>
        <v>0</v>
      </c>
      <c r="K22" s="29">
        <f t="shared" si="6"/>
        <v>0</v>
      </c>
      <c r="L22" s="32">
        <f t="shared" si="7"/>
        <v>0</v>
      </c>
      <c r="M22" s="29">
        <f t="shared" si="8"/>
        <v>0</v>
      </c>
      <c r="N22" s="29">
        <f t="shared" si="9"/>
        <v>0</v>
      </c>
      <c r="O22" s="32">
        <f t="shared" si="10"/>
        <v>0</v>
      </c>
      <c r="P22" s="29">
        <f t="shared" si="11"/>
        <v>0</v>
      </c>
      <c r="Q22" s="29">
        <f t="shared" si="12"/>
        <v>0</v>
      </c>
      <c r="R22" s="29">
        <f t="shared" si="13"/>
        <v>0</v>
      </c>
      <c r="S22" s="29">
        <v>0</v>
      </c>
      <c r="T22" s="29">
        <f t="shared" si="15"/>
        <v>8634.78</v>
      </c>
      <c r="U22" s="29">
        <f t="shared" si="16"/>
        <v>8634.78</v>
      </c>
      <c r="V22" s="29">
        <f t="shared" si="17"/>
        <v>8634.78</v>
      </c>
      <c r="W22" s="29">
        <f t="shared" si="18"/>
        <v>8634.78</v>
      </c>
      <c r="X22" s="29">
        <f t="shared" si="19"/>
        <v>8634.78</v>
      </c>
      <c r="Y22" s="29">
        <f t="shared" si="20"/>
        <v>8634.78</v>
      </c>
      <c r="Z22">
        <v>8634.78</v>
      </c>
    </row>
    <row r="23" ht="20" customHeight="1" spans="1:26">
      <c r="A23" s="5">
        <v>20</v>
      </c>
      <c r="B23" s="29" t="s">
        <v>40</v>
      </c>
      <c r="C23" s="29">
        <v>1</v>
      </c>
      <c r="D23" s="29">
        <f t="shared" si="1"/>
        <v>196460.17</v>
      </c>
      <c r="E23" s="29">
        <v>196460.17</v>
      </c>
      <c r="F23" s="29">
        <v>1637.17</v>
      </c>
      <c r="G23" s="29">
        <f t="shared" si="2"/>
        <v>130436.4</v>
      </c>
      <c r="H23" s="32">
        <f t="shared" si="3"/>
        <v>130436.4</v>
      </c>
      <c r="I23" s="29">
        <f t="shared" si="4"/>
        <v>132073.57</v>
      </c>
      <c r="J23" s="29">
        <f t="shared" si="5"/>
        <v>133710.74</v>
      </c>
      <c r="K23" s="29">
        <f t="shared" si="6"/>
        <v>135347.91</v>
      </c>
      <c r="L23" s="32">
        <f t="shared" si="7"/>
        <v>136985.08</v>
      </c>
      <c r="M23" s="29">
        <f t="shared" si="8"/>
        <v>138622.25</v>
      </c>
      <c r="N23" s="29">
        <f t="shared" si="9"/>
        <v>140259.42</v>
      </c>
      <c r="O23" s="32">
        <f t="shared" si="10"/>
        <v>141896.59</v>
      </c>
      <c r="P23" s="29">
        <f t="shared" si="11"/>
        <v>143533.76</v>
      </c>
      <c r="Q23" s="29">
        <f t="shared" si="12"/>
        <v>145170.93</v>
      </c>
      <c r="R23" s="29">
        <f t="shared" si="13"/>
        <v>146808.1</v>
      </c>
      <c r="S23" s="29">
        <f t="shared" si="14"/>
        <v>148445.27</v>
      </c>
      <c r="T23" s="29">
        <f t="shared" si="15"/>
        <v>150082.44</v>
      </c>
      <c r="U23" s="29">
        <f t="shared" si="16"/>
        <v>151719.61</v>
      </c>
      <c r="V23" s="29">
        <f t="shared" si="17"/>
        <v>153356.78</v>
      </c>
      <c r="W23" s="29">
        <f t="shared" si="18"/>
        <v>154993.95</v>
      </c>
      <c r="X23" s="29">
        <f t="shared" si="19"/>
        <v>156631.12</v>
      </c>
      <c r="Y23" s="29">
        <f t="shared" si="20"/>
        <v>158268.29</v>
      </c>
      <c r="Z23">
        <v>159905.46</v>
      </c>
    </row>
    <row r="24" ht="20" customHeight="1" spans="1:26">
      <c r="A24" s="5">
        <v>21</v>
      </c>
      <c r="B24" s="29" t="s">
        <v>41</v>
      </c>
      <c r="C24" s="29">
        <v>2</v>
      </c>
      <c r="D24" s="29">
        <f t="shared" si="1"/>
        <v>46116.505</v>
      </c>
      <c r="E24" s="29">
        <v>92233.01</v>
      </c>
      <c r="F24" s="29">
        <v>768.61</v>
      </c>
      <c r="G24" s="29">
        <f t="shared" si="2"/>
        <v>61236.44</v>
      </c>
      <c r="H24" s="32">
        <f t="shared" si="3"/>
        <v>61236.44</v>
      </c>
      <c r="I24" s="29">
        <f t="shared" si="4"/>
        <v>62005.05</v>
      </c>
      <c r="J24" s="29">
        <f t="shared" si="5"/>
        <v>62773.66</v>
      </c>
      <c r="K24" s="29">
        <f t="shared" si="6"/>
        <v>63542.27</v>
      </c>
      <c r="L24" s="32">
        <f t="shared" si="7"/>
        <v>64310.88</v>
      </c>
      <c r="M24" s="29">
        <f t="shared" si="8"/>
        <v>65079.49</v>
      </c>
      <c r="N24" s="29">
        <f t="shared" si="9"/>
        <v>65848.1</v>
      </c>
      <c r="O24" s="32">
        <f t="shared" si="10"/>
        <v>66616.71</v>
      </c>
      <c r="P24" s="29">
        <f t="shared" si="11"/>
        <v>67385.32</v>
      </c>
      <c r="Q24" s="29">
        <f t="shared" si="12"/>
        <v>68153.93</v>
      </c>
      <c r="R24" s="29">
        <f t="shared" si="13"/>
        <v>68922.54</v>
      </c>
      <c r="S24" s="29">
        <f t="shared" si="14"/>
        <v>69691.15</v>
      </c>
      <c r="T24" s="29">
        <f t="shared" si="15"/>
        <v>70459.76</v>
      </c>
      <c r="U24" s="29">
        <f t="shared" si="16"/>
        <v>71228.37</v>
      </c>
      <c r="V24" s="29">
        <f t="shared" si="17"/>
        <v>71996.98</v>
      </c>
      <c r="W24" s="29">
        <f t="shared" si="18"/>
        <v>72765.59</v>
      </c>
      <c r="X24" s="29">
        <f t="shared" si="19"/>
        <v>73534.2</v>
      </c>
      <c r="Y24" s="29">
        <f t="shared" si="20"/>
        <v>74302.81</v>
      </c>
      <c r="Z24">
        <v>75071.42</v>
      </c>
    </row>
    <row r="25" ht="20" customHeight="1" spans="1:26">
      <c r="A25" s="5">
        <v>22</v>
      </c>
      <c r="B25" s="29" t="s">
        <v>42</v>
      </c>
      <c r="C25" s="29">
        <v>1</v>
      </c>
      <c r="D25" s="29">
        <f t="shared" si="1"/>
        <v>1303669.87</v>
      </c>
      <c r="E25" s="29">
        <v>1303669.87</v>
      </c>
      <c r="F25" s="29">
        <v>5431.96</v>
      </c>
      <c r="G25" s="29">
        <f t="shared" si="2"/>
        <v>1142521.74</v>
      </c>
      <c r="H25" s="32">
        <f t="shared" si="3"/>
        <v>1142521.74</v>
      </c>
      <c r="I25" s="29">
        <f t="shared" si="4"/>
        <v>1147953.7</v>
      </c>
      <c r="J25" s="29">
        <f t="shared" si="5"/>
        <v>1153385.66</v>
      </c>
      <c r="K25" s="29">
        <f t="shared" si="6"/>
        <v>1158817.62</v>
      </c>
      <c r="L25" s="32">
        <f t="shared" si="7"/>
        <v>1164249.58</v>
      </c>
      <c r="M25" s="29">
        <f t="shared" si="8"/>
        <v>1169681.54</v>
      </c>
      <c r="N25" s="29">
        <f t="shared" si="9"/>
        <v>1175113.5</v>
      </c>
      <c r="O25" s="32">
        <f t="shared" si="10"/>
        <v>1180545.46</v>
      </c>
      <c r="P25" s="29">
        <f t="shared" si="11"/>
        <v>1185977.42</v>
      </c>
      <c r="Q25" s="29">
        <f t="shared" si="12"/>
        <v>1191409.38</v>
      </c>
      <c r="R25" s="29">
        <f t="shared" si="13"/>
        <v>1196841.34</v>
      </c>
      <c r="S25" s="29">
        <f t="shared" si="14"/>
        <v>1202273.3</v>
      </c>
      <c r="T25" s="29">
        <f t="shared" si="15"/>
        <v>1207705.26</v>
      </c>
      <c r="U25" s="29">
        <f t="shared" si="16"/>
        <v>1213137.22</v>
      </c>
      <c r="V25" s="29">
        <f t="shared" si="17"/>
        <v>1218569.18</v>
      </c>
      <c r="W25" s="29">
        <f t="shared" si="18"/>
        <v>1224001.14</v>
      </c>
      <c r="X25" s="29">
        <f t="shared" si="19"/>
        <v>1229433.1</v>
      </c>
      <c r="Y25" s="29">
        <f t="shared" si="20"/>
        <v>1234865.06</v>
      </c>
      <c r="Z25">
        <v>1240297.02</v>
      </c>
    </row>
    <row r="26" ht="20" customHeight="1" spans="1:25">
      <c r="A26" s="5">
        <v>23</v>
      </c>
      <c r="B26" s="29" t="s">
        <v>22</v>
      </c>
      <c r="C26" s="29">
        <v>1</v>
      </c>
      <c r="D26" s="29">
        <f t="shared" si="1"/>
        <v>265486.73</v>
      </c>
      <c r="E26" s="29">
        <v>265486.73</v>
      </c>
      <c r="F26" s="29">
        <v>6991.15</v>
      </c>
      <c r="G26" s="29">
        <f t="shared" si="2"/>
        <v>146637.18</v>
      </c>
      <c r="H26" s="32">
        <f t="shared" si="3"/>
        <v>146637.18</v>
      </c>
      <c r="I26" s="29">
        <f t="shared" si="4"/>
        <v>153628.33</v>
      </c>
      <c r="J26" s="29">
        <f t="shared" si="5"/>
        <v>160619.48</v>
      </c>
      <c r="K26" s="29">
        <f t="shared" si="6"/>
        <v>167610.63</v>
      </c>
      <c r="L26" s="32">
        <f t="shared" si="7"/>
        <v>174601.78</v>
      </c>
      <c r="M26" s="29">
        <f t="shared" si="8"/>
        <v>181592.93</v>
      </c>
      <c r="N26" s="29">
        <f t="shared" si="9"/>
        <v>188584.08</v>
      </c>
      <c r="O26" s="32">
        <f t="shared" si="10"/>
        <v>195575.23</v>
      </c>
      <c r="P26" s="29">
        <f t="shared" si="11"/>
        <v>202566.38</v>
      </c>
      <c r="Q26" s="29">
        <f t="shared" si="12"/>
        <v>209557.53</v>
      </c>
      <c r="R26" s="29">
        <f t="shared" si="13"/>
        <v>216548.68</v>
      </c>
      <c r="S26" s="29">
        <f t="shared" si="14"/>
        <v>223539.83</v>
      </c>
      <c r="T26" s="29">
        <f t="shared" si="15"/>
        <v>230530.98</v>
      </c>
      <c r="U26" s="29">
        <f t="shared" si="16"/>
        <v>237522.13</v>
      </c>
      <c r="V26" s="29">
        <f t="shared" si="17"/>
        <v>244513.28</v>
      </c>
      <c r="W26" s="29">
        <f t="shared" si="18"/>
        <v>251504.43</v>
      </c>
      <c r="X26" s="29">
        <f>E26-F26</f>
        <v>258495.58</v>
      </c>
      <c r="Y26" s="29"/>
    </row>
    <row r="27" ht="20" customHeight="1" spans="1:25">
      <c r="A27" s="5">
        <v>24</v>
      </c>
      <c r="B27" s="29" t="s">
        <v>43</v>
      </c>
      <c r="C27" s="29">
        <v>2</v>
      </c>
      <c r="D27" s="29">
        <f t="shared" si="1"/>
        <v>398230.09</v>
      </c>
      <c r="E27" s="29">
        <v>796460.18</v>
      </c>
      <c r="F27" s="29">
        <v>20973.45</v>
      </c>
      <c r="G27" s="29">
        <f t="shared" si="2"/>
        <v>439911.53</v>
      </c>
      <c r="H27" s="32">
        <f t="shared" si="3"/>
        <v>439911.53</v>
      </c>
      <c r="I27" s="29">
        <f t="shared" si="4"/>
        <v>460884.98</v>
      </c>
      <c r="J27" s="29">
        <f t="shared" si="5"/>
        <v>481858.43</v>
      </c>
      <c r="K27" s="29">
        <f t="shared" si="6"/>
        <v>502831.88</v>
      </c>
      <c r="L27" s="32">
        <f t="shared" si="7"/>
        <v>523805.33</v>
      </c>
      <c r="M27" s="29">
        <f t="shared" si="8"/>
        <v>544778.78</v>
      </c>
      <c r="N27" s="29">
        <f t="shared" si="9"/>
        <v>565752.23</v>
      </c>
      <c r="O27" s="32">
        <f t="shared" si="10"/>
        <v>586725.68</v>
      </c>
      <c r="P27" s="29">
        <f t="shared" si="11"/>
        <v>607699.13</v>
      </c>
      <c r="Q27" s="29">
        <f t="shared" si="12"/>
        <v>628672.58</v>
      </c>
      <c r="R27" s="29">
        <f t="shared" si="13"/>
        <v>649646.03</v>
      </c>
      <c r="S27" s="29">
        <f t="shared" si="14"/>
        <v>670619.48</v>
      </c>
      <c r="T27" s="29">
        <f t="shared" si="15"/>
        <v>691592.93</v>
      </c>
      <c r="U27" s="29">
        <f t="shared" si="16"/>
        <v>712566.38</v>
      </c>
      <c r="V27" s="29">
        <f t="shared" si="17"/>
        <v>733539.83</v>
      </c>
      <c r="W27" s="29">
        <f t="shared" si="18"/>
        <v>754513.28</v>
      </c>
      <c r="X27" s="29">
        <f>E27-F27</f>
        <v>775486.73</v>
      </c>
      <c r="Y27" s="29"/>
    </row>
    <row r="28" ht="20" customHeight="1" spans="1:25">
      <c r="A28" s="5">
        <v>25</v>
      </c>
      <c r="B28" s="33" t="s">
        <v>44</v>
      </c>
      <c r="C28" s="33">
        <v>2</v>
      </c>
      <c r="D28" s="29">
        <f t="shared" si="1"/>
        <v>108407.07</v>
      </c>
      <c r="E28" s="33">
        <v>216814.14</v>
      </c>
      <c r="F28" s="33">
        <v>3613.56</v>
      </c>
      <c r="G28" s="29">
        <f t="shared" si="2"/>
        <v>166224.3</v>
      </c>
      <c r="H28" s="32">
        <f t="shared" si="3"/>
        <v>166224.3</v>
      </c>
      <c r="I28" s="29">
        <f t="shared" si="4"/>
        <v>169837.86</v>
      </c>
      <c r="J28" s="29">
        <f t="shared" si="5"/>
        <v>173451.42</v>
      </c>
      <c r="K28" s="29">
        <f t="shared" si="6"/>
        <v>177064.98</v>
      </c>
      <c r="L28" s="32">
        <f t="shared" si="7"/>
        <v>180678.54</v>
      </c>
      <c r="M28" s="29">
        <f t="shared" si="8"/>
        <v>184292.1</v>
      </c>
      <c r="N28" s="29">
        <f t="shared" si="9"/>
        <v>187905.66</v>
      </c>
      <c r="O28" s="32">
        <f t="shared" si="10"/>
        <v>191519.22</v>
      </c>
      <c r="P28" s="29">
        <f t="shared" si="11"/>
        <v>195132.78</v>
      </c>
      <c r="Q28" s="29">
        <f t="shared" si="12"/>
        <v>198746.34</v>
      </c>
      <c r="R28" s="29">
        <f t="shared" si="13"/>
        <v>202359.9</v>
      </c>
      <c r="S28" s="29">
        <f t="shared" si="14"/>
        <v>205973.46</v>
      </c>
      <c r="T28" s="29">
        <f t="shared" si="15"/>
        <v>209587.02</v>
      </c>
      <c r="U28" s="33">
        <f t="shared" ref="U28:U30" si="21">E28-F28</f>
        <v>213200.58</v>
      </c>
      <c r="V28" s="29"/>
      <c r="W28" s="29"/>
      <c r="X28" s="33"/>
      <c r="Y28" s="29"/>
    </row>
    <row r="29" ht="20" customHeight="1" spans="1:25">
      <c r="A29" s="5">
        <v>26</v>
      </c>
      <c r="B29" s="33" t="s">
        <v>45</v>
      </c>
      <c r="C29" s="33">
        <v>1</v>
      </c>
      <c r="D29" s="29">
        <f t="shared" si="1"/>
        <v>1592920.36</v>
      </c>
      <c r="E29" s="33">
        <v>1592920.36</v>
      </c>
      <c r="F29" s="33">
        <v>13274.34</v>
      </c>
      <c r="G29" s="29">
        <f t="shared" si="2"/>
        <v>1407079.6</v>
      </c>
      <c r="H29" s="32">
        <f t="shared" si="3"/>
        <v>1407079.6</v>
      </c>
      <c r="I29" s="29">
        <f t="shared" si="4"/>
        <v>1420353.94</v>
      </c>
      <c r="J29" s="29">
        <f t="shared" si="5"/>
        <v>1433628.28</v>
      </c>
      <c r="K29" s="29">
        <f t="shared" si="6"/>
        <v>1446902.62</v>
      </c>
      <c r="L29" s="32">
        <f t="shared" si="7"/>
        <v>1460176.96</v>
      </c>
      <c r="M29" s="29">
        <f t="shared" si="8"/>
        <v>1473451.3</v>
      </c>
      <c r="N29" s="29">
        <f t="shared" si="9"/>
        <v>1486725.64</v>
      </c>
      <c r="O29" s="32">
        <f t="shared" si="10"/>
        <v>1499999.98</v>
      </c>
      <c r="P29" s="29">
        <f t="shared" si="11"/>
        <v>1513274.32</v>
      </c>
      <c r="Q29" s="29">
        <f t="shared" si="12"/>
        <v>1526548.66</v>
      </c>
      <c r="R29" s="29">
        <f t="shared" si="13"/>
        <v>1539823</v>
      </c>
      <c r="S29" s="29">
        <f t="shared" si="14"/>
        <v>1553097.34</v>
      </c>
      <c r="T29" s="29">
        <f t="shared" si="15"/>
        <v>1566371.68</v>
      </c>
      <c r="U29" s="33">
        <f t="shared" si="21"/>
        <v>1579646.02</v>
      </c>
      <c r="V29" s="29"/>
      <c r="W29" s="29"/>
      <c r="X29" s="33"/>
      <c r="Y29" s="29"/>
    </row>
    <row r="30" ht="20" customHeight="1" spans="1:25">
      <c r="A30" s="5">
        <v>27</v>
      </c>
      <c r="B30" s="33" t="s">
        <v>45</v>
      </c>
      <c r="C30" s="33">
        <v>1</v>
      </c>
      <c r="D30" s="29">
        <f t="shared" si="1"/>
        <v>1592920.36</v>
      </c>
      <c r="E30" s="33">
        <v>1592920.36</v>
      </c>
      <c r="F30" s="33">
        <v>13274.34</v>
      </c>
      <c r="G30" s="29">
        <f t="shared" si="2"/>
        <v>1433628.28</v>
      </c>
      <c r="H30" s="32">
        <f t="shared" si="3"/>
        <v>1433628.28</v>
      </c>
      <c r="I30" s="29">
        <f t="shared" si="4"/>
        <v>1446902.62</v>
      </c>
      <c r="J30" s="29">
        <f t="shared" si="5"/>
        <v>1460176.96</v>
      </c>
      <c r="K30" s="29">
        <f t="shared" si="6"/>
        <v>1473451.3</v>
      </c>
      <c r="L30" s="32">
        <f t="shared" si="7"/>
        <v>1486725.64</v>
      </c>
      <c r="M30" s="29">
        <f t="shared" si="8"/>
        <v>1499999.98</v>
      </c>
      <c r="N30" s="29">
        <f t="shared" si="9"/>
        <v>1513274.32</v>
      </c>
      <c r="O30" s="32">
        <f t="shared" si="10"/>
        <v>1526548.66</v>
      </c>
      <c r="P30" s="29">
        <f t="shared" si="11"/>
        <v>1539823</v>
      </c>
      <c r="Q30" s="29">
        <f t="shared" si="12"/>
        <v>1553097.34</v>
      </c>
      <c r="R30" s="29">
        <f t="shared" si="13"/>
        <v>1566371.68</v>
      </c>
      <c r="S30" s="29">
        <f>E30-F30</f>
        <v>1579646.02</v>
      </c>
      <c r="T30" s="29"/>
      <c r="U30" s="33"/>
      <c r="V30" s="29"/>
      <c r="W30" s="29"/>
      <c r="X30" s="33"/>
      <c r="Y30" s="29"/>
    </row>
    <row r="31" ht="20" customHeight="1" spans="1:25">
      <c r="A31" s="5">
        <v>28</v>
      </c>
      <c r="B31" s="33" t="s">
        <v>46</v>
      </c>
      <c r="C31" s="33">
        <v>1</v>
      </c>
      <c r="D31" s="29">
        <f t="shared" si="1"/>
        <v>85663.72</v>
      </c>
      <c r="E31" s="33">
        <v>85663.72</v>
      </c>
      <c r="F31" s="34">
        <f t="shared" ref="F31:F38" si="22">E31/12/10</f>
        <v>713.864333333333</v>
      </c>
      <c r="G31" s="29">
        <f t="shared" si="2"/>
        <v>79238.9410000001</v>
      </c>
      <c r="H31" s="32">
        <f t="shared" si="3"/>
        <v>79238.9410000001</v>
      </c>
      <c r="I31" s="29">
        <f t="shared" si="4"/>
        <v>79952.8053333334</v>
      </c>
      <c r="J31" s="29">
        <f t="shared" si="5"/>
        <v>80666.6696666667</v>
      </c>
      <c r="K31" s="32">
        <f t="shared" si="6"/>
        <v>81380.534</v>
      </c>
      <c r="L31" s="32">
        <f t="shared" si="7"/>
        <v>82094.3983333333</v>
      </c>
      <c r="M31" s="29">
        <f t="shared" si="8"/>
        <v>82808.2626666667</v>
      </c>
      <c r="N31" s="32">
        <f t="shared" si="9"/>
        <v>83522.127</v>
      </c>
      <c r="O31" s="32">
        <f t="shared" si="10"/>
        <v>84235.9913333333</v>
      </c>
      <c r="P31" s="32">
        <f t="shared" si="11"/>
        <v>84949.8556666667</v>
      </c>
      <c r="Q31" s="33">
        <f>E31</f>
        <v>85663.72</v>
      </c>
      <c r="R31" s="33"/>
      <c r="S31" s="33"/>
      <c r="T31" s="33"/>
      <c r="U31" s="33"/>
      <c r="V31" s="29"/>
      <c r="W31" s="29"/>
      <c r="X31" s="33"/>
      <c r="Y31" s="29"/>
    </row>
    <row r="32" ht="20" customHeight="1" spans="1:25">
      <c r="A32" s="5">
        <v>29</v>
      </c>
      <c r="B32" s="33" t="s">
        <v>47</v>
      </c>
      <c r="C32" s="33">
        <v>1</v>
      </c>
      <c r="D32" s="29">
        <f t="shared" si="1"/>
        <v>11787.61</v>
      </c>
      <c r="E32" s="33">
        <v>11787.61</v>
      </c>
      <c r="F32" s="34">
        <f t="shared" si="22"/>
        <v>98.2300833333333</v>
      </c>
      <c r="G32" s="29">
        <f t="shared" si="2"/>
        <v>10903.53925</v>
      </c>
      <c r="H32" s="32">
        <f t="shared" si="3"/>
        <v>10903.53925</v>
      </c>
      <c r="I32" s="29">
        <f t="shared" si="4"/>
        <v>11001.7693333333</v>
      </c>
      <c r="J32" s="29">
        <f t="shared" si="5"/>
        <v>11099.9994166667</v>
      </c>
      <c r="K32" s="32">
        <f t="shared" si="6"/>
        <v>11198.2295</v>
      </c>
      <c r="L32" s="32">
        <f t="shared" si="7"/>
        <v>11296.4595833333</v>
      </c>
      <c r="M32" s="29">
        <f t="shared" si="8"/>
        <v>11394.6896666667</v>
      </c>
      <c r="N32" s="32">
        <f t="shared" si="9"/>
        <v>11492.91975</v>
      </c>
      <c r="O32" s="32">
        <f t="shared" si="10"/>
        <v>11591.1498333333</v>
      </c>
      <c r="P32" s="32">
        <f t="shared" si="11"/>
        <v>11689.3799166667</v>
      </c>
      <c r="Q32" s="33">
        <f>E32</f>
        <v>11787.61</v>
      </c>
      <c r="R32" s="33"/>
      <c r="S32" s="33"/>
      <c r="T32" s="33"/>
      <c r="U32" s="33"/>
      <c r="V32" s="29"/>
      <c r="W32" s="29"/>
      <c r="X32" s="33"/>
      <c r="Y32" s="29"/>
    </row>
    <row r="33" ht="20" customHeight="1" spans="1:25">
      <c r="A33" s="5">
        <v>30</v>
      </c>
      <c r="B33" s="33" t="s">
        <v>48</v>
      </c>
      <c r="C33" s="33">
        <v>1</v>
      </c>
      <c r="D33" s="29">
        <f t="shared" si="1"/>
        <v>15716.81</v>
      </c>
      <c r="E33" s="33">
        <v>15716.81</v>
      </c>
      <c r="F33" s="34">
        <f t="shared" si="22"/>
        <v>130.973416666667</v>
      </c>
      <c r="G33" s="29">
        <f t="shared" si="2"/>
        <v>14538.04925</v>
      </c>
      <c r="H33" s="32">
        <f t="shared" si="3"/>
        <v>14538.04925</v>
      </c>
      <c r="I33" s="29">
        <f t="shared" si="4"/>
        <v>14669.0226666667</v>
      </c>
      <c r="J33" s="29">
        <f t="shared" si="5"/>
        <v>14799.9960833333</v>
      </c>
      <c r="K33" s="32">
        <f t="shared" si="6"/>
        <v>14930.9695</v>
      </c>
      <c r="L33" s="32">
        <f t="shared" si="7"/>
        <v>15061.9429166667</v>
      </c>
      <c r="M33" s="29">
        <f t="shared" si="8"/>
        <v>15192.9163333333</v>
      </c>
      <c r="N33" s="32">
        <f t="shared" si="9"/>
        <v>15323.88975</v>
      </c>
      <c r="O33" s="32">
        <f t="shared" si="10"/>
        <v>15454.8631666667</v>
      </c>
      <c r="P33" s="32">
        <f t="shared" si="11"/>
        <v>15585.8365833333</v>
      </c>
      <c r="Q33" s="33">
        <f>E33</f>
        <v>15716.81</v>
      </c>
      <c r="R33" s="33"/>
      <c r="S33" s="33"/>
      <c r="T33" s="33"/>
      <c r="U33" s="33"/>
      <c r="V33" s="29"/>
      <c r="W33" s="29"/>
      <c r="X33" s="33"/>
      <c r="Y33" s="29"/>
    </row>
    <row r="34" ht="20" customHeight="1" spans="1:25">
      <c r="A34" s="5">
        <v>31</v>
      </c>
      <c r="B34" s="33" t="s">
        <v>49</v>
      </c>
      <c r="C34" s="33">
        <v>1</v>
      </c>
      <c r="D34" s="29">
        <f t="shared" si="1"/>
        <v>265486.73</v>
      </c>
      <c r="E34" s="33">
        <v>265486.73</v>
      </c>
      <c r="F34" s="34">
        <f t="shared" si="22"/>
        <v>2212.38941666667</v>
      </c>
      <c r="G34" s="29">
        <f t="shared" si="2"/>
        <v>247787.614666666</v>
      </c>
      <c r="H34" s="32">
        <f t="shared" si="3"/>
        <v>247787.614666666</v>
      </c>
      <c r="I34" s="29">
        <f t="shared" si="4"/>
        <v>250000.004083333</v>
      </c>
      <c r="J34" s="29">
        <f t="shared" si="5"/>
        <v>252212.3935</v>
      </c>
      <c r="K34" s="32">
        <f t="shared" si="6"/>
        <v>254424.782916667</v>
      </c>
      <c r="L34" s="32">
        <f t="shared" si="7"/>
        <v>256637.172333333</v>
      </c>
      <c r="M34" s="29">
        <f t="shared" si="8"/>
        <v>258849.56175</v>
      </c>
      <c r="N34" s="32">
        <f t="shared" si="9"/>
        <v>261061.951166667</v>
      </c>
      <c r="O34" s="32">
        <f t="shared" si="10"/>
        <v>263274.340583333</v>
      </c>
      <c r="P34" s="34">
        <f>E34</f>
        <v>265486.73</v>
      </c>
      <c r="Q34" s="33"/>
      <c r="R34" s="33"/>
      <c r="S34" s="33"/>
      <c r="T34" s="33"/>
      <c r="U34" s="33"/>
      <c r="V34" s="29"/>
      <c r="W34" s="29"/>
      <c r="X34" s="33"/>
      <c r="Y34" s="29"/>
    </row>
    <row r="35" ht="20" customHeight="1" spans="1:25">
      <c r="A35" s="5">
        <v>32</v>
      </c>
      <c r="B35" s="33" t="s">
        <v>50</v>
      </c>
      <c r="C35" s="33">
        <v>1</v>
      </c>
      <c r="D35" s="29">
        <f t="shared" si="1"/>
        <v>84955.75</v>
      </c>
      <c r="E35" s="33">
        <v>84955.75</v>
      </c>
      <c r="F35" s="34">
        <f t="shared" si="22"/>
        <v>707.964583333333</v>
      </c>
      <c r="G35" s="29">
        <f t="shared" si="2"/>
        <v>79292.0333333334</v>
      </c>
      <c r="H35" s="32">
        <f t="shared" si="3"/>
        <v>79292.0333333334</v>
      </c>
      <c r="I35" s="29">
        <f t="shared" si="4"/>
        <v>79999.9979166667</v>
      </c>
      <c r="J35" s="29">
        <f t="shared" si="5"/>
        <v>80707.9625</v>
      </c>
      <c r="K35" s="32">
        <f t="shared" si="6"/>
        <v>81415.9270833333</v>
      </c>
      <c r="L35" s="32">
        <f t="shared" si="7"/>
        <v>82123.8916666667</v>
      </c>
      <c r="M35" s="29">
        <f t="shared" si="8"/>
        <v>82831.85625</v>
      </c>
      <c r="N35" s="32">
        <f t="shared" si="9"/>
        <v>83539.8208333333</v>
      </c>
      <c r="O35" s="32">
        <f t="shared" si="10"/>
        <v>84247.7854166667</v>
      </c>
      <c r="P35" s="34">
        <f>E35</f>
        <v>84955.75</v>
      </c>
      <c r="Q35" s="33"/>
      <c r="R35" s="33"/>
      <c r="S35" s="33"/>
      <c r="T35" s="33"/>
      <c r="U35" s="33"/>
      <c r="V35" s="29"/>
      <c r="W35" s="29"/>
      <c r="X35" s="33"/>
      <c r="Y35" s="29"/>
    </row>
    <row r="36" ht="20" customHeight="1" spans="1:25">
      <c r="A36" s="5">
        <v>33</v>
      </c>
      <c r="B36" s="33" t="s">
        <v>51</v>
      </c>
      <c r="C36" s="33">
        <v>1</v>
      </c>
      <c r="D36" s="29">
        <f t="shared" si="1"/>
        <v>74336.28</v>
      </c>
      <c r="E36" s="33">
        <v>74336.28</v>
      </c>
      <c r="F36" s="34">
        <f t="shared" si="22"/>
        <v>619.469</v>
      </c>
      <c r="G36" s="29">
        <f t="shared" si="2"/>
        <v>69380.528</v>
      </c>
      <c r="H36" s="32">
        <f t="shared" si="3"/>
        <v>69380.528</v>
      </c>
      <c r="I36" s="29">
        <f t="shared" si="4"/>
        <v>69999.997</v>
      </c>
      <c r="J36" s="29">
        <f t="shared" si="5"/>
        <v>70619.466</v>
      </c>
      <c r="K36" s="32">
        <f t="shared" si="6"/>
        <v>71238.935</v>
      </c>
      <c r="L36" s="32">
        <f t="shared" si="7"/>
        <v>71858.404</v>
      </c>
      <c r="M36" s="29">
        <f t="shared" si="8"/>
        <v>72477.873</v>
      </c>
      <c r="N36" s="32">
        <f t="shared" si="9"/>
        <v>73097.342</v>
      </c>
      <c r="O36" s="32">
        <f t="shared" si="10"/>
        <v>73716.811</v>
      </c>
      <c r="P36" s="34">
        <f>E36</f>
        <v>74336.28</v>
      </c>
      <c r="Q36" s="33"/>
      <c r="R36" s="33"/>
      <c r="S36" s="33"/>
      <c r="T36" s="33"/>
      <c r="U36" s="33"/>
      <c r="V36" s="29"/>
      <c r="W36" s="29"/>
      <c r="X36" s="33"/>
      <c r="Y36" s="29"/>
    </row>
    <row r="37" ht="20" customHeight="1" spans="1:25">
      <c r="A37" s="5">
        <v>34</v>
      </c>
      <c r="B37" s="33" t="s">
        <v>52</v>
      </c>
      <c r="C37" s="33">
        <v>1</v>
      </c>
      <c r="D37" s="29">
        <f t="shared" si="1"/>
        <v>176991.16</v>
      </c>
      <c r="E37" s="33">
        <v>176991.16</v>
      </c>
      <c r="F37" s="34">
        <f t="shared" si="22"/>
        <v>1474.92633333333</v>
      </c>
      <c r="G37" s="29">
        <f t="shared" si="2"/>
        <v>165191.749333334</v>
      </c>
      <c r="H37" s="32">
        <f t="shared" si="3"/>
        <v>165191.749333334</v>
      </c>
      <c r="I37" s="29">
        <f t="shared" si="4"/>
        <v>166666.675666667</v>
      </c>
      <c r="J37" s="29">
        <f t="shared" si="5"/>
        <v>168141.602</v>
      </c>
      <c r="K37" s="32">
        <f t="shared" si="6"/>
        <v>169616.528333333</v>
      </c>
      <c r="L37" s="32">
        <f t="shared" si="7"/>
        <v>171091.454666667</v>
      </c>
      <c r="M37" s="29">
        <f t="shared" si="8"/>
        <v>172566.381</v>
      </c>
      <c r="N37" s="32">
        <f t="shared" si="9"/>
        <v>174041.307333333</v>
      </c>
      <c r="O37" s="32">
        <f t="shared" si="10"/>
        <v>175516.233666667</v>
      </c>
      <c r="P37" s="34">
        <f>E37</f>
        <v>176991.16</v>
      </c>
      <c r="Q37" s="33"/>
      <c r="R37" s="33"/>
      <c r="S37" s="33"/>
      <c r="T37" s="33"/>
      <c r="U37" s="33"/>
      <c r="V37" s="29"/>
      <c r="W37" s="29"/>
      <c r="X37" s="33"/>
      <c r="Y37" s="29"/>
    </row>
    <row r="38" ht="20" customHeight="1" spans="1:25">
      <c r="A38" s="5">
        <v>35</v>
      </c>
      <c r="B38" s="33" t="s">
        <v>53</v>
      </c>
      <c r="C38" s="33">
        <v>1</v>
      </c>
      <c r="D38" s="29">
        <f t="shared" si="1"/>
        <v>123893.8</v>
      </c>
      <c r="E38" s="33">
        <f>61946.9*2</f>
        <v>123893.8</v>
      </c>
      <c r="F38" s="34">
        <f t="shared" si="22"/>
        <v>1032.44833333333</v>
      </c>
      <c r="G38" s="29">
        <f t="shared" si="2"/>
        <v>119764.006666667</v>
      </c>
      <c r="H38" s="32">
        <f t="shared" si="3"/>
        <v>119764.006666667</v>
      </c>
      <c r="I38" s="29">
        <f t="shared" si="4"/>
        <v>120796.455</v>
      </c>
      <c r="J38" s="29">
        <f t="shared" si="5"/>
        <v>121828.903333333</v>
      </c>
      <c r="K38" s="32">
        <f t="shared" si="6"/>
        <v>122861.351666667</v>
      </c>
      <c r="L38" s="32">
        <v>123893.8</v>
      </c>
      <c r="M38" s="29"/>
      <c r="N38" s="32"/>
      <c r="O38" s="33"/>
      <c r="P38" s="33"/>
      <c r="Q38" s="33"/>
      <c r="R38" s="33"/>
      <c r="S38" s="33"/>
      <c r="T38" s="33"/>
      <c r="U38" s="33"/>
      <c r="V38" s="29"/>
      <c r="W38" s="29"/>
      <c r="X38" s="33"/>
      <c r="Y38" s="29"/>
    </row>
    <row r="39" ht="20" customHeight="1" spans="1:25">
      <c r="A39" s="5"/>
      <c r="B39" s="5" t="s">
        <v>54</v>
      </c>
      <c r="C39" s="5"/>
      <c r="D39" s="5"/>
      <c r="E39" s="29">
        <f>SUM(E4:E38)</f>
        <v>15860821.41</v>
      </c>
      <c r="F39" s="32">
        <f>SUM(F4:F38)</f>
        <v>206936.2255</v>
      </c>
      <c r="G39" s="29">
        <f>SUM(G4:G38)</f>
        <v>10133934.4215</v>
      </c>
      <c r="H39" s="29">
        <f>SUM(H4:H38)</f>
        <v>10133934.4215</v>
      </c>
      <c r="I39" s="29">
        <f>SUM(I4:I38)</f>
        <v>10340870.647</v>
      </c>
      <c r="J39" s="29">
        <f t="shared" ref="J39:O39" si="23">SUM(J4:J38)</f>
        <v>10547806.8725</v>
      </c>
      <c r="K39" s="29">
        <f t="shared" si="23"/>
        <v>10764802.108</v>
      </c>
      <c r="L39" s="29">
        <f t="shared" si="23"/>
        <v>10971738.3335</v>
      </c>
      <c r="M39" s="29">
        <f t="shared" si="23"/>
        <v>11053748.3106667</v>
      </c>
      <c r="N39" s="29">
        <f t="shared" si="23"/>
        <v>11259652.0878333</v>
      </c>
      <c r="O39" s="29">
        <f t="shared" si="23"/>
        <v>11465555.865</v>
      </c>
      <c r="P39" s="29"/>
      <c r="Q39" s="29"/>
      <c r="R39" s="29"/>
      <c r="S39" s="29">
        <f>SUM(S4:S38)</f>
        <v>11557302.53</v>
      </c>
      <c r="T39" s="29">
        <f>SUM(T4:T38)</f>
        <v>10172962.91</v>
      </c>
      <c r="U39" s="29">
        <f>SUM(U4:U38)</f>
        <v>10359634.53</v>
      </c>
      <c r="V39" s="29">
        <f>W39-F39</f>
        <v>8662266.639</v>
      </c>
      <c r="W39" s="29">
        <f>X39-F39</f>
        <v>8869202.8645</v>
      </c>
      <c r="X39" s="29">
        <f>SUM(X4:X38)</f>
        <v>9076139.09</v>
      </c>
      <c r="Y39" s="29">
        <f>SUM(Y4:Y38)</f>
        <v>8183975.9</v>
      </c>
    </row>
    <row r="40" ht="20" customHeight="1" spans="1:28">
      <c r="A40" s="35" t="s">
        <v>55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12"/>
    </row>
    <row r="41" ht="22" customHeight="1" spans="1:27">
      <c r="A41" s="35" t="s">
        <v>56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ht="22" customHeight="1" spans="1:27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22" customHeight="1"/>
  </sheetData>
  <mergeCells count="3">
    <mergeCell ref="A1:W1"/>
    <mergeCell ref="F2:Y2"/>
    <mergeCell ref="A42:AA42"/>
  </mergeCells>
  <pageMargins left="0.699305555555556" right="0.699305555555556" top="0.75" bottom="0.75" header="0.3" footer="0.3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I3" sqref="I3"/>
    </sheetView>
  </sheetViews>
  <sheetFormatPr defaultColWidth="9" defaultRowHeight="13.5"/>
  <cols>
    <col min="1" max="1" width="6.625" style="14" customWidth="1"/>
    <col min="2" max="2" width="19.875" customWidth="1"/>
    <col min="3" max="3" width="14.125" customWidth="1"/>
    <col min="4" max="4" width="15.375" customWidth="1"/>
    <col min="5" max="5" width="12.125" hidden="1" customWidth="1"/>
    <col min="6" max="6" width="20.875" customWidth="1"/>
    <col min="7" max="7" width="19.25" customWidth="1"/>
    <col min="8" max="8" width="10.625" customWidth="1"/>
    <col min="9" max="9" width="14.75" customWidth="1"/>
  </cols>
  <sheetData>
    <row r="1" ht="30" customHeight="1" spans="1:7">
      <c r="A1" s="26" t="s">
        <v>0</v>
      </c>
      <c r="B1" s="26"/>
      <c r="C1" s="26"/>
      <c r="D1" s="26"/>
      <c r="E1" s="26"/>
      <c r="F1">
        <v>3</v>
      </c>
      <c r="G1">
        <v>5</v>
      </c>
    </row>
    <row r="2" spans="4:5">
      <c r="D2" s="27">
        <v>44348</v>
      </c>
      <c r="E2" s="28"/>
    </row>
    <row r="3" ht="20" customHeight="1" spans="1:9">
      <c r="A3" s="20" t="s">
        <v>1</v>
      </c>
      <c r="B3" s="20" t="s">
        <v>2</v>
      </c>
      <c r="C3" s="20" t="s">
        <v>5</v>
      </c>
      <c r="D3" s="20" t="s">
        <v>6</v>
      </c>
      <c r="E3" s="20" t="s">
        <v>57</v>
      </c>
      <c r="F3" s="29" t="s">
        <v>58</v>
      </c>
      <c r="G3" s="29" t="s">
        <v>59</v>
      </c>
      <c r="H3" s="20" t="s">
        <v>60</v>
      </c>
      <c r="I3" s="20" t="s">
        <v>60</v>
      </c>
    </row>
    <row r="4" ht="20" customHeight="1" spans="1:9">
      <c r="A4" s="5">
        <v>1</v>
      </c>
      <c r="B4" s="29" t="s">
        <v>22</v>
      </c>
      <c r="C4" s="29">
        <v>189241.45</v>
      </c>
      <c r="D4" s="29">
        <v>3089.65</v>
      </c>
      <c r="E4" s="29">
        <f t="shared" ref="E4:E26" si="0">F4-D4</f>
        <v>145147.18</v>
      </c>
      <c r="F4" s="29">
        <v>148236.83</v>
      </c>
      <c r="G4" s="29">
        <f t="shared" ref="G4:G26" si="1">E4-D4</f>
        <v>142057.53</v>
      </c>
      <c r="H4" s="29">
        <f>G4-D4</f>
        <v>138967.88</v>
      </c>
      <c r="I4" s="29">
        <f>H4-D4</f>
        <v>135878.23</v>
      </c>
    </row>
    <row r="5" ht="20" customHeight="1" spans="1:9">
      <c r="A5" s="5">
        <v>2</v>
      </c>
      <c r="B5" s="29" t="s">
        <v>23</v>
      </c>
      <c r="C5" s="29">
        <v>107800</v>
      </c>
      <c r="D5" s="29">
        <v>1760</v>
      </c>
      <c r="E5" s="29">
        <f t="shared" si="0"/>
        <v>82681.97</v>
      </c>
      <c r="F5" s="29">
        <v>84441.97</v>
      </c>
      <c r="G5" s="29">
        <f t="shared" si="1"/>
        <v>80921.97</v>
      </c>
      <c r="H5" s="29">
        <f t="shared" ref="H5:H26" si="2">G5-D5</f>
        <v>79161.97</v>
      </c>
      <c r="I5" s="29">
        <f t="shared" ref="I5:I26" si="3">H5-D5</f>
        <v>77401.97</v>
      </c>
    </row>
    <row r="6" ht="20" customHeight="1" spans="1:9">
      <c r="A6" s="5">
        <v>3</v>
      </c>
      <c r="B6" s="29" t="s">
        <v>24</v>
      </c>
      <c r="C6" s="29">
        <v>353448.28</v>
      </c>
      <c r="D6" s="29">
        <v>5714.08</v>
      </c>
      <c r="E6" s="29">
        <f t="shared" si="0"/>
        <v>271601.39</v>
      </c>
      <c r="F6" s="29">
        <v>277315.47</v>
      </c>
      <c r="G6" s="29">
        <f t="shared" si="1"/>
        <v>265887.31</v>
      </c>
      <c r="H6" s="29">
        <f t="shared" si="2"/>
        <v>260173.23</v>
      </c>
      <c r="I6" s="29">
        <f t="shared" si="3"/>
        <v>254459.15</v>
      </c>
    </row>
    <row r="7" ht="20" customHeight="1" spans="1:9">
      <c r="A7" s="5">
        <v>4</v>
      </c>
      <c r="B7" s="29" t="s">
        <v>25</v>
      </c>
      <c r="C7" s="29">
        <v>112700</v>
      </c>
      <c r="D7" s="29">
        <v>1840</v>
      </c>
      <c r="E7" s="29">
        <f t="shared" si="0"/>
        <v>86440.3</v>
      </c>
      <c r="F7" s="29">
        <v>88280.3</v>
      </c>
      <c r="G7" s="29">
        <f t="shared" si="1"/>
        <v>84600.3</v>
      </c>
      <c r="H7" s="29">
        <f t="shared" si="2"/>
        <v>82760.3</v>
      </c>
      <c r="I7" s="29">
        <f t="shared" si="3"/>
        <v>80920.3</v>
      </c>
    </row>
    <row r="8" ht="20" customHeight="1" spans="1:9">
      <c r="A8" s="5"/>
      <c r="B8" s="29" t="s">
        <v>26</v>
      </c>
      <c r="C8" s="29">
        <v>119469.02</v>
      </c>
      <c r="D8" s="29">
        <v>3125.65</v>
      </c>
      <c r="E8" s="29">
        <f t="shared" si="0"/>
        <v>110038.06</v>
      </c>
      <c r="F8" s="29">
        <v>113163.71</v>
      </c>
      <c r="G8" s="29">
        <f t="shared" si="1"/>
        <v>106912.41</v>
      </c>
      <c r="H8" s="29">
        <f t="shared" si="2"/>
        <v>103786.76</v>
      </c>
      <c r="I8" s="29">
        <f t="shared" si="3"/>
        <v>100661.11</v>
      </c>
    </row>
    <row r="9" ht="20" customHeight="1" spans="1:9">
      <c r="A9" s="5">
        <v>5</v>
      </c>
      <c r="B9" s="29" t="s">
        <v>27</v>
      </c>
      <c r="C9" s="29">
        <v>1221238.92</v>
      </c>
      <c r="D9" s="29">
        <v>15265.49</v>
      </c>
      <c r="E9" s="29">
        <f t="shared" si="0"/>
        <v>983829.94</v>
      </c>
      <c r="F9" s="29">
        <v>999095.43</v>
      </c>
      <c r="G9" s="29">
        <f t="shared" si="1"/>
        <v>968564.45</v>
      </c>
      <c r="H9" s="29">
        <f t="shared" si="2"/>
        <v>953298.96</v>
      </c>
      <c r="I9" s="29">
        <f t="shared" si="3"/>
        <v>938033.47</v>
      </c>
    </row>
    <row r="10" ht="20" customHeight="1" spans="1:9">
      <c r="A10" s="5">
        <v>6</v>
      </c>
      <c r="B10" s="29" t="s">
        <v>28</v>
      </c>
      <c r="C10" s="29">
        <v>1880530.97</v>
      </c>
      <c r="D10" s="29">
        <v>29775.07</v>
      </c>
      <c r="E10" s="29">
        <f t="shared" si="0"/>
        <v>1791205.75</v>
      </c>
      <c r="F10" s="29">
        <v>1820980.82</v>
      </c>
      <c r="G10" s="29">
        <f t="shared" si="1"/>
        <v>1761430.68</v>
      </c>
      <c r="H10" s="29">
        <f t="shared" si="2"/>
        <v>1731655.61</v>
      </c>
      <c r="I10" s="29">
        <f t="shared" si="3"/>
        <v>1701880.54</v>
      </c>
    </row>
    <row r="11" ht="20" customHeight="1" spans="1:9">
      <c r="A11" s="5">
        <v>7</v>
      </c>
      <c r="B11" s="29" t="s">
        <v>29</v>
      </c>
      <c r="C11" s="29">
        <v>1442477.88</v>
      </c>
      <c r="D11" s="29">
        <v>21587.02</v>
      </c>
      <c r="E11" s="29">
        <f t="shared" si="0"/>
        <v>1124045.29</v>
      </c>
      <c r="F11" s="29">
        <v>1145632.31</v>
      </c>
      <c r="G11" s="29">
        <f t="shared" si="1"/>
        <v>1102458.27</v>
      </c>
      <c r="H11" s="29">
        <f t="shared" si="2"/>
        <v>1080871.25</v>
      </c>
      <c r="I11" s="29">
        <f t="shared" si="3"/>
        <v>1059284.23</v>
      </c>
    </row>
    <row r="12" ht="20" customHeight="1" spans="1:9">
      <c r="A12" s="5">
        <v>8</v>
      </c>
      <c r="B12" s="29" t="s">
        <v>30</v>
      </c>
      <c r="C12" s="29">
        <v>601769.91</v>
      </c>
      <c r="D12" s="29">
        <v>7522.12</v>
      </c>
      <c r="E12" s="29">
        <f t="shared" si="0"/>
        <v>484785.78</v>
      </c>
      <c r="F12" s="29">
        <v>492307.9</v>
      </c>
      <c r="G12" s="29">
        <f t="shared" si="1"/>
        <v>477263.66</v>
      </c>
      <c r="H12" s="29">
        <f t="shared" si="2"/>
        <v>469741.54</v>
      </c>
      <c r="I12" s="29">
        <f t="shared" si="3"/>
        <v>462219.42</v>
      </c>
    </row>
    <row r="13" ht="20" customHeight="1" spans="1:9">
      <c r="A13" s="5">
        <v>9</v>
      </c>
      <c r="B13" s="29" t="s">
        <v>31</v>
      </c>
      <c r="C13" s="29">
        <v>283185.84</v>
      </c>
      <c r="D13" s="29">
        <v>7472.96</v>
      </c>
      <c r="E13" s="29">
        <f t="shared" si="0"/>
        <v>260766.96</v>
      </c>
      <c r="F13" s="29">
        <v>268239.92</v>
      </c>
      <c r="G13" s="29">
        <f t="shared" si="1"/>
        <v>253294</v>
      </c>
      <c r="H13" s="29">
        <f t="shared" si="2"/>
        <v>245821.04</v>
      </c>
      <c r="I13" s="29">
        <f t="shared" si="3"/>
        <v>238348.08</v>
      </c>
    </row>
    <row r="14" ht="20" customHeight="1" spans="1:9">
      <c r="A14" s="5">
        <v>10</v>
      </c>
      <c r="B14" s="29" t="s">
        <v>32</v>
      </c>
      <c r="C14" s="29">
        <v>44200</v>
      </c>
      <c r="D14" s="29">
        <v>910</v>
      </c>
      <c r="E14" s="29">
        <f t="shared" si="0"/>
        <v>32205.82</v>
      </c>
      <c r="F14" s="29">
        <v>33115.82</v>
      </c>
      <c r="G14" s="29">
        <f t="shared" si="1"/>
        <v>31295.82</v>
      </c>
      <c r="H14" s="29">
        <f t="shared" si="2"/>
        <v>30385.82</v>
      </c>
      <c r="I14" s="29">
        <f t="shared" si="3"/>
        <v>29475.82</v>
      </c>
    </row>
    <row r="15" ht="20" customHeight="1" spans="1:9">
      <c r="A15" s="5">
        <v>11</v>
      </c>
      <c r="B15" s="29" t="s">
        <v>33</v>
      </c>
      <c r="C15" s="29">
        <v>766748.21</v>
      </c>
      <c r="D15" s="29">
        <v>9584.35</v>
      </c>
      <c r="E15" s="29">
        <f t="shared" si="0"/>
        <v>617692.28</v>
      </c>
      <c r="F15" s="29">
        <v>627276.63</v>
      </c>
      <c r="G15" s="29">
        <f t="shared" si="1"/>
        <v>608107.93</v>
      </c>
      <c r="H15" s="29">
        <f t="shared" si="2"/>
        <v>598523.58</v>
      </c>
      <c r="I15" s="29">
        <f t="shared" si="3"/>
        <v>588939.23</v>
      </c>
    </row>
    <row r="16" ht="20" customHeight="1" spans="1:9">
      <c r="A16" s="5">
        <v>12</v>
      </c>
      <c r="B16" s="29" t="s">
        <v>34</v>
      </c>
      <c r="C16" s="29">
        <v>62560</v>
      </c>
      <c r="D16" s="29">
        <v>782</v>
      </c>
      <c r="E16" s="29">
        <f t="shared" si="0"/>
        <v>50398</v>
      </c>
      <c r="F16" s="29">
        <v>51180</v>
      </c>
      <c r="G16" s="29">
        <f t="shared" si="1"/>
        <v>49616</v>
      </c>
      <c r="H16" s="29">
        <f t="shared" si="2"/>
        <v>48834</v>
      </c>
      <c r="I16" s="29">
        <f t="shared" si="3"/>
        <v>48052</v>
      </c>
    </row>
    <row r="17" ht="20" customHeight="1" spans="1:9">
      <c r="A17" s="5">
        <v>13</v>
      </c>
      <c r="B17" s="29" t="s">
        <v>37</v>
      </c>
      <c r="C17" s="29">
        <v>93100</v>
      </c>
      <c r="D17" s="29">
        <v>0</v>
      </c>
      <c r="E17" s="29">
        <f t="shared" si="0"/>
        <v>21227.23</v>
      </c>
      <c r="F17" s="29">
        <v>21227.23</v>
      </c>
      <c r="G17" s="29">
        <f t="shared" si="1"/>
        <v>21227.23</v>
      </c>
      <c r="H17" s="29">
        <v>0</v>
      </c>
      <c r="I17" s="29">
        <v>0</v>
      </c>
    </row>
    <row r="18" ht="20" customHeight="1" spans="1:9">
      <c r="A18" s="5">
        <v>14</v>
      </c>
      <c r="B18" s="29" t="s">
        <v>31</v>
      </c>
      <c r="C18" s="29">
        <v>805459.55</v>
      </c>
      <c r="D18" s="29">
        <v>10068.24</v>
      </c>
      <c r="E18" s="29">
        <f t="shared" si="0"/>
        <v>652234.22</v>
      </c>
      <c r="F18" s="29">
        <v>662302.46</v>
      </c>
      <c r="G18" s="29">
        <f t="shared" si="1"/>
        <v>642165.98</v>
      </c>
      <c r="H18" s="29">
        <f t="shared" si="2"/>
        <v>632097.74</v>
      </c>
      <c r="I18" s="29">
        <f t="shared" si="3"/>
        <v>622029.5</v>
      </c>
    </row>
    <row r="19" ht="20" customHeight="1" spans="1:9">
      <c r="A19" s="5">
        <v>15</v>
      </c>
      <c r="B19" s="29" t="s">
        <v>35</v>
      </c>
      <c r="C19" s="29">
        <v>495575.22</v>
      </c>
      <c r="D19" s="29">
        <v>8011.79</v>
      </c>
      <c r="E19" s="29">
        <f t="shared" si="0"/>
        <v>380816.52</v>
      </c>
      <c r="F19" s="29">
        <v>388828.31</v>
      </c>
      <c r="G19" s="29">
        <f t="shared" si="1"/>
        <v>372804.73</v>
      </c>
      <c r="H19" s="29">
        <f t="shared" si="2"/>
        <v>364792.94</v>
      </c>
      <c r="I19" s="29">
        <f t="shared" si="3"/>
        <v>356781.15</v>
      </c>
    </row>
    <row r="20" ht="20" customHeight="1" spans="1:9">
      <c r="A20" s="5">
        <v>16</v>
      </c>
      <c r="B20" s="29" t="s">
        <v>36</v>
      </c>
      <c r="C20" s="29">
        <v>27433.63</v>
      </c>
      <c r="D20" s="29">
        <v>723.94</v>
      </c>
      <c r="E20" s="29">
        <f t="shared" si="0"/>
        <v>12230.83</v>
      </c>
      <c r="F20" s="29">
        <v>12954.77</v>
      </c>
      <c r="G20" s="29">
        <f t="shared" si="1"/>
        <v>11506.89</v>
      </c>
      <c r="H20" s="29">
        <f t="shared" si="2"/>
        <v>10782.95</v>
      </c>
      <c r="I20" s="29">
        <f t="shared" si="3"/>
        <v>10059.01</v>
      </c>
    </row>
    <row r="21" ht="20" customHeight="1" spans="1:9">
      <c r="A21" s="5">
        <v>17</v>
      </c>
      <c r="B21" s="29" t="s">
        <v>37</v>
      </c>
      <c r="C21" s="29">
        <v>123893.81</v>
      </c>
      <c r="D21" s="29">
        <v>3269.42</v>
      </c>
      <c r="E21" s="29">
        <f t="shared" si="0"/>
        <v>69948.38</v>
      </c>
      <c r="F21" s="29">
        <v>73217.8</v>
      </c>
      <c r="G21" s="29">
        <f t="shared" si="1"/>
        <v>66678.96</v>
      </c>
      <c r="H21" s="29">
        <f t="shared" si="2"/>
        <v>63409.54</v>
      </c>
      <c r="I21" s="29">
        <f t="shared" si="3"/>
        <v>60140.12</v>
      </c>
    </row>
    <row r="22" ht="20" customHeight="1" spans="1:9">
      <c r="A22" s="5">
        <v>18</v>
      </c>
      <c r="B22" s="29" t="s">
        <v>38</v>
      </c>
      <c r="C22" s="29">
        <v>159292.04</v>
      </c>
      <c r="D22" s="29">
        <v>4203.54</v>
      </c>
      <c r="E22" s="29">
        <f t="shared" si="0"/>
        <v>89933.63</v>
      </c>
      <c r="F22" s="29">
        <v>94137.17</v>
      </c>
      <c r="G22" s="29">
        <f t="shared" si="1"/>
        <v>85730.09</v>
      </c>
      <c r="H22" s="29">
        <f t="shared" si="2"/>
        <v>81526.55</v>
      </c>
      <c r="I22" s="29">
        <f t="shared" si="3"/>
        <v>77323.01</v>
      </c>
    </row>
    <row r="23" ht="20" customHeight="1" spans="1:9">
      <c r="A23" s="5">
        <v>19</v>
      </c>
      <c r="B23" s="29" t="s">
        <v>39</v>
      </c>
      <c r="C23" s="29">
        <v>168000</v>
      </c>
      <c r="D23" s="29">
        <v>1400</v>
      </c>
      <c r="E23" s="29">
        <f t="shared" si="0"/>
        <v>12834.78</v>
      </c>
      <c r="F23" s="29">
        <v>14234.78</v>
      </c>
      <c r="G23" s="29">
        <f t="shared" si="1"/>
        <v>11434.78</v>
      </c>
      <c r="H23" s="29">
        <f t="shared" si="2"/>
        <v>10034.78</v>
      </c>
      <c r="I23" s="29">
        <f t="shared" si="3"/>
        <v>8634.78</v>
      </c>
    </row>
    <row r="24" ht="20" customHeight="1" spans="1:9">
      <c r="A24" s="5">
        <v>20</v>
      </c>
      <c r="B24" s="29" t="s">
        <v>40</v>
      </c>
      <c r="C24" s="29">
        <v>196460.17</v>
      </c>
      <c r="D24" s="29">
        <v>1637.17</v>
      </c>
      <c r="E24" s="29">
        <f t="shared" si="0"/>
        <v>164816.97</v>
      </c>
      <c r="F24" s="29">
        <v>166454.14</v>
      </c>
      <c r="G24" s="29">
        <f t="shared" si="1"/>
        <v>163179.8</v>
      </c>
      <c r="H24" s="29">
        <f t="shared" si="2"/>
        <v>161542.63</v>
      </c>
      <c r="I24" s="29">
        <f t="shared" si="3"/>
        <v>159905.46</v>
      </c>
    </row>
    <row r="25" ht="20" customHeight="1" spans="1:9">
      <c r="A25" s="5">
        <v>21</v>
      </c>
      <c r="B25" s="29" t="s">
        <v>41</v>
      </c>
      <c r="C25" s="29">
        <v>92233.01</v>
      </c>
      <c r="D25" s="29">
        <v>768.61</v>
      </c>
      <c r="E25" s="29">
        <f t="shared" si="0"/>
        <v>77377.25</v>
      </c>
      <c r="F25" s="29">
        <v>78145.86</v>
      </c>
      <c r="G25" s="29">
        <f t="shared" si="1"/>
        <v>76608.64</v>
      </c>
      <c r="H25" s="29">
        <f t="shared" si="2"/>
        <v>75840.03</v>
      </c>
      <c r="I25" s="29">
        <f t="shared" si="3"/>
        <v>75071.42</v>
      </c>
    </row>
    <row r="26" ht="20" customHeight="1" spans="1:9">
      <c r="A26" s="5">
        <v>22</v>
      </c>
      <c r="B26" s="29" t="s">
        <v>42</v>
      </c>
      <c r="C26" s="29">
        <v>1303669.87</v>
      </c>
      <c r="D26" s="29">
        <v>5431.96</v>
      </c>
      <c r="E26" s="29">
        <f t="shared" si="0"/>
        <v>1256592.9</v>
      </c>
      <c r="F26" s="29">
        <v>1262024.86</v>
      </c>
      <c r="G26" s="29">
        <f t="shared" si="1"/>
        <v>1251160.94</v>
      </c>
      <c r="H26" s="29">
        <f t="shared" si="2"/>
        <v>1245728.98</v>
      </c>
      <c r="I26" s="29">
        <f t="shared" si="3"/>
        <v>1240297.02</v>
      </c>
    </row>
    <row r="27" ht="20" customHeight="1" spans="1:9">
      <c r="A27" s="5">
        <v>23</v>
      </c>
      <c r="B27" s="29"/>
      <c r="C27" s="29"/>
      <c r="D27" s="29"/>
      <c r="E27" s="29"/>
      <c r="F27" s="29"/>
      <c r="G27" s="29"/>
      <c r="H27" s="29"/>
      <c r="I27" s="29"/>
    </row>
    <row r="28" ht="20" customHeight="1" spans="1:9">
      <c r="A28" s="5">
        <v>24</v>
      </c>
      <c r="B28" s="29"/>
      <c r="C28" s="29"/>
      <c r="D28" s="29"/>
      <c r="E28" s="29"/>
      <c r="F28" s="29"/>
      <c r="G28" s="29"/>
      <c r="H28" s="29"/>
      <c r="I28" s="29"/>
    </row>
    <row r="29" ht="20" customHeight="1" spans="1:9">
      <c r="A29" s="5">
        <v>25</v>
      </c>
      <c r="B29" s="29"/>
      <c r="C29" s="29"/>
      <c r="D29" s="29"/>
      <c r="E29" s="29"/>
      <c r="F29" s="29"/>
      <c r="G29" s="29"/>
      <c r="H29" s="29"/>
      <c r="I29" s="29"/>
    </row>
    <row r="30" ht="20" customHeight="1" spans="1:9">
      <c r="A30" s="5">
        <v>26</v>
      </c>
      <c r="B30" s="29"/>
      <c r="C30" s="29">
        <f t="shared" ref="C30:I30" si="4">SUM(C4:C29)</f>
        <v>10650487.78</v>
      </c>
      <c r="D30" s="29">
        <f t="shared" si="4"/>
        <v>143943.06</v>
      </c>
      <c r="E30" s="29">
        <f t="shared" si="4"/>
        <v>8778851.43</v>
      </c>
      <c r="F30" s="29">
        <f t="shared" si="4"/>
        <v>8922794.49</v>
      </c>
      <c r="G30" s="29">
        <f t="shared" si="4"/>
        <v>8634908.37</v>
      </c>
      <c r="H30" s="29">
        <f t="shared" si="4"/>
        <v>8469738.08</v>
      </c>
      <c r="I30" s="29">
        <f t="shared" si="4"/>
        <v>8325795.02</v>
      </c>
    </row>
    <row r="31" ht="20" customHeight="1" spans="1:8">
      <c r="A31" s="30"/>
      <c r="B31" s="30"/>
      <c r="C31" s="30"/>
      <c r="D31" s="30"/>
      <c r="E31" s="30"/>
      <c r="F31" s="30"/>
      <c r="G31" s="30"/>
      <c r="H31" s="12"/>
    </row>
    <row r="32" ht="22" customHeight="1" spans="1:7">
      <c r="A32" s="30"/>
      <c r="B32" s="30"/>
      <c r="C32" s="30"/>
      <c r="D32" s="30"/>
      <c r="E32" s="30"/>
      <c r="F32" s="30"/>
      <c r="G32" s="30"/>
    </row>
    <row r="33" ht="22" customHeight="1" spans="1:7">
      <c r="A33" s="30"/>
      <c r="B33" s="30"/>
      <c r="C33" s="30"/>
      <c r="D33" s="30"/>
      <c r="E33" s="30"/>
      <c r="F33" s="30"/>
      <c r="G33" s="30"/>
    </row>
    <row r="34" ht="22" customHeight="1"/>
  </sheetData>
  <mergeCells count="5">
    <mergeCell ref="A1:E1"/>
    <mergeCell ref="D2:E2"/>
    <mergeCell ref="A31:G31"/>
    <mergeCell ref="A32:G32"/>
    <mergeCell ref="A33:G33"/>
  </mergeCells>
  <pageMargins left="1.18055555555556" right="0.700694444444445" top="0.751388888888889" bottom="0.751388888888889" header="0.297916666666667" footer="0.297916666666667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"/>
  <sheetViews>
    <sheetView topLeftCell="A7" workbookViewId="0">
      <selection activeCell="AI30" sqref="AI30"/>
    </sheetView>
  </sheetViews>
  <sheetFormatPr defaultColWidth="9" defaultRowHeight="13.5"/>
  <cols>
    <col min="1" max="1" width="4.375" customWidth="1"/>
    <col min="2" max="2" width="11.125" customWidth="1"/>
    <col min="3" max="3" width="11.25" customWidth="1"/>
    <col min="4" max="34" width="2.625" customWidth="1"/>
    <col min="35" max="35" width="6.125" customWidth="1"/>
    <col min="36" max="36" width="9.75" customWidth="1"/>
    <col min="37" max="37" width="14.3833333333333" customWidth="1"/>
  </cols>
  <sheetData>
    <row r="1" ht="30" customHeight="1" spans="1:37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customFormat="1" ht="15" customHeight="1" spans="1:37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="12" customFormat="1" ht="22" customHeight="1" spans="1:37">
      <c r="A3" s="4" t="s">
        <v>1</v>
      </c>
      <c r="B3" s="4" t="s">
        <v>62</v>
      </c>
      <c r="C3" s="4" t="s">
        <v>63</v>
      </c>
      <c r="D3" s="15">
        <v>1</v>
      </c>
      <c r="E3" s="15">
        <v>2</v>
      </c>
      <c r="F3" s="15">
        <v>3</v>
      </c>
      <c r="G3" s="15">
        <v>4</v>
      </c>
      <c r="H3" s="15">
        <v>5</v>
      </c>
      <c r="I3" s="15">
        <v>6</v>
      </c>
      <c r="J3" s="15">
        <v>7</v>
      </c>
      <c r="K3" s="15">
        <v>8</v>
      </c>
      <c r="L3" s="15">
        <v>9</v>
      </c>
      <c r="M3" s="15">
        <v>10</v>
      </c>
      <c r="N3" s="15">
        <v>11</v>
      </c>
      <c r="O3" s="15">
        <v>12</v>
      </c>
      <c r="P3" s="15">
        <v>13</v>
      </c>
      <c r="Q3" s="15">
        <v>14</v>
      </c>
      <c r="R3" s="15">
        <v>15</v>
      </c>
      <c r="S3" s="15">
        <v>16</v>
      </c>
      <c r="T3" s="15">
        <v>17</v>
      </c>
      <c r="U3" s="15">
        <v>18</v>
      </c>
      <c r="V3" s="15">
        <v>19</v>
      </c>
      <c r="W3" s="15">
        <v>20</v>
      </c>
      <c r="X3" s="15">
        <v>21</v>
      </c>
      <c r="Y3" s="15">
        <v>22</v>
      </c>
      <c r="Z3" s="15">
        <v>23</v>
      </c>
      <c r="AA3" s="15">
        <v>24</v>
      </c>
      <c r="AB3" s="15">
        <v>25</v>
      </c>
      <c r="AC3" s="15">
        <v>26</v>
      </c>
      <c r="AD3" s="15">
        <v>27</v>
      </c>
      <c r="AE3" s="15">
        <v>28</v>
      </c>
      <c r="AF3" s="15">
        <v>29</v>
      </c>
      <c r="AG3" s="15">
        <v>30</v>
      </c>
      <c r="AH3" s="23">
        <v>31</v>
      </c>
      <c r="AI3" s="20" t="s">
        <v>64</v>
      </c>
      <c r="AJ3" s="20" t="s">
        <v>65</v>
      </c>
      <c r="AK3" s="20" t="s">
        <v>66</v>
      </c>
    </row>
    <row r="4" ht="20" customHeight="1" spans="1:37">
      <c r="A4" s="16">
        <v>1</v>
      </c>
      <c r="B4" s="17" t="s">
        <v>67</v>
      </c>
      <c r="C4" s="18">
        <v>202101</v>
      </c>
      <c r="D4" s="19" t="s">
        <v>68</v>
      </c>
      <c r="E4" s="19" t="s">
        <v>68</v>
      </c>
      <c r="F4" s="19" t="s">
        <v>68</v>
      </c>
      <c r="G4" s="19" t="s">
        <v>68</v>
      </c>
      <c r="H4" s="19" t="s">
        <v>68</v>
      </c>
      <c r="I4" s="19" t="s">
        <v>68</v>
      </c>
      <c r="J4" s="19" t="s">
        <v>68</v>
      </c>
      <c r="K4" s="19" t="s">
        <v>68</v>
      </c>
      <c r="L4" s="19" t="s">
        <v>68</v>
      </c>
      <c r="M4" s="19" t="s">
        <v>68</v>
      </c>
      <c r="N4" s="19" t="s">
        <v>68</v>
      </c>
      <c r="O4" s="19" t="s">
        <v>68</v>
      </c>
      <c r="P4" s="19" t="s">
        <v>68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>
        <v>13</v>
      </c>
      <c r="AJ4" s="24">
        <v>31</v>
      </c>
      <c r="AK4" s="19"/>
    </row>
    <row r="5" ht="20" customHeight="1" spans="1:37">
      <c r="A5" s="20"/>
      <c r="B5" s="2"/>
      <c r="C5" s="21">
        <v>202103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68</v>
      </c>
      <c r="S5" s="4" t="s">
        <v>68</v>
      </c>
      <c r="T5" s="4" t="s">
        <v>68</v>
      </c>
      <c r="U5" s="4" t="s">
        <v>68</v>
      </c>
      <c r="V5" s="4" t="s">
        <v>68</v>
      </c>
      <c r="W5" s="4" t="s">
        <v>68</v>
      </c>
      <c r="X5" s="4" t="s">
        <v>68</v>
      </c>
      <c r="Y5" s="4" t="s">
        <v>68</v>
      </c>
      <c r="Z5" s="4" t="s">
        <v>68</v>
      </c>
      <c r="AA5" s="4" t="s">
        <v>68</v>
      </c>
      <c r="AB5" s="4" t="s">
        <v>68</v>
      </c>
      <c r="AC5" s="4" t="s">
        <v>68</v>
      </c>
      <c r="AD5" s="4" t="s">
        <v>68</v>
      </c>
      <c r="AE5" s="4" t="s">
        <v>68</v>
      </c>
      <c r="AF5" s="4" t="s">
        <v>68</v>
      </c>
      <c r="AG5" s="4" t="s">
        <v>68</v>
      </c>
      <c r="AH5" s="4" t="s">
        <v>68</v>
      </c>
      <c r="AI5" s="4">
        <v>18</v>
      </c>
      <c r="AJ5" s="16"/>
      <c r="AK5" s="4"/>
    </row>
    <row r="6" ht="20" customHeight="1" spans="1:37">
      <c r="A6" s="20">
        <v>2</v>
      </c>
      <c r="B6" s="22" t="s">
        <v>69</v>
      </c>
      <c r="C6" s="4">
        <v>202102</v>
      </c>
      <c r="D6" s="4"/>
      <c r="E6" s="4" t="s">
        <v>68</v>
      </c>
      <c r="F6" s="4" t="s">
        <v>68</v>
      </c>
      <c r="G6" s="4" t="s">
        <v>68</v>
      </c>
      <c r="H6" s="4" t="s">
        <v>68</v>
      </c>
      <c r="I6" s="4" t="s">
        <v>68</v>
      </c>
      <c r="J6" s="4" t="s">
        <v>68</v>
      </c>
      <c r="K6" s="4" t="s">
        <v>68</v>
      </c>
      <c r="L6" s="4" t="s">
        <v>68</v>
      </c>
      <c r="M6" s="4" t="s">
        <v>68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>
        <v>9</v>
      </c>
      <c r="AJ6" s="25">
        <v>23</v>
      </c>
      <c r="AK6" s="4"/>
    </row>
    <row r="7" ht="20" customHeight="1" spans="1:37">
      <c r="A7" s="20"/>
      <c r="B7" s="17"/>
      <c r="C7" s="4">
        <v>202105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 t="s">
        <v>68</v>
      </c>
      <c r="Q7" s="4" t="s">
        <v>68</v>
      </c>
      <c r="R7" s="4" t="s">
        <v>68</v>
      </c>
      <c r="S7" s="4" t="s">
        <v>68</v>
      </c>
      <c r="T7" s="4" t="s">
        <v>68</v>
      </c>
      <c r="U7" s="4" t="s">
        <v>68</v>
      </c>
      <c r="V7" s="4" t="s">
        <v>68</v>
      </c>
      <c r="W7" s="4" t="s">
        <v>68</v>
      </c>
      <c r="X7" s="4" t="s">
        <v>68</v>
      </c>
      <c r="Y7" s="4" t="s">
        <v>68</v>
      </c>
      <c r="Z7" s="4" t="s">
        <v>68</v>
      </c>
      <c r="AA7" s="4" t="s">
        <v>68</v>
      </c>
      <c r="AB7" s="4" t="s">
        <v>68</v>
      </c>
      <c r="AC7" s="4" t="s">
        <v>68</v>
      </c>
      <c r="AD7" s="4"/>
      <c r="AE7" s="4"/>
      <c r="AF7" s="4"/>
      <c r="AG7" s="4"/>
      <c r="AH7" s="4"/>
      <c r="AI7" s="4">
        <v>14</v>
      </c>
      <c r="AJ7" s="16"/>
      <c r="AK7" s="4"/>
    </row>
    <row r="8" ht="20" customHeight="1" spans="1:37">
      <c r="A8" s="20">
        <v>3</v>
      </c>
      <c r="B8" s="22" t="s">
        <v>70</v>
      </c>
      <c r="C8" s="4">
        <v>202104</v>
      </c>
      <c r="D8" s="4"/>
      <c r="E8" s="4"/>
      <c r="F8" s="4"/>
      <c r="G8" s="4" t="s">
        <v>68</v>
      </c>
      <c r="H8" s="4" t="s">
        <v>68</v>
      </c>
      <c r="I8" s="4" t="s">
        <v>68</v>
      </c>
      <c r="J8" s="4" t="s">
        <v>68</v>
      </c>
      <c r="K8" s="4" t="s">
        <v>68</v>
      </c>
      <c r="L8" s="4" t="s">
        <v>68</v>
      </c>
      <c r="M8" s="4" t="s">
        <v>68</v>
      </c>
      <c r="N8" s="4" t="s">
        <v>68</v>
      </c>
      <c r="O8" s="4" t="s">
        <v>68</v>
      </c>
      <c r="P8" s="4" t="s">
        <v>68</v>
      </c>
      <c r="Q8" s="4" t="s">
        <v>68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>
        <v>11</v>
      </c>
      <c r="AJ8" s="25">
        <v>25</v>
      </c>
      <c r="AK8" s="4"/>
    </row>
    <row r="9" ht="20" customHeight="1" spans="1:37">
      <c r="A9" s="20"/>
      <c r="B9" s="17"/>
      <c r="C9" s="4">
        <v>202106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68</v>
      </c>
      <c r="U9" s="4" t="s">
        <v>68</v>
      </c>
      <c r="V9" s="4" t="s">
        <v>68</v>
      </c>
      <c r="W9" s="4" t="s">
        <v>68</v>
      </c>
      <c r="X9" s="4" t="s">
        <v>68</v>
      </c>
      <c r="Y9" s="4" t="s">
        <v>68</v>
      </c>
      <c r="Z9" s="4" t="s">
        <v>68</v>
      </c>
      <c r="AA9" s="4" t="s">
        <v>68</v>
      </c>
      <c r="AB9" s="4" t="s">
        <v>68</v>
      </c>
      <c r="AC9" s="4" t="s">
        <v>68</v>
      </c>
      <c r="AD9" s="4" t="s">
        <v>68</v>
      </c>
      <c r="AE9" s="4" t="s">
        <v>68</v>
      </c>
      <c r="AF9" s="4" t="s">
        <v>68</v>
      </c>
      <c r="AG9" s="4" t="s">
        <v>68</v>
      </c>
      <c r="AH9" s="4" t="s">
        <v>68</v>
      </c>
      <c r="AI9" s="4">
        <v>14</v>
      </c>
      <c r="AJ9" s="16"/>
      <c r="AK9" s="4"/>
    </row>
    <row r="10" ht="20" customHeight="1" spans="1:37">
      <c r="A10" s="20">
        <v>4</v>
      </c>
      <c r="B10" s="22" t="s">
        <v>71</v>
      </c>
      <c r="C10" s="4">
        <v>202101</v>
      </c>
      <c r="D10" s="4" t="s">
        <v>68</v>
      </c>
      <c r="E10" s="4" t="s">
        <v>68</v>
      </c>
      <c r="F10" s="4" t="s">
        <v>68</v>
      </c>
      <c r="G10" s="4" t="s">
        <v>68</v>
      </c>
      <c r="H10" s="4" t="s">
        <v>68</v>
      </c>
      <c r="I10" s="4" t="s">
        <v>68</v>
      </c>
      <c r="J10" s="4" t="s">
        <v>68</v>
      </c>
      <c r="K10" s="4" t="s">
        <v>68</v>
      </c>
      <c r="L10" s="4" t="s">
        <v>68</v>
      </c>
      <c r="M10" s="4" t="s">
        <v>68</v>
      </c>
      <c r="N10" s="4" t="s">
        <v>68</v>
      </c>
      <c r="O10" s="4" t="s">
        <v>68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>
        <v>12</v>
      </c>
      <c r="AJ10" s="25">
        <v>25</v>
      </c>
      <c r="AK10" s="4"/>
    </row>
    <row r="11" ht="20" customHeight="1" spans="1:37">
      <c r="A11" s="20"/>
      <c r="B11" s="17"/>
      <c r="C11" s="4">
        <v>202103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s">
        <v>68</v>
      </c>
      <c r="S11" s="4" t="s">
        <v>68</v>
      </c>
      <c r="T11" s="4" t="s">
        <v>68</v>
      </c>
      <c r="U11" s="4" t="s">
        <v>68</v>
      </c>
      <c r="V11" s="4" t="s">
        <v>68</v>
      </c>
      <c r="W11" s="4" t="s">
        <v>68</v>
      </c>
      <c r="X11" s="4" t="s">
        <v>68</v>
      </c>
      <c r="Y11" s="4" t="s">
        <v>68</v>
      </c>
      <c r="Z11" s="4" t="s">
        <v>68</v>
      </c>
      <c r="AA11" s="4" t="s">
        <v>68</v>
      </c>
      <c r="AB11" s="4" t="s">
        <v>68</v>
      </c>
      <c r="AC11" s="4" t="s">
        <v>68</v>
      </c>
      <c r="AD11" s="4" t="s">
        <v>68</v>
      </c>
      <c r="AE11" s="4" t="s">
        <v>68</v>
      </c>
      <c r="AF11" s="4" t="s">
        <v>68</v>
      </c>
      <c r="AG11" s="4"/>
      <c r="AH11" s="4"/>
      <c r="AI11" s="4">
        <v>13</v>
      </c>
      <c r="AJ11" s="16"/>
      <c r="AK11" s="4"/>
    </row>
    <row r="12" ht="20" customHeight="1" spans="1:37">
      <c r="A12" s="20">
        <v>5</v>
      </c>
      <c r="B12" s="22" t="s">
        <v>72</v>
      </c>
      <c r="C12" s="4">
        <v>202106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68</v>
      </c>
      <c r="U12" s="4" t="s">
        <v>68</v>
      </c>
      <c r="V12" s="4" t="s">
        <v>68</v>
      </c>
      <c r="W12" s="4" t="s">
        <v>68</v>
      </c>
      <c r="X12" s="4" t="s">
        <v>68</v>
      </c>
      <c r="Y12" s="4" t="s">
        <v>68</v>
      </c>
      <c r="Z12" s="4" t="s">
        <v>68</v>
      </c>
      <c r="AA12" s="4" t="s">
        <v>68</v>
      </c>
      <c r="AB12" s="4" t="s">
        <v>68</v>
      </c>
      <c r="AC12" s="4" t="s">
        <v>68</v>
      </c>
      <c r="AD12" s="4" t="s">
        <v>68</v>
      </c>
      <c r="AE12" s="4" t="s">
        <v>68</v>
      </c>
      <c r="AF12" s="4" t="s">
        <v>68</v>
      </c>
      <c r="AG12" s="4" t="s">
        <v>68</v>
      </c>
      <c r="AH12" s="4" t="s">
        <v>68</v>
      </c>
      <c r="AI12" s="4">
        <v>14</v>
      </c>
      <c r="AJ12" s="25">
        <v>25</v>
      </c>
      <c r="AK12" s="4"/>
    </row>
    <row r="13" ht="20" customHeight="1" spans="1:37">
      <c r="A13" s="20"/>
      <c r="B13" s="17"/>
      <c r="C13" s="4">
        <v>202104</v>
      </c>
      <c r="D13" s="4"/>
      <c r="E13" s="4"/>
      <c r="F13" s="4"/>
      <c r="G13" s="4" t="s">
        <v>68</v>
      </c>
      <c r="H13" s="4" t="s">
        <v>68</v>
      </c>
      <c r="I13" s="4" t="s">
        <v>68</v>
      </c>
      <c r="J13" s="4" t="s">
        <v>68</v>
      </c>
      <c r="K13" s="4" t="s">
        <v>68</v>
      </c>
      <c r="L13" s="4" t="s">
        <v>68</v>
      </c>
      <c r="M13" s="4" t="s">
        <v>68</v>
      </c>
      <c r="N13" s="4" t="s">
        <v>68</v>
      </c>
      <c r="O13" s="4" t="s">
        <v>68</v>
      </c>
      <c r="P13" s="4" t="s">
        <v>68</v>
      </c>
      <c r="Q13" s="4" t="s">
        <v>68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>
        <v>11</v>
      </c>
      <c r="AJ13" s="16"/>
      <c r="AK13" s="4"/>
    </row>
    <row r="14" ht="20" customHeight="1" spans="1:37">
      <c r="A14" s="20">
        <v>6</v>
      </c>
      <c r="B14" s="22" t="s">
        <v>73</v>
      </c>
      <c r="C14" s="4">
        <v>202105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 t="s">
        <v>68</v>
      </c>
      <c r="Q14" s="4" t="s">
        <v>68</v>
      </c>
      <c r="R14" s="4" t="s">
        <v>68</v>
      </c>
      <c r="S14" s="4" t="s">
        <v>68</v>
      </c>
      <c r="T14" s="4" t="s">
        <v>68</v>
      </c>
      <c r="U14" s="4" t="s">
        <v>68</v>
      </c>
      <c r="V14" s="4" t="s">
        <v>68</v>
      </c>
      <c r="W14" s="4" t="s">
        <v>68</v>
      </c>
      <c r="X14" s="4" t="s">
        <v>68</v>
      </c>
      <c r="Y14" s="4" t="s">
        <v>68</v>
      </c>
      <c r="Z14" s="4" t="s">
        <v>68</v>
      </c>
      <c r="AA14" s="4" t="s">
        <v>68</v>
      </c>
      <c r="AB14" s="4" t="s">
        <v>68</v>
      </c>
      <c r="AC14" s="4" t="s">
        <v>68</v>
      </c>
      <c r="AD14" s="4"/>
      <c r="AE14" s="4"/>
      <c r="AF14" s="4"/>
      <c r="AG14" s="4"/>
      <c r="AH14" s="4"/>
      <c r="AI14" s="4">
        <v>14</v>
      </c>
      <c r="AJ14" s="25">
        <v>30</v>
      </c>
      <c r="AK14" s="4"/>
    </row>
    <row r="15" ht="20" customHeight="1" spans="1:37">
      <c r="A15" s="20"/>
      <c r="B15" s="17"/>
      <c r="C15" s="4">
        <v>202103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68</v>
      </c>
      <c r="S15" s="4" t="s">
        <v>68</v>
      </c>
      <c r="T15" s="4" t="s">
        <v>68</v>
      </c>
      <c r="U15" s="4" t="s">
        <v>68</v>
      </c>
      <c r="V15" s="4" t="s">
        <v>68</v>
      </c>
      <c r="W15" s="4" t="s">
        <v>68</v>
      </c>
      <c r="X15" s="4" t="s">
        <v>68</v>
      </c>
      <c r="Y15" s="4" t="s">
        <v>68</v>
      </c>
      <c r="Z15" s="4" t="s">
        <v>68</v>
      </c>
      <c r="AA15" s="4" t="s">
        <v>68</v>
      </c>
      <c r="AB15" s="4" t="s">
        <v>68</v>
      </c>
      <c r="AC15" s="4" t="s">
        <v>68</v>
      </c>
      <c r="AD15" s="4" t="s">
        <v>68</v>
      </c>
      <c r="AE15" s="4" t="s">
        <v>68</v>
      </c>
      <c r="AF15" s="4" t="s">
        <v>68</v>
      </c>
      <c r="AG15" s="4" t="s">
        <v>68</v>
      </c>
      <c r="AH15" s="4"/>
      <c r="AI15" s="4">
        <v>16</v>
      </c>
      <c r="AJ15" s="16"/>
      <c r="AK15" s="4"/>
    </row>
    <row r="16" ht="20" customHeight="1" spans="1:37">
      <c r="A16" s="20">
        <v>7</v>
      </c>
      <c r="B16" s="22" t="s">
        <v>74</v>
      </c>
      <c r="C16" s="4">
        <v>202101</v>
      </c>
      <c r="D16" s="4" t="s">
        <v>68</v>
      </c>
      <c r="E16" s="4" t="s">
        <v>68</v>
      </c>
      <c r="F16" s="4" t="s">
        <v>68</v>
      </c>
      <c r="G16" s="4" t="s">
        <v>68</v>
      </c>
      <c r="H16" s="4" t="s">
        <v>68</v>
      </c>
      <c r="I16" s="4" t="s">
        <v>68</v>
      </c>
      <c r="J16" s="4" t="s">
        <v>68</v>
      </c>
      <c r="K16" s="4" t="s">
        <v>68</v>
      </c>
      <c r="L16" s="4" t="s">
        <v>68</v>
      </c>
      <c r="M16" s="4" t="s">
        <v>68</v>
      </c>
      <c r="N16" s="4" t="s">
        <v>68</v>
      </c>
      <c r="O16" s="4" t="s">
        <v>68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>
        <v>12</v>
      </c>
      <c r="AJ16" s="25">
        <v>26</v>
      </c>
      <c r="AK16" s="4"/>
    </row>
    <row r="17" ht="20" customHeight="1" spans="1:37">
      <c r="A17" s="20"/>
      <c r="B17" s="17"/>
      <c r="C17" s="4">
        <v>202105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 t="s">
        <v>68</v>
      </c>
      <c r="Q17" s="4" t="s">
        <v>68</v>
      </c>
      <c r="R17" s="4" t="s">
        <v>68</v>
      </c>
      <c r="S17" s="4" t="s">
        <v>68</v>
      </c>
      <c r="T17" s="4" t="s">
        <v>68</v>
      </c>
      <c r="U17" s="4" t="s">
        <v>68</v>
      </c>
      <c r="V17" s="4" t="s">
        <v>68</v>
      </c>
      <c r="W17" s="4" t="s">
        <v>68</v>
      </c>
      <c r="X17" s="4" t="s">
        <v>68</v>
      </c>
      <c r="Y17" s="4" t="s">
        <v>68</v>
      </c>
      <c r="Z17" s="4" t="s">
        <v>68</v>
      </c>
      <c r="AA17" s="4" t="s">
        <v>68</v>
      </c>
      <c r="AB17" s="4" t="s">
        <v>68</v>
      </c>
      <c r="AC17" s="4" t="s">
        <v>68</v>
      </c>
      <c r="AD17" s="4"/>
      <c r="AE17" s="4"/>
      <c r="AF17" s="4"/>
      <c r="AG17" s="4"/>
      <c r="AH17" s="4"/>
      <c r="AI17" s="4">
        <v>14</v>
      </c>
      <c r="AJ17" s="16"/>
      <c r="AK17" s="4"/>
    </row>
    <row r="18" ht="20" customHeight="1" spans="1:37">
      <c r="A18" s="20">
        <v>8</v>
      </c>
      <c r="B18" s="22" t="s">
        <v>75</v>
      </c>
      <c r="C18" s="4">
        <v>202102</v>
      </c>
      <c r="D18" s="4"/>
      <c r="E18" s="4" t="s">
        <v>68</v>
      </c>
      <c r="F18" s="4" t="s">
        <v>68</v>
      </c>
      <c r="G18" s="4" t="s">
        <v>68</v>
      </c>
      <c r="H18" s="4" t="s">
        <v>68</v>
      </c>
      <c r="I18" s="4" t="s">
        <v>68</v>
      </c>
      <c r="J18" s="4" t="s">
        <v>68</v>
      </c>
      <c r="K18" s="4" t="s">
        <v>68</v>
      </c>
      <c r="L18" s="4" t="s">
        <v>68</v>
      </c>
      <c r="M18" s="4" t="s">
        <v>68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>
        <v>10</v>
      </c>
      <c r="AJ18" s="25">
        <v>25</v>
      </c>
      <c r="AK18" s="4"/>
    </row>
    <row r="19" ht="20" customHeight="1" spans="1:37">
      <c r="A19" s="20"/>
      <c r="B19" s="17"/>
      <c r="C19" s="4">
        <v>202106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68</v>
      </c>
      <c r="U19" s="4" t="s">
        <v>68</v>
      </c>
      <c r="V19" s="4" t="s">
        <v>68</v>
      </c>
      <c r="W19" s="4" t="s">
        <v>68</v>
      </c>
      <c r="X19" s="4" t="s">
        <v>68</v>
      </c>
      <c r="Y19" s="4" t="s">
        <v>68</v>
      </c>
      <c r="Z19" s="4" t="s">
        <v>68</v>
      </c>
      <c r="AA19" s="4" t="s">
        <v>68</v>
      </c>
      <c r="AB19" s="4" t="s">
        <v>68</v>
      </c>
      <c r="AC19" s="4" t="s">
        <v>68</v>
      </c>
      <c r="AD19" s="4" t="s">
        <v>68</v>
      </c>
      <c r="AE19" s="4" t="s">
        <v>68</v>
      </c>
      <c r="AF19" s="4" t="s">
        <v>68</v>
      </c>
      <c r="AG19" s="4" t="s">
        <v>68</v>
      </c>
      <c r="AH19" s="4" t="s">
        <v>68</v>
      </c>
      <c r="AI19" s="4">
        <v>15</v>
      </c>
      <c r="AJ19" s="16"/>
      <c r="AK19" s="4"/>
    </row>
    <row r="20" ht="20" customHeight="1" spans="1:37">
      <c r="A20" s="20">
        <v>9</v>
      </c>
      <c r="B20" s="22" t="s">
        <v>76</v>
      </c>
      <c r="C20" s="4">
        <v>202104</v>
      </c>
      <c r="D20" s="4"/>
      <c r="E20" s="4"/>
      <c r="F20" s="4"/>
      <c r="G20" s="4" t="s">
        <v>68</v>
      </c>
      <c r="H20" s="4" t="s">
        <v>68</v>
      </c>
      <c r="I20" s="4" t="s">
        <v>68</v>
      </c>
      <c r="J20" s="4" t="s">
        <v>68</v>
      </c>
      <c r="K20" s="4" t="s">
        <v>68</v>
      </c>
      <c r="L20" s="4" t="s">
        <v>68</v>
      </c>
      <c r="M20" s="4" t="s">
        <v>68</v>
      </c>
      <c r="N20" s="4" t="s">
        <v>68</v>
      </c>
      <c r="O20" s="4" t="s">
        <v>68</v>
      </c>
      <c r="P20" s="4" t="s">
        <v>68</v>
      </c>
      <c r="Q20" s="4" t="s">
        <v>68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>
        <v>11</v>
      </c>
      <c r="AJ20" s="25">
        <v>27</v>
      </c>
      <c r="AK20" s="4"/>
    </row>
    <row r="21" ht="20" customHeight="1" spans="1:37">
      <c r="A21" s="20"/>
      <c r="B21" s="17"/>
      <c r="C21" s="4">
        <v>202103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 t="s">
        <v>68</v>
      </c>
      <c r="T21" s="4" t="s">
        <v>68</v>
      </c>
      <c r="U21" s="4" t="s">
        <v>68</v>
      </c>
      <c r="V21" s="4" t="s">
        <v>68</v>
      </c>
      <c r="W21" s="4" t="s">
        <v>68</v>
      </c>
      <c r="X21" s="4" t="s">
        <v>68</v>
      </c>
      <c r="Y21" s="4" t="s">
        <v>68</v>
      </c>
      <c r="Z21" s="4" t="s">
        <v>68</v>
      </c>
      <c r="AA21" s="4" t="s">
        <v>68</v>
      </c>
      <c r="AB21" s="4" t="s">
        <v>68</v>
      </c>
      <c r="AC21" s="4" t="s">
        <v>68</v>
      </c>
      <c r="AD21" s="4" t="s">
        <v>68</v>
      </c>
      <c r="AE21" s="4" t="s">
        <v>68</v>
      </c>
      <c r="AF21" s="4" t="s">
        <v>68</v>
      </c>
      <c r="AG21" s="4" t="s">
        <v>68</v>
      </c>
      <c r="AH21" s="4" t="s">
        <v>68</v>
      </c>
      <c r="AI21" s="4">
        <v>16</v>
      </c>
      <c r="AJ21" s="16"/>
      <c r="AK21" s="4"/>
    </row>
    <row r="22" ht="20" customHeight="1" spans="1:37">
      <c r="A22" s="20">
        <v>10</v>
      </c>
      <c r="B22" s="22" t="s">
        <v>77</v>
      </c>
      <c r="C22" s="4">
        <v>202102</v>
      </c>
      <c r="D22" s="4" t="s">
        <v>68</v>
      </c>
      <c r="E22" s="4" t="s">
        <v>68</v>
      </c>
      <c r="F22" s="4" t="s">
        <v>68</v>
      </c>
      <c r="G22" s="4" t="s">
        <v>68</v>
      </c>
      <c r="H22" s="4" t="s">
        <v>68</v>
      </c>
      <c r="I22" s="4" t="s">
        <v>68</v>
      </c>
      <c r="J22" s="4" t="s">
        <v>68</v>
      </c>
      <c r="K22" s="4" t="s">
        <v>68</v>
      </c>
      <c r="L22" s="4" t="s">
        <v>68</v>
      </c>
      <c r="M22" s="4" t="s">
        <v>68</v>
      </c>
      <c r="N22" s="4" t="s">
        <v>68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>
        <v>11</v>
      </c>
      <c r="AJ22" s="25">
        <v>26</v>
      </c>
      <c r="AK22" s="4"/>
    </row>
    <row r="23" ht="20" customHeight="1" spans="1:37">
      <c r="A23" s="20"/>
      <c r="B23" s="17"/>
      <c r="C23" s="4">
        <v>202106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 t="s">
        <v>68</v>
      </c>
      <c r="U23" s="4" t="s">
        <v>68</v>
      </c>
      <c r="V23" s="4" t="s">
        <v>68</v>
      </c>
      <c r="W23" s="4" t="s">
        <v>68</v>
      </c>
      <c r="X23" s="4" t="s">
        <v>68</v>
      </c>
      <c r="Y23" s="4" t="s">
        <v>68</v>
      </c>
      <c r="Z23" s="4" t="s">
        <v>68</v>
      </c>
      <c r="AA23" s="4" t="s">
        <v>68</v>
      </c>
      <c r="AB23" s="4" t="s">
        <v>68</v>
      </c>
      <c r="AC23" s="4" t="s">
        <v>68</v>
      </c>
      <c r="AD23" s="4" t="s">
        <v>68</v>
      </c>
      <c r="AE23" s="4" t="s">
        <v>68</v>
      </c>
      <c r="AF23" s="4" t="s">
        <v>68</v>
      </c>
      <c r="AG23" s="4" t="s">
        <v>68</v>
      </c>
      <c r="AH23" s="4" t="s">
        <v>68</v>
      </c>
      <c r="AI23" s="4">
        <v>15</v>
      </c>
      <c r="AJ23" s="16"/>
      <c r="AK23" s="4"/>
    </row>
    <row r="24" spans="5:23">
      <c r="E24" s="10" t="s">
        <v>78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 t="s">
        <v>79</v>
      </c>
      <c r="T24" s="10"/>
      <c r="U24" s="10"/>
      <c r="V24" s="10"/>
      <c r="W24" s="10"/>
    </row>
  </sheetData>
  <mergeCells count="32">
    <mergeCell ref="A1:AK1"/>
    <mergeCell ref="A2:AK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AJ4:AJ5"/>
    <mergeCell ref="AJ6:AJ7"/>
    <mergeCell ref="AJ8:AJ9"/>
    <mergeCell ref="AJ10:AJ11"/>
    <mergeCell ref="AJ12:AJ13"/>
    <mergeCell ref="AJ14:AJ15"/>
    <mergeCell ref="AJ16:AJ17"/>
    <mergeCell ref="AJ18:AJ19"/>
    <mergeCell ref="AJ20:AJ21"/>
    <mergeCell ref="AJ22:AJ23"/>
  </mergeCells>
  <pageMargins left="0.699305555555556" right="0.275" top="0.511805555555556" bottom="0.354166666666667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O12" sqref="O12"/>
    </sheetView>
  </sheetViews>
  <sheetFormatPr defaultColWidth="9" defaultRowHeight="13.5"/>
  <cols>
    <col min="1" max="1" width="4.875" customWidth="1"/>
    <col min="2" max="2" width="13.5666666666667" customWidth="1"/>
    <col min="3" max="3" width="10" customWidth="1"/>
    <col min="6" max="6" width="10.75" customWidth="1"/>
    <col min="8" max="8" width="12.375" customWidth="1"/>
  </cols>
  <sheetData>
    <row r="1" ht="30" customHeight="1" spans="1:9">
      <c r="A1" s="7" t="s">
        <v>80</v>
      </c>
      <c r="B1" s="7"/>
      <c r="C1" s="7"/>
      <c r="D1" s="7"/>
      <c r="E1" s="7"/>
      <c r="F1" s="7"/>
      <c r="G1" s="7"/>
      <c r="H1" s="7"/>
      <c r="I1" s="7"/>
    </row>
    <row r="2" ht="30" customHeight="1"/>
    <row r="3" ht="22" customHeight="1" spans="1:9">
      <c r="A3" s="4" t="s">
        <v>1</v>
      </c>
      <c r="B3" s="4" t="s">
        <v>62</v>
      </c>
      <c r="C3" s="4" t="s">
        <v>81</v>
      </c>
      <c r="D3" s="4" t="s">
        <v>65</v>
      </c>
      <c r="E3" s="4" t="s">
        <v>82</v>
      </c>
      <c r="F3" s="4" t="s">
        <v>83</v>
      </c>
      <c r="G3" s="4" t="s">
        <v>84</v>
      </c>
      <c r="H3" s="4" t="s">
        <v>85</v>
      </c>
      <c r="I3" s="4" t="s">
        <v>86</v>
      </c>
    </row>
    <row r="4" ht="22" customHeight="1" spans="1:9">
      <c r="A4" s="4">
        <v>1</v>
      </c>
      <c r="B4" s="4" t="s">
        <v>67</v>
      </c>
      <c r="C4" s="4">
        <v>10000</v>
      </c>
      <c r="D4" s="4">
        <v>31</v>
      </c>
      <c r="E4" s="4"/>
      <c r="F4" s="4">
        <f>E4+C4</f>
        <v>10000</v>
      </c>
      <c r="G4" s="4">
        <v>337</v>
      </c>
      <c r="H4" s="4">
        <f>F4-G4</f>
        <v>9663</v>
      </c>
      <c r="I4" s="4"/>
    </row>
    <row r="5" ht="22" customHeight="1" spans="1:9">
      <c r="A5" s="4">
        <v>2</v>
      </c>
      <c r="B5" s="4" t="s">
        <v>69</v>
      </c>
      <c r="C5" s="4">
        <v>6000</v>
      </c>
      <c r="D5" s="4">
        <v>29</v>
      </c>
      <c r="E5" s="4"/>
      <c r="F5" s="4">
        <f t="shared" ref="F5:F13" si="0">E5+C5</f>
        <v>6000</v>
      </c>
      <c r="G5" s="4">
        <v>337</v>
      </c>
      <c r="H5" s="4">
        <f t="shared" ref="H5:H13" si="1">F5-G5</f>
        <v>5663</v>
      </c>
      <c r="I5" s="4"/>
    </row>
    <row r="6" ht="22" customHeight="1" spans="1:9">
      <c r="A6" s="4">
        <v>3</v>
      </c>
      <c r="B6" s="4" t="s">
        <v>87</v>
      </c>
      <c r="C6" s="4">
        <v>4400</v>
      </c>
      <c r="D6" s="4">
        <v>29</v>
      </c>
      <c r="E6" s="4"/>
      <c r="F6" s="4">
        <f t="shared" si="0"/>
        <v>4400</v>
      </c>
      <c r="G6" s="4">
        <v>337</v>
      </c>
      <c r="H6" s="4">
        <f t="shared" si="1"/>
        <v>4063</v>
      </c>
      <c r="I6" s="4"/>
    </row>
    <row r="7" ht="22" customHeight="1" spans="1:9">
      <c r="A7" s="4">
        <v>4</v>
      </c>
      <c r="B7" s="4" t="s">
        <v>71</v>
      </c>
      <c r="C7" s="4">
        <v>5300</v>
      </c>
      <c r="D7" s="4">
        <v>28</v>
      </c>
      <c r="E7" s="4"/>
      <c r="F7" s="4">
        <f t="shared" si="0"/>
        <v>5300</v>
      </c>
      <c r="G7" s="4">
        <v>337</v>
      </c>
      <c r="H7" s="4">
        <f t="shared" si="1"/>
        <v>4963</v>
      </c>
      <c r="I7" s="4"/>
    </row>
    <row r="8" ht="22" customHeight="1" spans="1:9">
      <c r="A8" s="4">
        <v>5</v>
      </c>
      <c r="B8" s="4" t="s">
        <v>72</v>
      </c>
      <c r="C8" s="4">
        <v>5737</v>
      </c>
      <c r="D8" s="4">
        <v>27</v>
      </c>
      <c r="E8" s="4"/>
      <c r="F8" s="4">
        <f t="shared" si="0"/>
        <v>5737</v>
      </c>
      <c r="G8" s="4">
        <v>337</v>
      </c>
      <c r="H8" s="4">
        <f t="shared" si="1"/>
        <v>5400</v>
      </c>
      <c r="I8" s="4"/>
    </row>
    <row r="9" ht="22" customHeight="1" spans="1:9">
      <c r="A9" s="4">
        <v>6</v>
      </c>
      <c r="B9" s="4" t="s">
        <v>73</v>
      </c>
      <c r="C9" s="4">
        <v>5000</v>
      </c>
      <c r="D9" s="4">
        <v>31</v>
      </c>
      <c r="E9" s="4"/>
      <c r="F9" s="4">
        <f t="shared" si="0"/>
        <v>5000</v>
      </c>
      <c r="G9" s="4">
        <v>337</v>
      </c>
      <c r="H9" s="4">
        <f t="shared" si="1"/>
        <v>4663</v>
      </c>
      <c r="I9" s="4"/>
    </row>
    <row r="10" ht="22" customHeight="1" spans="1:9">
      <c r="A10" s="4">
        <v>7</v>
      </c>
      <c r="B10" s="4" t="s">
        <v>74</v>
      </c>
      <c r="C10" s="4">
        <v>3212</v>
      </c>
      <c r="D10" s="4">
        <v>28</v>
      </c>
      <c r="E10" s="4"/>
      <c r="F10" s="4">
        <f t="shared" si="0"/>
        <v>3212</v>
      </c>
      <c r="G10" s="4">
        <v>337</v>
      </c>
      <c r="H10" s="4">
        <f t="shared" si="1"/>
        <v>2875</v>
      </c>
      <c r="I10" s="4"/>
    </row>
    <row r="11" ht="22" customHeight="1" spans="1:9">
      <c r="A11" s="4">
        <v>8</v>
      </c>
      <c r="B11" s="4" t="s">
        <v>75</v>
      </c>
      <c r="C11" s="4">
        <v>3000</v>
      </c>
      <c r="D11" s="4">
        <v>28</v>
      </c>
      <c r="E11" s="4"/>
      <c r="F11" s="4">
        <f t="shared" si="0"/>
        <v>3000</v>
      </c>
      <c r="G11" s="4">
        <v>337</v>
      </c>
      <c r="H11" s="4">
        <f t="shared" si="1"/>
        <v>2663</v>
      </c>
      <c r="I11" s="4"/>
    </row>
    <row r="12" ht="22" customHeight="1" spans="1:9">
      <c r="A12" s="4">
        <v>9</v>
      </c>
      <c r="B12" s="4" t="s">
        <v>76</v>
      </c>
      <c r="C12" s="4">
        <v>4000</v>
      </c>
      <c r="D12" s="4">
        <v>28</v>
      </c>
      <c r="E12" s="4"/>
      <c r="F12" s="4">
        <f t="shared" si="0"/>
        <v>4000</v>
      </c>
      <c r="G12" s="4">
        <v>337</v>
      </c>
      <c r="H12" s="4">
        <f t="shared" si="1"/>
        <v>3663</v>
      </c>
      <c r="I12" s="4"/>
    </row>
    <row r="13" ht="22" customHeight="1" spans="1:9">
      <c r="A13" s="4">
        <v>10</v>
      </c>
      <c r="B13" s="4" t="s">
        <v>77</v>
      </c>
      <c r="C13" s="4">
        <v>4000</v>
      </c>
      <c r="D13" s="4">
        <v>31</v>
      </c>
      <c r="E13" s="4"/>
      <c r="F13" s="4">
        <f t="shared" si="0"/>
        <v>4000</v>
      </c>
      <c r="G13" s="4">
        <v>337</v>
      </c>
      <c r="H13" s="4">
        <f t="shared" si="1"/>
        <v>3663</v>
      </c>
      <c r="I13" s="4"/>
    </row>
    <row r="14" ht="22" customHeight="1" spans="1:9">
      <c r="A14" s="8" t="s">
        <v>88</v>
      </c>
      <c r="B14" s="9"/>
      <c r="C14" s="4">
        <f>SUM(C4:C13)</f>
        <v>50649</v>
      </c>
      <c r="D14" s="4"/>
      <c r="E14" s="4"/>
      <c r="F14" s="4">
        <f>SUM(F4:F13)</f>
        <v>50649</v>
      </c>
      <c r="G14" s="4">
        <f>SUM(G4:G13)</f>
        <v>3370</v>
      </c>
      <c r="H14" s="4">
        <f>SUM(H4:H13)</f>
        <v>47279</v>
      </c>
      <c r="I14" s="4"/>
    </row>
    <row r="15" ht="28" customHeight="1" spans="2:8">
      <c r="B15" s="10" t="s">
        <v>78</v>
      </c>
      <c r="C15" s="10"/>
      <c r="D15" s="10" t="s">
        <v>89</v>
      </c>
      <c r="E15" s="10"/>
      <c r="F15" s="10"/>
      <c r="G15" s="10"/>
      <c r="H15" s="11">
        <v>44347</v>
      </c>
    </row>
  </sheetData>
  <mergeCells count="2">
    <mergeCell ref="A1:I1"/>
    <mergeCell ref="A14:B14"/>
  </mergeCells>
  <pageMargins left="0.699305555555556" right="0.699305555555556" top="1.18055555555556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workbookViewId="0">
      <selection activeCell="E3" sqref="E3"/>
    </sheetView>
  </sheetViews>
  <sheetFormatPr defaultColWidth="9" defaultRowHeight="13.5"/>
  <cols>
    <col min="1" max="1" width="5.25" customWidth="1"/>
    <col min="2" max="2" width="9.5" customWidth="1"/>
    <col min="3" max="3" width="10" customWidth="1"/>
    <col min="4" max="4" width="7.325" customWidth="1"/>
    <col min="5" max="5" width="9.375" customWidth="1"/>
    <col min="6" max="6" width="7.58333333333333" customWidth="1"/>
    <col min="7" max="7" width="8.75" customWidth="1"/>
    <col min="8" max="8" width="7.71666666666667" customWidth="1"/>
    <col min="9" max="9" width="9.75" customWidth="1"/>
    <col min="11" max="11" width="8.875" customWidth="1"/>
    <col min="12" max="12" width="6.55833333333333" customWidth="1"/>
    <col min="13" max="13" width="9.75" customWidth="1"/>
    <col min="14" max="14" width="7.2" customWidth="1"/>
    <col min="15" max="15" width="10.5" customWidth="1"/>
  </cols>
  <sheetData>
    <row r="1" ht="31.5" spans="1:15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>
      <c r="A2" s="2" t="s">
        <v>1</v>
      </c>
      <c r="B2" s="2" t="s">
        <v>62</v>
      </c>
      <c r="C2" s="2" t="s">
        <v>85</v>
      </c>
      <c r="D2" s="2">
        <v>202101</v>
      </c>
      <c r="E2" s="2"/>
      <c r="F2" s="2">
        <v>202102</v>
      </c>
      <c r="G2" s="2"/>
      <c r="H2" s="2">
        <v>202103</v>
      </c>
      <c r="I2" s="2"/>
      <c r="J2" s="2">
        <v>202104</v>
      </c>
      <c r="K2" s="2"/>
      <c r="L2" s="2">
        <v>202105</v>
      </c>
      <c r="M2" s="2"/>
      <c r="N2" s="2">
        <v>202106</v>
      </c>
      <c r="O2" s="2"/>
    </row>
    <row r="3" ht="20" customHeight="1" spans="1:15">
      <c r="A3" s="3"/>
      <c r="B3" s="3"/>
      <c r="C3" s="3"/>
      <c r="D3" s="3" t="s">
        <v>91</v>
      </c>
      <c r="E3" s="3" t="s">
        <v>92</v>
      </c>
      <c r="F3" s="3" t="s">
        <v>91</v>
      </c>
      <c r="G3" s="3" t="s">
        <v>92</v>
      </c>
      <c r="H3" s="3" t="s">
        <v>91</v>
      </c>
      <c r="I3" s="3" t="s">
        <v>92</v>
      </c>
      <c r="J3" s="3" t="s">
        <v>91</v>
      </c>
      <c r="K3" s="3" t="s">
        <v>92</v>
      </c>
      <c r="L3" s="3" t="s">
        <v>91</v>
      </c>
      <c r="M3" s="3" t="s">
        <v>92</v>
      </c>
      <c r="N3" s="3" t="s">
        <v>91</v>
      </c>
      <c r="O3" s="3" t="s">
        <v>92</v>
      </c>
    </row>
    <row r="4" ht="25" customHeight="1" spans="1:15">
      <c r="A4" s="4">
        <v>1</v>
      </c>
      <c r="B4" s="3" t="s">
        <v>67</v>
      </c>
      <c r="C4" s="4">
        <v>10000</v>
      </c>
      <c r="D4" s="4">
        <v>13</v>
      </c>
      <c r="E4" s="4">
        <v>4193</v>
      </c>
      <c r="F4" s="4"/>
      <c r="G4" s="4"/>
      <c r="H4" s="4">
        <v>18</v>
      </c>
      <c r="I4" s="4">
        <v>5806</v>
      </c>
      <c r="J4" s="4"/>
      <c r="K4" s="4"/>
      <c r="L4" s="4"/>
      <c r="M4" s="4"/>
      <c r="N4" s="4"/>
      <c r="O4" s="4"/>
    </row>
    <row r="5" ht="25" customHeight="1" spans="1:15">
      <c r="A5" s="4">
        <v>2</v>
      </c>
      <c r="B5" s="3" t="s">
        <v>69</v>
      </c>
      <c r="C5" s="4">
        <v>6000</v>
      </c>
      <c r="D5" s="4"/>
      <c r="E5" s="4"/>
      <c r="F5" s="4">
        <v>9</v>
      </c>
      <c r="G5" s="4">
        <f>C5/30*F5</f>
        <v>1800</v>
      </c>
      <c r="H5" s="4"/>
      <c r="I5" s="4"/>
      <c r="J5" s="4"/>
      <c r="K5" s="4"/>
      <c r="L5" s="4">
        <v>14</v>
      </c>
      <c r="M5" s="4">
        <f>C5/30*L5</f>
        <v>2800</v>
      </c>
      <c r="N5" s="4"/>
      <c r="O5" s="4"/>
    </row>
    <row r="6" ht="25" customHeight="1" spans="1:15">
      <c r="A6" s="4">
        <v>3</v>
      </c>
      <c r="B6" s="3" t="s">
        <v>87</v>
      </c>
      <c r="C6" s="4">
        <v>4400</v>
      </c>
      <c r="D6" s="4"/>
      <c r="E6" s="4"/>
      <c r="F6" s="4"/>
      <c r="G6" s="4"/>
      <c r="H6" s="4"/>
      <c r="I6" s="4"/>
      <c r="J6" s="4">
        <v>11</v>
      </c>
      <c r="K6" s="4">
        <v>1613</v>
      </c>
      <c r="L6" s="4"/>
      <c r="M6" s="4"/>
      <c r="N6" s="4">
        <v>11</v>
      </c>
      <c r="O6" s="6">
        <f>C6/30*N6</f>
        <v>1613.33333333333</v>
      </c>
    </row>
    <row r="7" ht="25" customHeight="1" spans="1:15">
      <c r="A7" s="4">
        <v>4</v>
      </c>
      <c r="B7" s="3" t="s">
        <v>71</v>
      </c>
      <c r="C7" s="4">
        <v>5300</v>
      </c>
      <c r="D7" s="4">
        <v>12</v>
      </c>
      <c r="E7" s="4">
        <v>2051</v>
      </c>
      <c r="F7" s="4"/>
      <c r="G7" s="4"/>
      <c r="H7" s="4">
        <v>13</v>
      </c>
      <c r="I7" s="4">
        <v>2297</v>
      </c>
      <c r="J7" s="4"/>
      <c r="K7" s="4"/>
      <c r="L7" s="4"/>
      <c r="M7" s="4"/>
      <c r="N7" s="4"/>
      <c r="O7" s="6"/>
    </row>
    <row r="8" ht="25" customHeight="1" spans="1:15">
      <c r="A8" s="4">
        <v>5</v>
      </c>
      <c r="B8" s="3" t="s">
        <v>72</v>
      </c>
      <c r="C8" s="4">
        <v>5737</v>
      </c>
      <c r="D8" s="4"/>
      <c r="E8" s="4"/>
      <c r="F8" s="4"/>
      <c r="G8" s="4"/>
      <c r="H8" s="4"/>
      <c r="I8" s="4"/>
      <c r="J8" s="4">
        <v>11</v>
      </c>
      <c r="K8" s="6">
        <f>C8/30*J8</f>
        <v>2103.56666666667</v>
      </c>
      <c r="L8" s="4"/>
      <c r="M8" s="4"/>
      <c r="N8" s="4">
        <v>14</v>
      </c>
      <c r="O8" s="6">
        <f t="shared" ref="O7:O13" si="0">C8/30*N8</f>
        <v>2677.26666666667</v>
      </c>
    </row>
    <row r="9" ht="25" customHeight="1" spans="1:15">
      <c r="A9" s="4">
        <v>6</v>
      </c>
      <c r="B9" s="3" t="s">
        <v>73</v>
      </c>
      <c r="C9" s="4">
        <v>5000</v>
      </c>
      <c r="D9" s="4"/>
      <c r="E9" s="4"/>
      <c r="F9" s="4"/>
      <c r="G9" s="4"/>
      <c r="H9" s="4">
        <v>16</v>
      </c>
      <c r="I9" s="4">
        <v>2667</v>
      </c>
      <c r="J9" s="4"/>
      <c r="K9" s="4"/>
      <c r="L9" s="4">
        <v>16</v>
      </c>
      <c r="M9" s="4">
        <v>2667</v>
      </c>
      <c r="N9" s="4"/>
      <c r="O9" s="4"/>
    </row>
    <row r="10" ht="25" customHeight="1" spans="1:15">
      <c r="A10" s="4">
        <v>7</v>
      </c>
      <c r="B10" s="3" t="s">
        <v>74</v>
      </c>
      <c r="C10" s="4">
        <v>3212</v>
      </c>
      <c r="D10" s="4">
        <v>13</v>
      </c>
      <c r="E10" s="4">
        <v>1347</v>
      </c>
      <c r="F10" s="4"/>
      <c r="G10" s="4"/>
      <c r="H10" s="4"/>
      <c r="I10" s="4"/>
      <c r="J10" s="4"/>
      <c r="K10" s="4"/>
      <c r="L10" s="4">
        <v>14</v>
      </c>
      <c r="M10" s="4">
        <v>1499</v>
      </c>
      <c r="N10" s="4"/>
      <c r="O10" s="4"/>
    </row>
    <row r="11" ht="25" customHeight="1" spans="1:15">
      <c r="A11" s="4">
        <v>8</v>
      </c>
      <c r="B11" s="3" t="s">
        <v>75</v>
      </c>
      <c r="C11" s="4">
        <v>3000</v>
      </c>
      <c r="D11" s="4"/>
      <c r="E11" s="4"/>
      <c r="F11" s="4">
        <v>10</v>
      </c>
      <c r="G11" s="4">
        <f>C11/30*F11</f>
        <v>1000</v>
      </c>
      <c r="H11" s="4"/>
      <c r="I11" s="4"/>
      <c r="J11" s="4"/>
      <c r="K11" s="4"/>
      <c r="L11" s="4"/>
      <c r="M11" s="4"/>
      <c r="N11" s="4">
        <v>15</v>
      </c>
      <c r="O11" s="4">
        <f t="shared" si="0"/>
        <v>1500</v>
      </c>
    </row>
    <row r="12" ht="25" customHeight="1" spans="1:15">
      <c r="A12" s="4">
        <v>9</v>
      </c>
      <c r="B12" s="3" t="s">
        <v>76</v>
      </c>
      <c r="C12" s="4">
        <v>4000</v>
      </c>
      <c r="D12" s="4"/>
      <c r="E12" s="4"/>
      <c r="F12" s="4"/>
      <c r="G12" s="4"/>
      <c r="H12" s="4">
        <v>16</v>
      </c>
      <c r="I12" s="4">
        <v>2133</v>
      </c>
      <c r="J12" s="4">
        <v>11</v>
      </c>
      <c r="K12" s="4">
        <v>1467</v>
      </c>
      <c r="L12" s="4"/>
      <c r="M12" s="4"/>
      <c r="N12" s="4"/>
      <c r="O12" s="4"/>
    </row>
    <row r="13" ht="25" customHeight="1" spans="1:15">
      <c r="A13" s="4">
        <v>10</v>
      </c>
      <c r="B13" s="3" t="s">
        <v>77</v>
      </c>
      <c r="C13" s="4">
        <v>4000</v>
      </c>
      <c r="D13" s="4"/>
      <c r="E13" s="4"/>
      <c r="F13" s="4">
        <v>11</v>
      </c>
      <c r="G13" s="4">
        <v>1467</v>
      </c>
      <c r="H13" s="4"/>
      <c r="I13" s="4"/>
      <c r="J13" s="4"/>
      <c r="K13" s="4"/>
      <c r="L13" s="4"/>
      <c r="M13" s="4"/>
      <c r="N13" s="4">
        <v>15</v>
      </c>
      <c r="O13" s="4">
        <f t="shared" si="0"/>
        <v>2000</v>
      </c>
    </row>
    <row r="14" ht="25" customHeight="1" spans="1:15">
      <c r="A14" s="5" t="s">
        <v>54</v>
      </c>
      <c r="B14" s="5"/>
      <c r="C14" s="4">
        <f t="shared" ref="C14:L14" si="1">SUM(C4:C13)</f>
        <v>50649</v>
      </c>
      <c r="D14" s="4">
        <f t="shared" si="1"/>
        <v>38</v>
      </c>
      <c r="E14" s="4">
        <f t="shared" si="1"/>
        <v>7591</v>
      </c>
      <c r="F14" s="4">
        <f t="shared" si="1"/>
        <v>30</v>
      </c>
      <c r="G14" s="4">
        <f t="shared" si="1"/>
        <v>4267</v>
      </c>
      <c r="H14" s="4">
        <f t="shared" si="1"/>
        <v>63</v>
      </c>
      <c r="I14" s="4">
        <f t="shared" si="1"/>
        <v>12903</v>
      </c>
      <c r="J14" s="4">
        <f t="shared" si="1"/>
        <v>33</v>
      </c>
      <c r="K14" s="4">
        <f t="shared" si="1"/>
        <v>5183.56666666667</v>
      </c>
      <c r="L14" s="4">
        <f t="shared" si="1"/>
        <v>44</v>
      </c>
      <c r="M14" s="4">
        <f>SUM(M5:M13)</f>
        <v>6966</v>
      </c>
      <c r="N14" s="4">
        <f>SUM(N4:N13)</f>
        <v>55</v>
      </c>
      <c r="O14" s="4">
        <f>SUM(O4:O13)</f>
        <v>7790.6</v>
      </c>
    </row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</sheetData>
  <mergeCells count="11">
    <mergeCell ref="A1:O1"/>
    <mergeCell ref="D2:E2"/>
    <mergeCell ref="F2:G2"/>
    <mergeCell ref="H2:I2"/>
    <mergeCell ref="J2:K2"/>
    <mergeCell ref="L2:M2"/>
    <mergeCell ref="N2:O2"/>
    <mergeCell ref="A14:B14"/>
    <mergeCell ref="A2:A3"/>
    <mergeCell ref="B2:B3"/>
    <mergeCell ref="C2:C3"/>
  </mergeCells>
  <pageMargins left="1.45625" right="0.2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2021-06-13T01:11:00Z</dcterms:created>
  <dcterms:modified xsi:type="dcterms:W3CDTF">2023-03-01T08:57:25Z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938B4FDBE25446EC9579E959064EF990</vt:lpwstr>
  </property>
</Properties>
</file>
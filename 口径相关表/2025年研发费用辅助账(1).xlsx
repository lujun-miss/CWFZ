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926" activeTab="1"/>
  </bookViews>
  <sheets>
    <sheet name="封皮" sheetId="21" r:id="rId1"/>
    <sheet name="立项" sheetId="1" r:id="rId2"/>
    <sheet name="人员人工-研发人员工资" sheetId="2" r:id="rId3"/>
    <sheet name="研发人员考勤表" sheetId="31" r:id="rId4"/>
    <sheet name="研发人员出勤考勤表" sheetId="25" state="hidden" r:id="rId5"/>
    <sheet name="人员人工-研发人员社保" sheetId="3" r:id="rId6"/>
    <sheet name="人员人工-研发人员公积金" sheetId="22" r:id="rId7"/>
    <sheet name="固定资产台账1" sheetId="5" r:id="rId8"/>
    <sheet name="研发设备工时计算表2" sheetId="28" r:id="rId9"/>
    <sheet name="研发设备折旧表3" sheetId="4" r:id="rId10"/>
    <sheet name="研发设备工时记录表4" sheetId="27" r:id="rId11"/>
    <sheet name="直接投入-动力" sheetId="6" r:id="rId12"/>
    <sheet name="直接投入-领料" sheetId="7" r:id="rId13"/>
    <sheet name="领料单" sheetId="24" r:id="rId14"/>
    <sheet name="领料单打印版" sheetId="29" r:id="rId15"/>
    <sheet name="其他费用" sheetId="20" r:id="rId16"/>
    <sheet name="RD01" sheetId="9" r:id="rId17"/>
    <sheet name="RD02" sheetId="10" r:id="rId18"/>
    <sheet name="RD03" sheetId="15" r:id="rId19"/>
    <sheet name="RD04" sheetId="14" r:id="rId20"/>
    <sheet name="RD05" sheetId="13" r:id="rId21"/>
    <sheet name="RD06" sheetId="12" r:id="rId22"/>
    <sheet name="RD07" sheetId="16" r:id="rId23"/>
    <sheet name="RD08" sheetId="8" r:id="rId24"/>
    <sheet name="RD09" sheetId="18" r:id="rId25"/>
    <sheet name="RD10" sheetId="19" r:id="rId26"/>
    <sheet name="调账参考" sheetId="30" r:id="rId27"/>
    <sheet name="汇总表" sheetId="26" r:id="rId28"/>
  </sheets>
  <definedNames>
    <definedName name="_xlnm._FilterDatabase" localSheetId="16" hidden="1">RD01!$A$6:$X$114</definedName>
    <definedName name="_xlnm.Print_Area" localSheetId="1">立项!$A$1:$I$15</definedName>
    <definedName name="_xlnm.Print_Area" localSheetId="2">'人员人工-研发人员工资'!$A$1:$Z$475</definedName>
    <definedName name="_xlnm.Print_Area" localSheetId="5">'人员人工-研发人员社保'!$A$1:$Z$475</definedName>
    <definedName name="_xlnm.Print_Area" localSheetId="6">'人员人工-研发人员公积金'!$A$1:$Z$475</definedName>
    <definedName name="_xlnm.Print_Area" localSheetId="9">研发设备折旧表3!$A$1:$AC$372</definedName>
    <definedName name="_xlnm.Print_Area" localSheetId="11">'直接投入-动力'!$A$1:$R$210</definedName>
    <definedName name="_xlnm.Print_Area" localSheetId="7">固定资产台账1!$A$1:$R$28</definedName>
    <definedName name="_xlnm.Print_Area" localSheetId="4">研发人员出勤考勤表!$A$1:$AH$454</definedName>
    <definedName name="_xlnm.Print_Area" localSheetId="10">研发设备工时记录表4!$A$2:$AG$370</definedName>
    <definedName name="_xlnm.Print_Area" localSheetId="12">'直接投入-领料'!$A$1:$N$14</definedName>
    <definedName name="_xlnm.Print_Area" localSheetId="0">封皮!$A$1:$E$8</definedName>
    <definedName name="_xlnm.Print_Area" localSheetId="26">调账参考!$A$1:$P$104</definedName>
    <definedName name="_xlnm.Print_Area" localSheetId="3">研发人员考勤表!$A$1:$AH$310</definedName>
    <definedName name="_xlnm.Print_Area" localSheetId="8">研发设备工时计算表2!$A$1:$AK$30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用于研发的设备
=每月动力费*研发设备折旧占比=分摊到研发设备上的动力费</t>
        </r>
      </text>
    </comment>
  </commentList>
</comments>
</file>

<file path=xl/sharedStrings.xml><?xml version="1.0" encoding="utf-8"?>
<sst xmlns="http://schemas.openxmlformats.org/spreadsheetml/2006/main" count="9411" uniqueCount="372">
  <si>
    <t>研  发  费  辅  助  账</t>
  </si>
  <si>
    <t>二〇二五年度</t>
  </si>
  <si>
    <t>公司名称:</t>
  </si>
  <si>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</si>
  <si>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项目名称</t>
    </r>
  </si>
  <si>
    <r>
      <rPr>
        <b/>
        <sz val="10"/>
        <rFont val="宋体"/>
        <charset val="134"/>
      </rPr>
      <t>研发周期</t>
    </r>
  </si>
  <si>
    <r>
      <rPr>
        <b/>
        <sz val="10"/>
        <rFont val="宋体"/>
        <charset val="134"/>
      </rPr>
      <t>人员人工</t>
    </r>
  </si>
  <si>
    <r>
      <rPr>
        <b/>
        <sz val="10"/>
        <rFont val="宋体"/>
        <charset val="134"/>
      </rPr>
      <t>直接投入</t>
    </r>
  </si>
  <si>
    <r>
      <rPr>
        <b/>
        <sz val="10"/>
        <rFont val="宋体"/>
        <charset val="134"/>
      </rPr>
      <t>折旧费用</t>
    </r>
  </si>
  <si>
    <r>
      <rPr>
        <b/>
        <sz val="10"/>
        <rFont val="宋体"/>
        <charset val="134"/>
      </rPr>
      <t>其他费用</t>
    </r>
  </si>
  <si>
    <r>
      <rPr>
        <b/>
        <sz val="10"/>
        <rFont val="宋体"/>
        <charset val="134"/>
      </rPr>
      <t>合计</t>
    </r>
  </si>
  <si>
    <r>
      <rPr>
        <b/>
        <sz val="10"/>
        <color theme="1"/>
        <rFont val="宋体"/>
        <charset val="134"/>
      </rPr>
      <t>研发人员</t>
    </r>
  </si>
  <si>
    <t>RD01</t>
  </si>
  <si>
    <t>RD02</t>
  </si>
  <si>
    <t>RD03</t>
  </si>
  <si>
    <t>RD04</t>
  </si>
  <si>
    <t>RD05</t>
  </si>
  <si>
    <t>RD06</t>
  </si>
  <si>
    <t>RD07</t>
  </si>
  <si>
    <t>RD08</t>
  </si>
  <si>
    <t>RD09</t>
  </si>
  <si>
    <t>RD10</t>
  </si>
  <si>
    <r>
      <rPr>
        <sz val="10"/>
        <rFont val="宋体"/>
        <charset val="134"/>
      </rPr>
      <t>合计</t>
    </r>
  </si>
  <si>
    <r>
      <rPr>
        <sz val="10"/>
        <rFont val="宋体"/>
        <charset val="134"/>
      </rPr>
      <t>营业收入</t>
    </r>
  </si>
  <si>
    <r>
      <rPr>
        <sz val="10"/>
        <rFont val="宋体"/>
        <charset val="134"/>
      </rPr>
      <t>占比</t>
    </r>
  </si>
  <si>
    <t>调账科目：工资--、社保--、公积金--、折旧--、动力--、材料--；调账金额最后一张表</t>
  </si>
  <si>
    <t>附件：人员人工-研发人员工资中每月分摊表附计提工资凭证后，人员人工-研发人员社保中每月分摊表附计提社保凭证后，人员人工-研发人员公积金中每月分摊表附计提公积金凭证后，研发设备折旧表中每月研发折旧明细表附计提折旧凭证后，直接投入-动力中每月动力费分配表附计提电费凭证后，领料单打印版（最好买一式三联单据手写，该项目研发人员签字）附生产成本结转凭证后</t>
  </si>
  <si>
    <t>汇算清缴107012表第一行填写此表中RD个数，第3行人员人工费用、第7行直接投入费用、第16行折旧费用、第28行其他费用按照上表合计数填写</t>
  </si>
  <si>
    <t>辅助账打印：封皮、立项、各RD表带绿色标签</t>
  </si>
  <si>
    <t>其他打印留存</t>
  </si>
  <si>
    <t>2025年1月份研发人员工资项目分摊表</t>
  </si>
  <si>
    <r>
      <rPr>
        <sz val="10"/>
        <color indexed="8"/>
        <rFont val="宋体"/>
        <charset val="134"/>
      </rPr>
      <t>序号</t>
    </r>
  </si>
  <si>
    <r>
      <rPr>
        <sz val="10"/>
        <rFont val="宋体"/>
        <charset val="134"/>
      </rPr>
      <t>姓名</t>
    </r>
  </si>
  <si>
    <r>
      <rPr>
        <sz val="10"/>
        <rFont val="宋体"/>
        <charset val="134"/>
      </rPr>
      <t>月工资</t>
    </r>
  </si>
  <si>
    <r>
      <rPr>
        <sz val="10"/>
        <rFont val="宋体"/>
        <charset val="134"/>
      </rPr>
      <t>出勤天数</t>
    </r>
  </si>
  <si>
    <r>
      <rPr>
        <sz val="10"/>
        <rFont val="宋体"/>
        <charset val="134"/>
      </rPr>
      <t>研发天数合计</t>
    </r>
  </si>
  <si>
    <r>
      <rPr>
        <sz val="10"/>
        <rFont val="宋体"/>
        <charset val="134"/>
      </rPr>
      <t>研发工资合计</t>
    </r>
  </si>
  <si>
    <r>
      <rPr>
        <sz val="11"/>
        <color theme="1"/>
        <rFont val="宋体"/>
        <charset val="134"/>
      </rPr>
      <t>核对公式</t>
    </r>
  </si>
  <si>
    <r>
      <rPr>
        <sz val="11"/>
        <color theme="1"/>
        <rFont val="宋体"/>
        <charset val="134"/>
      </rPr>
      <t>研发人员工资表</t>
    </r>
  </si>
  <si>
    <r>
      <rPr>
        <sz val="10"/>
        <rFont val="宋体"/>
        <charset val="134"/>
      </rPr>
      <t>研发天数</t>
    </r>
  </si>
  <si>
    <r>
      <rPr>
        <sz val="10"/>
        <rFont val="宋体"/>
        <charset val="134"/>
      </rPr>
      <t>研发工资</t>
    </r>
  </si>
  <si>
    <r>
      <rPr>
        <sz val="11"/>
        <color theme="1"/>
        <rFont val="宋体"/>
        <charset val="134"/>
      </rPr>
      <t>姓名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</si>
  <si>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</si>
  <si>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</si>
  <si>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</si>
  <si>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</si>
  <si>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</si>
  <si>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</si>
  <si>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</si>
  <si>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</si>
  <si>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</si>
  <si>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</si>
  <si>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</si>
  <si>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</si>
  <si>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合计</t>
    </r>
  </si>
  <si>
    <t>2025年2月份研发人员工资项目分摊表</t>
  </si>
  <si>
    <t>2025年3月份研发人员工资项目分摊表</t>
  </si>
  <si>
    <t>2025年4月份研发人员工资项目分摊表</t>
  </si>
  <si>
    <t>2025年5月份研发人员工资项目分摊表</t>
  </si>
  <si>
    <t>2025年6月份研发人员工资项目分摊表</t>
  </si>
  <si>
    <t>2025年7月份研发人员工资项目分摊表</t>
  </si>
  <si>
    <t>2025年8月份研发人员工资项目分摊表</t>
  </si>
  <si>
    <t>2025年9月份研发人员工资项目分摊表</t>
  </si>
  <si>
    <t>2025年10月份研发人员工资项目分摊表</t>
  </si>
  <si>
    <t>2025年11月份研发人员工资项目分摊表</t>
  </si>
  <si>
    <t>2025年12月份研发人员工资项目分摊表</t>
  </si>
  <si>
    <t>2025年研发人员工资项目分摊表</t>
  </si>
  <si>
    <r>
      <rPr>
        <sz val="10"/>
        <rFont val="宋体"/>
        <charset val="134"/>
      </rPr>
      <t>月份</t>
    </r>
  </si>
  <si>
    <t>研发人员考勤表</t>
  </si>
  <si>
    <t>姓名</t>
  </si>
  <si>
    <t>项目名称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</si>
  <si>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</si>
  <si>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</si>
  <si>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</si>
  <si>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</si>
  <si>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</si>
  <si>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</si>
  <si>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</si>
  <si>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</si>
  <si>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</si>
  <si>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</si>
  <si>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</si>
  <si>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</si>
  <si>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</si>
  <si>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</si>
  <si>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</si>
  <si>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</si>
  <si>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</si>
  <si>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</si>
  <si>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</si>
  <si>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</si>
  <si>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</si>
  <si>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</si>
  <si>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</si>
  <si>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25日</t>
  </si>
  <si>
    <t>26日</t>
  </si>
  <si>
    <t>27日</t>
  </si>
  <si>
    <t>28日</t>
  </si>
  <si>
    <t>29日</t>
  </si>
  <si>
    <t>30日</t>
  </si>
  <si>
    <t>31日</t>
  </si>
  <si>
    <t>合计</t>
  </si>
  <si>
    <t>√</t>
  </si>
  <si>
    <t xml:space="preserve"> 制表：                审核：                 人事主管：</t>
  </si>
  <si>
    <t>2023年1月份研发人员考勤表</t>
  </si>
  <si>
    <r>
      <rPr>
        <sz val="10"/>
        <rFont val="宋体"/>
        <charset val="134"/>
      </rPr>
      <t>星期日</t>
    </r>
  </si>
  <si>
    <r>
      <rPr>
        <sz val="10"/>
        <rFont val="宋体"/>
        <charset val="134"/>
      </rPr>
      <t>星期一</t>
    </r>
  </si>
  <si>
    <r>
      <rPr>
        <sz val="10"/>
        <rFont val="宋体"/>
        <charset val="134"/>
      </rPr>
      <t>星期二</t>
    </r>
  </si>
  <si>
    <r>
      <rPr>
        <sz val="10"/>
        <rFont val="宋体"/>
        <charset val="134"/>
      </rPr>
      <t>星期三</t>
    </r>
  </si>
  <si>
    <r>
      <rPr>
        <sz val="10"/>
        <rFont val="宋体"/>
        <charset val="134"/>
      </rPr>
      <t>星期四</t>
    </r>
  </si>
  <si>
    <r>
      <rPr>
        <sz val="10"/>
        <rFont val="宋体"/>
        <charset val="134"/>
      </rPr>
      <t>星期五</t>
    </r>
  </si>
  <si>
    <r>
      <rPr>
        <sz val="10"/>
        <rFont val="宋体"/>
        <charset val="134"/>
      </rPr>
      <t>星期六</t>
    </r>
  </si>
  <si>
    <r>
      <rPr>
        <sz val="10"/>
        <color theme="1"/>
        <rFont val="宋体"/>
        <charset val="134"/>
      </rPr>
      <t>研发天数验证</t>
    </r>
  </si>
  <si>
    <r>
      <rPr>
        <sz val="10"/>
        <color theme="1"/>
        <rFont val="宋体"/>
        <charset val="134"/>
      </rPr>
      <t>出勤天数验证</t>
    </r>
  </si>
  <si>
    <t>×</t>
  </si>
  <si>
    <t>●</t>
  </si>
  <si>
    <t>▲</t>
  </si>
  <si>
    <t>■</t>
  </si>
  <si>
    <r>
      <rPr>
        <sz val="10"/>
        <color theme="1"/>
        <rFont val="宋体"/>
        <charset val="134"/>
      </rPr>
      <t>注：</t>
    </r>
  </si>
  <si>
    <r>
      <rPr>
        <sz val="10"/>
        <color theme="1"/>
        <rFont val="Microsoft YaHei"/>
        <charset val="134"/>
      </rPr>
      <t>★</t>
    </r>
  </si>
  <si>
    <r>
      <rPr>
        <sz val="10"/>
        <color theme="1"/>
        <rFont val="宋体"/>
        <charset val="134"/>
      </rPr>
      <t>◆</t>
    </r>
  </si>
  <si>
    <r>
      <rPr>
        <sz val="10"/>
        <color theme="1"/>
        <rFont val="宋体"/>
        <charset val="134"/>
      </rPr>
      <t>✽</t>
    </r>
  </si>
  <si>
    <r>
      <rPr>
        <sz val="10"/>
        <color theme="1"/>
        <rFont val="宋体"/>
        <charset val="134"/>
      </rPr>
      <t>❖</t>
    </r>
  </si>
  <si>
    <r>
      <rPr>
        <sz val="10"/>
        <color theme="1"/>
        <rFont val="宋体"/>
        <charset val="134"/>
      </rPr>
      <t>✪</t>
    </r>
  </si>
  <si>
    <r>
      <rPr>
        <sz val="10"/>
        <color theme="1"/>
        <rFont val="宋体"/>
        <charset val="134"/>
      </rPr>
      <t>✿</t>
    </r>
  </si>
  <si>
    <r>
      <rPr>
        <sz val="10"/>
        <color theme="1"/>
        <rFont val="宋体"/>
        <charset val="134"/>
      </rPr>
      <t>✤</t>
    </r>
  </si>
  <si>
    <r>
      <rPr>
        <sz val="10"/>
        <color theme="1"/>
        <rFont val="宋体"/>
        <charset val="134"/>
      </rPr>
      <t>其他出勤</t>
    </r>
  </si>
  <si>
    <r>
      <rPr>
        <sz val="10"/>
        <color theme="1"/>
        <rFont val="宋体"/>
        <charset val="134"/>
      </rPr>
      <t>未出勤</t>
    </r>
  </si>
  <si>
    <t>2023年2月份研发人员考勤表</t>
  </si>
  <si>
    <t>2023年3月份研发人员考勤表</t>
  </si>
  <si>
    <t>2023年4月份研发人员考勤表</t>
  </si>
  <si>
    <t>2023年5月份研发人员考勤表</t>
  </si>
  <si>
    <t>2023年6月份研发人员考勤表</t>
  </si>
  <si>
    <t>2023年7月份研发人员考勤表</t>
  </si>
  <si>
    <r>
      <rPr>
        <sz val="10"/>
        <color theme="1"/>
        <rFont val="宋体"/>
        <charset val="134"/>
      </rPr>
      <t>★</t>
    </r>
  </si>
  <si>
    <t>2023年8月份研发人员考勤表</t>
  </si>
  <si>
    <t>2023年9月份研发人员考勤表</t>
  </si>
  <si>
    <t>2023年10月份研发人员考勤表</t>
  </si>
  <si>
    <t>2023年11月份研发人员考勤表</t>
  </si>
  <si>
    <t>2023年12月份研发人员考勤表</t>
  </si>
  <si>
    <t>2025年1月份研发人员社保项目分摊表</t>
  </si>
  <si>
    <r>
      <rPr>
        <sz val="10"/>
        <rFont val="宋体"/>
        <charset val="134"/>
      </rPr>
      <t>月社保</t>
    </r>
  </si>
  <si>
    <r>
      <rPr>
        <sz val="10"/>
        <rFont val="宋体"/>
        <charset val="134"/>
      </rPr>
      <t>研发社保合计</t>
    </r>
  </si>
  <si>
    <r>
      <rPr>
        <sz val="10"/>
        <rFont val="宋体"/>
        <charset val="134"/>
      </rPr>
      <t>研发社保</t>
    </r>
  </si>
  <si>
    <t>2025年2月份研发人员社保项目分摊表</t>
  </si>
  <si>
    <t>2025年3月份研发人员社保项目分摊表</t>
  </si>
  <si>
    <t>2025年4月份研发人员社保项目分摊表</t>
  </si>
  <si>
    <t>2025年5月份研发人员社保项目分摊表</t>
  </si>
  <si>
    <t>2025年6月份研发人员社保项目分摊表</t>
  </si>
  <si>
    <t>2025年7月份研发人员社保项目分摊表</t>
  </si>
  <si>
    <t>2025年8月份研发人员社保项目分摊表</t>
  </si>
  <si>
    <t>2025年9月份研发人员社保项目分摊表</t>
  </si>
  <si>
    <t>2025年10月份研发人员社保项目分摊表</t>
  </si>
  <si>
    <t>2025年11月份研发人员社保项目分摊表</t>
  </si>
  <si>
    <t>2025年12月份研发人员社保项目分摊表</t>
  </si>
  <si>
    <t>2025年研发人员社保项目分摊表</t>
  </si>
  <si>
    <t>2025年1月份研发人员公积金项目分摊表</t>
  </si>
  <si>
    <r>
      <rPr>
        <sz val="10"/>
        <rFont val="宋体"/>
        <charset val="134"/>
      </rPr>
      <t>月公积金</t>
    </r>
  </si>
  <si>
    <r>
      <rPr>
        <sz val="10"/>
        <rFont val="宋体"/>
        <charset val="134"/>
      </rPr>
      <t>研发公积金合计</t>
    </r>
  </si>
  <si>
    <r>
      <rPr>
        <sz val="10"/>
        <rFont val="宋体"/>
        <charset val="134"/>
      </rPr>
      <t>研发公积金</t>
    </r>
  </si>
  <si>
    <t>2025年2月份研发人员公积金项目分摊表</t>
  </si>
  <si>
    <t>2025年3月份研发人员公积金项目分摊表</t>
  </si>
  <si>
    <t>2025年4月份研发人员公积金项目分摊表</t>
  </si>
  <si>
    <t>2025年5月份研发人员公积金项目分摊表</t>
  </si>
  <si>
    <t>2025年6月份研发人员公积金项目分摊表</t>
  </si>
  <si>
    <t>2025年7月份研发人员公积金项目分摊表</t>
  </si>
  <si>
    <t>2025年8月份研发人员公积金项目分摊表</t>
  </si>
  <si>
    <t>2025年9月份研发人员公积金项目分摊表</t>
  </si>
  <si>
    <t>2025年10月份研发人员公积金项目分摊表</t>
  </si>
  <si>
    <t>2025年11月份研发人员公积金项目分摊表</t>
  </si>
  <si>
    <t>2025年12月份研发人员公积金项目分摊表</t>
  </si>
  <si>
    <t>2025年研发人员公积金项目分摊表</t>
  </si>
  <si>
    <r>
      <rPr>
        <b/>
        <sz val="10"/>
        <color indexed="8"/>
        <rFont val="宋体"/>
        <charset val="134"/>
      </rPr>
      <t>通用设备折旧明细表</t>
    </r>
  </si>
  <si>
    <r>
      <rPr>
        <b/>
        <sz val="10"/>
        <color indexed="8"/>
        <rFont val="宋体"/>
        <charset val="134"/>
      </rPr>
      <t>名称</t>
    </r>
  </si>
  <si>
    <r>
      <rPr>
        <b/>
        <sz val="10"/>
        <color indexed="8"/>
        <rFont val="宋体"/>
        <charset val="134"/>
      </rPr>
      <t>购入日期</t>
    </r>
  </si>
  <si>
    <r>
      <rPr>
        <b/>
        <sz val="10"/>
        <rFont val="宋体"/>
        <charset val="134"/>
      </rPr>
      <t>原值</t>
    </r>
  </si>
  <si>
    <r>
      <rPr>
        <b/>
        <sz val="10"/>
        <color indexed="8"/>
        <rFont val="宋体"/>
        <charset val="134"/>
      </rPr>
      <t>残值率</t>
    </r>
  </si>
  <si>
    <r>
      <rPr>
        <b/>
        <sz val="10"/>
        <color indexed="8"/>
        <rFont val="宋体"/>
        <charset val="134"/>
      </rPr>
      <t>折旧</t>
    </r>
    <r>
      <rPr>
        <b/>
        <sz val="10"/>
        <color indexed="8"/>
        <rFont val="Times New Roman"/>
        <charset val="134"/>
      </rPr>
      <t xml:space="preserve">
</t>
    </r>
    <r>
      <rPr>
        <b/>
        <sz val="10"/>
        <color indexed="8"/>
        <rFont val="宋体"/>
        <charset val="134"/>
      </rPr>
      <t>年限</t>
    </r>
  </si>
  <si>
    <r>
      <rPr>
        <b/>
        <sz val="10"/>
        <color indexed="8"/>
        <rFont val="Times New Roman"/>
        <charset val="134"/>
      </rPr>
      <t>1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</si>
  <si>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2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</si>
  <si>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3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</si>
  <si>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4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</si>
  <si>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5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</si>
  <si>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6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</si>
  <si>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7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</si>
  <si>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8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</si>
  <si>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9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</si>
  <si>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10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</si>
  <si>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11</t>
    </r>
    <r>
      <rPr>
        <b/>
        <sz val="10"/>
        <color indexed="8"/>
        <rFont val="宋体"/>
        <charset val="134"/>
      </rPr>
      <t>月折旧额</t>
    </r>
  </si>
  <si>
    <r>
      <rPr>
        <b/>
        <sz val="10"/>
        <color indexed="8"/>
        <rFont val="Times New Roman"/>
        <charset val="134"/>
      </rPr>
      <t>12</t>
    </r>
    <r>
      <rPr>
        <b/>
        <sz val="10"/>
        <color indexed="8"/>
        <rFont val="宋体"/>
        <charset val="134"/>
      </rPr>
      <t>月折旧额</t>
    </r>
  </si>
  <si>
    <t>2025年累计折旧</t>
  </si>
  <si>
    <r>
      <rPr>
        <b/>
        <sz val="10"/>
        <color indexed="8"/>
        <rFont val="宋体"/>
        <charset val="134"/>
      </rPr>
      <t>合计</t>
    </r>
  </si>
  <si>
    <r>
      <rPr>
        <sz val="11"/>
        <color theme="1"/>
        <rFont val="宋体"/>
        <charset val="134"/>
      </rPr>
      <t>机器设备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电子设备每月总折旧</t>
    </r>
  </si>
  <si>
    <r>
      <rPr>
        <sz val="11"/>
        <color theme="1"/>
        <rFont val="宋体"/>
        <charset val="134"/>
      </rPr>
      <t>研发设备折旧占比</t>
    </r>
  </si>
  <si>
    <r>
      <rPr>
        <sz val="11"/>
        <color theme="1"/>
        <rFont val="宋体"/>
        <charset val="134"/>
      </rPr>
      <t>每月动力费</t>
    </r>
  </si>
  <si>
    <r>
      <rPr>
        <sz val="11"/>
        <color theme="1"/>
        <rFont val="宋体"/>
        <charset val="134"/>
      </rPr>
      <t>研发设备动力费</t>
    </r>
  </si>
  <si>
    <r>
      <rPr>
        <b/>
        <sz val="10"/>
        <color indexed="8"/>
        <rFont val="宋体"/>
        <charset val="134"/>
      </rPr>
      <t>单位：小时</t>
    </r>
  </si>
  <si>
    <r>
      <rPr>
        <b/>
        <sz val="10"/>
        <color indexed="8"/>
        <rFont val="宋体"/>
        <charset val="134"/>
      </rPr>
      <t>月份</t>
    </r>
  </si>
  <si>
    <r>
      <rPr>
        <b/>
        <sz val="10"/>
        <color indexed="8"/>
        <rFont val="Times New Roman"/>
        <charset val="134"/>
      </rPr>
      <t>1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</si>
  <si>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2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</si>
  <si>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3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</si>
  <si>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4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</si>
  <si>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5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</si>
  <si>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6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</si>
  <si>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7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</si>
  <si>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8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</si>
  <si>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indexed="8"/>
        <rFont val="Times New Roman"/>
        <charset val="134"/>
      </rPr>
      <t>9</t>
    </r>
    <r>
      <rPr>
        <b/>
        <sz val="10"/>
        <color indexed="8"/>
        <rFont val="宋体"/>
        <charset val="134"/>
      </rPr>
      <t>月</t>
    </r>
  </si>
  <si>
    <r>
      <rPr>
        <b/>
        <sz val="10"/>
        <color theme="1"/>
        <rFont val="Times New Roman"/>
        <charset val="134"/>
      </rPr>
      <t>10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</si>
  <si>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Times New Roman"/>
        <charset val="134"/>
      </rPr>
      <t>11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</si>
  <si>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Times New Roman"/>
        <charset val="134"/>
      </rPr>
      <t>12</t>
    </r>
    <r>
      <rPr>
        <b/>
        <sz val="10"/>
        <color theme="1"/>
        <rFont val="宋体"/>
        <charset val="134"/>
      </rPr>
      <t>月</t>
    </r>
  </si>
  <si>
    <r>
      <rPr>
        <sz val="10"/>
        <color theme="1"/>
        <rFont val="宋体"/>
        <charset val="134"/>
      </rPr>
      <t>月运行天数</t>
    </r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</si>
  <si>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</si>
  <si>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月研发工时</t>
    </r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</si>
  <si>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月研发折旧金额</t>
    </r>
  </si>
  <si>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</si>
  <si>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月研发工时</t>
    </r>
  </si>
  <si>
    <t>2月研发折旧金额</t>
  </si>
  <si>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</si>
  <si>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月研发工时</t>
    </r>
  </si>
  <si>
    <t>3月研发折旧金额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</si>
  <si>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</si>
  <si>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月研发工时</t>
    </r>
  </si>
  <si>
    <t>4月研发折旧金额</t>
  </si>
  <si>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</si>
  <si>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月研发工时</t>
    </r>
  </si>
  <si>
    <t>5月研发折旧金额</t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</si>
  <si>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</si>
  <si>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月研发工时</t>
    </r>
  </si>
  <si>
    <t>6月研发折旧金额</t>
  </si>
  <si>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</si>
  <si>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月研发工时</t>
    </r>
  </si>
  <si>
    <t>7月研发折旧金额</t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</si>
  <si>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</si>
  <si>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月研发工时</t>
    </r>
  </si>
  <si>
    <t>8月研发折旧金额</t>
  </si>
  <si>
    <r>
      <rPr>
        <sz val="10"/>
        <color theme="1"/>
        <rFont val="Times New Roman"/>
        <charset val="134"/>
      </rPr>
      <t>9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</si>
  <si>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9</t>
    </r>
    <r>
      <rPr>
        <sz val="10"/>
        <color theme="1"/>
        <rFont val="宋体"/>
        <charset val="134"/>
      </rPr>
      <t>月研发工时</t>
    </r>
  </si>
  <si>
    <t>9月研发折旧金额</t>
  </si>
  <si>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</si>
  <si>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月研发工时</t>
    </r>
  </si>
  <si>
    <t>10月研发折旧金额</t>
  </si>
  <si>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</si>
  <si>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月研发工时</t>
    </r>
  </si>
  <si>
    <t>11月研发折旧金额</t>
  </si>
  <si>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月设备运行时长</t>
    </r>
  </si>
  <si>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月研发工时</t>
    </r>
  </si>
  <si>
    <t>12月研发折旧金额</t>
  </si>
  <si>
    <r>
      <rPr>
        <b/>
        <sz val="10"/>
        <color theme="1"/>
        <rFont val="宋体"/>
        <charset val="134"/>
      </rPr>
      <t>合计</t>
    </r>
  </si>
  <si>
    <t>2025年1月研发折旧明细表</t>
  </si>
  <si>
    <r>
      <rPr>
        <b/>
        <sz val="10"/>
        <color theme="1"/>
        <rFont val="宋体"/>
        <charset val="134"/>
      </rPr>
      <t>固定资产名称</t>
    </r>
  </si>
  <si>
    <r>
      <rPr>
        <b/>
        <sz val="10"/>
        <color theme="1"/>
        <rFont val="宋体"/>
        <charset val="134"/>
      </rPr>
      <t>原值</t>
    </r>
  </si>
  <si>
    <t>本月研发折旧额</t>
  </si>
  <si>
    <t>研发总工时</t>
  </si>
  <si>
    <t>设备使用工时</t>
  </si>
  <si>
    <t>分摊折旧金额</t>
  </si>
  <si>
    <r>
      <rPr>
        <b/>
        <sz val="10"/>
        <color theme="1"/>
        <rFont val="宋体"/>
        <charset val="134"/>
      </rPr>
      <t>合</t>
    </r>
    <r>
      <rPr>
        <b/>
        <sz val="10"/>
        <color theme="1"/>
        <rFont val="Times New Roman"/>
        <charset val="134"/>
      </rPr>
      <t xml:space="preserve">    </t>
    </r>
    <r>
      <rPr>
        <b/>
        <sz val="10"/>
        <color theme="1"/>
        <rFont val="宋体"/>
        <charset val="134"/>
      </rPr>
      <t>计</t>
    </r>
  </si>
  <si>
    <t>2025年2月研发折旧明细表</t>
  </si>
  <si>
    <t>2025年3月研发折旧明细表</t>
  </si>
  <si>
    <t>2025年4月研发折旧明细表</t>
  </si>
  <si>
    <t>2025年5月研发折旧明细表</t>
  </si>
  <si>
    <t>2025年6月研发折旧明细表</t>
  </si>
  <si>
    <t>2025年7月研发折旧明细表</t>
  </si>
  <si>
    <t>2025年8月研发折旧明细表</t>
  </si>
  <si>
    <t>2025年9月研发折旧明细表</t>
  </si>
  <si>
    <t>2025年10月研发折旧明细表</t>
  </si>
  <si>
    <t>2025年11月研发折旧明细表</t>
  </si>
  <si>
    <t>2025年12月研发折旧明细表</t>
  </si>
  <si>
    <t>参考研发人员考勤，避免填写到未研发的日期</t>
  </si>
  <si>
    <t>2025年1月份研发设备工时记录表</t>
  </si>
  <si>
    <t>固定资产名称</t>
  </si>
  <si>
    <r>
      <rPr>
        <sz val="10"/>
        <color theme="1"/>
        <rFont val="宋体"/>
        <charset val="134"/>
      </rPr>
      <t>合计</t>
    </r>
  </si>
  <si>
    <t>2025年2月份研发设备工时记录表</t>
  </si>
  <si>
    <t>2025年3月份研发设备工时记录表</t>
  </si>
  <si>
    <t>2025年4月份研发设备工时记录表</t>
  </si>
  <si>
    <t>2025年5月份研发设备工时记录表</t>
  </si>
  <si>
    <t>2025年6月份研发设备工时记录表</t>
  </si>
  <si>
    <t>2025年7月份研发设备工时记录表</t>
  </si>
  <si>
    <t>2025年8月份研发设备工时记录表</t>
  </si>
  <si>
    <t>2025年9月份研发设备工时记录表</t>
  </si>
  <si>
    <t>2025年10月份研发设备工时记录表</t>
  </si>
  <si>
    <t>研发工时</t>
  </si>
  <si>
    <t>2025年11月份研发设备工时记录表</t>
  </si>
  <si>
    <t>2025年12月份研发设备工时记录表</t>
  </si>
  <si>
    <t>2025年研发工时分配表</t>
  </si>
  <si>
    <r>
      <rPr>
        <sz val="10"/>
        <rFont val="宋体"/>
        <charset val="134"/>
      </rPr>
      <t>研发总工时</t>
    </r>
  </si>
  <si>
    <t>2025年研发动力费用分摊记录表</t>
  </si>
  <si>
    <r>
      <rPr>
        <sz val="10"/>
        <rFont val="宋体"/>
        <charset val="134"/>
      </rPr>
      <t>研发设备动力费</t>
    </r>
  </si>
  <si>
    <r>
      <rPr>
        <sz val="10"/>
        <rFont val="宋体"/>
        <charset val="134"/>
      </rPr>
      <t>研发工时</t>
    </r>
  </si>
  <si>
    <r>
      <rPr>
        <sz val="10"/>
        <color indexed="8"/>
        <rFont val="宋体"/>
        <charset val="134"/>
      </rPr>
      <t>总工时</t>
    </r>
  </si>
  <si>
    <r>
      <rPr>
        <sz val="10"/>
        <color indexed="8"/>
        <rFont val="宋体"/>
        <charset val="134"/>
      </rPr>
      <t>研发工时占比</t>
    </r>
  </si>
  <si>
    <r>
      <rPr>
        <sz val="10"/>
        <color indexed="8"/>
        <rFont val="宋体"/>
        <charset val="134"/>
      </rPr>
      <t>研发动力费</t>
    </r>
  </si>
  <si>
    <r>
      <rPr>
        <sz val="10"/>
        <rFont val="宋体"/>
        <charset val="134"/>
      </rPr>
      <t>月合计</t>
    </r>
  </si>
  <si>
    <t>2025年1月动力费分配表</t>
  </si>
  <si>
    <r>
      <rPr>
        <sz val="10"/>
        <rFont val="宋体"/>
        <charset val="134"/>
      </rPr>
      <t>生产工时</t>
    </r>
  </si>
  <si>
    <r>
      <rPr>
        <sz val="10"/>
        <rFont val="宋体"/>
        <charset val="134"/>
      </rPr>
      <t>生产动力费占比</t>
    </r>
  </si>
  <si>
    <r>
      <rPr>
        <sz val="10"/>
        <rFont val="宋体"/>
        <charset val="134"/>
      </rPr>
      <t>生产动力费额合计</t>
    </r>
  </si>
  <si>
    <r>
      <rPr>
        <sz val="10"/>
        <rFont val="宋体"/>
        <charset val="134"/>
      </rPr>
      <t>研发动力费占比</t>
    </r>
  </si>
  <si>
    <r>
      <rPr>
        <sz val="10"/>
        <rFont val="宋体"/>
        <charset val="134"/>
      </rPr>
      <t>研发动力费额合计</t>
    </r>
  </si>
  <si>
    <r>
      <rPr>
        <sz val="10"/>
        <rFont val="宋体"/>
        <charset val="134"/>
      </rPr>
      <t>项目编号</t>
    </r>
  </si>
  <si>
    <r>
      <rPr>
        <sz val="10"/>
        <rFont val="宋体"/>
        <charset val="134"/>
      </rPr>
      <t>项目名称</t>
    </r>
  </si>
  <si>
    <r>
      <rPr>
        <sz val="10"/>
        <rFont val="宋体"/>
        <charset val="134"/>
      </rPr>
      <t>项目研发工时</t>
    </r>
  </si>
  <si>
    <r>
      <rPr>
        <sz val="10"/>
        <rFont val="宋体"/>
        <charset val="134"/>
      </rPr>
      <t>项目研发动力费分配率</t>
    </r>
  </si>
  <si>
    <r>
      <rPr>
        <sz val="10"/>
        <rFont val="宋体"/>
        <charset val="134"/>
      </rPr>
      <t>项目研发动力费分配额</t>
    </r>
  </si>
  <si>
    <t>2025年2月动力费分配表</t>
  </si>
  <si>
    <t>2025年3月动力费分配表</t>
  </si>
  <si>
    <t>2025年4月动力费分配表</t>
  </si>
  <si>
    <t>2025年5月动力费分配表</t>
  </si>
  <si>
    <t>2025年6月动力费分配表</t>
  </si>
  <si>
    <t>2025年7月动力费分配表</t>
  </si>
  <si>
    <t>2025年8月动力费分配表</t>
  </si>
  <si>
    <t>2025年9月动力费分配表</t>
  </si>
  <si>
    <t>2025年10月动力费分配表</t>
  </si>
  <si>
    <t>2025年11月动力费分配表</t>
  </si>
  <si>
    <t>2025年12月动力费分配表</t>
  </si>
  <si>
    <t>2025年研发领用材料明细</t>
  </si>
  <si>
    <t>2025年项目</t>
  </si>
  <si>
    <r>
      <rPr>
        <sz val="10"/>
        <color indexed="8"/>
        <rFont val="华文仿宋"/>
        <charset val="134"/>
      </rPr>
      <t>合计</t>
    </r>
  </si>
  <si>
    <r>
      <rPr>
        <sz val="10"/>
        <color indexed="8"/>
        <rFont val="Times New Roman"/>
        <charset val="134"/>
      </rPr>
      <t>1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</si>
  <si>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2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</si>
  <si>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3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</si>
  <si>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4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</si>
  <si>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5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</si>
  <si>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6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</si>
  <si>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7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</si>
  <si>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8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</si>
  <si>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9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</si>
  <si>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10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</si>
  <si>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11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</si>
  <si>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Times New Roman"/>
        <charset val="134"/>
      </rPr>
      <t>12</t>
    </r>
    <r>
      <rPr>
        <sz val="10"/>
        <color indexed="8"/>
        <rFont val="华文仿宋"/>
        <charset val="134"/>
      </rPr>
      <t>月</t>
    </r>
  </si>
  <si>
    <r>
      <rPr>
        <sz val="10"/>
        <color indexed="8"/>
        <rFont val="宋体"/>
        <charset val="134"/>
      </rPr>
      <t>合计</t>
    </r>
  </si>
  <si>
    <r>
      <rPr>
        <b/>
        <sz val="10"/>
        <rFont val="华文仿宋"/>
        <charset val="134"/>
      </rPr>
      <t>领</t>
    </r>
    <r>
      <rPr>
        <b/>
        <sz val="10"/>
        <rFont val="Times New Roman"/>
        <charset val="134"/>
      </rPr>
      <t xml:space="preserve">   </t>
    </r>
    <r>
      <rPr>
        <b/>
        <sz val="10"/>
        <rFont val="华文仿宋"/>
        <charset val="134"/>
      </rPr>
      <t>料</t>
    </r>
    <r>
      <rPr>
        <b/>
        <sz val="10"/>
        <rFont val="Times New Roman"/>
        <charset val="134"/>
      </rPr>
      <t xml:space="preserve">   </t>
    </r>
    <r>
      <rPr>
        <b/>
        <sz val="10"/>
        <rFont val="华文仿宋"/>
        <charset val="134"/>
      </rPr>
      <t>单</t>
    </r>
  </si>
  <si>
    <r>
      <rPr>
        <sz val="10"/>
        <rFont val="华文仿宋"/>
        <charset val="134"/>
      </rPr>
      <t>领用部门：研发</t>
    </r>
  </si>
  <si>
    <r>
      <rPr>
        <sz val="10"/>
        <rFont val="华文仿宋"/>
        <charset val="134"/>
      </rPr>
      <t>项目：</t>
    </r>
  </si>
  <si>
    <r>
      <rPr>
        <sz val="10"/>
        <rFont val="华文仿宋"/>
        <charset val="134"/>
      </rPr>
      <t>品名</t>
    </r>
  </si>
  <si>
    <r>
      <rPr>
        <sz val="10"/>
        <rFont val="华文仿宋"/>
        <charset val="134"/>
      </rPr>
      <t>规格</t>
    </r>
  </si>
  <si>
    <r>
      <rPr>
        <sz val="10"/>
        <rFont val="华文仿宋"/>
        <charset val="134"/>
      </rPr>
      <t>单位</t>
    </r>
  </si>
  <si>
    <r>
      <rPr>
        <sz val="10"/>
        <rFont val="华文仿宋"/>
        <charset val="134"/>
      </rPr>
      <t>数量</t>
    </r>
  </si>
  <si>
    <r>
      <rPr>
        <sz val="10"/>
        <rFont val="华文仿宋"/>
        <charset val="134"/>
      </rPr>
      <t>单价</t>
    </r>
  </si>
  <si>
    <r>
      <rPr>
        <sz val="10"/>
        <rFont val="华文仿宋"/>
        <charset val="134"/>
      </rPr>
      <t>金额</t>
    </r>
  </si>
  <si>
    <r>
      <rPr>
        <sz val="10"/>
        <rFont val="华文仿宋"/>
        <charset val="134"/>
      </rPr>
      <t>备注</t>
    </r>
  </si>
  <si>
    <r>
      <rPr>
        <b/>
        <sz val="10"/>
        <rFont val="华文仿宋"/>
        <charset val="134"/>
      </rPr>
      <t>合计</t>
    </r>
  </si>
  <si>
    <r>
      <rPr>
        <sz val="10"/>
        <color indexed="8"/>
        <rFont val="华文仿宋"/>
        <charset val="134"/>
      </rPr>
      <t>领用人：</t>
    </r>
  </si>
  <si>
    <t>保管人：</t>
  </si>
  <si>
    <r>
      <rPr>
        <sz val="10"/>
        <color theme="1"/>
        <rFont val="宋体"/>
        <charset val="134"/>
      </rPr>
      <t>其他费用分配表</t>
    </r>
  </si>
  <si>
    <r>
      <rPr>
        <sz val="10"/>
        <color theme="1"/>
        <rFont val="宋体"/>
        <charset val="134"/>
      </rPr>
      <t>月份</t>
    </r>
  </si>
  <si>
    <r>
      <rPr>
        <sz val="10"/>
        <color theme="1"/>
        <rFont val="宋体"/>
        <charset val="134"/>
      </rPr>
      <t>备注</t>
    </r>
  </si>
  <si>
    <t>研究开发费用明细账</t>
  </si>
  <si>
    <t>年</t>
  </si>
  <si>
    <t>凭证
编号</t>
  </si>
  <si>
    <t>摘    要</t>
  </si>
  <si>
    <t>借方发生额</t>
  </si>
  <si>
    <t>费用明细项目</t>
  </si>
  <si>
    <t>人员人工</t>
  </si>
  <si>
    <t>直接投入</t>
  </si>
  <si>
    <t>仪器设备折旧</t>
  </si>
  <si>
    <t>设计费用</t>
  </si>
  <si>
    <t>动力费</t>
  </si>
  <si>
    <t>无形资产摊销</t>
  </si>
  <si>
    <t>委托外部研发</t>
  </si>
  <si>
    <t>其他费用</t>
  </si>
  <si>
    <t>记-</t>
  </si>
  <si>
    <r>
      <rPr>
        <sz val="10"/>
        <rFont val="宋体"/>
        <charset val="134"/>
      </rPr>
      <t>计提当期研发人员工资</t>
    </r>
  </si>
  <si>
    <t>计提研发人员社保费用</t>
  </si>
  <si>
    <t>计提研发人员公积金</t>
  </si>
  <si>
    <t>研发领用材料</t>
  </si>
  <si>
    <t>研发折旧费</t>
  </si>
  <si>
    <r>
      <rPr>
        <sz val="10"/>
        <rFont val="宋体"/>
        <charset val="134"/>
      </rPr>
      <t>本月合计</t>
    </r>
  </si>
  <si>
    <r>
      <rPr>
        <sz val="10"/>
        <rFont val="宋体"/>
        <charset val="134"/>
      </rPr>
      <t>累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计</t>
    </r>
  </si>
  <si>
    <t>本月合计</t>
  </si>
  <si>
    <r>
      <rPr>
        <sz val="10"/>
        <rFont val="宋体"/>
        <charset val="134"/>
      </rPr>
      <t>本年累计</t>
    </r>
  </si>
  <si>
    <t>项目号</t>
  </si>
  <si>
    <t>计提当期研发人员工资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</si>
</sst>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_ \¥* #,##0.00_ ;_ \¥* \-#,##0.00_ ;_ \¥* &quot;-&quot;??_ ;_ @_ "/>
    <numFmt numFmtId="178" formatCode="#,##0.00_ "/>
    <numFmt numFmtId="179" formatCode="#,##0_ "/>
    <numFmt numFmtId="180" formatCode="yyyy&quot;年&quot;m&quot;月&quot;;@"/>
    <numFmt numFmtId="181" formatCode="0.00_);[Red]\(0.00\)"/>
    <numFmt numFmtId="182" formatCode="0.00_ "/>
  </numFmts>
  <fonts count="90">
    <font>
      <sz val="11"/>
      <color theme="1"/>
      <name val="宋体"/>
      <charset val="134"/>
      <scheme val="minor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9"/>
      <color indexed="8"/>
      <name val="宋体"/>
      <charset val="134"/>
    </font>
    <font>
      <sz val="20"/>
      <name val="宋体"/>
      <charset val="134"/>
    </font>
    <font>
      <sz val="11"/>
      <color indexed="17"/>
      <name val="楷体"/>
      <charset val="134"/>
    </font>
    <font>
      <sz val="12"/>
      <color indexed="17"/>
      <name val="楷体"/>
      <charset val="134"/>
    </font>
    <font>
      <sz val="24"/>
      <color indexed="17"/>
      <name val="楷体"/>
      <charset val="134"/>
    </font>
    <font>
      <sz val="11"/>
      <name val="楷体"/>
      <charset val="134"/>
    </font>
    <font>
      <sz val="16"/>
      <color indexed="17"/>
      <name val="楷体"/>
      <charset val="134"/>
    </font>
    <font>
      <sz val="10"/>
      <name val="宋体"/>
      <charset val="134"/>
    </font>
    <font>
      <u/>
      <sz val="11"/>
      <color indexed="12"/>
      <name val="宋体"/>
      <charset val="134"/>
    </font>
    <font>
      <sz val="10"/>
      <color indexed="8"/>
      <name val="宋体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b/>
      <sz val="10"/>
      <color indexed="8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1"/>
      <color rgb="FFFF0000"/>
      <name val="宋体"/>
      <charset val="134"/>
    </font>
    <font>
      <sz val="11"/>
      <color rgb="FFFF0000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10"/>
      <color rgb="FF000000"/>
      <name val="Times New Roman"/>
      <charset val="134"/>
    </font>
    <font>
      <sz val="14"/>
      <name val="宋体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36"/>
      <color rgb="FF000000"/>
      <name val="楷体"/>
      <charset val="134"/>
    </font>
    <font>
      <sz val="28"/>
      <color indexed="8"/>
      <name val="楷体"/>
      <charset val="134"/>
    </font>
    <font>
      <sz val="16"/>
      <color indexed="8"/>
      <name val="楷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9"/>
      <color rgb="FF000000"/>
      <name val="新宋体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sz val="11"/>
      <color rgb="FF006100"/>
      <name val="宋体"/>
      <charset val="134"/>
      <scheme val="minor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sz val="11"/>
      <color indexed="8"/>
      <name val="Tahoma"/>
      <charset val="134"/>
    </font>
    <font>
      <b/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52"/>
      <name val="宋体"/>
      <charset val="134"/>
    </font>
    <font>
      <sz val="11"/>
      <color rgb="FF00000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  <scheme val="minor"/>
    </font>
    <font>
      <sz val="11"/>
      <color indexed="53"/>
      <name val="宋体"/>
      <charset val="134"/>
    </font>
    <font>
      <sz val="11"/>
      <color theme="1"/>
      <name val="Tahoma"/>
      <charset val="134"/>
    </font>
    <font>
      <sz val="11"/>
      <color rgb="FF000000"/>
      <name val="Tahoma"/>
      <charset val="134"/>
    </font>
    <font>
      <sz val="10"/>
      <name val="MS Sans Serif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华文仿宋"/>
      <charset val="134"/>
    </font>
    <font>
      <sz val="10"/>
      <name val="华文仿宋"/>
      <charset val="134"/>
    </font>
    <font>
      <b/>
      <sz val="10"/>
      <name val="华文仿宋"/>
      <charset val="134"/>
    </font>
    <font>
      <sz val="10"/>
      <color theme="1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rgb="FFF9FBFA"/>
        <bgColor indexed="64"/>
      </patternFill>
    </fill>
    <fill>
      <patternFill patternType="solid">
        <fgColor rgb="FFDFEE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medium">
        <color indexed="57"/>
      </left>
      <right/>
      <top style="medium">
        <color indexed="57"/>
      </top>
      <bottom/>
      <diagonal/>
    </border>
    <border>
      <left/>
      <right style="thin">
        <color indexed="17"/>
      </right>
      <top style="medium">
        <color indexed="57"/>
      </top>
      <bottom/>
      <diagonal/>
    </border>
    <border>
      <left style="thin">
        <color indexed="17"/>
      </left>
      <right/>
      <top style="medium">
        <color indexed="57"/>
      </top>
      <bottom/>
      <diagonal/>
    </border>
    <border>
      <left style="thin">
        <color indexed="57"/>
      </left>
      <right/>
      <top style="medium">
        <color indexed="57"/>
      </top>
      <bottom style="medium">
        <color indexed="57"/>
      </bottom>
      <diagonal/>
    </border>
    <border>
      <left/>
      <right/>
      <top style="medium">
        <color indexed="57"/>
      </top>
      <bottom style="medium">
        <color indexed="57"/>
      </bottom>
      <diagonal/>
    </border>
    <border>
      <left/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medium">
        <color indexed="57"/>
      </left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/>
      <top/>
      <bottom/>
      <diagonal/>
    </border>
    <border>
      <left style="thin">
        <color indexed="57"/>
      </left>
      <right style="thin">
        <color indexed="57"/>
      </right>
      <top style="medium">
        <color indexed="57"/>
      </top>
      <bottom style="medium">
        <color indexed="57"/>
      </bottom>
      <diagonal/>
    </border>
    <border>
      <left style="thin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medium">
        <color indexed="57"/>
      </left>
      <right style="thin">
        <color rgb="FF339966"/>
      </right>
      <top style="medium">
        <color indexed="17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medium">
        <color indexed="17"/>
      </top>
      <bottom style="thin">
        <color rgb="FF339966"/>
      </bottom>
      <diagonal/>
    </border>
    <border>
      <left style="thin">
        <color rgb="FF339966"/>
      </left>
      <right/>
      <top style="medium">
        <color indexed="17"/>
      </top>
      <bottom style="thin">
        <color rgb="FF339966"/>
      </bottom>
      <diagonal/>
    </border>
    <border>
      <left style="double">
        <color indexed="10"/>
      </left>
      <right style="thin">
        <color indexed="57"/>
      </right>
      <top style="medium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/>
      <bottom style="thin">
        <color indexed="57"/>
      </bottom>
      <diagonal/>
    </border>
    <border>
      <left style="thin">
        <color indexed="57"/>
      </left>
      <right style="medium">
        <color indexed="57"/>
      </right>
      <top/>
      <bottom style="thin">
        <color indexed="57"/>
      </bottom>
      <diagonal/>
    </border>
    <border>
      <left style="medium">
        <color indexed="57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/>
      <top style="thin">
        <color rgb="FF339966"/>
      </top>
      <bottom style="thin">
        <color rgb="FF339966"/>
      </bottom>
      <diagonal/>
    </border>
    <border>
      <left style="double">
        <color indexed="10"/>
      </left>
      <right style="thin">
        <color indexed="57"/>
      </right>
      <top/>
      <bottom style="thin">
        <color indexed="57"/>
      </bottom>
      <diagonal/>
    </border>
    <border>
      <left style="double">
        <color indexed="10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 style="medium">
        <color indexed="57"/>
      </right>
      <top style="thin">
        <color indexed="57"/>
      </top>
      <bottom style="thin">
        <color indexed="57"/>
      </bottom>
      <diagonal/>
    </border>
    <border>
      <left style="medium">
        <color indexed="57"/>
      </left>
      <right style="thin">
        <color rgb="FF339966"/>
      </right>
      <top style="thin">
        <color rgb="FF339966"/>
      </top>
      <bottom style="medium">
        <color indexed="17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medium">
        <color indexed="17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medium">
        <color indexed="57"/>
      </bottom>
      <diagonal/>
    </border>
    <border>
      <left style="thin">
        <color rgb="FF339966"/>
      </left>
      <right/>
      <top style="thin">
        <color rgb="FF339966"/>
      </top>
      <bottom style="medium">
        <color indexed="17"/>
      </bottom>
      <diagonal/>
    </border>
    <border>
      <left style="double">
        <color indexed="10"/>
      </left>
      <right style="thin">
        <color indexed="57"/>
      </right>
      <top style="thin">
        <color indexed="57"/>
      </top>
      <bottom/>
      <diagonal/>
    </border>
    <border>
      <left style="double">
        <color indexed="10"/>
      </left>
      <right style="thin">
        <color indexed="57"/>
      </right>
      <top style="thin">
        <color indexed="57"/>
      </top>
      <bottom style="medium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medium">
        <color indexed="57"/>
      </bottom>
      <diagonal/>
    </border>
    <border>
      <left style="thin">
        <color indexed="57"/>
      </left>
      <right/>
      <top style="thin">
        <color indexed="57"/>
      </top>
      <bottom style="medium">
        <color indexed="57"/>
      </bottom>
      <diagonal/>
    </border>
    <border>
      <left style="thin">
        <color indexed="57"/>
      </left>
      <right style="medium">
        <color indexed="57"/>
      </right>
      <top style="thin">
        <color indexed="57"/>
      </top>
      <bottom style="medium">
        <color indexed="57"/>
      </bottom>
      <diagonal/>
    </border>
    <border>
      <left style="double">
        <color indexed="10"/>
      </left>
      <right/>
      <top style="thin">
        <color indexed="57"/>
      </top>
      <bottom style="medium">
        <color indexed="57"/>
      </bottom>
      <diagonal/>
    </border>
    <border>
      <left style="double">
        <color indexed="10"/>
      </left>
      <right style="double">
        <color indexed="10"/>
      </right>
      <top style="thin">
        <color indexed="57"/>
      </top>
      <bottom style="medium">
        <color indexed="57"/>
      </bottom>
      <diagonal/>
    </border>
    <border>
      <left style="thin">
        <color indexed="57"/>
      </left>
      <right style="thin">
        <color indexed="57"/>
      </right>
      <top style="medium">
        <color indexed="57"/>
      </top>
      <bottom style="thin">
        <color indexed="57"/>
      </bottom>
      <diagonal/>
    </border>
    <border>
      <left style="thin">
        <color indexed="57"/>
      </left>
      <right style="medium">
        <color rgb="FF339966"/>
      </right>
      <top style="medium">
        <color indexed="57"/>
      </top>
      <bottom style="thin">
        <color indexed="57"/>
      </bottom>
      <diagonal/>
    </border>
    <border>
      <left style="thin">
        <color indexed="57"/>
      </left>
      <right style="medium">
        <color rgb="FF339966"/>
      </right>
      <top/>
      <bottom style="thin">
        <color indexed="57"/>
      </bottom>
      <diagonal/>
    </border>
    <border>
      <left style="thin">
        <color indexed="57"/>
      </left>
      <right style="medium">
        <color rgb="FF339966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 style="medium">
        <color rgb="FF339966"/>
      </right>
      <top style="thin">
        <color indexed="57"/>
      </top>
      <bottom/>
      <diagonal/>
    </border>
    <border>
      <left style="thin">
        <color indexed="57"/>
      </left>
      <right style="thin">
        <color indexed="57"/>
      </right>
      <top style="thin">
        <color indexed="57"/>
      </top>
      <bottom style="medium">
        <color rgb="FF339966"/>
      </bottom>
      <diagonal/>
    </border>
    <border>
      <left style="double">
        <color indexed="10"/>
      </left>
      <right style="thin">
        <color indexed="57"/>
      </right>
      <top style="thin">
        <color indexed="57"/>
      </top>
      <bottom style="medium">
        <color rgb="FF339966"/>
      </bottom>
      <diagonal/>
    </border>
    <border>
      <left style="thin">
        <color indexed="57"/>
      </left>
      <right style="medium">
        <color rgb="FF339966"/>
      </right>
      <top style="thin">
        <color indexed="57"/>
      </top>
      <bottom style="medium">
        <color rgb="FF339966"/>
      </bottom>
      <diagonal/>
    </border>
    <border>
      <left/>
      <right/>
      <top/>
      <bottom style="dotted">
        <color indexed="17"/>
      </bottom>
      <diagonal/>
    </border>
    <border>
      <left style="thin">
        <color indexed="57"/>
      </left>
      <right style="medium">
        <color indexed="57"/>
      </right>
      <top style="medium">
        <color indexed="57"/>
      </top>
      <bottom style="thin">
        <color indexed="57"/>
      </bottom>
      <diagonal/>
    </border>
    <border>
      <left style="thin">
        <color indexed="57"/>
      </left>
      <right style="medium">
        <color indexed="57"/>
      </right>
      <top style="thin">
        <color indexed="5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23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6" borderId="6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2" applyNumberFormat="0" applyFill="0" applyAlignment="0" applyProtection="0">
      <alignment vertical="center"/>
    </xf>
    <xf numFmtId="0" fontId="40" fillId="0" borderId="62" applyNumberFormat="0" applyFill="0" applyAlignment="0" applyProtection="0">
      <alignment vertical="center"/>
    </xf>
    <xf numFmtId="0" fontId="41" fillId="0" borderId="6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7" borderId="64" applyNumberFormat="0" applyAlignment="0" applyProtection="0">
      <alignment vertical="center"/>
    </xf>
    <xf numFmtId="0" fontId="43" fillId="8" borderId="65" applyNumberFormat="0" applyAlignment="0" applyProtection="0">
      <alignment vertical="center"/>
    </xf>
    <xf numFmtId="0" fontId="44" fillId="8" borderId="64" applyNumberFormat="0" applyAlignment="0" applyProtection="0">
      <alignment vertical="center"/>
    </xf>
    <xf numFmtId="0" fontId="45" fillId="9" borderId="66" applyNumberFormat="0" applyAlignment="0" applyProtection="0">
      <alignment vertical="center"/>
    </xf>
    <xf numFmtId="0" fontId="46" fillId="0" borderId="67" applyNumberFormat="0" applyFill="0" applyAlignment="0" applyProtection="0">
      <alignment vertical="center"/>
    </xf>
    <xf numFmtId="0" fontId="47" fillId="0" borderId="68" applyNumberFormat="0" applyFill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12" fillId="0" borderId="0"/>
    <xf numFmtId="0" fontId="53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69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31" fillId="54" borderId="70" applyNumberFormat="0" applyFont="0" applyAlignment="0" applyProtection="0">
      <alignment vertical="center"/>
    </xf>
    <xf numFmtId="40" fontId="63" fillId="0" borderId="49" applyFill="0" applyProtection="0">
      <alignment horizontal="right"/>
    </xf>
    <xf numFmtId="0" fontId="64" fillId="0" borderId="71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0" fontId="31" fillId="55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8" fillId="56" borderId="72" applyNumberFormat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59" fillId="0" borderId="73" applyNumberFormat="0" applyFill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63" fillId="0" borderId="49" applyNumberFormat="0" applyFill="0" applyProtection="0">
      <alignment horizontal="center"/>
    </xf>
    <xf numFmtId="0" fontId="69" fillId="0" borderId="0">
      <alignment vertical="center"/>
    </xf>
    <xf numFmtId="0" fontId="70" fillId="56" borderId="74" applyNumberFormat="0" applyAlignment="0" applyProtection="0">
      <alignment vertical="center"/>
    </xf>
    <xf numFmtId="0" fontId="71" fillId="0" borderId="75" applyNumberFormat="0" applyFill="0" applyAlignment="0" applyProtection="0">
      <alignment vertical="center"/>
    </xf>
    <xf numFmtId="0" fontId="63" fillId="0" borderId="49" applyNumberFormat="0" applyFill="0" applyProtection="0">
      <alignment horizontal="left"/>
    </xf>
    <xf numFmtId="0" fontId="27" fillId="0" borderId="0"/>
    <xf numFmtId="0" fontId="65" fillId="0" borderId="0"/>
    <xf numFmtId="41" fontId="65" fillId="0" borderId="0" applyFont="0" applyFill="0" applyBorder="0" applyAlignment="0" applyProtection="0"/>
    <xf numFmtId="0" fontId="72" fillId="0" borderId="76" applyNumberFormat="0" applyFill="0" applyAlignment="0" applyProtection="0">
      <alignment vertical="center"/>
    </xf>
    <xf numFmtId="0" fontId="73" fillId="0" borderId="0">
      <alignment vertical="center"/>
    </xf>
    <xf numFmtId="0" fontId="74" fillId="55" borderId="74" applyNumberFormat="0" applyAlignment="0" applyProtection="0">
      <alignment vertical="center"/>
    </xf>
    <xf numFmtId="9" fontId="10" fillId="0" borderId="0" applyFont="0" applyFill="0" applyBorder="0" applyAlignment="0" applyProtection="0"/>
    <xf numFmtId="0" fontId="10" fillId="0" borderId="0"/>
    <xf numFmtId="0" fontId="54" fillId="36" borderId="0" applyNumberFormat="0" applyBorder="0" applyAlignment="0" applyProtection="0">
      <alignment vertical="center"/>
    </xf>
    <xf numFmtId="0" fontId="75" fillId="58" borderId="77" applyNumberFormat="0" applyAlignment="0" applyProtection="0">
      <alignment vertical="center"/>
    </xf>
    <xf numFmtId="43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27" fillId="6" borderId="61" applyNumberFormat="0" applyFont="0" applyAlignment="0" applyProtection="0">
      <alignment vertical="center"/>
    </xf>
    <xf numFmtId="0" fontId="76" fillId="0" borderId="67" applyNumberFormat="0" applyFill="0" applyAlignment="0" applyProtection="0">
      <alignment vertical="center"/>
    </xf>
    <xf numFmtId="0" fontId="77" fillId="0" borderId="76" applyNumberFormat="0" applyFill="0" applyAlignment="0" applyProtection="0">
      <alignment vertical="center"/>
    </xf>
    <xf numFmtId="0" fontId="78" fillId="0" borderId="0"/>
    <xf numFmtId="0" fontId="10" fillId="0" borderId="0" applyProtection="0"/>
    <xf numFmtId="0" fontId="55" fillId="59" borderId="0" applyNumberFormat="0" applyBorder="0" applyAlignment="0" applyProtection="0">
      <alignment vertical="center"/>
    </xf>
    <xf numFmtId="0" fontId="31" fillId="0" borderId="0">
      <alignment vertical="center"/>
    </xf>
    <xf numFmtId="0" fontId="27" fillId="0" borderId="0">
      <alignment vertical="center"/>
    </xf>
    <xf numFmtId="0" fontId="79" fillId="0" borderId="0"/>
    <xf numFmtId="0" fontId="10" fillId="0" borderId="0" applyProtection="0"/>
    <xf numFmtId="0" fontId="0" fillId="0" borderId="0">
      <alignment vertical="center"/>
    </xf>
    <xf numFmtId="0" fontId="80" fillId="0" borderId="0">
      <alignment vertical="center"/>
    </xf>
    <xf numFmtId="0" fontId="55" fillId="5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</cellStyleXfs>
  <cellXfs count="36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78" fontId="3" fillId="0" borderId="0" xfId="0" applyNumberFormat="1" applyFont="1" applyAlignment="1">
      <alignment horizontal="right" vertical="center"/>
    </xf>
    <xf numFmtId="178" fontId="3" fillId="0" borderId="0" xfId="1" applyNumberFormat="1" applyFont="1" applyAlignment="1">
      <alignment horizontal="right" vertical="center"/>
    </xf>
    <xf numFmtId="178" fontId="4" fillId="0" borderId="0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178" fontId="7" fillId="0" borderId="0" xfId="0" applyNumberFormat="1" applyFont="1" applyBorder="1" applyAlignment="1">
      <alignment horizontal="center"/>
    </xf>
    <xf numFmtId="178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>
      <alignment vertical="center"/>
    </xf>
    <xf numFmtId="49" fontId="5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>
      <alignment vertical="center"/>
    </xf>
    <xf numFmtId="0" fontId="2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78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 wrapText="1"/>
    </xf>
    <xf numFmtId="178" fontId="8" fillId="0" borderId="11" xfId="0" applyNumberFormat="1" applyFont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/>
    <xf numFmtId="0" fontId="2" fillId="2" borderId="14" xfId="0" applyFont="1" applyFill="1" applyBorder="1" applyAlignment="1"/>
    <xf numFmtId="0" fontId="10" fillId="2" borderId="14" xfId="0" applyNumberFormat="1" applyFont="1" applyFill="1" applyBorder="1" applyAlignment="1">
      <alignment horizontal="center"/>
    </xf>
    <xf numFmtId="0" fontId="2" fillId="2" borderId="15" xfId="0" applyFont="1" applyFill="1" applyBorder="1" applyAlignment="1"/>
    <xf numFmtId="178" fontId="2" fillId="0" borderId="16" xfId="1" applyNumberFormat="1" applyFont="1" applyBorder="1" applyAlignment="1">
      <alignment horizontal="right"/>
    </xf>
    <xf numFmtId="178" fontId="2" fillId="0" borderId="17" xfId="1" applyNumberFormat="1" applyFont="1" applyBorder="1" applyAlignment="1">
      <alignment horizontal="right"/>
    </xf>
    <xf numFmtId="178" fontId="2" fillId="0" borderId="18" xfId="1" applyNumberFormat="1" applyFont="1" applyBorder="1" applyAlignment="1">
      <alignment horizontal="right"/>
    </xf>
    <xf numFmtId="0" fontId="2" fillId="2" borderId="19" xfId="0" applyFont="1" applyFill="1" applyBorder="1" applyAlignment="1"/>
    <xf numFmtId="0" fontId="2" fillId="2" borderId="20" xfId="0" applyFont="1" applyFill="1" applyBorder="1" applyAlignment="1"/>
    <xf numFmtId="0" fontId="10" fillId="2" borderId="20" xfId="0" applyNumberFormat="1" applyFont="1" applyFill="1" applyBorder="1" applyAlignment="1">
      <alignment horizontal="center"/>
    </xf>
    <xf numFmtId="0" fontId="10" fillId="2" borderId="21" xfId="110" applyFont="1" applyFill="1" applyBorder="1" applyAlignment="1"/>
    <xf numFmtId="178" fontId="2" fillId="0" borderId="22" xfId="1" applyNumberFormat="1" applyFont="1" applyBorder="1" applyAlignment="1">
      <alignment horizontal="right"/>
    </xf>
    <xf numFmtId="178" fontId="2" fillId="0" borderId="23" xfId="1" applyNumberFormat="1" applyFont="1" applyBorder="1" applyAlignment="1">
      <alignment horizontal="right"/>
    </xf>
    <xf numFmtId="0" fontId="10" fillId="2" borderId="21" xfId="0" applyFont="1" applyFill="1" applyBorder="1" applyAlignment="1"/>
    <xf numFmtId="49" fontId="11" fillId="0" borderId="0" xfId="6" applyNumberFormat="1" applyFont="1">
      <alignment vertical="center"/>
    </xf>
    <xf numFmtId="49" fontId="12" fillId="2" borderId="21" xfId="0" applyNumberFormat="1" applyFont="1" applyFill="1" applyBorder="1">
      <alignment vertical="center"/>
    </xf>
    <xf numFmtId="49" fontId="2" fillId="2" borderId="20" xfId="0" applyNumberFormat="1" applyFont="1" applyFill="1" applyBorder="1" applyAlignment="1">
      <alignment horizontal="center"/>
    </xf>
    <xf numFmtId="0" fontId="2" fillId="2" borderId="21" xfId="0" applyFont="1" applyFill="1" applyBorder="1" applyAlignment="1"/>
    <xf numFmtId="178" fontId="2" fillId="0" borderId="24" xfId="1" applyNumberFormat="1" applyFont="1" applyBorder="1" applyAlignment="1">
      <alignment horizontal="right"/>
    </xf>
    <xf numFmtId="178" fontId="2" fillId="0" borderId="25" xfId="1" applyNumberFormat="1" applyFont="1" applyBorder="1" applyAlignment="1">
      <alignment horizontal="right"/>
    </xf>
    <xf numFmtId="0" fontId="2" fillId="2" borderId="26" xfId="0" applyFont="1" applyFill="1" applyBorder="1" applyAlignment="1"/>
    <xf numFmtId="0" fontId="2" fillId="2" borderId="27" xfId="0" applyFont="1" applyFill="1" applyBorder="1" applyAlignment="1"/>
    <xf numFmtId="49" fontId="2" fillId="2" borderId="28" xfId="0" applyNumberFormat="1" applyFont="1" applyFill="1" applyBorder="1" applyAlignment="1">
      <alignment horizontal="center"/>
    </xf>
    <xf numFmtId="0" fontId="2" fillId="2" borderId="29" xfId="0" applyFont="1" applyFill="1" applyBorder="1" applyAlignment="1"/>
    <xf numFmtId="178" fontId="2" fillId="0" borderId="30" xfId="1" applyNumberFormat="1" applyFont="1" applyBorder="1" applyAlignment="1">
      <alignment horizontal="right"/>
    </xf>
    <xf numFmtId="178" fontId="2" fillId="0" borderId="31" xfId="1" applyNumberFormat="1" applyFont="1" applyBorder="1" applyAlignment="1">
      <alignment horizontal="right"/>
    </xf>
    <xf numFmtId="178" fontId="2" fillId="0" borderId="32" xfId="1" applyNumberFormat="1" applyFont="1" applyBorder="1" applyAlignment="1">
      <alignment horizontal="right"/>
    </xf>
    <xf numFmtId="178" fontId="2" fillId="0" borderId="33" xfId="1" applyNumberFormat="1" applyFont="1" applyBorder="1" applyAlignment="1">
      <alignment horizontal="right"/>
    </xf>
    <xf numFmtId="178" fontId="2" fillId="0" borderId="34" xfId="1" applyNumberFormat="1" applyFont="1" applyBorder="1" applyAlignment="1">
      <alignment horizontal="right"/>
    </xf>
    <xf numFmtId="178" fontId="2" fillId="0" borderId="35" xfId="1" applyNumberFormat="1" applyFont="1" applyBorder="1" applyAlignment="1">
      <alignment horizontal="right"/>
    </xf>
    <xf numFmtId="178" fontId="2" fillId="0" borderId="22" xfId="1" applyNumberFormat="1" applyFont="1" applyFill="1" applyBorder="1" applyAlignment="1">
      <alignment horizontal="right"/>
    </xf>
    <xf numFmtId="178" fontId="2" fillId="0" borderId="23" xfId="1" applyNumberFormat="1" applyFont="1" applyFill="1" applyBorder="1" applyAlignment="1">
      <alignment horizontal="right"/>
    </xf>
    <xf numFmtId="178" fontId="2" fillId="0" borderId="24" xfId="1" applyNumberFormat="1" applyFont="1" applyFill="1" applyBorder="1" applyAlignment="1">
      <alignment horizontal="right"/>
    </xf>
    <xf numFmtId="178" fontId="2" fillId="0" borderId="25" xfId="1" applyNumberFormat="1" applyFont="1" applyFill="1" applyBorder="1" applyAlignment="1">
      <alignment horizontal="right"/>
    </xf>
    <xf numFmtId="178" fontId="2" fillId="0" borderId="36" xfId="1" applyNumberFormat="1" applyFont="1" applyFill="1" applyBorder="1" applyAlignment="1">
      <alignment horizontal="right"/>
    </xf>
    <xf numFmtId="178" fontId="3" fillId="0" borderId="0" xfId="0" applyNumberFormat="1" applyFont="1" applyBorder="1" applyAlignment="1">
      <alignment horizontal="right" vertical="center"/>
    </xf>
    <xf numFmtId="0" fontId="0" fillId="0" borderId="0" xfId="0" applyNumberFormat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178" fontId="8" fillId="0" borderId="5" xfId="0" applyNumberFormat="1" applyFont="1" applyBorder="1" applyAlignment="1">
      <alignment horizontal="center" vertical="center"/>
    </xf>
    <xf numFmtId="178" fontId="10" fillId="0" borderId="37" xfId="1" applyNumberFormat="1" applyFont="1" applyBorder="1" applyAlignment="1">
      <alignment horizontal="center"/>
    </xf>
    <xf numFmtId="178" fontId="2" fillId="0" borderId="37" xfId="1" applyNumberFormat="1" applyFont="1" applyBorder="1" applyAlignment="1">
      <alignment horizontal="right"/>
    </xf>
    <xf numFmtId="178" fontId="2" fillId="0" borderId="38" xfId="1" applyNumberFormat="1" applyFont="1" applyBorder="1" applyAlignment="1">
      <alignment horizontal="right"/>
    </xf>
    <xf numFmtId="178" fontId="10" fillId="0" borderId="17" xfId="1" applyNumberFormat="1" applyFont="1" applyBorder="1" applyAlignment="1">
      <alignment horizontal="center"/>
    </xf>
    <xf numFmtId="178" fontId="2" fillId="0" borderId="39" xfId="1" applyNumberFormat="1" applyFont="1" applyBorder="1" applyAlignment="1">
      <alignment horizontal="right"/>
    </xf>
    <xf numFmtId="178" fontId="10" fillId="0" borderId="24" xfId="1" applyNumberFormat="1" applyFont="1" applyBorder="1" applyAlignment="1">
      <alignment horizontal="center"/>
    </xf>
    <xf numFmtId="178" fontId="2" fillId="0" borderId="40" xfId="1" applyNumberFormat="1" applyFont="1" applyBorder="1" applyAlignment="1">
      <alignment horizontal="right"/>
    </xf>
    <xf numFmtId="178" fontId="10" fillId="0" borderId="41" xfId="1" applyNumberFormat="1" applyFont="1" applyBorder="1" applyAlignment="1">
      <alignment horizontal="center"/>
    </xf>
    <xf numFmtId="178" fontId="2" fillId="0" borderId="41" xfId="1" applyNumberFormat="1" applyFont="1" applyBorder="1" applyAlignment="1">
      <alignment horizontal="right"/>
    </xf>
    <xf numFmtId="178" fontId="2" fillId="0" borderId="42" xfId="1" applyNumberFormat="1" applyFont="1" applyBorder="1" applyAlignment="1">
      <alignment horizontal="right"/>
    </xf>
    <xf numFmtId="178" fontId="10" fillId="0" borderId="32" xfId="1" applyNumberFormat="1" applyFont="1" applyBorder="1" applyAlignment="1">
      <alignment horizontal="center"/>
    </xf>
    <xf numFmtId="178" fontId="10" fillId="0" borderId="43" xfId="1" applyNumberFormat="1" applyFont="1" applyBorder="1" applyAlignment="1">
      <alignment horizontal="center"/>
    </xf>
    <xf numFmtId="178" fontId="2" fillId="0" borderId="44" xfId="1" applyNumberFormat="1" applyFont="1" applyBorder="1" applyAlignment="1">
      <alignment horizontal="right"/>
    </xf>
    <xf numFmtId="178" fontId="2" fillId="0" borderId="43" xfId="1" applyNumberFormat="1" applyFont="1" applyBorder="1" applyAlignment="1">
      <alignment horizontal="right"/>
    </xf>
    <xf numFmtId="178" fontId="2" fillId="0" borderId="45" xfId="1" applyNumberFormat="1" applyFont="1" applyBorder="1" applyAlignment="1">
      <alignment horizontal="right"/>
    </xf>
    <xf numFmtId="43" fontId="8" fillId="0" borderId="46" xfId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center"/>
    </xf>
    <xf numFmtId="178" fontId="2" fillId="0" borderId="47" xfId="1" applyNumberFormat="1" applyFont="1" applyBorder="1" applyAlignment="1">
      <alignment horizontal="right"/>
    </xf>
    <xf numFmtId="49" fontId="10" fillId="2" borderId="20" xfId="0" applyNumberFormat="1" applyFont="1" applyFill="1" applyBorder="1" applyAlignment="1">
      <alignment horizontal="center"/>
    </xf>
    <xf numFmtId="178" fontId="2" fillId="0" borderId="48" xfId="1" applyNumberFormat="1" applyFont="1" applyBorder="1" applyAlignment="1">
      <alignment horizontal="right"/>
    </xf>
    <xf numFmtId="178" fontId="2" fillId="0" borderId="23" xfId="1" applyNumberFormat="1" applyFont="1" applyBorder="1" applyAlignment="1">
      <alignment horizontal="right" wrapText="1"/>
    </xf>
    <xf numFmtId="178" fontId="2" fillId="0" borderId="17" xfId="1" applyNumberFormat="1" applyFont="1" applyFill="1" applyBorder="1" applyAlignment="1">
      <alignment horizontal="right"/>
    </xf>
    <xf numFmtId="178" fontId="2" fillId="0" borderId="18" xfId="1" applyNumberFormat="1" applyFont="1" applyFill="1" applyBorder="1" applyAlignment="1">
      <alignment horizontal="right"/>
    </xf>
    <xf numFmtId="178" fontId="13" fillId="0" borderId="0" xfId="0" applyNumberFormat="1" applyFont="1" applyFill="1" applyAlignment="1">
      <alignment horizontal="center" vertical="center"/>
    </xf>
    <xf numFmtId="178" fontId="13" fillId="0" borderId="49" xfId="0" applyNumberFormat="1" applyFont="1" applyFill="1" applyBorder="1" applyAlignment="1">
      <alignment horizontal="center" vertical="center"/>
    </xf>
    <xf numFmtId="178" fontId="2" fillId="0" borderId="49" xfId="115" applyNumberFormat="1" applyFont="1" applyFill="1" applyBorder="1" applyAlignment="1" applyProtection="1">
      <alignment horizontal="center" vertical="center"/>
    </xf>
    <xf numFmtId="179" fontId="13" fillId="0" borderId="49" xfId="0" applyNumberFormat="1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178" fontId="15" fillId="0" borderId="0" xfId="110" applyNumberFormat="1" applyFont="1" applyFill="1" applyBorder="1" applyAlignment="1" applyProtection="1">
      <alignment vertical="center"/>
    </xf>
    <xf numFmtId="178" fontId="15" fillId="0" borderId="0" xfId="110" applyNumberFormat="1" applyFont="1" applyFill="1" applyBorder="1" applyAlignment="1" applyProtection="1">
      <alignment horizontal="center" vertical="center"/>
    </xf>
    <xf numFmtId="178" fontId="15" fillId="0" borderId="50" xfId="110" applyNumberFormat="1" applyFont="1" applyFill="1" applyBorder="1" applyAlignment="1" applyProtection="1">
      <alignment horizontal="center" vertical="center"/>
    </xf>
    <xf numFmtId="180" fontId="2" fillId="0" borderId="51" xfId="110" applyNumberFormat="1" applyFont="1" applyFill="1" applyBorder="1" applyAlignment="1" applyProtection="1">
      <alignment vertical="center"/>
    </xf>
    <xf numFmtId="180" fontId="2" fillId="0" borderId="0" xfId="110" applyNumberFormat="1" applyFont="1" applyFill="1" applyBorder="1" applyAlignment="1" applyProtection="1">
      <alignment vertical="center"/>
    </xf>
    <xf numFmtId="180" fontId="2" fillId="0" borderId="52" xfId="110" applyNumberFormat="1" applyFont="1" applyFill="1" applyBorder="1" applyAlignment="1" applyProtection="1">
      <alignment horizontal="center" vertical="center"/>
    </xf>
    <xf numFmtId="180" fontId="2" fillId="0" borderId="0" xfId="110" applyNumberFormat="1" applyFont="1" applyFill="1" applyBorder="1" applyAlignment="1" applyProtection="1">
      <alignment horizontal="right" vertical="center"/>
    </xf>
    <xf numFmtId="180" fontId="2" fillId="0" borderId="0" xfId="110" applyNumberFormat="1" applyFont="1" applyFill="1" applyBorder="1" applyAlignment="1" applyProtection="1">
      <alignment horizontal="center" vertical="center"/>
    </xf>
    <xf numFmtId="178" fontId="2" fillId="0" borderId="49" xfId="110" applyNumberFormat="1" applyFont="1" applyFill="1" applyBorder="1" applyAlignment="1" applyProtection="1">
      <alignment horizontal="center" vertical="center"/>
    </xf>
    <xf numFmtId="178" fontId="2" fillId="0" borderId="49" xfId="110" applyNumberFormat="1" applyFont="1" applyFill="1" applyBorder="1" applyAlignment="1" applyProtection="1">
      <alignment vertical="center"/>
    </xf>
    <xf numFmtId="178" fontId="15" fillId="0" borderId="53" xfId="110" applyNumberFormat="1" applyFont="1" applyFill="1" applyBorder="1" applyAlignment="1" applyProtection="1">
      <alignment horizontal="center" vertical="center" wrapText="1"/>
    </xf>
    <xf numFmtId="178" fontId="15" fillId="0" borderId="54" xfId="110" applyNumberFormat="1" applyFont="1" applyFill="1" applyBorder="1" applyAlignment="1" applyProtection="1">
      <alignment horizontal="center" vertical="center" wrapText="1"/>
    </xf>
    <xf numFmtId="178" fontId="15" fillId="0" borderId="55" xfId="110" applyNumberFormat="1" applyFont="1" applyFill="1" applyBorder="1" applyAlignment="1" applyProtection="1">
      <alignment horizontal="center" vertical="center" wrapText="1"/>
    </xf>
    <xf numFmtId="178" fontId="16" fillId="0" borderId="49" xfId="110" applyNumberFormat="1" applyFont="1" applyFill="1" applyBorder="1" applyAlignment="1" applyProtection="1">
      <alignment vertical="center"/>
    </xf>
    <xf numFmtId="178" fontId="1" fillId="0" borderId="0" xfId="110" applyNumberFormat="1" applyFont="1" applyFill="1" applyBorder="1" applyAlignment="1" applyProtection="1">
      <alignment vertical="center"/>
    </xf>
    <xf numFmtId="178" fontId="1" fillId="0" borderId="0" xfId="110" applyNumberFormat="1" applyFont="1" applyFill="1" applyBorder="1" applyAlignment="1" applyProtection="1">
      <alignment horizontal="center" vertical="center"/>
    </xf>
    <xf numFmtId="178" fontId="17" fillId="0" borderId="0" xfId="110" applyNumberFormat="1" applyFont="1" applyFill="1" applyBorder="1" applyAlignment="1" applyProtection="1">
      <alignment vertical="center"/>
    </xf>
    <xf numFmtId="180" fontId="14" fillId="0" borderId="0" xfId="0" applyNumberFormat="1" applyFont="1" applyFill="1">
      <alignment vertical="center"/>
    </xf>
    <xf numFmtId="178" fontId="14" fillId="0" borderId="0" xfId="0" applyNumberFormat="1" applyFont="1" applyFill="1">
      <alignment vertical="center"/>
    </xf>
    <xf numFmtId="0" fontId="14" fillId="3" borderId="0" xfId="0" applyFont="1" applyFill="1">
      <alignment vertical="center"/>
    </xf>
    <xf numFmtId="180" fontId="14" fillId="3" borderId="0" xfId="0" applyNumberFormat="1" applyFont="1" applyFill="1">
      <alignment vertical="center"/>
    </xf>
    <xf numFmtId="178" fontId="1" fillId="0" borderId="49" xfId="110" applyNumberFormat="1" applyFont="1" applyFill="1" applyBorder="1" applyAlignment="1" applyProtection="1">
      <alignment horizontal="center" vertical="center"/>
    </xf>
    <xf numFmtId="178" fontId="1" fillId="0" borderId="49" xfId="110" applyNumberFormat="1" applyFont="1" applyFill="1" applyBorder="1" applyAlignment="1" applyProtection="1">
      <alignment vertical="center"/>
    </xf>
    <xf numFmtId="0" fontId="14" fillId="0" borderId="0" xfId="0" applyFont="1" applyFill="1" applyAlignment="1">
      <alignment horizontal="center" vertical="center"/>
    </xf>
    <xf numFmtId="178" fontId="14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9" xfId="110" applyFont="1" applyFill="1" applyBorder="1" applyAlignment="1" applyProtection="1">
      <alignment horizontal="center" vertical="center"/>
    </xf>
    <xf numFmtId="181" fontId="1" fillId="0" borderId="49" xfId="110" applyNumberFormat="1" applyFont="1" applyFill="1" applyBorder="1" applyAlignment="1" applyProtection="1">
      <alignment horizontal="center" vertical="center"/>
    </xf>
    <xf numFmtId="0" fontId="16" fillId="0" borderId="49" xfId="115" applyFont="1" applyFill="1" applyBorder="1" applyAlignment="1" applyProtection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178" fontId="1" fillId="0" borderId="4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43" fontId="1" fillId="0" borderId="0" xfId="0" applyNumberFormat="1" applyFont="1" applyFill="1" applyBorder="1" applyAlignment="1">
      <alignment horizontal="center" vertical="center"/>
    </xf>
    <xf numFmtId="18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2" fillId="0" borderId="49" xfId="115" applyFont="1" applyFill="1" applyBorder="1" applyAlignment="1" applyProtection="1">
      <alignment horizontal="center" vertical="center"/>
    </xf>
    <xf numFmtId="43" fontId="2" fillId="0" borderId="49" xfId="115" applyNumberFormat="1" applyFont="1" applyFill="1" applyBorder="1" applyAlignment="1" applyProtection="1">
      <alignment horizontal="center" vertical="center"/>
    </xf>
    <xf numFmtId="43" fontId="13" fillId="0" borderId="49" xfId="0" applyNumberFormat="1" applyFont="1" applyFill="1" applyBorder="1" applyAlignment="1">
      <alignment horizontal="center" vertical="center"/>
    </xf>
    <xf numFmtId="182" fontId="2" fillId="0" borderId="0" xfId="115" applyNumberFormat="1" applyFont="1" applyFill="1" applyAlignment="1" applyProtection="1">
      <alignment horizontal="center" vertical="center"/>
    </xf>
    <xf numFmtId="182" fontId="2" fillId="0" borderId="51" xfId="115" applyNumberFormat="1" applyFont="1" applyFill="1" applyBorder="1" applyAlignment="1" applyProtection="1">
      <alignment horizontal="center" vertical="center"/>
    </xf>
    <xf numFmtId="0" fontId="2" fillId="0" borderId="0" xfId="115" applyFont="1" applyFill="1" applyAlignment="1" applyProtection="1">
      <alignment horizontal="center" vertical="center"/>
    </xf>
    <xf numFmtId="182" fontId="2" fillId="0" borderId="49" xfId="115" applyNumberFormat="1" applyFont="1" applyFill="1" applyBorder="1" applyAlignment="1" applyProtection="1">
      <alignment horizontal="center" vertical="center"/>
    </xf>
    <xf numFmtId="0" fontId="1" fillId="0" borderId="49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0" fontId="2" fillId="0" borderId="49" xfId="3" applyNumberFormat="1" applyFont="1" applyFill="1" applyBorder="1" applyAlignment="1" applyProtection="1">
      <alignment horizontal="center" vertical="center"/>
    </xf>
    <xf numFmtId="0" fontId="2" fillId="0" borderId="0" xfId="115" applyFont="1" applyFill="1" applyBorder="1" applyAlignment="1" applyProtection="1">
      <alignment horizontal="center" vertical="center"/>
    </xf>
    <xf numFmtId="182" fontId="13" fillId="0" borderId="0" xfId="0" applyNumberFormat="1" applyFont="1" applyFill="1" applyBorder="1" applyAlignment="1">
      <alignment horizontal="center" vertical="center"/>
    </xf>
    <xf numFmtId="182" fontId="2" fillId="0" borderId="0" xfId="115" applyNumberFormat="1" applyFont="1" applyFill="1" applyBorder="1" applyAlignment="1" applyProtection="1">
      <alignment horizontal="center" vertical="center"/>
    </xf>
    <xf numFmtId="43" fontId="2" fillId="0" borderId="0" xfId="115" applyNumberFormat="1" applyFont="1" applyFill="1" applyAlignment="1" applyProtection="1">
      <alignment horizontal="center" vertical="center"/>
    </xf>
    <xf numFmtId="57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2" fillId="0" borderId="49" xfId="0" applyFont="1" applyFill="1" applyBorder="1" applyAlignment="1" applyProtection="1">
      <alignment wrapText="1"/>
    </xf>
    <xf numFmtId="178" fontId="2" fillId="0" borderId="49" xfId="0" applyNumberFormat="1" applyFont="1" applyFill="1" applyBorder="1" applyAlignment="1" applyProtection="1">
      <alignment wrapText="1"/>
    </xf>
    <xf numFmtId="182" fontId="2" fillId="0" borderId="49" xfId="0" applyNumberFormat="1" applyFont="1" applyFill="1" applyBorder="1" applyAlignment="1" applyProtection="1">
      <alignment wrapText="1"/>
    </xf>
    <xf numFmtId="10" fontId="2" fillId="0" borderId="49" xfId="3" applyNumberFormat="1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2" fillId="0" borderId="49" xfId="0" applyFont="1" applyFill="1" applyBorder="1" applyAlignment="1" applyProtection="1">
      <alignment horizontal="center" wrapText="1"/>
    </xf>
    <xf numFmtId="0" fontId="2" fillId="0" borderId="49" xfId="0" applyFont="1" applyFill="1" applyBorder="1" applyAlignment="1" applyProtection="1"/>
    <xf numFmtId="0" fontId="2" fillId="0" borderId="49" xfId="0" applyFont="1" applyFill="1" applyBorder="1" applyAlignment="1" applyProtection="1">
      <alignment horizontal="left" wrapText="1"/>
    </xf>
    <xf numFmtId="182" fontId="2" fillId="0" borderId="49" xfId="0" applyNumberFormat="1" applyFont="1" applyFill="1" applyBorder="1" applyAlignment="1" applyProtection="1"/>
    <xf numFmtId="10" fontId="2" fillId="0" borderId="49" xfId="3" applyNumberFormat="1" applyFont="1" applyFill="1" applyBorder="1" applyAlignment="1" applyProtection="1"/>
    <xf numFmtId="178" fontId="2" fillId="0" borderId="49" xfId="0" applyNumberFormat="1" applyFont="1" applyFill="1" applyBorder="1" applyAlignment="1" applyProtection="1"/>
    <xf numFmtId="0" fontId="2" fillId="0" borderId="0" xfId="0" applyFont="1" applyFill="1" applyAlignment="1" applyProtection="1"/>
    <xf numFmtId="0" fontId="2" fillId="0" borderId="0" xfId="0" applyFont="1" applyFill="1" applyAlignment="1" applyProtection="1">
      <alignment horizontal="left" wrapText="1"/>
    </xf>
    <xf numFmtId="182" fontId="2" fillId="0" borderId="0" xfId="0" applyNumberFormat="1" applyFont="1" applyFill="1" applyAlignment="1" applyProtection="1"/>
    <xf numFmtId="10" fontId="2" fillId="0" borderId="0" xfId="3" applyNumberFormat="1" applyFont="1" applyFill="1" applyAlignment="1" applyProtection="1"/>
    <xf numFmtId="0" fontId="2" fillId="0" borderId="53" xfId="0" applyFont="1" applyFill="1" applyBorder="1" applyAlignment="1" applyProtection="1">
      <alignment horizontal="left" wrapText="1"/>
    </xf>
    <xf numFmtId="0" fontId="2" fillId="0" borderId="55" xfId="0" applyFont="1" applyFill="1" applyBorder="1" applyAlignment="1" applyProtection="1">
      <alignment horizontal="left" wrapText="1"/>
    </xf>
    <xf numFmtId="0" fontId="13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10" fillId="0" borderId="49" xfId="0" applyFont="1" applyFill="1" applyBorder="1" applyAlignment="1" applyProtection="1">
      <alignment horizontal="center" vertical="center"/>
    </xf>
    <xf numFmtId="0" fontId="2" fillId="0" borderId="49" xfId="0" applyFont="1" applyFill="1" applyBorder="1" applyAlignment="1" applyProtection="1">
      <alignment horizontal="center" vertical="center"/>
    </xf>
    <xf numFmtId="0" fontId="13" fillId="0" borderId="49" xfId="0" applyFont="1" applyFill="1" applyBorder="1">
      <alignment vertical="center"/>
    </xf>
    <xf numFmtId="0" fontId="13" fillId="0" borderId="49" xfId="0" applyFont="1" applyFill="1" applyBorder="1" applyAlignment="1">
      <alignment horizontal="center" vertical="center"/>
    </xf>
    <xf numFmtId="0" fontId="2" fillId="0" borderId="49" xfId="0" applyFont="1" applyFill="1" applyBorder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43" fontId="2" fillId="0" borderId="0" xfId="115" applyNumberFormat="1" applyFont="1" applyFill="1" applyBorder="1" applyAlignment="1" applyProtection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49" xfId="0" applyFont="1" applyFill="1" applyBorder="1" applyAlignment="1">
      <alignment horizontal="center" vertical="center"/>
    </xf>
    <xf numFmtId="43" fontId="21" fillId="0" borderId="49" xfId="0" applyNumberFormat="1" applyFont="1" applyFill="1" applyBorder="1" applyAlignment="1">
      <alignment horizontal="center" vertical="center"/>
    </xf>
    <xf numFmtId="43" fontId="22" fillId="0" borderId="49" xfId="0" applyNumberFormat="1" applyFont="1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43" fontId="15" fillId="0" borderId="49" xfId="115" applyNumberFormat="1" applyFont="1" applyFill="1" applyBorder="1" applyAlignment="1" applyProtection="1">
      <alignment horizontal="center" vertical="center"/>
    </xf>
    <xf numFmtId="43" fontId="23" fillId="0" borderId="49" xfId="115" applyNumberFormat="1" applyFont="1" applyFill="1" applyBorder="1" applyAlignment="1" applyProtection="1">
      <alignment vertical="center"/>
    </xf>
    <xf numFmtId="0" fontId="13" fillId="0" borderId="49" xfId="0" applyFont="1" applyFill="1" applyBorder="1" applyAlignment="1">
      <alignment horizontal="left" vertical="center"/>
    </xf>
    <xf numFmtId="43" fontId="13" fillId="4" borderId="49" xfId="0" applyNumberFormat="1" applyFont="1" applyFill="1" applyBorder="1" applyAlignment="1">
      <alignment horizontal="center" vertical="center"/>
    </xf>
    <xf numFmtId="178" fontId="2" fillId="4" borderId="49" xfId="119" applyNumberFormat="1" applyFont="1" applyFill="1" applyBorder="1" applyAlignment="1">
      <alignment vertical="center"/>
    </xf>
    <xf numFmtId="0" fontId="21" fillId="0" borderId="53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0" borderId="55" xfId="0" applyFont="1" applyFill="1" applyBorder="1" applyAlignment="1">
      <alignment horizontal="center" vertical="center"/>
    </xf>
    <xf numFmtId="43" fontId="21" fillId="0" borderId="49" xfId="0" applyNumberFormat="1" applyFont="1" applyFill="1" applyBorder="1" applyAlignment="1">
      <alignment vertical="center"/>
    </xf>
    <xf numFmtId="43" fontId="13" fillId="0" borderId="0" xfId="0" applyNumberFormat="1" applyFont="1" applyFill="1" applyAlignment="1">
      <alignment horizontal="center" vertical="center"/>
    </xf>
    <xf numFmtId="43" fontId="13" fillId="0" borderId="49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43" fontId="13" fillId="0" borderId="0" xfId="0" applyNumberFormat="1" applyFont="1" applyFill="1" applyBorder="1" applyAlignment="1">
      <alignment vertical="center"/>
    </xf>
    <xf numFmtId="43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178" fontId="16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>
      <alignment vertical="center"/>
    </xf>
    <xf numFmtId="178" fontId="13" fillId="0" borderId="0" xfId="0" applyNumberFormat="1" applyFont="1" applyFill="1">
      <alignment vertical="center"/>
    </xf>
    <xf numFmtId="178" fontId="16" fillId="0" borderId="49" xfId="0" applyNumberFormat="1" applyFont="1" applyFill="1" applyBorder="1" applyAlignment="1">
      <alignment horizontal="center" vertical="center"/>
    </xf>
    <xf numFmtId="178" fontId="16" fillId="0" borderId="53" xfId="0" applyNumberFormat="1" applyFont="1" applyFill="1" applyBorder="1" applyAlignment="1">
      <alignment horizontal="center" vertical="center"/>
    </xf>
    <xf numFmtId="178" fontId="16" fillId="0" borderId="54" xfId="0" applyNumberFormat="1" applyFont="1" applyFill="1" applyBorder="1" applyAlignment="1">
      <alignment horizontal="center" vertical="center"/>
    </xf>
    <xf numFmtId="178" fontId="16" fillId="0" borderId="55" xfId="0" applyNumberFormat="1" applyFont="1" applyFill="1" applyBorder="1" applyAlignment="1">
      <alignment horizontal="center" vertical="center"/>
    </xf>
    <xf numFmtId="178" fontId="21" fillId="0" borderId="53" xfId="0" applyNumberFormat="1" applyFont="1" applyFill="1" applyBorder="1" applyAlignment="1">
      <alignment horizontal="center" vertical="center"/>
    </xf>
    <xf numFmtId="178" fontId="21" fillId="0" borderId="54" xfId="0" applyNumberFormat="1" applyFont="1" applyFill="1" applyBorder="1" applyAlignment="1">
      <alignment horizontal="center" vertical="center"/>
    </xf>
    <xf numFmtId="178" fontId="21" fillId="0" borderId="55" xfId="0" applyNumberFormat="1" applyFont="1" applyFill="1" applyBorder="1" applyAlignment="1">
      <alignment horizontal="center" vertical="center"/>
    </xf>
    <xf numFmtId="178" fontId="21" fillId="0" borderId="49" xfId="0" applyNumberFormat="1" applyFont="1" applyFill="1" applyBorder="1" applyAlignment="1">
      <alignment horizontal="center" vertical="center"/>
    </xf>
    <xf numFmtId="178" fontId="13" fillId="0" borderId="53" xfId="0" applyNumberFormat="1" applyFont="1" applyFill="1" applyBorder="1" applyAlignment="1">
      <alignment horizontal="center" vertical="center"/>
    </xf>
    <xf numFmtId="178" fontId="13" fillId="0" borderId="54" xfId="0" applyNumberFormat="1" applyFont="1" applyFill="1" applyBorder="1" applyAlignment="1">
      <alignment horizontal="center" vertical="center"/>
    </xf>
    <xf numFmtId="178" fontId="16" fillId="0" borderId="49" xfId="110" applyNumberFormat="1" applyFont="1" applyFill="1" applyBorder="1" applyAlignment="1" applyProtection="1">
      <alignment horizontal="center" vertical="center" wrapText="1"/>
    </xf>
    <xf numFmtId="178" fontId="13" fillId="0" borderId="49" xfId="0" applyNumberFormat="1" applyFont="1" applyFill="1" applyBorder="1" applyAlignment="1">
      <alignment horizontal="center" vertical="center" wrapText="1"/>
    </xf>
    <xf numFmtId="178" fontId="24" fillId="0" borderId="49" xfId="0" applyNumberFormat="1" applyFont="1" applyFill="1" applyBorder="1" applyAlignment="1">
      <alignment horizontal="center" vertical="center" wrapText="1"/>
    </xf>
    <xf numFmtId="178" fontId="13" fillId="0" borderId="49" xfId="0" applyNumberFormat="1" applyFont="1" applyFill="1" applyBorder="1">
      <alignment vertical="center"/>
    </xf>
    <xf numFmtId="178" fontId="21" fillId="0" borderId="49" xfId="0" applyNumberFormat="1" applyFont="1" applyFill="1" applyBorder="1">
      <alignment vertical="center"/>
    </xf>
    <xf numFmtId="0" fontId="16" fillId="0" borderId="51" xfId="0" applyFont="1" applyFill="1" applyBorder="1" applyAlignment="1">
      <alignment horizontal="center" vertical="center"/>
    </xf>
    <xf numFmtId="0" fontId="16" fillId="0" borderId="49" xfId="110" applyFont="1" applyFill="1" applyBorder="1" applyAlignment="1" applyProtection="1">
      <alignment horizontal="center" vertical="center"/>
    </xf>
    <xf numFmtId="0" fontId="15" fillId="0" borderId="49" xfId="110" applyFont="1" applyFill="1" applyBorder="1" applyAlignment="1" applyProtection="1">
      <alignment horizontal="center" vertical="center"/>
    </xf>
    <xf numFmtId="0" fontId="16" fillId="0" borderId="49" xfId="0" applyFont="1" applyFill="1" applyBorder="1" applyAlignment="1" applyProtection="1">
      <alignment horizontal="center" vertical="center"/>
    </xf>
    <xf numFmtId="0" fontId="16" fillId="0" borderId="49" xfId="110" applyFont="1" applyFill="1" applyBorder="1" applyAlignment="1" applyProtection="1">
      <alignment horizontal="center" vertical="center" wrapText="1"/>
    </xf>
    <xf numFmtId="181" fontId="16" fillId="0" borderId="49" xfId="110" applyNumberFormat="1" applyFont="1" applyFill="1" applyBorder="1" applyAlignment="1" applyProtection="1">
      <alignment horizontal="center" vertical="center"/>
    </xf>
    <xf numFmtId="0" fontId="25" fillId="0" borderId="49" xfId="0" applyFont="1" applyFill="1" applyBorder="1" applyAlignment="1">
      <alignment horizontal="center" vertical="center" wrapText="1"/>
    </xf>
    <xf numFmtId="0" fontId="10" fillId="0" borderId="49" xfId="117" applyFont="1" applyFill="1" applyBorder="1">
      <alignment vertical="center"/>
    </xf>
    <xf numFmtId="0" fontId="2" fillId="0" borderId="49" xfId="117" applyFont="1" applyFill="1" applyBorder="1">
      <alignment vertical="center"/>
    </xf>
    <xf numFmtId="0" fontId="2" fillId="0" borderId="49" xfId="117" applyFont="1" applyFill="1" applyBorder="1" applyAlignment="1">
      <alignment horizontal="center" vertical="center"/>
    </xf>
    <xf numFmtId="9" fontId="1" fillId="0" borderId="49" xfId="0" applyNumberFormat="1" applyFont="1" applyFill="1" applyBorder="1" applyAlignment="1" applyProtection="1">
      <alignment horizontal="center" vertical="center"/>
    </xf>
    <xf numFmtId="178" fontId="1" fillId="0" borderId="49" xfId="0" applyNumberFormat="1" applyFont="1" applyFill="1" applyBorder="1">
      <alignment vertical="center"/>
    </xf>
    <xf numFmtId="178" fontId="2" fillId="0" borderId="49" xfId="116" applyNumberFormat="1" applyFont="1" applyFill="1" applyBorder="1" applyAlignment="1">
      <alignment horizontal="center" vertical="center"/>
    </xf>
    <xf numFmtId="0" fontId="16" fillId="0" borderId="53" xfId="0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horizontal="center" vertical="center"/>
    </xf>
    <xf numFmtId="178" fontId="1" fillId="4" borderId="49" xfId="0" applyNumberFormat="1" applyFont="1" applyFill="1" applyBorder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4" fillId="0" borderId="49" xfId="0" applyFont="1" applyFill="1" applyBorder="1" applyAlignment="1">
      <alignment horizontal="left" vertical="center" wrapText="1"/>
    </xf>
    <xf numFmtId="0" fontId="14" fillId="0" borderId="49" xfId="0" applyFont="1" applyFill="1" applyBorder="1">
      <alignment vertical="center"/>
    </xf>
    <xf numFmtId="9" fontId="14" fillId="0" borderId="0" xfId="3" applyFont="1" applyFill="1">
      <alignment vertical="center"/>
    </xf>
    <xf numFmtId="0" fontId="14" fillId="0" borderId="49" xfId="0" applyFont="1" applyFill="1" applyBorder="1" applyAlignment="1">
      <alignment horizontal="left" vertical="center"/>
    </xf>
    <xf numFmtId="10" fontId="14" fillId="0" borderId="49" xfId="3" applyNumberFormat="1" applyFont="1" applyFill="1" applyBorder="1">
      <alignment vertical="center"/>
    </xf>
    <xf numFmtId="0" fontId="14" fillId="0" borderId="53" xfId="0" applyFont="1" applyFill="1" applyBorder="1" applyAlignment="1">
      <alignment horizontal="left" vertical="center"/>
    </xf>
    <xf numFmtId="0" fontId="14" fillId="0" borderId="55" xfId="0" applyFont="1" applyFill="1" applyBorder="1" applyAlignment="1">
      <alignment horizontal="left" vertical="center"/>
    </xf>
    <xf numFmtId="0" fontId="14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78" fontId="13" fillId="2" borderId="0" xfId="0" applyNumberFormat="1" applyFont="1" applyFill="1">
      <alignment vertical="center"/>
    </xf>
    <xf numFmtId="178" fontId="13" fillId="2" borderId="0" xfId="0" applyNumberFormat="1" applyFont="1" applyFill="1" applyAlignment="1">
      <alignment vertical="center" wrapText="1"/>
    </xf>
    <xf numFmtId="178" fontId="14" fillId="2" borderId="0" xfId="0" applyNumberFormat="1" applyFont="1" applyFill="1">
      <alignment vertical="center"/>
    </xf>
    <xf numFmtId="0" fontId="2" fillId="2" borderId="0" xfId="110" applyFont="1" applyFill="1" applyAlignment="1" applyProtection="1">
      <alignment horizontal="center" vertical="center"/>
    </xf>
    <xf numFmtId="178" fontId="2" fillId="2" borderId="0" xfId="110" applyNumberFormat="1" applyFont="1" applyFill="1" applyAlignment="1" applyProtection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2" fillId="2" borderId="49" xfId="110" applyFont="1" applyFill="1" applyBorder="1" applyAlignment="1" applyProtection="1">
      <alignment horizontal="center" vertical="center"/>
    </xf>
    <xf numFmtId="178" fontId="2" fillId="2" borderId="49" xfId="119" applyNumberFormat="1" applyFont="1" applyFill="1" applyBorder="1" applyAlignment="1" applyProtection="1">
      <alignment horizontal="center" vertical="center"/>
    </xf>
    <xf numFmtId="178" fontId="2" fillId="2" borderId="49" xfId="119" applyNumberFormat="1" applyFont="1" applyFill="1" applyBorder="1" applyAlignment="1" applyProtection="1">
      <alignment horizontal="center" vertical="center" wrapText="1"/>
    </xf>
    <xf numFmtId="178" fontId="2" fillId="2" borderId="55" xfId="110" applyNumberFormat="1" applyFont="1" applyFill="1" applyBorder="1" applyAlignment="1" applyProtection="1">
      <alignment horizontal="center" vertical="center" wrapText="1"/>
    </xf>
    <xf numFmtId="178" fontId="2" fillId="2" borderId="49" xfId="110" applyNumberFormat="1" applyFont="1" applyFill="1" applyBorder="1" applyAlignment="1" applyProtection="1">
      <alignment horizontal="center" vertical="center" wrapText="1"/>
    </xf>
    <xf numFmtId="0" fontId="1" fillId="2" borderId="57" xfId="0" applyFont="1" applyFill="1" applyBorder="1" applyAlignment="1">
      <alignment horizontal="center" vertical="center"/>
    </xf>
    <xf numFmtId="178" fontId="2" fillId="2" borderId="54" xfId="110" applyNumberFormat="1" applyFont="1" applyFill="1" applyBorder="1" applyAlignment="1" applyProtection="1">
      <alignment horizontal="center" vertical="center" wrapText="1"/>
    </xf>
    <xf numFmtId="178" fontId="2" fillId="2" borderId="53" xfId="110" applyNumberFormat="1" applyFont="1" applyFill="1" applyBorder="1" applyAlignment="1" applyProtection="1">
      <alignment horizontal="center" vertical="center" wrapText="1"/>
    </xf>
    <xf numFmtId="0" fontId="1" fillId="2" borderId="58" xfId="0" applyFont="1" applyFill="1" applyBorder="1" applyAlignment="1">
      <alignment horizontal="center" vertical="center"/>
    </xf>
    <xf numFmtId="178" fontId="2" fillId="2" borderId="49" xfId="110" applyNumberFormat="1" applyFont="1" applyFill="1" applyBorder="1" applyAlignment="1" applyProtection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9" xfId="110" applyFont="1" applyFill="1" applyBorder="1" applyAlignment="1" applyProtection="1">
      <alignment horizontal="center" vertical="center"/>
    </xf>
    <xf numFmtId="178" fontId="1" fillId="2" borderId="49" xfId="110" applyNumberFormat="1" applyFont="1" applyFill="1" applyBorder="1" applyAlignment="1" applyProtection="1">
      <alignment vertical="center"/>
    </xf>
    <xf numFmtId="178" fontId="2" fillId="2" borderId="49" xfId="110" applyNumberFormat="1" applyFont="1" applyFill="1" applyBorder="1" applyAlignment="1" applyProtection="1">
      <alignment vertical="center"/>
    </xf>
    <xf numFmtId="178" fontId="2" fillId="2" borderId="49" xfId="119" applyNumberFormat="1" applyFont="1" applyFill="1" applyBorder="1" applyAlignment="1">
      <alignment vertical="center"/>
    </xf>
    <xf numFmtId="178" fontId="2" fillId="2" borderId="49" xfId="110" applyNumberFormat="1" applyFont="1" applyFill="1" applyBorder="1" applyAlignment="1" applyProtection="1">
      <alignment vertical="center" wrapText="1"/>
    </xf>
    <xf numFmtId="0" fontId="2" fillId="2" borderId="53" xfId="110" applyFont="1" applyFill="1" applyBorder="1" applyAlignment="1" applyProtection="1">
      <alignment horizontal="center" vertical="center"/>
    </xf>
    <xf numFmtId="0" fontId="2" fillId="2" borderId="55" xfId="110" applyFont="1" applyFill="1" applyBorder="1" applyAlignment="1" applyProtection="1">
      <alignment horizontal="center" vertical="center"/>
    </xf>
    <xf numFmtId="178" fontId="2" fillId="2" borderId="56" xfId="119" applyNumberFormat="1" applyFont="1" applyFill="1" applyBorder="1" applyAlignment="1" applyProtection="1">
      <alignment horizontal="center" vertical="center"/>
    </xf>
    <xf numFmtId="0" fontId="2" fillId="2" borderId="0" xfId="110" applyFont="1" applyFill="1" applyBorder="1" applyAlignment="1" applyProtection="1">
      <alignment vertical="center"/>
    </xf>
    <xf numFmtId="0" fontId="2" fillId="2" borderId="0" xfId="110" applyFont="1" applyFill="1" applyAlignment="1" applyProtection="1">
      <alignment horizontal="center"/>
    </xf>
    <xf numFmtId="178" fontId="2" fillId="2" borderId="0" xfId="119" applyNumberFormat="1" applyFont="1" applyFill="1" applyAlignment="1" applyProtection="1">
      <alignment horizontal="center" vertical="center"/>
    </xf>
    <xf numFmtId="178" fontId="2" fillId="2" borderId="0" xfId="119" applyNumberFormat="1" applyFont="1" applyFill="1" applyAlignment="1" applyProtection="1">
      <alignment horizontal="center" vertical="center" wrapText="1"/>
    </xf>
    <xf numFmtId="178" fontId="2" fillId="2" borderId="0" xfId="110" applyNumberFormat="1" applyFont="1" applyFill="1" applyAlignment="1" applyProtection="1">
      <alignment vertical="center"/>
    </xf>
    <xf numFmtId="0" fontId="2" fillId="2" borderId="0" xfId="110" applyFont="1" applyFill="1" applyAlignment="1" applyProtection="1">
      <alignment vertical="center"/>
    </xf>
    <xf numFmtId="178" fontId="2" fillId="2" borderId="56" xfId="110" applyNumberFormat="1" applyFont="1" applyFill="1" applyBorder="1" applyAlignment="1" applyProtection="1">
      <alignment horizontal="center" vertical="center"/>
    </xf>
    <xf numFmtId="178" fontId="2" fillId="2" borderId="57" xfId="110" applyNumberFormat="1" applyFont="1" applyFill="1" applyBorder="1" applyAlignment="1" applyProtection="1">
      <alignment horizontal="center" vertical="center"/>
    </xf>
    <xf numFmtId="178" fontId="2" fillId="2" borderId="58" xfId="110" applyNumberFormat="1" applyFont="1" applyFill="1" applyBorder="1" applyAlignment="1" applyProtection="1">
      <alignment horizontal="center" vertical="center"/>
    </xf>
    <xf numFmtId="178" fontId="2" fillId="2" borderId="0" xfId="110" applyNumberFormat="1" applyFont="1" applyFill="1" applyBorder="1" applyAlignment="1" applyProtection="1">
      <alignment horizontal="center" vertical="center" wrapText="1"/>
    </xf>
    <xf numFmtId="179" fontId="2" fillId="2" borderId="49" xfId="110" applyNumberFormat="1" applyFont="1" applyFill="1" applyBorder="1" applyAlignment="1" applyProtection="1">
      <alignment horizontal="center" vertical="center"/>
    </xf>
    <xf numFmtId="178" fontId="2" fillId="2" borderId="0" xfId="110" applyNumberFormat="1" applyFont="1" applyFill="1" applyBorder="1" applyAlignment="1" applyProtection="1">
      <alignment vertical="center"/>
    </xf>
    <xf numFmtId="178" fontId="1" fillId="2" borderId="49" xfId="119" applyNumberFormat="1" applyFont="1" applyFill="1" applyBorder="1" applyAlignment="1" applyProtection="1">
      <alignment horizontal="center" vertical="center"/>
    </xf>
    <xf numFmtId="43" fontId="1" fillId="2" borderId="0" xfId="110" applyNumberFormat="1" applyFont="1" applyFill="1" applyBorder="1" applyAlignment="1" applyProtection="1">
      <alignment horizontal="center" vertical="center"/>
    </xf>
    <xf numFmtId="178" fontId="2" fillId="2" borderId="0" xfId="110" applyNumberFormat="1" applyFont="1" applyFill="1" applyProtection="1"/>
    <xf numFmtId="178" fontId="2" fillId="2" borderId="0" xfId="110" applyNumberFormat="1" applyFont="1" applyFill="1" applyAlignment="1" applyProtection="1">
      <alignment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" fillId="0" borderId="56" xfId="0" applyFont="1" applyFill="1" applyBorder="1" applyAlignment="1" applyProtection="1">
      <alignment horizontal="center" vertical="center"/>
    </xf>
    <xf numFmtId="0" fontId="2" fillId="4" borderId="49" xfId="0" applyFont="1" applyFill="1" applyBorder="1" applyAlignment="1" applyProtection="1"/>
    <xf numFmtId="0" fontId="2" fillId="5" borderId="49" xfId="0" applyFont="1" applyFill="1" applyBorder="1" applyAlignment="1" applyProtection="1"/>
    <xf numFmtId="0" fontId="13" fillId="0" borderId="0" xfId="0" applyFont="1" applyAlignment="1">
      <alignment horizontal="center" vertical="center" wrapText="1"/>
    </xf>
    <xf numFmtId="0" fontId="2" fillId="0" borderId="58" xfId="0" applyFont="1" applyFill="1" applyBorder="1" applyAlignment="1" applyProtection="1">
      <alignment horizontal="center" vertical="center"/>
    </xf>
    <xf numFmtId="0" fontId="13" fillId="0" borderId="49" xfId="0" applyFont="1" applyBorder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26" fillId="0" borderId="59" xfId="0" applyFont="1" applyFill="1" applyBorder="1" applyAlignment="1" applyProtection="1">
      <alignment horizontal="center" vertical="center"/>
    </xf>
    <xf numFmtId="0" fontId="26" fillId="0" borderId="0" xfId="0" applyFont="1" applyFill="1" applyAlignment="1" applyProtection="1">
      <alignment horizontal="center" vertical="center"/>
    </xf>
    <xf numFmtId="57" fontId="27" fillId="0" borderId="0" xfId="0" applyNumberFormat="1" applyFont="1" applyFill="1" applyAlignment="1" applyProtection="1">
      <alignment horizontal="center" vertical="center"/>
    </xf>
    <xf numFmtId="0" fontId="27" fillId="0" borderId="0" xfId="0" applyFont="1" applyFill="1" applyAlignment="1" applyProtection="1">
      <alignment horizontal="center" vertical="center"/>
    </xf>
    <xf numFmtId="0" fontId="27" fillId="0" borderId="49" xfId="0" applyFont="1" applyFill="1" applyBorder="1" applyAlignment="1" applyProtection="1">
      <alignment horizontal="center" vertical="center"/>
    </xf>
    <xf numFmtId="0" fontId="27" fillId="0" borderId="56" xfId="0" applyFont="1" applyFill="1" applyBorder="1" applyAlignment="1" applyProtection="1">
      <alignment horizontal="center" vertical="center"/>
    </xf>
    <xf numFmtId="0" fontId="28" fillId="0" borderId="49" xfId="0" applyFont="1" applyFill="1" applyBorder="1" applyAlignment="1" applyProtection="1">
      <alignment horizontal="center" vertical="center"/>
    </xf>
    <xf numFmtId="43" fontId="29" fillId="0" borderId="49" xfId="0" applyNumberFormat="1" applyFont="1" applyFill="1" applyBorder="1" applyAlignment="1" applyProtection="1">
      <alignment horizontal="center" vertical="center"/>
    </xf>
    <xf numFmtId="0" fontId="27" fillId="0" borderId="57" xfId="0" applyFont="1" applyFill="1" applyBorder="1" applyAlignment="1" applyProtection="1">
      <alignment horizontal="center" vertical="center"/>
    </xf>
    <xf numFmtId="0" fontId="29" fillId="0" borderId="60" xfId="0" applyFont="1" applyFill="1" applyBorder="1" applyAlignment="1" applyProtection="1">
      <alignment horizontal="center" vertical="center"/>
    </xf>
    <xf numFmtId="0" fontId="29" fillId="0" borderId="0" xfId="0" applyFont="1" applyFill="1" applyAlignment="1" applyProtection="1">
      <alignment horizontal="center" vertical="center"/>
    </xf>
    <xf numFmtId="0" fontId="29" fillId="0" borderId="0" xfId="0" applyFont="1" applyFill="1" applyBorder="1" applyAlignment="1" applyProtection="1">
      <alignment horizontal="center" vertical="center"/>
    </xf>
    <xf numFmtId="0" fontId="0" fillId="0" borderId="49" xfId="0" applyFill="1" applyBorder="1">
      <alignment vertical="center"/>
    </xf>
    <xf numFmtId="0" fontId="27" fillId="0" borderId="55" xfId="0" applyFont="1" applyFill="1" applyBorder="1" applyAlignment="1" applyProtection="1">
      <alignment horizontal="center" vertical="center"/>
    </xf>
    <xf numFmtId="0" fontId="27" fillId="0" borderId="60" xfId="0" applyFont="1" applyFill="1" applyBorder="1" applyAlignment="1" applyProtection="1">
      <alignment horizontal="center" vertical="center"/>
    </xf>
    <xf numFmtId="0" fontId="0" fillId="0" borderId="0" xfId="0" applyFill="1" applyBorder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" fillId="2" borderId="49" xfId="0" applyNumberFormat="1" applyFont="1" applyFill="1" applyBorder="1" applyAlignment="1">
      <alignment horizontal="center" vertical="center"/>
    </xf>
    <xf numFmtId="0" fontId="14" fillId="2" borderId="49" xfId="0" applyFont="1" applyFill="1" applyBorder="1">
      <alignment vertical="center"/>
    </xf>
    <xf numFmtId="0" fontId="13" fillId="2" borderId="0" xfId="0" applyFont="1" applyFill="1" applyAlignment="1">
      <alignment vertical="center"/>
    </xf>
    <xf numFmtId="0" fontId="30" fillId="2" borderId="0" xfId="0" applyFont="1" applyFill="1">
      <alignment vertical="center"/>
    </xf>
    <xf numFmtId="0" fontId="0" fillId="2" borderId="0" xfId="0" applyFill="1">
      <alignment vertical="center"/>
    </xf>
    <xf numFmtId="0" fontId="15" fillId="2" borderId="49" xfId="115" applyFont="1" applyFill="1" applyBorder="1" applyAlignment="1">
      <alignment horizontal="center" vertical="center"/>
    </xf>
    <xf numFmtId="0" fontId="15" fillId="2" borderId="49" xfId="115" applyFont="1" applyFill="1" applyBorder="1" applyAlignment="1" applyProtection="1">
      <alignment horizontal="center" vertical="center"/>
    </xf>
    <xf numFmtId="0" fontId="15" fillId="2" borderId="49" xfId="115" applyFont="1" applyFill="1" applyBorder="1" applyAlignment="1" applyProtection="1">
      <alignment horizontal="center" vertical="center" wrapText="1"/>
    </xf>
    <xf numFmtId="0" fontId="21" fillId="2" borderId="49" xfId="0" applyFont="1" applyFill="1" applyBorder="1" applyAlignment="1">
      <alignment horizontal="center" vertical="center"/>
    </xf>
    <xf numFmtId="0" fontId="16" fillId="2" borderId="49" xfId="115" applyFont="1" applyFill="1" applyBorder="1" applyAlignment="1" applyProtection="1">
      <alignment horizontal="center" vertical="center"/>
    </xf>
    <xf numFmtId="0" fontId="1" fillId="4" borderId="49" xfId="115" applyFont="1" applyFill="1" applyBorder="1" applyAlignment="1" applyProtection="1">
      <alignment horizontal="left" vertical="center" wrapText="1"/>
    </xf>
    <xf numFmtId="0" fontId="1" fillId="4" borderId="49" xfId="115" applyFont="1" applyFill="1" applyBorder="1" applyAlignment="1" applyProtection="1">
      <alignment horizontal="center" vertical="center"/>
    </xf>
    <xf numFmtId="178" fontId="1" fillId="2" borderId="55" xfId="115" applyNumberFormat="1" applyFont="1" applyFill="1" applyBorder="1" applyAlignment="1" applyProtection="1">
      <alignment vertical="center"/>
    </xf>
    <xf numFmtId="178" fontId="2" fillId="2" borderId="49" xfId="115" applyNumberFormat="1" applyFont="1" applyFill="1" applyBorder="1" applyAlignment="1" applyProtection="1">
      <alignment vertical="center"/>
    </xf>
    <xf numFmtId="178" fontId="2" fillId="4" borderId="49" xfId="115" applyNumberFormat="1" applyFont="1" applyFill="1" applyBorder="1" applyAlignment="1" applyProtection="1">
      <alignment vertical="center"/>
    </xf>
    <xf numFmtId="0" fontId="13" fillId="4" borderId="49" xfId="0" applyFont="1" applyFill="1" applyBorder="1" applyAlignment="1">
      <alignment vertical="center"/>
    </xf>
    <xf numFmtId="0" fontId="2" fillId="4" borderId="49" xfId="115" applyFont="1" applyFill="1" applyBorder="1" applyAlignment="1">
      <alignment vertical="center"/>
    </xf>
    <xf numFmtId="178" fontId="2" fillId="2" borderId="49" xfId="115" applyNumberFormat="1" applyFont="1" applyFill="1" applyBorder="1" applyAlignment="1">
      <alignment vertical="center"/>
    </xf>
    <xf numFmtId="0" fontId="2" fillId="2" borderId="53" xfId="115" applyFont="1" applyFill="1" applyBorder="1" applyAlignment="1" applyProtection="1">
      <alignment horizontal="center" vertical="center"/>
    </xf>
    <xf numFmtId="0" fontId="2" fillId="2" borderId="54" xfId="115" applyFont="1" applyFill="1" applyBorder="1" applyAlignment="1" applyProtection="1">
      <alignment horizontal="center" vertical="center"/>
    </xf>
    <xf numFmtId="0" fontId="2" fillId="2" borderId="55" xfId="115" applyFont="1" applyFill="1" applyBorder="1" applyAlignment="1" applyProtection="1">
      <alignment horizontal="center" vertical="center"/>
    </xf>
    <xf numFmtId="178" fontId="2" fillId="2" borderId="49" xfId="115" applyNumberFormat="1" applyFont="1" applyFill="1" applyBorder="1" applyAlignment="1" applyProtection="1">
      <alignment horizontal="center" vertical="center"/>
    </xf>
    <xf numFmtId="0" fontId="13" fillId="2" borderId="49" xfId="0" applyFont="1" applyFill="1" applyBorder="1" applyAlignment="1">
      <alignment vertical="center"/>
    </xf>
    <xf numFmtId="0" fontId="2" fillId="2" borderId="0" xfId="115" applyFont="1" applyFill="1" applyAlignment="1" applyProtection="1">
      <alignment vertical="center"/>
    </xf>
    <xf numFmtId="0" fontId="2" fillId="2" borderId="0" xfId="115" applyFont="1" applyFill="1" applyBorder="1" applyAlignment="1" applyProtection="1">
      <alignment horizontal="right" vertical="center"/>
    </xf>
    <xf numFmtId="178" fontId="13" fillId="2" borderId="0" xfId="0" applyNumberFormat="1" applyFont="1" applyFill="1" applyAlignment="1">
      <alignment vertical="center"/>
    </xf>
    <xf numFmtId="178" fontId="2" fillId="2" borderId="0" xfId="119" applyNumberFormat="1" applyFont="1" applyFill="1" applyBorder="1" applyAlignment="1" applyProtection="1">
      <alignment vertical="center"/>
    </xf>
    <xf numFmtId="178" fontId="2" fillId="2" borderId="49" xfId="115" applyNumberFormat="1" applyFont="1" applyFill="1" applyBorder="1" applyAlignment="1" applyProtection="1">
      <alignment horizontal="left" vertical="center"/>
    </xf>
    <xf numFmtId="178" fontId="13" fillId="2" borderId="49" xfId="0" applyNumberFormat="1" applyFont="1" applyFill="1" applyBorder="1" applyAlignment="1">
      <alignment vertical="center"/>
    </xf>
    <xf numFmtId="10" fontId="2" fillId="2" borderId="49" xfId="3" applyNumberFormat="1" applyFont="1" applyFill="1" applyBorder="1" applyAlignment="1" applyProtection="1">
      <alignment vertical="center"/>
    </xf>
    <xf numFmtId="0" fontId="24" fillId="2" borderId="0" xfId="0" applyFont="1" applyFill="1" applyAlignment="1">
      <alignment vertical="center"/>
    </xf>
    <xf numFmtId="0" fontId="13" fillId="2" borderId="0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left" vertical="center" wrapText="1"/>
    </xf>
    <xf numFmtId="0" fontId="31" fillId="2" borderId="0" xfId="112" applyFont="1" applyFill="1" applyBorder="1" applyAlignment="1">
      <alignment vertical="center"/>
    </xf>
    <xf numFmtId="0" fontId="32" fillId="2" borderId="0" xfId="112" applyFont="1" applyFill="1" applyBorder="1" applyAlignment="1">
      <alignment horizontal="center" vertical="center"/>
    </xf>
    <xf numFmtId="0" fontId="33" fillId="2" borderId="0" xfId="112" applyFont="1" applyFill="1" applyBorder="1" applyAlignment="1">
      <alignment horizontal="center" vertical="center"/>
    </xf>
    <xf numFmtId="0" fontId="34" fillId="2" borderId="0" xfId="112" applyFont="1" applyFill="1" applyBorder="1" applyAlignment="1">
      <alignment horizontal="center" vertical="center"/>
    </xf>
  </cellXfs>
  <cellStyles count="12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 7" xfId="49"/>
    <cellStyle name="? 2 3" xfId="50"/>
    <cellStyle name="20% - 强调文字颜色 1 2" xfId="51"/>
    <cellStyle name="㼿㼿㼿㼿㼿㼿㼿 7" xfId="52"/>
    <cellStyle name="强调文字颜色 2 3 2" xfId="53"/>
    <cellStyle name="20% - 强调文字颜色 2 3 6" xfId="54"/>
    <cellStyle name="40% - 强调文字颜色 1 2 4 2" xfId="55"/>
    <cellStyle name="标题 2 2 3 2" xfId="56"/>
    <cellStyle name="60% - 强调文字颜色 1 3 5" xfId="57"/>
    <cellStyle name="40% - 强调文字颜色 3 3 3 2" xfId="58"/>
    <cellStyle name="㼿㼿 2 2" xfId="59"/>
    <cellStyle name="40% - 强调文字颜色 4 3 4" xfId="60"/>
    <cellStyle name="标题 5 6" xfId="61"/>
    <cellStyle name="强调文字颜色 5 3 3" xfId="62"/>
    <cellStyle name="标题 4 3 6" xfId="63"/>
    <cellStyle name="㼿㼿㼿㼿 4" xfId="64"/>
    <cellStyle name="60% - 强调文字颜色 6 3 2" xfId="65"/>
    <cellStyle name="警告文本 2 7" xfId="66"/>
    <cellStyle name="60% - 强调文字颜色 4 2 2 2" xfId="67"/>
    <cellStyle name="适中 2 4 2" xfId="68"/>
    <cellStyle name="强调文字颜色 3 2 3 2" xfId="69"/>
    <cellStyle name="60% - 强调文字颜色 2 3" xfId="70"/>
    <cellStyle name="40% - 强调文字颜色 2 3 5 2" xfId="71"/>
    <cellStyle name="解释性文本 2 2" xfId="72"/>
    <cellStyle name="20% - 强调文字颜色 5 3 6" xfId="73"/>
    <cellStyle name="百分比 4" xfId="74"/>
    <cellStyle name="强调文字颜色 1 2 3 2" xfId="75"/>
    <cellStyle name="注释 3 2 2" xfId="76"/>
    <cellStyle name="amountBalanceD 2" xfId="77"/>
    <cellStyle name="汇总 3 6 2" xfId="78"/>
    <cellStyle name="Currency [0]" xfId="79"/>
    <cellStyle name="20% - 强调文字颜色 6 3 5" xfId="80"/>
    <cellStyle name="? 6 2" xfId="81"/>
    <cellStyle name="差 2 3 2" xfId="82"/>
    <cellStyle name="输出 3 3" xfId="83"/>
    <cellStyle name="60% - 强调文字颜色 3 2 3 2" xfId="84"/>
    <cellStyle name="20% - 强调文字颜色 3 3" xfId="85"/>
    <cellStyle name="标题 3 2 6 2" xfId="86"/>
    <cellStyle name="40% - 强调文字颜色 6 2 6" xfId="87"/>
    <cellStyle name="docwordCodeD" xfId="88"/>
    <cellStyle name="常规 2 3 3 4" xfId="89"/>
    <cellStyle name="计算 2 2" xfId="90"/>
    <cellStyle name="标题 1 2 6 2" xfId="91"/>
    <cellStyle name="currencyNameD" xfId="92"/>
    <cellStyle name="常规 3 3 5" xfId="93"/>
    <cellStyle name="Normal" xfId="94"/>
    <cellStyle name="Comma [0]" xfId="95"/>
    <cellStyle name="链接单元格 2" xfId="96"/>
    <cellStyle name="常规 5 6" xfId="97"/>
    <cellStyle name="输入 2 4 2" xfId="98"/>
    <cellStyle name="百分比 2" xfId="99"/>
    <cellStyle name="常规 2 18" xfId="100"/>
    <cellStyle name="㼿㼿㼿㼿㼿㼿㼿 3" xfId="101"/>
    <cellStyle name="检查单元格 2 2 2" xfId="102"/>
    <cellStyle name="Comma" xfId="103"/>
    <cellStyle name="Currency" xfId="104"/>
    <cellStyle name="Percent" xfId="105"/>
    <cellStyle name="㼿 2" xfId="106"/>
    <cellStyle name="㼿㼿? 2 2" xfId="107"/>
    <cellStyle name="㼿㼿? 2 3" xfId="108"/>
    <cellStyle name="常规 10" xfId="109"/>
    <cellStyle name="常规 2" xfId="110"/>
    <cellStyle name="强调文字颜色 6 2 4 2" xfId="111"/>
    <cellStyle name="常规 8" xfId="112"/>
    <cellStyle name="常规 2 2" xfId="113"/>
    <cellStyle name="常规 2 4" xfId="114"/>
    <cellStyle name="常规 4" xfId="115"/>
    <cellStyle name="常规 4 2" xfId="116"/>
    <cellStyle name="常规 7" xfId="117"/>
    <cellStyle name="㼿㼿㼿㼿㼿㼿㼿 2 3" xfId="118"/>
    <cellStyle name="千位分隔 2" xfId="119"/>
    <cellStyle name="超链接 2" xfId="120"/>
    <cellStyle name="千位分隔 5" xfId="121"/>
    <cellStyle name="千位分隔 6 3" xfId="122"/>
  </cellStyles>
  <tableStyles count="0" defaultTableStyle="TableStyleMedium2" defaultPivotStyle="PivotStyleLight16"/>
  <colors>
    <mruColors>
      <color rgb="00F9FBFA"/>
      <color rgb="00D8FEB3"/>
      <color rgb="00DFEEC3"/>
      <color rgb="002C843C"/>
      <color rgb="00357B40"/>
      <color rgb="00339966"/>
      <color rgb="00F1AF4F"/>
      <color rgb="00EFAB5A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39966"/>
  </sheetPr>
  <dimension ref="A1:E13"/>
  <sheetViews>
    <sheetView view="pageBreakPreview" zoomScaleNormal="100" workbookViewId="0">
      <selection activeCell="D6" sqref="D6"/>
    </sheetView>
  </sheetViews>
  <sheetFormatPr defaultColWidth="9" defaultRowHeight="14.4" outlineLevelCol="4"/>
  <cols>
    <col min="1" max="1" width="20.3796296296296" style="328" customWidth="1"/>
    <col min="2" max="2" width="16.5" style="328" customWidth="1"/>
    <col min="3" max="3" width="15.75" style="328" customWidth="1"/>
    <col min="4" max="4" width="12.6296296296296" style="328" customWidth="1"/>
    <col min="5" max="5" width="26.25" style="328" customWidth="1"/>
    <col min="6" max="16384" width="9" style="328"/>
  </cols>
  <sheetData>
    <row r="1" spans="1:5">
      <c r="A1" s="357"/>
      <c r="B1" s="357"/>
      <c r="C1" s="357"/>
      <c r="D1" s="357"/>
      <c r="E1" s="357"/>
    </row>
    <row r="2" ht="45" spans="1:5">
      <c r="A2" s="358" t="s">
        <v>0</v>
      </c>
      <c r="B2" s="358"/>
      <c r="C2" s="358"/>
      <c r="D2" s="358"/>
      <c r="E2" s="358"/>
    </row>
    <row r="3" spans="1:5">
      <c r="A3" s="357"/>
      <c r="B3" s="357"/>
      <c r="C3" s="357"/>
      <c r="D3" s="357"/>
      <c r="E3" s="357"/>
    </row>
    <row r="4" ht="70" customHeight="1" spans="1:5">
      <c r="A4" s="357"/>
      <c r="B4" s="357"/>
      <c r="C4" s="357"/>
      <c r="D4" s="357"/>
      <c r="E4" s="357"/>
    </row>
    <row r="5" ht="79.5" customHeight="1" spans="1:5">
      <c r="A5" s="359" t="s">
        <v>1</v>
      </c>
      <c r="B5" s="359"/>
      <c r="C5" s="359"/>
      <c r="D5" s="359"/>
      <c r="E5" s="359"/>
    </row>
    <row r="6" spans="1:5">
      <c r="A6" s="357"/>
      <c r="B6" s="357"/>
      <c r="C6" s="357"/>
      <c r="D6" s="357"/>
      <c r="E6" s="357"/>
    </row>
    <row r="7" ht="33" customHeight="1" spans="1:5">
      <c r="A7" s="357"/>
      <c r="B7" s="357"/>
      <c r="C7" s="357"/>
      <c r="D7" s="357"/>
      <c r="E7" s="357"/>
    </row>
    <row r="8" ht="24.75" customHeight="1" spans="1:5">
      <c r="A8" s="360" t="s">
        <v>2</v>
      </c>
      <c r="B8" s="360"/>
      <c r="C8" s="360"/>
      <c r="D8" s="360"/>
      <c r="E8" s="360"/>
    </row>
    <row r="12" customFormat="1"/>
    <row r="13" customFormat="1"/>
  </sheetData>
  <mergeCells count="3">
    <mergeCell ref="A2:E2"/>
    <mergeCell ref="A5:E5"/>
    <mergeCell ref="A8:E8"/>
  </mergeCells>
  <pageMargins left="2.36180555555556" right="0.236111111111111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39966"/>
    <pageSetUpPr fitToPage="1"/>
  </sheetPr>
  <dimension ref="A2:I31"/>
  <sheetViews>
    <sheetView showZeros="0" tabSelected="1" view="pageBreakPreview" zoomScaleNormal="100" workbookViewId="0">
      <selection activeCell="B18" sqref="B18"/>
    </sheetView>
  </sheetViews>
  <sheetFormatPr defaultColWidth="9" defaultRowHeight="20.1" customHeight="1"/>
  <cols>
    <col min="1" max="1" width="9" style="326"/>
    <col min="2" max="2" width="39.3796296296296" style="326" customWidth="1"/>
    <col min="3" max="3" width="17.8796296296296" style="326" customWidth="1"/>
    <col min="4" max="6" width="14.3796296296296" style="326" customWidth="1"/>
    <col min="7" max="7" width="13.8796296296296" style="326" customWidth="1"/>
    <col min="8" max="8" width="12.25" style="326" customWidth="1"/>
    <col min="9" max="9" width="37.1296296296296" style="326" customWidth="1"/>
    <col min="10" max="16384" width="9" style="326"/>
  </cols>
  <sheetData>
    <row r="2" s="253" customFormat="1" customHeight="1" spans="1:9">
      <c r="A2" s="329" t="s">
        <v>3</v>
      </c>
      <c r="B2" s="329" t="s">
        <v>4</v>
      </c>
      <c r="C2" s="329" t="s">
        <v>5</v>
      </c>
      <c r="D2" s="330" t="s">
        <v>6</v>
      </c>
      <c r="E2" s="331" t="s">
        <v>7</v>
      </c>
      <c r="F2" s="330" t="s">
        <v>8</v>
      </c>
      <c r="G2" s="330" t="s">
        <v>9</v>
      </c>
      <c r="H2" s="330" t="s">
        <v>10</v>
      </c>
      <c r="I2" s="332" t="s">
        <v>11</v>
      </c>
    </row>
    <row r="3" customHeight="1" spans="1:9">
      <c r="A3" s="333" t="s">
        <v>12</v>
      </c>
      <c r="B3" s="334"/>
      <c r="C3" s="335"/>
      <c r="D3" s="336">
        <f>'人员人工-研发人员工资'!H475+'人员人工-研发人员社保'!H475+'人员人工-研发人员公积金'!H475</f>
        <v>0</v>
      </c>
      <c r="E3" s="337">
        <f>'直接投入-领料'!B4+'直接投入-动力'!H30</f>
        <v>0</v>
      </c>
      <c r="F3" s="338">
        <f>RD01!I114</f>
        <v>0</v>
      </c>
      <c r="G3" s="337">
        <f>其他费用!B15</f>
        <v>0</v>
      </c>
      <c r="H3" s="337">
        <f>SUM(D3:G3)</f>
        <v>0</v>
      </c>
      <c r="I3" s="339"/>
    </row>
    <row r="4" customHeight="1" spans="1:9">
      <c r="A4" s="333" t="s">
        <v>13</v>
      </c>
      <c r="B4" s="334"/>
      <c r="C4" s="335"/>
      <c r="D4" s="336">
        <f>'人员人工-研发人员工资'!J475+'人员人工-研发人员社保'!J475+'人员人工-研发人员公积金'!J475</f>
        <v>0</v>
      </c>
      <c r="E4" s="337">
        <f>'直接投入-领料'!B5+'直接投入-动力'!I30</f>
        <v>0</v>
      </c>
      <c r="F4" s="338">
        <f>RD02!I114</f>
        <v>0</v>
      </c>
      <c r="G4" s="337">
        <f>其他费用!C15</f>
        <v>0</v>
      </c>
      <c r="H4" s="337">
        <f t="shared" ref="H4:H12" si="0">SUM(D4:G4)</f>
        <v>0</v>
      </c>
      <c r="I4" s="339"/>
    </row>
    <row r="5" customHeight="1" spans="1:9">
      <c r="A5" s="333" t="s">
        <v>14</v>
      </c>
      <c r="B5" s="334"/>
      <c r="C5" s="335"/>
      <c r="D5" s="336">
        <f>'人员人工-研发人员工资'!L475+'人员人工-研发人员社保'!L475+'人员人工-研发人员公积金'!L475</f>
        <v>0</v>
      </c>
      <c r="E5" s="337">
        <f>'直接投入-领料'!B6+'直接投入-动力'!J30</f>
        <v>0</v>
      </c>
      <c r="F5" s="338">
        <f>RD03!I114</f>
        <v>0</v>
      </c>
      <c r="G5" s="337">
        <f>其他费用!D15</f>
        <v>0</v>
      </c>
      <c r="H5" s="337">
        <f t="shared" si="0"/>
        <v>0</v>
      </c>
      <c r="I5" s="339"/>
    </row>
    <row r="6" customHeight="1" spans="1:9">
      <c r="A6" s="333" t="s">
        <v>15</v>
      </c>
      <c r="B6" s="334"/>
      <c r="C6" s="335"/>
      <c r="D6" s="336">
        <f>'人员人工-研发人员工资'!N475+'人员人工-研发人员社保'!N475+'人员人工-研发人员公积金'!N475</f>
        <v>0</v>
      </c>
      <c r="E6" s="337">
        <f>'直接投入-领料'!B7+'直接投入-动力'!K30</f>
        <v>0</v>
      </c>
      <c r="F6" s="338">
        <f>RD04!I114</f>
        <v>0</v>
      </c>
      <c r="G6" s="337">
        <f>其他费用!E15</f>
        <v>0</v>
      </c>
      <c r="H6" s="337">
        <f t="shared" si="0"/>
        <v>0</v>
      </c>
      <c r="I6" s="339"/>
    </row>
    <row r="7" customHeight="1" spans="1:9">
      <c r="A7" s="333" t="s">
        <v>16</v>
      </c>
      <c r="B7" s="334"/>
      <c r="C7" s="335"/>
      <c r="D7" s="336">
        <f>'人员人工-研发人员工资'!P475+'人员人工-研发人员社保'!P475+'人员人工-研发人员公积金'!P475</f>
        <v>0</v>
      </c>
      <c r="E7" s="337">
        <f>'直接投入-领料'!B8+'直接投入-动力'!L30</f>
        <v>0</v>
      </c>
      <c r="F7" s="338">
        <f>RD05!I114</f>
        <v>0</v>
      </c>
      <c r="G7" s="337">
        <f>其他费用!F15</f>
        <v>0</v>
      </c>
      <c r="H7" s="337">
        <f t="shared" si="0"/>
        <v>0</v>
      </c>
      <c r="I7" s="339"/>
    </row>
    <row r="8" customHeight="1" spans="1:9">
      <c r="A8" s="333" t="s">
        <v>17</v>
      </c>
      <c r="B8" s="334"/>
      <c r="C8" s="335"/>
      <c r="D8" s="336">
        <f>'人员人工-研发人员工资'!R475+'人员人工-研发人员社保'!R475+'人员人工-研发人员公积金'!R475</f>
        <v>0</v>
      </c>
      <c r="E8" s="337">
        <f>'直接投入-领料'!B9+'直接投入-动力'!M30</f>
        <v>0</v>
      </c>
      <c r="F8" s="338">
        <f>RD06!I114</f>
        <v>0</v>
      </c>
      <c r="G8" s="337">
        <f>其他费用!G15</f>
        <v>0</v>
      </c>
      <c r="H8" s="337">
        <f t="shared" si="0"/>
        <v>0</v>
      </c>
      <c r="I8" s="339"/>
    </row>
    <row r="9" customHeight="1" spans="1:9">
      <c r="A9" s="333" t="s">
        <v>18</v>
      </c>
      <c r="B9" s="340"/>
      <c r="C9" s="335"/>
      <c r="D9" s="341">
        <f>'人员人工-研发人员工资'!T475+'人员人工-研发人员社保'!T475+'人员人工-研发人员公积金'!T475</f>
        <v>0</v>
      </c>
      <c r="E9" s="337">
        <f>'直接投入-领料'!B10+'直接投入-动力'!N30</f>
        <v>0</v>
      </c>
      <c r="F9" s="338">
        <f>RD07!I114</f>
        <v>0</v>
      </c>
      <c r="G9" s="337">
        <f>其他费用!H15</f>
        <v>0</v>
      </c>
      <c r="H9" s="337">
        <f t="shared" si="0"/>
        <v>0</v>
      </c>
      <c r="I9" s="339"/>
    </row>
    <row r="10" customHeight="1" spans="1:9">
      <c r="A10" s="333" t="s">
        <v>19</v>
      </c>
      <c r="B10" s="340"/>
      <c r="C10" s="335"/>
      <c r="D10" s="341">
        <f>'人员人工-研发人员工资'!V475+'人员人工-研发人员社保'!V475+'人员人工-研发人员公积金'!V475</f>
        <v>0</v>
      </c>
      <c r="E10" s="337">
        <f>'直接投入-领料'!B11+'直接投入-动力'!O30</f>
        <v>0</v>
      </c>
      <c r="F10" s="338">
        <f>RD08!I114</f>
        <v>0</v>
      </c>
      <c r="G10" s="337">
        <f>其他费用!I15</f>
        <v>0</v>
      </c>
      <c r="H10" s="337">
        <f t="shared" si="0"/>
        <v>0</v>
      </c>
      <c r="I10" s="339"/>
    </row>
    <row r="11" customHeight="1" spans="1:9">
      <c r="A11" s="333" t="s">
        <v>20</v>
      </c>
      <c r="B11" s="340"/>
      <c r="C11" s="335"/>
      <c r="D11" s="341">
        <f>'人员人工-研发人员工资'!X475+'人员人工-研发人员社保'!X475+'人员人工-研发人员公积金'!X475</f>
        <v>0</v>
      </c>
      <c r="E11" s="337">
        <f>'直接投入-领料'!B12+'直接投入-动力'!P30</f>
        <v>0</v>
      </c>
      <c r="F11" s="338">
        <f>RD09!I114</f>
        <v>0</v>
      </c>
      <c r="G11" s="337">
        <f>其他费用!J15</f>
        <v>0</v>
      </c>
      <c r="H11" s="337">
        <f t="shared" si="0"/>
        <v>0</v>
      </c>
      <c r="I11" s="339"/>
    </row>
    <row r="12" customHeight="1" spans="1:9">
      <c r="A12" s="333" t="s">
        <v>21</v>
      </c>
      <c r="B12" s="340"/>
      <c r="C12" s="335"/>
      <c r="D12" s="341">
        <f>'人员人工-研发人员工资'!Z475+'人员人工-研发人员社保'!Z475+'人员人工-研发人员公积金'!Z475</f>
        <v>0</v>
      </c>
      <c r="E12" s="337">
        <f>'直接投入-领料'!B13+'直接投入-动力'!Q30</f>
        <v>0</v>
      </c>
      <c r="F12" s="338">
        <f>RD10!I114</f>
        <v>0</v>
      </c>
      <c r="G12" s="337">
        <f>其他费用!K15</f>
        <v>0</v>
      </c>
      <c r="H12" s="337">
        <f t="shared" si="0"/>
        <v>0</v>
      </c>
      <c r="I12" s="339"/>
    </row>
    <row r="13" customHeight="1" spans="1:9">
      <c r="A13" s="342" t="s">
        <v>22</v>
      </c>
      <c r="B13" s="343"/>
      <c r="C13" s="344"/>
      <c r="D13" s="345">
        <f>SUM(D3:D12)</f>
        <v>0</v>
      </c>
      <c r="E13" s="345">
        <f>SUM(E3:E12)</f>
        <v>0</v>
      </c>
      <c r="F13" s="345">
        <f>SUM(F3:F12)</f>
        <v>0</v>
      </c>
      <c r="G13" s="345">
        <f>SUM(G3:G12)</f>
        <v>0</v>
      </c>
      <c r="H13" s="345">
        <f>SUM(H3:H12)</f>
        <v>0</v>
      </c>
      <c r="I13" s="346"/>
    </row>
    <row r="14" customHeight="1" spans="1:9">
      <c r="A14" s="347"/>
      <c r="B14" s="347"/>
      <c r="C14" s="348"/>
      <c r="D14" s="349"/>
      <c r="E14" s="350"/>
      <c r="F14" s="351" t="s">
        <v>23</v>
      </c>
      <c r="G14" s="351"/>
      <c r="H14" s="352"/>
    </row>
    <row r="15" customHeight="1" spans="1:9">
      <c r="A15" s="347"/>
      <c r="B15" s="347"/>
      <c r="C15" s="348"/>
      <c r="D15" s="349"/>
      <c r="E15" s="350"/>
      <c r="F15" s="351" t="s">
        <v>24</v>
      </c>
      <c r="G15" s="351"/>
      <c r="H15" s="353" t="e">
        <f>H13/H14</f>
        <v>#DIV/0!</v>
      </c>
    </row>
    <row r="16" s="326" customFormat="1" ht="20" customHeight="1" spans="1:9">
      <c r="A16" s="354" t="s">
        <v>25</v>
      </c>
      <c r="C16" s="355"/>
    </row>
    <row r="17" s="327" customFormat="1" ht="33" customHeight="1" spans="1:9">
      <c r="A17" s="356" t="s">
        <v>26</v>
      </c>
      <c r="B17" s="356"/>
      <c r="C17" s="356"/>
      <c r="D17" s="356"/>
      <c r="E17" s="356"/>
      <c r="F17" s="356"/>
      <c r="G17" s="356"/>
      <c r="H17" s="356"/>
      <c r="I17" s="356"/>
    </row>
    <row r="18" s="327" customFormat="1" ht="20" customHeight="1" spans="1:9">
      <c r="A18" s="327" t="s">
        <v>27</v>
      </c>
    </row>
    <row r="19" s="327" customFormat="1" ht="20" customHeight="1" spans="1:9">
      <c r="A19" s="327" t="s">
        <v>28</v>
      </c>
    </row>
    <row r="20" s="328" customFormat="1" ht="20" customHeight="1" spans="1:9">
      <c r="A20" s="327" t="s">
        <v>29</v>
      </c>
    </row>
    <row r="21" ht="20" customHeight="1"/>
    <row r="22" customHeight="1" spans="1:9">
      <c r="D22" s="349">
        <f>ROUND(D3/10000,2)</f>
        <v>0</v>
      </c>
      <c r="E22" s="349">
        <f t="shared" ref="E22:E31" si="1">ROUND(E3/10000,2)</f>
        <v>0</v>
      </c>
      <c r="F22" s="349">
        <f t="shared" ref="F22:F31" si="2">ROUND(F3/10000,2)</f>
        <v>0</v>
      </c>
      <c r="G22" s="349">
        <f t="shared" ref="G22:G31" si="3">ROUND(G3/10000,2)</f>
        <v>0</v>
      </c>
      <c r="H22" s="349">
        <f t="shared" ref="H22:H31" si="4">ROUND(H3/10000,2)</f>
        <v>0</v>
      </c>
    </row>
    <row r="23" customHeight="1" spans="1:9">
      <c r="D23" s="349">
        <f t="shared" ref="D23:D31" si="5">ROUND(D4/10000,2)</f>
        <v>0</v>
      </c>
      <c r="E23" s="349">
        <f t="shared" si="1"/>
        <v>0</v>
      </c>
      <c r="F23" s="349">
        <f t="shared" si="2"/>
        <v>0</v>
      </c>
      <c r="G23" s="349">
        <f t="shared" si="3"/>
        <v>0</v>
      </c>
      <c r="H23" s="349">
        <f t="shared" si="4"/>
        <v>0</v>
      </c>
    </row>
    <row r="24" customHeight="1" spans="1:9">
      <c r="D24" s="349">
        <f t="shared" si="5"/>
        <v>0</v>
      </c>
      <c r="E24" s="349">
        <f t="shared" si="1"/>
        <v>0</v>
      </c>
      <c r="F24" s="349">
        <f t="shared" si="2"/>
        <v>0</v>
      </c>
      <c r="G24" s="349">
        <f t="shared" si="3"/>
        <v>0</v>
      </c>
      <c r="H24" s="349">
        <f t="shared" si="4"/>
        <v>0</v>
      </c>
    </row>
    <row r="25" customHeight="1" spans="1:9">
      <c r="D25" s="349">
        <f t="shared" si="5"/>
        <v>0</v>
      </c>
      <c r="E25" s="349">
        <f t="shared" si="1"/>
        <v>0</v>
      </c>
      <c r="F25" s="349">
        <f t="shared" si="2"/>
        <v>0</v>
      </c>
      <c r="G25" s="349">
        <f t="shared" si="3"/>
        <v>0</v>
      </c>
      <c r="H25" s="349">
        <f t="shared" si="4"/>
        <v>0</v>
      </c>
    </row>
    <row r="26" customHeight="1" spans="1:9">
      <c r="D26" s="349">
        <f t="shared" si="5"/>
        <v>0</v>
      </c>
      <c r="E26" s="349">
        <f t="shared" si="1"/>
        <v>0</v>
      </c>
      <c r="F26" s="349">
        <f t="shared" si="2"/>
        <v>0</v>
      </c>
      <c r="G26" s="349">
        <f t="shared" si="3"/>
        <v>0</v>
      </c>
      <c r="H26" s="349">
        <f t="shared" si="4"/>
        <v>0</v>
      </c>
    </row>
    <row r="27" customHeight="1" spans="1:9">
      <c r="D27" s="349">
        <f t="shared" si="5"/>
        <v>0</v>
      </c>
      <c r="E27" s="349">
        <f t="shared" si="1"/>
        <v>0</v>
      </c>
      <c r="F27" s="349">
        <f t="shared" si="2"/>
        <v>0</v>
      </c>
      <c r="G27" s="349">
        <f t="shared" si="3"/>
        <v>0</v>
      </c>
      <c r="H27" s="349">
        <f t="shared" si="4"/>
        <v>0</v>
      </c>
    </row>
    <row r="28" customHeight="1" spans="1:9">
      <c r="D28" s="349">
        <f t="shared" si="5"/>
        <v>0</v>
      </c>
      <c r="E28" s="349">
        <f t="shared" si="1"/>
        <v>0</v>
      </c>
      <c r="F28" s="349">
        <f t="shared" si="2"/>
        <v>0</v>
      </c>
      <c r="G28" s="349">
        <f t="shared" si="3"/>
        <v>0</v>
      </c>
      <c r="H28" s="349">
        <f t="shared" si="4"/>
        <v>0</v>
      </c>
    </row>
    <row r="29" customHeight="1" spans="1:9">
      <c r="D29" s="349">
        <f t="shared" si="5"/>
        <v>0</v>
      </c>
      <c r="E29" s="349">
        <f t="shared" si="1"/>
        <v>0</v>
      </c>
      <c r="F29" s="349">
        <f t="shared" si="2"/>
        <v>0</v>
      </c>
      <c r="G29" s="349">
        <f t="shared" si="3"/>
        <v>0</v>
      </c>
      <c r="H29" s="349">
        <f t="shared" si="4"/>
        <v>0</v>
      </c>
    </row>
    <row r="30" customHeight="1" spans="1:9">
      <c r="D30" s="349">
        <f t="shared" si="5"/>
        <v>0</v>
      </c>
      <c r="E30" s="349">
        <f t="shared" si="1"/>
        <v>0</v>
      </c>
      <c r="F30" s="349">
        <f t="shared" si="2"/>
        <v>0</v>
      </c>
      <c r="G30" s="349">
        <f t="shared" si="3"/>
        <v>0</v>
      </c>
      <c r="H30" s="349">
        <f t="shared" si="4"/>
        <v>0</v>
      </c>
    </row>
    <row r="31" customHeight="1" spans="1:9">
      <c r="D31" s="349">
        <f t="shared" si="5"/>
        <v>0</v>
      </c>
      <c r="E31" s="349">
        <f t="shared" si="1"/>
        <v>0</v>
      </c>
      <c r="F31" s="349">
        <f t="shared" si="2"/>
        <v>0</v>
      </c>
      <c r="G31" s="349">
        <f t="shared" si="3"/>
        <v>0</v>
      </c>
      <c r="H31" s="349">
        <f t="shared" si="4"/>
        <v>0</v>
      </c>
    </row>
  </sheetData>
  <mergeCells count="4">
    <mergeCell ref="A13:C13"/>
    <mergeCell ref="F14:G14"/>
    <mergeCell ref="F15:G15"/>
    <mergeCell ref="A17:I17"/>
  </mergeCells>
  <pageMargins left="0.7" right="0.7" top="0.75" bottom="0.75" header="0.3" footer="0.3"/>
  <pageSetup paperSize="9" scale="77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480"/>
  <sheetViews>
    <sheetView showZeros="0" view="pageBreakPreview" zoomScaleNormal="100" topLeftCell="A451" workbookViewId="0">
      <selection activeCell="A468" sqref="$A468:$XFD468"/>
    </sheetView>
  </sheetViews>
  <sheetFormatPr defaultColWidth="9" defaultRowHeight="18" customHeight="1"/>
  <cols>
    <col min="1" max="1" width="3.37962962962963" style="252" customWidth="1"/>
    <col min="2" max="2" width="9.5" style="253" customWidth="1"/>
    <col min="3" max="3" width="9" style="254"/>
    <col min="4" max="6" width="8.37962962962963" style="254" customWidth="1"/>
    <col min="7" max="25" width="9" style="256"/>
    <col min="26" max="26" width="9" style="256" customWidth="1"/>
    <col min="27" max="16384" width="9" style="251"/>
  </cols>
  <sheetData>
    <row r="1" customHeight="1" spans="1:41">
      <c r="B1" s="257" t="s">
        <v>30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3" customHeight="1" spans="1:41">
      <c r="A3" s="259" t="s">
        <v>31</v>
      </c>
      <c r="B3" s="260" t="s">
        <v>32</v>
      </c>
      <c r="C3" s="261" t="s">
        <v>33</v>
      </c>
      <c r="D3" s="261" t="s">
        <v>34</v>
      </c>
      <c r="E3" s="262" t="s">
        <v>35</v>
      </c>
      <c r="F3" s="262" t="s">
        <v>36</v>
      </c>
      <c r="G3" s="263" t="str">
        <f>立项!$A$3</f>
        <v>RD01</v>
      </c>
      <c r="H3" s="264"/>
      <c r="I3" s="264" t="str">
        <f>立项!$A$4</f>
        <v>RD02</v>
      </c>
      <c r="J3" s="264"/>
      <c r="K3" s="264" t="str">
        <f>立项!$A$5</f>
        <v>RD03</v>
      </c>
      <c r="L3" s="264"/>
      <c r="M3" s="264" t="str">
        <f>立项!$A$6</f>
        <v>RD04</v>
      </c>
      <c r="N3" s="264"/>
      <c r="O3" s="264" t="str">
        <f>立项!$A$7</f>
        <v>RD05</v>
      </c>
      <c r="P3" s="264"/>
      <c r="Q3" s="264" t="str">
        <f>立项!$A$8</f>
        <v>RD06</v>
      </c>
      <c r="R3" s="264"/>
      <c r="S3" s="264" t="str">
        <f>立项!$A$9</f>
        <v>RD07</v>
      </c>
      <c r="T3" s="264"/>
      <c r="U3" s="264" t="str">
        <f>立项!$A$10</f>
        <v>RD08</v>
      </c>
      <c r="V3" s="264"/>
      <c r="W3" s="264" t="str">
        <f>立项!$A$11</f>
        <v>RD09</v>
      </c>
      <c r="X3" s="264"/>
      <c r="Y3" s="264" t="str">
        <f>立项!$A$12</f>
        <v>RD10</v>
      </c>
      <c r="Z3" s="264"/>
      <c r="AA3" s="322" t="s">
        <v>37</v>
      </c>
      <c r="AB3" s="323" t="s">
        <v>38</v>
      </c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</row>
    <row r="4" customHeight="1" spans="1:41">
      <c r="A4" s="265"/>
      <c r="B4" s="260"/>
      <c r="C4" s="261"/>
      <c r="D4" s="261"/>
      <c r="E4" s="262"/>
      <c r="F4" s="262"/>
      <c r="G4" s="266">
        <f>立项!C3</f>
        <v>0</v>
      </c>
      <c r="H4" s="263"/>
      <c r="I4" s="267">
        <f>立项!C4</f>
        <v>0</v>
      </c>
      <c r="J4" s="263"/>
      <c r="K4" s="267">
        <f>立项!C5</f>
        <v>0</v>
      </c>
      <c r="L4" s="263"/>
      <c r="M4" s="267">
        <f>立项!C6</f>
        <v>0</v>
      </c>
      <c r="N4" s="263"/>
      <c r="O4" s="267">
        <f>立项!C7</f>
        <v>0</v>
      </c>
      <c r="P4" s="263"/>
      <c r="Q4" s="267">
        <f>立项!C8</f>
        <v>0</v>
      </c>
      <c r="R4" s="263"/>
      <c r="S4" s="267">
        <f>立项!C9</f>
        <v>0</v>
      </c>
      <c r="T4" s="263"/>
      <c r="U4" s="267">
        <f>立项!C10</f>
        <v>0</v>
      </c>
      <c r="V4" s="263"/>
      <c r="W4" s="267">
        <f>立项!C11</f>
        <v>0</v>
      </c>
      <c r="X4" s="263"/>
      <c r="Y4" s="264">
        <f>立项!C12</f>
        <v>0</v>
      </c>
      <c r="Z4" s="264"/>
      <c r="AA4" s="322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</row>
    <row r="5" customHeight="1" spans="1:41">
      <c r="A5" s="268"/>
      <c r="B5" s="260"/>
      <c r="C5" s="261"/>
      <c r="D5" s="261"/>
      <c r="E5" s="262"/>
      <c r="F5" s="262"/>
      <c r="G5" s="263" t="s">
        <v>39</v>
      </c>
      <c r="H5" s="269" t="s">
        <v>40</v>
      </c>
      <c r="I5" s="264" t="s">
        <v>39</v>
      </c>
      <c r="J5" s="269" t="s">
        <v>40</v>
      </c>
      <c r="K5" s="264" t="s">
        <v>39</v>
      </c>
      <c r="L5" s="269" t="s">
        <v>40</v>
      </c>
      <c r="M5" s="264" t="s">
        <v>39</v>
      </c>
      <c r="N5" s="269" t="s">
        <v>40</v>
      </c>
      <c r="O5" s="264" t="s">
        <v>39</v>
      </c>
      <c r="P5" s="269" t="s">
        <v>40</v>
      </c>
      <c r="Q5" s="264" t="s">
        <v>39</v>
      </c>
      <c r="R5" s="269" t="s">
        <v>40</v>
      </c>
      <c r="S5" s="264" t="s">
        <v>39</v>
      </c>
      <c r="T5" s="269" t="s">
        <v>40</v>
      </c>
      <c r="U5" s="264" t="s">
        <v>39</v>
      </c>
      <c r="V5" s="269" t="s">
        <v>40</v>
      </c>
      <c r="W5" s="264" t="s">
        <v>39</v>
      </c>
      <c r="X5" s="269" t="s">
        <v>40</v>
      </c>
      <c r="Y5" s="264" t="s">
        <v>39</v>
      </c>
      <c r="Z5" s="269" t="s">
        <v>40</v>
      </c>
      <c r="AA5" s="322"/>
      <c r="AB5" s="323" t="s">
        <v>41</v>
      </c>
      <c r="AC5" s="323" t="s">
        <v>42</v>
      </c>
      <c r="AD5" s="323" t="s">
        <v>43</v>
      </c>
      <c r="AE5" s="323" t="s">
        <v>44</v>
      </c>
      <c r="AF5" s="323" t="s">
        <v>45</v>
      </c>
      <c r="AG5" s="323" t="s">
        <v>46</v>
      </c>
      <c r="AH5" s="323" t="s">
        <v>47</v>
      </c>
      <c r="AI5" s="323" t="s">
        <v>48</v>
      </c>
      <c r="AJ5" s="323" t="s">
        <v>49</v>
      </c>
      <c r="AK5" s="323" t="s">
        <v>50</v>
      </c>
      <c r="AL5" s="323" t="s">
        <v>51</v>
      </c>
      <c r="AM5" s="323" t="s">
        <v>52</v>
      </c>
      <c r="AN5" s="323" t="s">
        <v>53</v>
      </c>
      <c r="AO5" s="323" t="s">
        <v>54</v>
      </c>
    </row>
    <row r="6" customHeight="1" spans="1:41">
      <c r="A6" s="270">
        <v>1</v>
      </c>
      <c r="B6" s="324"/>
      <c r="C6" s="272"/>
      <c r="D6" s="272"/>
      <c r="E6" s="272">
        <f>G6+I6+K6+M6+O6+Q6+S6+U6+W6+Y6</f>
        <v>0</v>
      </c>
      <c r="F6" s="272">
        <f>H6+J6+L6+N6+P6+R6+T6+V6+X6+Z6</f>
        <v>0</v>
      </c>
      <c r="G6" s="273"/>
      <c r="H6" s="274">
        <f>IF($D6=0,0,ROUND(G6/$D6*$C6,2))</f>
        <v>0</v>
      </c>
      <c r="I6" s="273"/>
      <c r="J6" s="274">
        <f t="shared" ref="J6:J35" si="0">IF($D6=0,0,ROUND(I6/$D6*$C6,2))</f>
        <v>0</v>
      </c>
      <c r="K6" s="275"/>
      <c r="L6" s="274">
        <f t="shared" ref="L6:L35" si="1">IF($D6=0,0,ROUND(K6/$D6*$C6,2))</f>
        <v>0</v>
      </c>
      <c r="M6" s="273"/>
      <c r="N6" s="274">
        <f t="shared" ref="N6:N35" si="2">IF($D6=0,0,ROUND(M6/$D6*$C6,2))</f>
        <v>0</v>
      </c>
      <c r="O6" s="273"/>
      <c r="P6" s="274">
        <f t="shared" ref="P6:P35" si="3">IF($D6=0,0,ROUND(O6/$D6*$C6,2))</f>
        <v>0</v>
      </c>
      <c r="Q6" s="273"/>
      <c r="R6" s="274">
        <f t="shared" ref="R6:R35" si="4">IF($D6=0,0,ROUND(Q6/$D6*$C6,2))</f>
        <v>0</v>
      </c>
      <c r="S6" s="273"/>
      <c r="T6" s="274">
        <f t="shared" ref="T6:T35" si="5">IF($D6=0,0,ROUND(S6/$D6*$C6,2))</f>
        <v>0</v>
      </c>
      <c r="U6" s="273"/>
      <c r="V6" s="274">
        <f t="shared" ref="V6:V35" si="6">IF($D6=0,0,ROUND(U6/$D6*$C6,2))</f>
        <v>0</v>
      </c>
      <c r="W6" s="273"/>
      <c r="X6" s="274">
        <f t="shared" ref="X6:X35" si="7">IF($D6=0,0,ROUND(W6/$D6*$C6,2))</f>
        <v>0</v>
      </c>
      <c r="Y6" s="273"/>
      <c r="Z6" s="274">
        <f t="shared" ref="Z6:Z35" si="8">IF($D6=0,0,ROUND(Y6/$D6*$C6,2))</f>
        <v>0</v>
      </c>
      <c r="AA6" s="251">
        <f>D6-E6</f>
        <v>0</v>
      </c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>
        <f>SUM(AC6:AN6)</f>
        <v>0</v>
      </c>
    </row>
    <row r="7" customHeight="1" spans="1:41">
      <c r="A7" s="270">
        <v>2</v>
      </c>
      <c r="B7" s="324"/>
      <c r="C7" s="272"/>
      <c r="D7" s="272"/>
      <c r="E7" s="272">
        <f t="shared" ref="E7:E35" si="9">G7+I7+K7+M7+O7+Q7+S7+U7+W7+Y7</f>
        <v>0</v>
      </c>
      <c r="F7" s="272">
        <f t="shared" ref="F7:F36" si="10">H7+J7+L7+N7+P7+R7+T7+V7+X7+Z7</f>
        <v>0</v>
      </c>
      <c r="G7" s="273"/>
      <c r="H7" s="274">
        <f t="shared" ref="H7:H35" si="11">IF($D7=0,0,ROUND(G7/$D7*$C7,2))</f>
        <v>0</v>
      </c>
      <c r="I7" s="273"/>
      <c r="J7" s="274">
        <f t="shared" si="0"/>
        <v>0</v>
      </c>
      <c r="K7" s="275"/>
      <c r="L7" s="274">
        <f t="shared" si="1"/>
        <v>0</v>
      </c>
      <c r="M7" s="273"/>
      <c r="N7" s="274">
        <f t="shared" si="2"/>
        <v>0</v>
      </c>
      <c r="O7" s="273"/>
      <c r="P7" s="274">
        <f t="shared" si="3"/>
        <v>0</v>
      </c>
      <c r="Q7" s="273"/>
      <c r="R7" s="274">
        <f t="shared" si="4"/>
        <v>0</v>
      </c>
      <c r="S7" s="273"/>
      <c r="T7" s="274">
        <f t="shared" si="5"/>
        <v>0</v>
      </c>
      <c r="U7" s="273"/>
      <c r="V7" s="274">
        <f t="shared" si="6"/>
        <v>0</v>
      </c>
      <c r="W7" s="273"/>
      <c r="X7" s="274">
        <f t="shared" si="7"/>
        <v>0</v>
      </c>
      <c r="Y7" s="273"/>
      <c r="Z7" s="274">
        <f t="shared" si="8"/>
        <v>0</v>
      </c>
      <c r="AA7" s="251">
        <f t="shared" ref="AA7:AA35" si="12">D7-E7</f>
        <v>0</v>
      </c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>
        <f t="shared" ref="AO7:AO35" si="13">SUM(AC7:AN7)</f>
        <v>0</v>
      </c>
    </row>
    <row r="8" customHeight="1" spans="1:41">
      <c r="A8" s="270">
        <v>3</v>
      </c>
      <c r="B8" s="324"/>
      <c r="C8" s="272"/>
      <c r="D8" s="272"/>
      <c r="E8" s="272">
        <f t="shared" si="9"/>
        <v>0</v>
      </c>
      <c r="F8" s="272">
        <f t="shared" si="10"/>
        <v>0</v>
      </c>
      <c r="G8" s="273"/>
      <c r="H8" s="274">
        <f t="shared" si="11"/>
        <v>0</v>
      </c>
      <c r="I8" s="273"/>
      <c r="J8" s="274">
        <f t="shared" si="0"/>
        <v>0</v>
      </c>
      <c r="K8" s="275"/>
      <c r="L8" s="274">
        <f t="shared" si="1"/>
        <v>0</v>
      </c>
      <c r="M8" s="273"/>
      <c r="N8" s="274">
        <f t="shared" si="2"/>
        <v>0</v>
      </c>
      <c r="O8" s="273"/>
      <c r="P8" s="274">
        <f t="shared" si="3"/>
        <v>0</v>
      </c>
      <c r="Q8" s="273"/>
      <c r="R8" s="274">
        <f t="shared" si="4"/>
        <v>0</v>
      </c>
      <c r="S8" s="273"/>
      <c r="T8" s="274">
        <f t="shared" si="5"/>
        <v>0</v>
      </c>
      <c r="U8" s="273"/>
      <c r="V8" s="274">
        <f t="shared" si="6"/>
        <v>0</v>
      </c>
      <c r="W8" s="273"/>
      <c r="X8" s="274">
        <f t="shared" si="7"/>
        <v>0</v>
      </c>
      <c r="Y8" s="273"/>
      <c r="Z8" s="274">
        <f t="shared" si="8"/>
        <v>0</v>
      </c>
      <c r="AA8" s="251">
        <f t="shared" si="12"/>
        <v>0</v>
      </c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>
        <f t="shared" si="13"/>
        <v>0</v>
      </c>
    </row>
    <row r="9" customHeight="1" spans="1:41">
      <c r="A9" s="270">
        <v>4</v>
      </c>
      <c r="B9" s="324"/>
      <c r="C9" s="272"/>
      <c r="D9" s="272"/>
      <c r="E9" s="272">
        <f t="shared" si="9"/>
        <v>0</v>
      </c>
      <c r="F9" s="272">
        <f t="shared" si="10"/>
        <v>0</v>
      </c>
      <c r="G9" s="273"/>
      <c r="H9" s="274">
        <f t="shared" si="11"/>
        <v>0</v>
      </c>
      <c r="I9" s="273"/>
      <c r="J9" s="274">
        <f t="shared" si="0"/>
        <v>0</v>
      </c>
      <c r="K9" s="275"/>
      <c r="L9" s="274">
        <f t="shared" si="1"/>
        <v>0</v>
      </c>
      <c r="M9" s="273"/>
      <c r="N9" s="274">
        <f t="shared" si="2"/>
        <v>0</v>
      </c>
      <c r="O9" s="273"/>
      <c r="P9" s="274">
        <f t="shared" si="3"/>
        <v>0</v>
      </c>
      <c r="Q9" s="273"/>
      <c r="R9" s="274">
        <f t="shared" si="4"/>
        <v>0</v>
      </c>
      <c r="S9" s="273"/>
      <c r="T9" s="274">
        <f t="shared" si="5"/>
        <v>0</v>
      </c>
      <c r="U9" s="273"/>
      <c r="V9" s="274">
        <f t="shared" si="6"/>
        <v>0</v>
      </c>
      <c r="W9" s="273"/>
      <c r="X9" s="274">
        <f t="shared" si="7"/>
        <v>0</v>
      </c>
      <c r="Y9" s="273"/>
      <c r="Z9" s="274">
        <f t="shared" si="8"/>
        <v>0</v>
      </c>
      <c r="AA9" s="251">
        <f t="shared" si="12"/>
        <v>0</v>
      </c>
      <c r="AB9" s="325"/>
      <c r="AC9" s="325"/>
      <c r="AD9" s="325"/>
      <c r="AE9" s="325"/>
      <c r="AF9" s="325"/>
      <c r="AG9" s="325"/>
      <c r="AH9" s="325"/>
      <c r="AI9" s="325"/>
      <c r="AJ9" s="325"/>
      <c r="AK9" s="325"/>
      <c r="AL9" s="325"/>
      <c r="AM9" s="325"/>
      <c r="AN9" s="325"/>
      <c r="AO9" s="325">
        <f t="shared" si="13"/>
        <v>0</v>
      </c>
    </row>
    <row r="10" customHeight="1" spans="1:41">
      <c r="A10" s="270">
        <v>5</v>
      </c>
      <c r="B10" s="324"/>
      <c r="C10" s="272"/>
      <c r="D10" s="272"/>
      <c r="E10" s="272">
        <f t="shared" si="9"/>
        <v>0</v>
      </c>
      <c r="F10" s="272">
        <f t="shared" si="10"/>
        <v>0</v>
      </c>
      <c r="G10" s="273"/>
      <c r="H10" s="274">
        <f t="shared" si="11"/>
        <v>0</v>
      </c>
      <c r="I10" s="273"/>
      <c r="J10" s="274">
        <f t="shared" si="0"/>
        <v>0</v>
      </c>
      <c r="K10" s="275"/>
      <c r="L10" s="274">
        <f t="shared" si="1"/>
        <v>0</v>
      </c>
      <c r="M10" s="273"/>
      <c r="N10" s="274">
        <f t="shared" si="2"/>
        <v>0</v>
      </c>
      <c r="O10" s="273"/>
      <c r="P10" s="274">
        <f t="shared" si="3"/>
        <v>0</v>
      </c>
      <c r="Q10" s="273"/>
      <c r="R10" s="274">
        <f t="shared" si="4"/>
        <v>0</v>
      </c>
      <c r="S10" s="273"/>
      <c r="T10" s="274">
        <f t="shared" si="5"/>
        <v>0</v>
      </c>
      <c r="U10" s="273"/>
      <c r="V10" s="274">
        <f t="shared" si="6"/>
        <v>0</v>
      </c>
      <c r="W10" s="273"/>
      <c r="X10" s="274">
        <f t="shared" si="7"/>
        <v>0</v>
      </c>
      <c r="Y10" s="273"/>
      <c r="Z10" s="274">
        <f t="shared" si="8"/>
        <v>0</v>
      </c>
      <c r="AA10" s="251">
        <f t="shared" si="12"/>
        <v>0</v>
      </c>
      <c r="AB10" s="325"/>
      <c r="AC10" s="325"/>
      <c r="AD10" s="325"/>
      <c r="AE10" s="325"/>
      <c r="AF10" s="325"/>
      <c r="AG10" s="325"/>
      <c r="AH10" s="325"/>
      <c r="AI10" s="325"/>
      <c r="AJ10" s="325"/>
      <c r="AK10" s="325"/>
      <c r="AL10" s="325"/>
      <c r="AM10" s="325"/>
      <c r="AN10" s="325"/>
      <c r="AO10" s="325">
        <f t="shared" si="13"/>
        <v>0</v>
      </c>
    </row>
    <row r="11" customHeight="1" spans="1:41">
      <c r="A11" s="270">
        <v>6</v>
      </c>
      <c r="B11" s="324"/>
      <c r="C11" s="274"/>
      <c r="D11" s="274"/>
      <c r="E11" s="272">
        <f t="shared" si="9"/>
        <v>0</v>
      </c>
      <c r="F11" s="272">
        <f t="shared" si="10"/>
        <v>0</v>
      </c>
      <c r="G11" s="273"/>
      <c r="H11" s="274">
        <f t="shared" si="11"/>
        <v>0</v>
      </c>
      <c r="I11" s="273"/>
      <c r="J11" s="274">
        <f t="shared" si="0"/>
        <v>0</v>
      </c>
      <c r="K11" s="275"/>
      <c r="L11" s="274">
        <f t="shared" si="1"/>
        <v>0</v>
      </c>
      <c r="M11" s="273"/>
      <c r="N11" s="274">
        <f t="shared" si="2"/>
        <v>0</v>
      </c>
      <c r="O11" s="273"/>
      <c r="P11" s="274">
        <f t="shared" si="3"/>
        <v>0</v>
      </c>
      <c r="Q11" s="273"/>
      <c r="R11" s="274">
        <f t="shared" si="4"/>
        <v>0</v>
      </c>
      <c r="S11" s="273"/>
      <c r="T11" s="274">
        <f t="shared" si="5"/>
        <v>0</v>
      </c>
      <c r="U11" s="273"/>
      <c r="V11" s="274">
        <f t="shared" si="6"/>
        <v>0</v>
      </c>
      <c r="W11" s="273"/>
      <c r="X11" s="274">
        <f t="shared" si="7"/>
        <v>0</v>
      </c>
      <c r="Y11" s="273"/>
      <c r="Z11" s="274">
        <f t="shared" si="8"/>
        <v>0</v>
      </c>
      <c r="AA11" s="251">
        <f t="shared" si="12"/>
        <v>0</v>
      </c>
      <c r="AB11" s="325"/>
      <c r="AC11" s="325"/>
      <c r="AD11" s="325"/>
      <c r="AE11" s="325"/>
      <c r="AF11" s="325"/>
      <c r="AG11" s="325"/>
      <c r="AH11" s="325"/>
      <c r="AI11" s="325"/>
      <c r="AJ11" s="325"/>
      <c r="AK11" s="325"/>
      <c r="AL11" s="325"/>
      <c r="AM11" s="325"/>
      <c r="AN11" s="325"/>
      <c r="AO11" s="325">
        <f t="shared" si="13"/>
        <v>0</v>
      </c>
    </row>
    <row r="12" customHeight="1" spans="1:41">
      <c r="A12" s="270">
        <v>7</v>
      </c>
      <c r="B12" s="324"/>
      <c r="C12" s="274"/>
      <c r="D12" s="274"/>
      <c r="E12" s="272">
        <f t="shared" si="9"/>
        <v>0</v>
      </c>
      <c r="F12" s="272">
        <f t="shared" si="10"/>
        <v>0</v>
      </c>
      <c r="G12" s="273"/>
      <c r="H12" s="274">
        <f t="shared" si="11"/>
        <v>0</v>
      </c>
      <c r="I12" s="273"/>
      <c r="J12" s="274">
        <f t="shared" si="0"/>
        <v>0</v>
      </c>
      <c r="K12" s="275"/>
      <c r="L12" s="274">
        <f t="shared" si="1"/>
        <v>0</v>
      </c>
      <c r="M12" s="273"/>
      <c r="N12" s="274">
        <f t="shared" si="2"/>
        <v>0</v>
      </c>
      <c r="O12" s="273"/>
      <c r="P12" s="274">
        <f t="shared" si="3"/>
        <v>0</v>
      </c>
      <c r="Q12" s="273"/>
      <c r="R12" s="274">
        <f t="shared" si="4"/>
        <v>0</v>
      </c>
      <c r="S12" s="273"/>
      <c r="T12" s="274">
        <f t="shared" si="5"/>
        <v>0</v>
      </c>
      <c r="U12" s="273"/>
      <c r="V12" s="274">
        <f t="shared" si="6"/>
        <v>0</v>
      </c>
      <c r="W12" s="273"/>
      <c r="X12" s="274">
        <f t="shared" si="7"/>
        <v>0</v>
      </c>
      <c r="Y12" s="273"/>
      <c r="Z12" s="274">
        <f t="shared" si="8"/>
        <v>0</v>
      </c>
      <c r="AA12" s="251">
        <f t="shared" si="12"/>
        <v>0</v>
      </c>
      <c r="AB12" s="325"/>
      <c r="AC12" s="325"/>
      <c r="AD12" s="325"/>
      <c r="AE12" s="325"/>
      <c r="AF12" s="325"/>
      <c r="AG12" s="325"/>
      <c r="AH12" s="325"/>
      <c r="AI12" s="325"/>
      <c r="AJ12" s="325"/>
      <c r="AK12" s="325"/>
      <c r="AL12" s="325"/>
      <c r="AM12" s="325"/>
      <c r="AN12" s="325"/>
      <c r="AO12" s="325">
        <f t="shared" si="13"/>
        <v>0</v>
      </c>
    </row>
    <row r="13" customHeight="1" spans="1:41">
      <c r="A13" s="270">
        <v>8</v>
      </c>
      <c r="B13" s="324"/>
      <c r="C13" s="274"/>
      <c r="D13" s="274"/>
      <c r="E13" s="272">
        <f t="shared" si="9"/>
        <v>0</v>
      </c>
      <c r="F13" s="272">
        <f t="shared" si="10"/>
        <v>0</v>
      </c>
      <c r="G13" s="273"/>
      <c r="H13" s="274">
        <f t="shared" si="11"/>
        <v>0</v>
      </c>
      <c r="I13" s="273"/>
      <c r="J13" s="274">
        <f t="shared" si="0"/>
        <v>0</v>
      </c>
      <c r="K13" s="275"/>
      <c r="L13" s="274">
        <f t="shared" si="1"/>
        <v>0</v>
      </c>
      <c r="M13" s="273"/>
      <c r="N13" s="274">
        <f t="shared" si="2"/>
        <v>0</v>
      </c>
      <c r="O13" s="273"/>
      <c r="P13" s="274">
        <f t="shared" si="3"/>
        <v>0</v>
      </c>
      <c r="Q13" s="273"/>
      <c r="R13" s="274">
        <f t="shared" si="4"/>
        <v>0</v>
      </c>
      <c r="S13" s="273"/>
      <c r="T13" s="274">
        <f t="shared" si="5"/>
        <v>0</v>
      </c>
      <c r="U13" s="273"/>
      <c r="V13" s="274">
        <f t="shared" si="6"/>
        <v>0</v>
      </c>
      <c r="W13" s="273"/>
      <c r="X13" s="274">
        <f t="shared" si="7"/>
        <v>0</v>
      </c>
      <c r="Y13" s="273"/>
      <c r="Z13" s="274">
        <f t="shared" si="8"/>
        <v>0</v>
      </c>
      <c r="AA13" s="251">
        <f t="shared" si="12"/>
        <v>0</v>
      </c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>
        <f t="shared" si="13"/>
        <v>0</v>
      </c>
    </row>
    <row r="14" customHeight="1" spans="1:41">
      <c r="A14" s="270">
        <v>9</v>
      </c>
      <c r="B14" s="324"/>
      <c r="C14" s="274"/>
      <c r="D14" s="274"/>
      <c r="E14" s="272">
        <f t="shared" si="9"/>
        <v>0</v>
      </c>
      <c r="F14" s="272">
        <f t="shared" si="10"/>
        <v>0</v>
      </c>
      <c r="G14" s="273"/>
      <c r="H14" s="274">
        <f t="shared" si="11"/>
        <v>0</v>
      </c>
      <c r="I14" s="273"/>
      <c r="J14" s="274">
        <f t="shared" si="0"/>
        <v>0</v>
      </c>
      <c r="K14" s="275"/>
      <c r="L14" s="274">
        <f t="shared" si="1"/>
        <v>0</v>
      </c>
      <c r="M14" s="273"/>
      <c r="N14" s="274">
        <f t="shared" si="2"/>
        <v>0</v>
      </c>
      <c r="O14" s="273"/>
      <c r="P14" s="274">
        <f t="shared" si="3"/>
        <v>0</v>
      </c>
      <c r="Q14" s="273"/>
      <c r="R14" s="274">
        <f t="shared" si="4"/>
        <v>0</v>
      </c>
      <c r="S14" s="273"/>
      <c r="T14" s="274">
        <f t="shared" si="5"/>
        <v>0</v>
      </c>
      <c r="U14" s="273"/>
      <c r="V14" s="274">
        <f t="shared" si="6"/>
        <v>0</v>
      </c>
      <c r="W14" s="273"/>
      <c r="X14" s="274">
        <f t="shared" si="7"/>
        <v>0</v>
      </c>
      <c r="Y14" s="273"/>
      <c r="Z14" s="274">
        <f t="shared" si="8"/>
        <v>0</v>
      </c>
      <c r="AA14" s="251">
        <f t="shared" si="12"/>
        <v>0</v>
      </c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>
        <f t="shared" si="13"/>
        <v>0</v>
      </c>
    </row>
    <row r="15" customHeight="1" spans="1:41">
      <c r="A15" s="270">
        <v>10</v>
      </c>
      <c r="B15" s="270"/>
      <c r="C15" s="274"/>
      <c r="D15" s="274"/>
      <c r="E15" s="272">
        <f t="shared" si="9"/>
        <v>0</v>
      </c>
      <c r="F15" s="272">
        <f t="shared" si="10"/>
        <v>0</v>
      </c>
      <c r="G15" s="273"/>
      <c r="H15" s="274">
        <f t="shared" si="11"/>
        <v>0</v>
      </c>
      <c r="I15" s="273"/>
      <c r="J15" s="274">
        <f t="shared" si="0"/>
        <v>0</v>
      </c>
      <c r="K15" s="275"/>
      <c r="L15" s="274">
        <f t="shared" si="1"/>
        <v>0</v>
      </c>
      <c r="M15" s="273"/>
      <c r="N15" s="274">
        <f t="shared" si="2"/>
        <v>0</v>
      </c>
      <c r="O15" s="273"/>
      <c r="P15" s="274">
        <f t="shared" si="3"/>
        <v>0</v>
      </c>
      <c r="Q15" s="273"/>
      <c r="R15" s="274">
        <f t="shared" si="4"/>
        <v>0</v>
      </c>
      <c r="S15" s="273"/>
      <c r="T15" s="274">
        <f t="shared" si="5"/>
        <v>0</v>
      </c>
      <c r="U15" s="273"/>
      <c r="V15" s="274">
        <f t="shared" si="6"/>
        <v>0</v>
      </c>
      <c r="W15" s="273"/>
      <c r="X15" s="274">
        <f t="shared" si="7"/>
        <v>0</v>
      </c>
      <c r="Y15" s="273"/>
      <c r="Z15" s="274">
        <f t="shared" si="8"/>
        <v>0</v>
      </c>
      <c r="AA15" s="251">
        <f t="shared" si="12"/>
        <v>0</v>
      </c>
      <c r="AB15" s="325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>
        <f t="shared" si="13"/>
        <v>0</v>
      </c>
    </row>
    <row r="16" customHeight="1" spans="1:41">
      <c r="A16" s="270">
        <v>11</v>
      </c>
      <c r="B16" s="270"/>
      <c r="C16" s="274"/>
      <c r="D16" s="274"/>
      <c r="E16" s="272">
        <f t="shared" si="9"/>
        <v>0</v>
      </c>
      <c r="F16" s="272">
        <f t="shared" si="10"/>
        <v>0</v>
      </c>
      <c r="G16" s="273"/>
      <c r="H16" s="274">
        <f t="shared" si="11"/>
        <v>0</v>
      </c>
      <c r="I16" s="273"/>
      <c r="J16" s="274">
        <f t="shared" si="0"/>
        <v>0</v>
      </c>
      <c r="K16" s="275"/>
      <c r="L16" s="274">
        <f t="shared" si="1"/>
        <v>0</v>
      </c>
      <c r="M16" s="273"/>
      <c r="N16" s="274">
        <f t="shared" si="2"/>
        <v>0</v>
      </c>
      <c r="O16" s="273"/>
      <c r="P16" s="274">
        <f t="shared" si="3"/>
        <v>0</v>
      </c>
      <c r="Q16" s="273"/>
      <c r="R16" s="274">
        <f t="shared" si="4"/>
        <v>0</v>
      </c>
      <c r="S16" s="273"/>
      <c r="T16" s="274">
        <f t="shared" si="5"/>
        <v>0</v>
      </c>
      <c r="U16" s="273"/>
      <c r="V16" s="274">
        <f t="shared" si="6"/>
        <v>0</v>
      </c>
      <c r="W16" s="273"/>
      <c r="X16" s="274">
        <f t="shared" si="7"/>
        <v>0</v>
      </c>
      <c r="Y16" s="273"/>
      <c r="Z16" s="274">
        <f t="shared" si="8"/>
        <v>0</v>
      </c>
      <c r="AA16" s="251">
        <f t="shared" si="12"/>
        <v>0</v>
      </c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>
        <f t="shared" si="13"/>
        <v>0</v>
      </c>
    </row>
    <row r="17" customHeight="1" spans="1:41">
      <c r="A17" s="270">
        <v>12</v>
      </c>
      <c r="B17" s="270"/>
      <c r="C17" s="274"/>
      <c r="D17" s="274"/>
      <c r="E17" s="272">
        <f t="shared" si="9"/>
        <v>0</v>
      </c>
      <c r="F17" s="272">
        <f t="shared" si="10"/>
        <v>0</v>
      </c>
      <c r="G17" s="273"/>
      <c r="H17" s="274">
        <f t="shared" si="11"/>
        <v>0</v>
      </c>
      <c r="I17" s="273"/>
      <c r="J17" s="274">
        <f t="shared" si="0"/>
        <v>0</v>
      </c>
      <c r="K17" s="275"/>
      <c r="L17" s="274">
        <f t="shared" si="1"/>
        <v>0</v>
      </c>
      <c r="M17" s="273"/>
      <c r="N17" s="274">
        <f t="shared" si="2"/>
        <v>0</v>
      </c>
      <c r="O17" s="273"/>
      <c r="P17" s="274">
        <f t="shared" si="3"/>
        <v>0</v>
      </c>
      <c r="Q17" s="273"/>
      <c r="R17" s="274">
        <f t="shared" si="4"/>
        <v>0</v>
      </c>
      <c r="S17" s="273"/>
      <c r="T17" s="274">
        <f t="shared" si="5"/>
        <v>0</v>
      </c>
      <c r="U17" s="273"/>
      <c r="V17" s="274">
        <f t="shared" si="6"/>
        <v>0</v>
      </c>
      <c r="W17" s="273"/>
      <c r="X17" s="274">
        <f t="shared" si="7"/>
        <v>0</v>
      </c>
      <c r="Y17" s="273"/>
      <c r="Z17" s="274">
        <f t="shared" si="8"/>
        <v>0</v>
      </c>
      <c r="AA17" s="251">
        <f t="shared" si="12"/>
        <v>0</v>
      </c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5"/>
      <c r="AM17" s="325"/>
      <c r="AN17" s="325"/>
      <c r="AO17" s="325">
        <f t="shared" si="13"/>
        <v>0</v>
      </c>
    </row>
    <row r="18" customHeight="1" spans="1:41">
      <c r="A18" s="270">
        <v>13</v>
      </c>
      <c r="B18" s="270"/>
      <c r="C18" s="274"/>
      <c r="D18" s="274"/>
      <c r="E18" s="272">
        <f t="shared" si="9"/>
        <v>0</v>
      </c>
      <c r="F18" s="272">
        <f t="shared" si="10"/>
        <v>0</v>
      </c>
      <c r="G18" s="273"/>
      <c r="H18" s="274">
        <f t="shared" si="11"/>
        <v>0</v>
      </c>
      <c r="I18" s="273"/>
      <c r="J18" s="274">
        <f t="shared" si="0"/>
        <v>0</v>
      </c>
      <c r="K18" s="275"/>
      <c r="L18" s="274">
        <f t="shared" si="1"/>
        <v>0</v>
      </c>
      <c r="M18" s="273"/>
      <c r="N18" s="274">
        <f t="shared" si="2"/>
        <v>0</v>
      </c>
      <c r="O18" s="273"/>
      <c r="P18" s="274">
        <f t="shared" si="3"/>
        <v>0</v>
      </c>
      <c r="Q18" s="273"/>
      <c r="R18" s="274">
        <f t="shared" si="4"/>
        <v>0</v>
      </c>
      <c r="S18" s="273"/>
      <c r="T18" s="274">
        <f t="shared" si="5"/>
        <v>0</v>
      </c>
      <c r="U18" s="273"/>
      <c r="V18" s="274">
        <f t="shared" si="6"/>
        <v>0</v>
      </c>
      <c r="W18" s="273"/>
      <c r="X18" s="274">
        <f t="shared" si="7"/>
        <v>0</v>
      </c>
      <c r="Y18" s="273"/>
      <c r="Z18" s="274">
        <f t="shared" si="8"/>
        <v>0</v>
      </c>
      <c r="AA18" s="251">
        <f t="shared" si="12"/>
        <v>0</v>
      </c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>
        <f t="shared" si="13"/>
        <v>0</v>
      </c>
    </row>
    <row r="19" customHeight="1" spans="1:41">
      <c r="A19" s="270">
        <v>14</v>
      </c>
      <c r="B19" s="270"/>
      <c r="C19" s="274"/>
      <c r="D19" s="274"/>
      <c r="E19" s="272">
        <f t="shared" si="9"/>
        <v>0</v>
      </c>
      <c r="F19" s="272">
        <f t="shared" si="10"/>
        <v>0</v>
      </c>
      <c r="G19" s="273"/>
      <c r="H19" s="274">
        <f t="shared" si="11"/>
        <v>0</v>
      </c>
      <c r="I19" s="273"/>
      <c r="J19" s="274">
        <f t="shared" si="0"/>
        <v>0</v>
      </c>
      <c r="K19" s="275"/>
      <c r="L19" s="274">
        <f t="shared" si="1"/>
        <v>0</v>
      </c>
      <c r="M19" s="273"/>
      <c r="N19" s="274">
        <f t="shared" si="2"/>
        <v>0</v>
      </c>
      <c r="O19" s="273"/>
      <c r="P19" s="274">
        <f t="shared" si="3"/>
        <v>0</v>
      </c>
      <c r="Q19" s="273"/>
      <c r="R19" s="274">
        <f t="shared" si="4"/>
        <v>0</v>
      </c>
      <c r="S19" s="273"/>
      <c r="T19" s="274">
        <f t="shared" si="5"/>
        <v>0</v>
      </c>
      <c r="U19" s="273"/>
      <c r="V19" s="274">
        <f t="shared" si="6"/>
        <v>0</v>
      </c>
      <c r="W19" s="273"/>
      <c r="X19" s="274">
        <f t="shared" si="7"/>
        <v>0</v>
      </c>
      <c r="Y19" s="273"/>
      <c r="Z19" s="274">
        <f t="shared" si="8"/>
        <v>0</v>
      </c>
      <c r="AA19" s="251">
        <f t="shared" si="12"/>
        <v>0</v>
      </c>
      <c r="AB19" s="325"/>
      <c r="AC19" s="325"/>
      <c r="AD19" s="325"/>
      <c r="AE19" s="325"/>
      <c r="AF19" s="325"/>
      <c r="AG19" s="325"/>
      <c r="AH19" s="325"/>
      <c r="AI19" s="325"/>
      <c r="AJ19" s="325"/>
      <c r="AK19" s="325"/>
      <c r="AL19" s="325"/>
      <c r="AM19" s="325"/>
      <c r="AN19" s="325"/>
      <c r="AO19" s="325">
        <f t="shared" si="13"/>
        <v>0</v>
      </c>
    </row>
    <row r="20" customHeight="1" spans="1:41">
      <c r="A20" s="270">
        <v>15</v>
      </c>
      <c r="B20" s="270"/>
      <c r="C20" s="274"/>
      <c r="D20" s="274"/>
      <c r="E20" s="272">
        <f t="shared" si="9"/>
        <v>0</v>
      </c>
      <c r="F20" s="272">
        <f t="shared" si="10"/>
        <v>0</v>
      </c>
      <c r="G20" s="273"/>
      <c r="H20" s="274">
        <f t="shared" si="11"/>
        <v>0</v>
      </c>
      <c r="I20" s="273"/>
      <c r="J20" s="274">
        <f t="shared" si="0"/>
        <v>0</v>
      </c>
      <c r="K20" s="275"/>
      <c r="L20" s="274">
        <f t="shared" si="1"/>
        <v>0</v>
      </c>
      <c r="M20" s="273"/>
      <c r="N20" s="274">
        <f t="shared" si="2"/>
        <v>0</v>
      </c>
      <c r="O20" s="273"/>
      <c r="P20" s="274">
        <f t="shared" si="3"/>
        <v>0</v>
      </c>
      <c r="Q20" s="273"/>
      <c r="R20" s="274">
        <f t="shared" si="4"/>
        <v>0</v>
      </c>
      <c r="S20" s="273"/>
      <c r="T20" s="274">
        <f t="shared" si="5"/>
        <v>0</v>
      </c>
      <c r="U20" s="273"/>
      <c r="V20" s="274">
        <f t="shared" si="6"/>
        <v>0</v>
      </c>
      <c r="W20" s="273"/>
      <c r="X20" s="274">
        <f t="shared" si="7"/>
        <v>0</v>
      </c>
      <c r="Y20" s="273"/>
      <c r="Z20" s="274">
        <f t="shared" si="8"/>
        <v>0</v>
      </c>
      <c r="AA20" s="251">
        <f t="shared" si="12"/>
        <v>0</v>
      </c>
      <c r="AB20" s="325"/>
      <c r="AC20" s="325"/>
      <c r="AD20" s="325"/>
      <c r="AE20" s="325"/>
      <c r="AF20" s="325"/>
      <c r="AG20" s="325"/>
      <c r="AH20" s="325"/>
      <c r="AI20" s="325"/>
      <c r="AJ20" s="325"/>
      <c r="AK20" s="325"/>
      <c r="AL20" s="325"/>
      <c r="AM20" s="325"/>
      <c r="AN20" s="325"/>
      <c r="AO20" s="325">
        <f t="shared" si="13"/>
        <v>0</v>
      </c>
    </row>
    <row r="21" customHeight="1" spans="1:41">
      <c r="A21" s="270">
        <v>16</v>
      </c>
      <c r="B21" s="270"/>
      <c r="C21" s="274"/>
      <c r="D21" s="274"/>
      <c r="E21" s="272">
        <f t="shared" si="9"/>
        <v>0</v>
      </c>
      <c r="F21" s="272">
        <f t="shared" si="10"/>
        <v>0</v>
      </c>
      <c r="G21" s="273"/>
      <c r="H21" s="274">
        <f t="shared" si="11"/>
        <v>0</v>
      </c>
      <c r="I21" s="273"/>
      <c r="J21" s="274">
        <f t="shared" si="0"/>
        <v>0</v>
      </c>
      <c r="K21" s="275"/>
      <c r="L21" s="274">
        <f t="shared" si="1"/>
        <v>0</v>
      </c>
      <c r="M21" s="273"/>
      <c r="N21" s="274">
        <f t="shared" si="2"/>
        <v>0</v>
      </c>
      <c r="O21" s="273"/>
      <c r="P21" s="274">
        <f t="shared" si="3"/>
        <v>0</v>
      </c>
      <c r="Q21" s="273"/>
      <c r="R21" s="274">
        <f t="shared" si="4"/>
        <v>0</v>
      </c>
      <c r="S21" s="273"/>
      <c r="T21" s="274">
        <f t="shared" si="5"/>
        <v>0</v>
      </c>
      <c r="U21" s="273"/>
      <c r="V21" s="274">
        <f t="shared" si="6"/>
        <v>0</v>
      </c>
      <c r="W21" s="273"/>
      <c r="X21" s="274">
        <f t="shared" si="7"/>
        <v>0</v>
      </c>
      <c r="Y21" s="273"/>
      <c r="Z21" s="274">
        <f t="shared" si="8"/>
        <v>0</v>
      </c>
      <c r="AA21" s="251">
        <f t="shared" si="12"/>
        <v>0</v>
      </c>
      <c r="AB21" s="325"/>
      <c r="AC21" s="325"/>
      <c r="AD21" s="325"/>
      <c r="AE21" s="325"/>
      <c r="AF21" s="325"/>
      <c r="AG21" s="325"/>
      <c r="AH21" s="325"/>
      <c r="AI21" s="325"/>
      <c r="AJ21" s="325"/>
      <c r="AK21" s="325"/>
      <c r="AL21" s="325"/>
      <c r="AM21" s="325"/>
      <c r="AN21" s="325"/>
      <c r="AO21" s="325">
        <f t="shared" si="13"/>
        <v>0</v>
      </c>
    </row>
    <row r="22" customHeight="1" spans="1:41">
      <c r="A22" s="270">
        <v>17</v>
      </c>
      <c r="B22" s="270"/>
      <c r="C22" s="274"/>
      <c r="D22" s="274"/>
      <c r="E22" s="272">
        <f t="shared" si="9"/>
        <v>0</v>
      </c>
      <c r="F22" s="272">
        <f t="shared" si="10"/>
        <v>0</v>
      </c>
      <c r="G22" s="273"/>
      <c r="H22" s="274">
        <f t="shared" si="11"/>
        <v>0</v>
      </c>
      <c r="I22" s="273"/>
      <c r="J22" s="274">
        <f t="shared" si="0"/>
        <v>0</v>
      </c>
      <c r="K22" s="275"/>
      <c r="L22" s="274">
        <f t="shared" si="1"/>
        <v>0</v>
      </c>
      <c r="M22" s="273"/>
      <c r="N22" s="274">
        <f t="shared" si="2"/>
        <v>0</v>
      </c>
      <c r="O22" s="273"/>
      <c r="P22" s="274">
        <f t="shared" si="3"/>
        <v>0</v>
      </c>
      <c r="Q22" s="273"/>
      <c r="R22" s="274">
        <f t="shared" si="4"/>
        <v>0</v>
      </c>
      <c r="S22" s="273"/>
      <c r="T22" s="274">
        <f t="shared" si="5"/>
        <v>0</v>
      </c>
      <c r="U22" s="273"/>
      <c r="V22" s="274">
        <f t="shared" si="6"/>
        <v>0</v>
      </c>
      <c r="W22" s="273"/>
      <c r="X22" s="274">
        <f t="shared" si="7"/>
        <v>0</v>
      </c>
      <c r="Y22" s="273"/>
      <c r="Z22" s="274">
        <f t="shared" si="8"/>
        <v>0</v>
      </c>
      <c r="AA22" s="251">
        <f t="shared" si="12"/>
        <v>0</v>
      </c>
      <c r="AB22" s="325"/>
      <c r="AC22" s="325"/>
      <c r="AD22" s="325"/>
      <c r="AE22" s="325"/>
      <c r="AF22" s="325"/>
      <c r="AG22" s="325"/>
      <c r="AH22" s="325"/>
      <c r="AI22" s="325"/>
      <c r="AJ22" s="325"/>
      <c r="AK22" s="325"/>
      <c r="AL22" s="325"/>
      <c r="AM22" s="325"/>
      <c r="AN22" s="325"/>
      <c r="AO22" s="325">
        <f t="shared" si="13"/>
        <v>0</v>
      </c>
    </row>
    <row r="23" customHeight="1" spans="1:41">
      <c r="A23" s="270">
        <v>18</v>
      </c>
      <c r="B23" s="270"/>
      <c r="C23" s="274"/>
      <c r="D23" s="274"/>
      <c r="E23" s="272">
        <f t="shared" si="9"/>
        <v>0</v>
      </c>
      <c r="F23" s="272">
        <f t="shared" si="10"/>
        <v>0</v>
      </c>
      <c r="G23" s="273"/>
      <c r="H23" s="274">
        <f t="shared" si="11"/>
        <v>0</v>
      </c>
      <c r="I23" s="273"/>
      <c r="J23" s="274">
        <f t="shared" si="0"/>
        <v>0</v>
      </c>
      <c r="K23" s="275"/>
      <c r="L23" s="274">
        <f t="shared" si="1"/>
        <v>0</v>
      </c>
      <c r="M23" s="273"/>
      <c r="N23" s="274">
        <f t="shared" si="2"/>
        <v>0</v>
      </c>
      <c r="O23" s="273"/>
      <c r="P23" s="274">
        <f t="shared" si="3"/>
        <v>0</v>
      </c>
      <c r="Q23" s="273"/>
      <c r="R23" s="274">
        <f t="shared" si="4"/>
        <v>0</v>
      </c>
      <c r="S23" s="273"/>
      <c r="T23" s="274">
        <f t="shared" si="5"/>
        <v>0</v>
      </c>
      <c r="U23" s="273"/>
      <c r="V23" s="274">
        <f t="shared" si="6"/>
        <v>0</v>
      </c>
      <c r="W23" s="273"/>
      <c r="X23" s="274">
        <f t="shared" si="7"/>
        <v>0</v>
      </c>
      <c r="Y23" s="273"/>
      <c r="Z23" s="274">
        <f t="shared" si="8"/>
        <v>0</v>
      </c>
      <c r="AA23" s="251">
        <f t="shared" si="12"/>
        <v>0</v>
      </c>
      <c r="AB23" s="325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>
        <f t="shared" si="13"/>
        <v>0</v>
      </c>
    </row>
    <row r="24" customHeight="1" spans="1:41">
      <c r="A24" s="270">
        <v>19</v>
      </c>
      <c r="B24" s="270"/>
      <c r="C24" s="274"/>
      <c r="D24" s="274"/>
      <c r="E24" s="272">
        <f t="shared" si="9"/>
        <v>0</v>
      </c>
      <c r="F24" s="272">
        <f t="shared" si="10"/>
        <v>0</v>
      </c>
      <c r="G24" s="273"/>
      <c r="H24" s="274">
        <f t="shared" si="11"/>
        <v>0</v>
      </c>
      <c r="I24" s="273"/>
      <c r="J24" s="274">
        <f t="shared" si="0"/>
        <v>0</v>
      </c>
      <c r="K24" s="275"/>
      <c r="L24" s="274">
        <f t="shared" si="1"/>
        <v>0</v>
      </c>
      <c r="M24" s="273"/>
      <c r="N24" s="274">
        <f t="shared" si="2"/>
        <v>0</v>
      </c>
      <c r="O24" s="273"/>
      <c r="P24" s="274">
        <f t="shared" si="3"/>
        <v>0</v>
      </c>
      <c r="Q24" s="273"/>
      <c r="R24" s="274">
        <f t="shared" si="4"/>
        <v>0</v>
      </c>
      <c r="S24" s="273"/>
      <c r="T24" s="274">
        <f t="shared" si="5"/>
        <v>0</v>
      </c>
      <c r="U24" s="273"/>
      <c r="V24" s="274">
        <f t="shared" si="6"/>
        <v>0</v>
      </c>
      <c r="W24" s="273"/>
      <c r="X24" s="274">
        <f t="shared" si="7"/>
        <v>0</v>
      </c>
      <c r="Y24" s="273"/>
      <c r="Z24" s="274">
        <f t="shared" si="8"/>
        <v>0</v>
      </c>
      <c r="AA24" s="251">
        <f t="shared" si="12"/>
        <v>0</v>
      </c>
      <c r="AB24" s="325"/>
      <c r="AC24" s="325"/>
      <c r="AD24" s="325"/>
      <c r="AE24" s="325"/>
      <c r="AF24" s="325"/>
      <c r="AG24" s="325"/>
      <c r="AH24" s="325"/>
      <c r="AI24" s="325"/>
      <c r="AJ24" s="325"/>
      <c r="AK24" s="325"/>
      <c r="AL24" s="325"/>
      <c r="AM24" s="325"/>
      <c r="AN24" s="325"/>
      <c r="AO24" s="325">
        <f>SUM(AC25:AN25)</f>
        <v>0</v>
      </c>
    </row>
    <row r="25" customHeight="1" spans="1:41">
      <c r="A25" s="270">
        <v>20</v>
      </c>
      <c r="B25" s="270"/>
      <c r="C25" s="274"/>
      <c r="D25" s="274"/>
      <c r="E25" s="272">
        <f t="shared" si="9"/>
        <v>0</v>
      </c>
      <c r="F25" s="272">
        <f t="shared" si="10"/>
        <v>0</v>
      </c>
      <c r="G25" s="273"/>
      <c r="H25" s="274">
        <f t="shared" si="11"/>
        <v>0</v>
      </c>
      <c r="I25" s="273"/>
      <c r="J25" s="274">
        <f t="shared" si="0"/>
        <v>0</v>
      </c>
      <c r="K25" s="275"/>
      <c r="L25" s="274">
        <f t="shared" si="1"/>
        <v>0</v>
      </c>
      <c r="M25" s="273"/>
      <c r="N25" s="274">
        <f t="shared" si="2"/>
        <v>0</v>
      </c>
      <c r="O25" s="273"/>
      <c r="P25" s="274">
        <f t="shared" si="3"/>
        <v>0</v>
      </c>
      <c r="Q25" s="273"/>
      <c r="R25" s="274">
        <f t="shared" si="4"/>
        <v>0</v>
      </c>
      <c r="S25" s="273"/>
      <c r="T25" s="274">
        <f t="shared" si="5"/>
        <v>0</v>
      </c>
      <c r="U25" s="273"/>
      <c r="V25" s="274">
        <f t="shared" si="6"/>
        <v>0</v>
      </c>
      <c r="W25" s="273"/>
      <c r="X25" s="274">
        <f t="shared" si="7"/>
        <v>0</v>
      </c>
      <c r="Y25" s="273"/>
      <c r="Z25" s="274">
        <f t="shared" si="8"/>
        <v>0</v>
      </c>
      <c r="AA25" s="251">
        <f t="shared" si="12"/>
        <v>0</v>
      </c>
      <c r="AB25" s="325"/>
      <c r="AC25" s="325"/>
      <c r="AD25" s="325"/>
      <c r="AE25" s="325"/>
      <c r="AF25" s="325"/>
      <c r="AG25" s="325"/>
      <c r="AH25" s="325"/>
      <c r="AI25" s="325"/>
      <c r="AJ25" s="325"/>
      <c r="AK25" s="325"/>
      <c r="AL25" s="325"/>
      <c r="AM25" s="325"/>
      <c r="AN25" s="325"/>
      <c r="AO25" s="325">
        <f t="shared" si="13"/>
        <v>0</v>
      </c>
    </row>
    <row r="26" customHeight="1" spans="1:41">
      <c r="A26" s="270">
        <v>21</v>
      </c>
      <c r="B26" s="270"/>
      <c r="C26" s="274"/>
      <c r="D26" s="274"/>
      <c r="E26" s="272">
        <f t="shared" si="9"/>
        <v>0</v>
      </c>
      <c r="F26" s="272">
        <f t="shared" si="10"/>
        <v>0</v>
      </c>
      <c r="G26" s="273"/>
      <c r="H26" s="274">
        <f t="shared" si="11"/>
        <v>0</v>
      </c>
      <c r="I26" s="273"/>
      <c r="J26" s="274">
        <f t="shared" si="0"/>
        <v>0</v>
      </c>
      <c r="K26" s="275"/>
      <c r="L26" s="274">
        <f t="shared" si="1"/>
        <v>0</v>
      </c>
      <c r="M26" s="273"/>
      <c r="N26" s="274">
        <f t="shared" si="2"/>
        <v>0</v>
      </c>
      <c r="O26" s="273"/>
      <c r="P26" s="274">
        <f t="shared" si="3"/>
        <v>0</v>
      </c>
      <c r="Q26" s="273"/>
      <c r="R26" s="274">
        <f t="shared" si="4"/>
        <v>0</v>
      </c>
      <c r="S26" s="273"/>
      <c r="T26" s="274">
        <f t="shared" si="5"/>
        <v>0</v>
      </c>
      <c r="U26" s="273"/>
      <c r="V26" s="274">
        <f t="shared" si="6"/>
        <v>0</v>
      </c>
      <c r="W26" s="273"/>
      <c r="X26" s="274">
        <f t="shared" si="7"/>
        <v>0</v>
      </c>
      <c r="Y26" s="273"/>
      <c r="Z26" s="274">
        <f t="shared" si="8"/>
        <v>0</v>
      </c>
      <c r="AA26" s="251">
        <f t="shared" si="12"/>
        <v>0</v>
      </c>
      <c r="AB26" s="325"/>
      <c r="AC26" s="325"/>
      <c r="AD26" s="325"/>
      <c r="AE26" s="325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>
        <f t="shared" si="13"/>
        <v>0</v>
      </c>
    </row>
    <row r="27" customHeight="1" spans="1:41">
      <c r="A27" s="270">
        <v>22</v>
      </c>
      <c r="B27" s="270"/>
      <c r="C27" s="274"/>
      <c r="D27" s="274"/>
      <c r="E27" s="272">
        <f t="shared" si="9"/>
        <v>0</v>
      </c>
      <c r="F27" s="272">
        <f t="shared" si="10"/>
        <v>0</v>
      </c>
      <c r="G27" s="273"/>
      <c r="H27" s="274">
        <f t="shared" si="11"/>
        <v>0</v>
      </c>
      <c r="I27" s="273"/>
      <c r="J27" s="274">
        <f t="shared" si="0"/>
        <v>0</v>
      </c>
      <c r="K27" s="275"/>
      <c r="L27" s="274">
        <f t="shared" si="1"/>
        <v>0</v>
      </c>
      <c r="M27" s="273"/>
      <c r="N27" s="274">
        <f t="shared" si="2"/>
        <v>0</v>
      </c>
      <c r="O27" s="273"/>
      <c r="P27" s="274">
        <f t="shared" si="3"/>
        <v>0</v>
      </c>
      <c r="Q27" s="273"/>
      <c r="R27" s="274">
        <f t="shared" si="4"/>
        <v>0</v>
      </c>
      <c r="S27" s="273"/>
      <c r="T27" s="274">
        <f t="shared" si="5"/>
        <v>0</v>
      </c>
      <c r="U27" s="273"/>
      <c r="V27" s="274">
        <f t="shared" si="6"/>
        <v>0</v>
      </c>
      <c r="W27" s="273"/>
      <c r="X27" s="274">
        <f t="shared" si="7"/>
        <v>0</v>
      </c>
      <c r="Y27" s="273"/>
      <c r="Z27" s="274">
        <f t="shared" si="8"/>
        <v>0</v>
      </c>
      <c r="AA27" s="251">
        <f t="shared" si="12"/>
        <v>0</v>
      </c>
      <c r="AB27" s="325"/>
      <c r="AC27" s="325"/>
      <c r="AD27" s="325"/>
      <c r="AE27" s="325"/>
      <c r="AF27" s="325"/>
      <c r="AG27" s="325"/>
      <c r="AH27" s="325"/>
      <c r="AI27" s="325"/>
      <c r="AJ27" s="325"/>
      <c r="AK27" s="325"/>
      <c r="AL27" s="325"/>
      <c r="AM27" s="325"/>
      <c r="AN27" s="325"/>
      <c r="AO27" s="325">
        <f t="shared" si="13"/>
        <v>0</v>
      </c>
    </row>
    <row r="28" customHeight="1" spans="1:41">
      <c r="A28" s="270">
        <v>23</v>
      </c>
      <c r="B28" s="270"/>
      <c r="C28" s="274"/>
      <c r="D28" s="274"/>
      <c r="E28" s="272">
        <f t="shared" si="9"/>
        <v>0</v>
      </c>
      <c r="F28" s="272">
        <f t="shared" si="10"/>
        <v>0</v>
      </c>
      <c r="G28" s="273"/>
      <c r="H28" s="274">
        <f t="shared" si="11"/>
        <v>0</v>
      </c>
      <c r="I28" s="273"/>
      <c r="J28" s="274">
        <f t="shared" si="0"/>
        <v>0</v>
      </c>
      <c r="K28" s="275"/>
      <c r="L28" s="274">
        <f t="shared" si="1"/>
        <v>0</v>
      </c>
      <c r="M28" s="273"/>
      <c r="N28" s="274">
        <f t="shared" si="2"/>
        <v>0</v>
      </c>
      <c r="O28" s="273"/>
      <c r="P28" s="274">
        <f t="shared" si="3"/>
        <v>0</v>
      </c>
      <c r="Q28" s="273"/>
      <c r="R28" s="274">
        <f t="shared" si="4"/>
        <v>0</v>
      </c>
      <c r="S28" s="273"/>
      <c r="T28" s="274">
        <f t="shared" si="5"/>
        <v>0</v>
      </c>
      <c r="U28" s="273"/>
      <c r="V28" s="274">
        <f t="shared" si="6"/>
        <v>0</v>
      </c>
      <c r="W28" s="273"/>
      <c r="X28" s="274">
        <f t="shared" si="7"/>
        <v>0</v>
      </c>
      <c r="Y28" s="273"/>
      <c r="Z28" s="274">
        <f t="shared" si="8"/>
        <v>0</v>
      </c>
      <c r="AA28" s="251">
        <f t="shared" si="12"/>
        <v>0</v>
      </c>
      <c r="AB28" s="325"/>
      <c r="AC28" s="325"/>
      <c r="AD28" s="325"/>
      <c r="AE28" s="325"/>
      <c r="AF28" s="325"/>
      <c r="AG28" s="325"/>
      <c r="AH28" s="325"/>
      <c r="AI28" s="325"/>
      <c r="AJ28" s="325"/>
      <c r="AK28" s="325"/>
      <c r="AL28" s="325"/>
      <c r="AM28" s="325"/>
      <c r="AN28" s="325"/>
      <c r="AO28" s="325">
        <f t="shared" si="13"/>
        <v>0</v>
      </c>
    </row>
    <row r="29" customHeight="1" spans="1:41">
      <c r="A29" s="270">
        <v>25</v>
      </c>
      <c r="B29" s="270"/>
      <c r="C29" s="274"/>
      <c r="D29" s="274"/>
      <c r="E29" s="272">
        <f t="shared" si="9"/>
        <v>0</v>
      </c>
      <c r="F29" s="272">
        <f t="shared" si="10"/>
        <v>0</v>
      </c>
      <c r="G29" s="273"/>
      <c r="H29" s="274">
        <f t="shared" si="11"/>
        <v>0</v>
      </c>
      <c r="I29" s="273"/>
      <c r="J29" s="274">
        <f t="shared" si="0"/>
        <v>0</v>
      </c>
      <c r="K29" s="275"/>
      <c r="L29" s="274">
        <f t="shared" si="1"/>
        <v>0</v>
      </c>
      <c r="M29" s="273"/>
      <c r="N29" s="274">
        <f t="shared" si="2"/>
        <v>0</v>
      </c>
      <c r="O29" s="273"/>
      <c r="P29" s="274">
        <f t="shared" si="3"/>
        <v>0</v>
      </c>
      <c r="Q29" s="273"/>
      <c r="R29" s="274">
        <f t="shared" si="4"/>
        <v>0</v>
      </c>
      <c r="S29" s="273"/>
      <c r="T29" s="274">
        <f t="shared" si="5"/>
        <v>0</v>
      </c>
      <c r="U29" s="273"/>
      <c r="V29" s="274">
        <f t="shared" si="6"/>
        <v>0</v>
      </c>
      <c r="W29" s="273"/>
      <c r="X29" s="274">
        <f t="shared" si="7"/>
        <v>0</v>
      </c>
      <c r="Y29" s="273"/>
      <c r="Z29" s="274">
        <f t="shared" si="8"/>
        <v>0</v>
      </c>
      <c r="AA29" s="251">
        <f t="shared" si="12"/>
        <v>0</v>
      </c>
      <c r="AB29" s="325"/>
      <c r="AC29" s="325"/>
      <c r="AD29" s="325"/>
      <c r="AE29" s="325"/>
      <c r="AF29" s="325"/>
      <c r="AG29" s="325"/>
      <c r="AH29" s="325"/>
      <c r="AI29" s="325"/>
      <c r="AJ29" s="325"/>
      <c r="AK29" s="325"/>
      <c r="AL29" s="325"/>
      <c r="AM29" s="325"/>
      <c r="AN29" s="325"/>
      <c r="AO29" s="325">
        <f t="shared" si="13"/>
        <v>0</v>
      </c>
    </row>
    <row r="30" customHeight="1" spans="1:41">
      <c r="A30" s="270">
        <v>25</v>
      </c>
      <c r="B30" s="270"/>
      <c r="C30" s="274"/>
      <c r="D30" s="274"/>
      <c r="E30" s="272">
        <f t="shared" si="9"/>
        <v>0</v>
      </c>
      <c r="F30" s="272">
        <f t="shared" si="10"/>
        <v>0</v>
      </c>
      <c r="G30" s="273"/>
      <c r="H30" s="274">
        <f t="shared" si="11"/>
        <v>0</v>
      </c>
      <c r="I30" s="273"/>
      <c r="J30" s="274">
        <f t="shared" si="0"/>
        <v>0</v>
      </c>
      <c r="K30" s="275"/>
      <c r="L30" s="274">
        <f t="shared" si="1"/>
        <v>0</v>
      </c>
      <c r="M30" s="273"/>
      <c r="N30" s="274">
        <f t="shared" si="2"/>
        <v>0</v>
      </c>
      <c r="O30" s="273"/>
      <c r="P30" s="274">
        <f t="shared" si="3"/>
        <v>0</v>
      </c>
      <c r="Q30" s="273"/>
      <c r="R30" s="274">
        <f t="shared" si="4"/>
        <v>0</v>
      </c>
      <c r="S30" s="273"/>
      <c r="T30" s="274">
        <f t="shared" si="5"/>
        <v>0</v>
      </c>
      <c r="U30" s="273"/>
      <c r="V30" s="274">
        <f t="shared" si="6"/>
        <v>0</v>
      </c>
      <c r="W30" s="273"/>
      <c r="X30" s="274">
        <f t="shared" si="7"/>
        <v>0</v>
      </c>
      <c r="Y30" s="273"/>
      <c r="Z30" s="274">
        <f t="shared" si="8"/>
        <v>0</v>
      </c>
      <c r="AA30" s="251">
        <f t="shared" si="12"/>
        <v>0</v>
      </c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>
        <f t="shared" si="13"/>
        <v>0</v>
      </c>
    </row>
    <row r="31" customHeight="1" spans="1:41">
      <c r="A31" s="270">
        <v>26</v>
      </c>
      <c r="B31" s="270"/>
      <c r="C31" s="274"/>
      <c r="D31" s="274"/>
      <c r="E31" s="272">
        <f t="shared" si="9"/>
        <v>0</v>
      </c>
      <c r="F31" s="272">
        <f t="shared" si="10"/>
        <v>0</v>
      </c>
      <c r="G31" s="273"/>
      <c r="H31" s="274">
        <f t="shared" si="11"/>
        <v>0</v>
      </c>
      <c r="I31" s="273"/>
      <c r="J31" s="274">
        <f t="shared" si="0"/>
        <v>0</v>
      </c>
      <c r="K31" s="275"/>
      <c r="L31" s="274">
        <f t="shared" si="1"/>
        <v>0</v>
      </c>
      <c r="M31" s="273"/>
      <c r="N31" s="274">
        <f t="shared" si="2"/>
        <v>0</v>
      </c>
      <c r="O31" s="273"/>
      <c r="P31" s="274">
        <f t="shared" si="3"/>
        <v>0</v>
      </c>
      <c r="Q31" s="273"/>
      <c r="R31" s="274">
        <f t="shared" si="4"/>
        <v>0</v>
      </c>
      <c r="S31" s="273"/>
      <c r="T31" s="274">
        <f t="shared" si="5"/>
        <v>0</v>
      </c>
      <c r="U31" s="273"/>
      <c r="V31" s="274">
        <f t="shared" si="6"/>
        <v>0</v>
      </c>
      <c r="W31" s="273"/>
      <c r="X31" s="274">
        <f t="shared" si="7"/>
        <v>0</v>
      </c>
      <c r="Y31" s="273"/>
      <c r="Z31" s="274">
        <f t="shared" si="8"/>
        <v>0</v>
      </c>
      <c r="AA31" s="251">
        <f t="shared" si="12"/>
        <v>0</v>
      </c>
      <c r="AB31" s="325"/>
      <c r="AC31" s="325"/>
      <c r="AD31" s="325"/>
      <c r="AE31" s="325"/>
      <c r="AF31" s="325"/>
      <c r="AG31" s="325"/>
      <c r="AH31" s="325"/>
      <c r="AI31" s="325"/>
      <c r="AJ31" s="325"/>
      <c r="AK31" s="325"/>
      <c r="AL31" s="325"/>
      <c r="AM31" s="325"/>
      <c r="AN31" s="325"/>
      <c r="AO31" s="325">
        <f t="shared" si="13"/>
        <v>0</v>
      </c>
    </row>
    <row r="32" customHeight="1" spans="1:41">
      <c r="A32" s="270">
        <v>27</v>
      </c>
      <c r="B32" s="270"/>
      <c r="C32" s="274"/>
      <c r="D32" s="274"/>
      <c r="E32" s="272">
        <f t="shared" si="9"/>
        <v>0</v>
      </c>
      <c r="F32" s="272">
        <f t="shared" si="10"/>
        <v>0</v>
      </c>
      <c r="G32" s="273"/>
      <c r="H32" s="274">
        <f t="shared" si="11"/>
        <v>0</v>
      </c>
      <c r="I32" s="273"/>
      <c r="J32" s="274">
        <f t="shared" si="0"/>
        <v>0</v>
      </c>
      <c r="K32" s="275"/>
      <c r="L32" s="274">
        <f t="shared" si="1"/>
        <v>0</v>
      </c>
      <c r="M32" s="273"/>
      <c r="N32" s="274">
        <f t="shared" si="2"/>
        <v>0</v>
      </c>
      <c r="O32" s="273"/>
      <c r="P32" s="274">
        <f t="shared" si="3"/>
        <v>0</v>
      </c>
      <c r="Q32" s="273"/>
      <c r="R32" s="274">
        <f t="shared" si="4"/>
        <v>0</v>
      </c>
      <c r="S32" s="273"/>
      <c r="T32" s="274">
        <f t="shared" si="5"/>
        <v>0</v>
      </c>
      <c r="U32" s="273"/>
      <c r="V32" s="274">
        <f t="shared" si="6"/>
        <v>0</v>
      </c>
      <c r="W32" s="273"/>
      <c r="X32" s="274">
        <f t="shared" si="7"/>
        <v>0</v>
      </c>
      <c r="Y32" s="273"/>
      <c r="Z32" s="274">
        <f t="shared" si="8"/>
        <v>0</v>
      </c>
      <c r="AA32" s="251">
        <f t="shared" si="12"/>
        <v>0</v>
      </c>
      <c r="AB32" s="325"/>
      <c r="AC32" s="325"/>
      <c r="AD32" s="325"/>
      <c r="AE32" s="325"/>
      <c r="AF32" s="325"/>
      <c r="AG32" s="325"/>
      <c r="AH32" s="325"/>
      <c r="AI32" s="325"/>
      <c r="AJ32" s="325"/>
      <c r="AK32" s="325"/>
      <c r="AL32" s="325"/>
      <c r="AM32" s="325"/>
      <c r="AN32" s="325"/>
      <c r="AO32" s="325">
        <f t="shared" si="13"/>
        <v>0</v>
      </c>
    </row>
    <row r="33" customHeight="1" spans="1:41">
      <c r="A33" s="270">
        <v>28</v>
      </c>
      <c r="B33" s="270"/>
      <c r="C33" s="274"/>
      <c r="D33" s="274"/>
      <c r="E33" s="272">
        <f t="shared" si="9"/>
        <v>0</v>
      </c>
      <c r="F33" s="272">
        <f t="shared" si="10"/>
        <v>0</v>
      </c>
      <c r="G33" s="273"/>
      <c r="H33" s="274">
        <f t="shared" si="11"/>
        <v>0</v>
      </c>
      <c r="I33" s="273"/>
      <c r="J33" s="274">
        <f t="shared" si="0"/>
        <v>0</v>
      </c>
      <c r="K33" s="275"/>
      <c r="L33" s="274">
        <f t="shared" si="1"/>
        <v>0</v>
      </c>
      <c r="M33" s="273"/>
      <c r="N33" s="274">
        <f t="shared" si="2"/>
        <v>0</v>
      </c>
      <c r="O33" s="273"/>
      <c r="P33" s="274">
        <f t="shared" si="3"/>
        <v>0</v>
      </c>
      <c r="Q33" s="273"/>
      <c r="R33" s="274">
        <f t="shared" si="4"/>
        <v>0</v>
      </c>
      <c r="S33" s="273"/>
      <c r="T33" s="274">
        <f t="shared" si="5"/>
        <v>0</v>
      </c>
      <c r="U33" s="273"/>
      <c r="V33" s="274">
        <f t="shared" si="6"/>
        <v>0</v>
      </c>
      <c r="W33" s="273"/>
      <c r="X33" s="274">
        <f t="shared" si="7"/>
        <v>0</v>
      </c>
      <c r="Y33" s="273"/>
      <c r="Z33" s="274">
        <f t="shared" si="8"/>
        <v>0</v>
      </c>
      <c r="AA33" s="251">
        <f t="shared" si="12"/>
        <v>0</v>
      </c>
      <c r="AB33" s="325"/>
      <c r="AC33" s="325"/>
      <c r="AD33" s="325"/>
      <c r="AE33" s="325"/>
      <c r="AF33" s="325"/>
      <c r="AG33" s="325"/>
      <c r="AH33" s="325"/>
      <c r="AI33" s="325"/>
      <c r="AJ33" s="325"/>
      <c r="AK33" s="325"/>
      <c r="AL33" s="325"/>
      <c r="AM33" s="325"/>
      <c r="AN33" s="325"/>
      <c r="AO33" s="325">
        <f t="shared" si="13"/>
        <v>0</v>
      </c>
    </row>
    <row r="34" customHeight="1" spans="1:41">
      <c r="A34" s="270">
        <v>29</v>
      </c>
      <c r="B34" s="270"/>
      <c r="C34" s="274"/>
      <c r="D34" s="274"/>
      <c r="E34" s="272">
        <f t="shared" si="9"/>
        <v>0</v>
      </c>
      <c r="F34" s="272">
        <f t="shared" si="10"/>
        <v>0</v>
      </c>
      <c r="G34" s="273"/>
      <c r="H34" s="274">
        <f t="shared" si="11"/>
        <v>0</v>
      </c>
      <c r="I34" s="273"/>
      <c r="J34" s="274">
        <f t="shared" si="0"/>
        <v>0</v>
      </c>
      <c r="K34" s="275"/>
      <c r="L34" s="274">
        <f t="shared" si="1"/>
        <v>0</v>
      </c>
      <c r="M34" s="273"/>
      <c r="N34" s="274">
        <f t="shared" si="2"/>
        <v>0</v>
      </c>
      <c r="O34" s="273"/>
      <c r="P34" s="274">
        <f t="shared" si="3"/>
        <v>0</v>
      </c>
      <c r="Q34" s="273"/>
      <c r="R34" s="274">
        <f t="shared" si="4"/>
        <v>0</v>
      </c>
      <c r="S34" s="273"/>
      <c r="T34" s="274">
        <f t="shared" si="5"/>
        <v>0</v>
      </c>
      <c r="U34" s="273"/>
      <c r="V34" s="274">
        <f t="shared" si="6"/>
        <v>0</v>
      </c>
      <c r="W34" s="273"/>
      <c r="X34" s="274">
        <f t="shared" si="7"/>
        <v>0</v>
      </c>
      <c r="Y34" s="273"/>
      <c r="Z34" s="274">
        <f t="shared" si="8"/>
        <v>0</v>
      </c>
      <c r="AA34" s="251">
        <f t="shared" si="12"/>
        <v>0</v>
      </c>
      <c r="AB34" s="325"/>
      <c r="AC34" s="325"/>
      <c r="AD34" s="325"/>
      <c r="AE34" s="325"/>
      <c r="AF34" s="325"/>
      <c r="AG34" s="325"/>
      <c r="AH34" s="325"/>
      <c r="AI34" s="325"/>
      <c r="AJ34" s="325"/>
      <c r="AK34" s="325"/>
      <c r="AL34" s="325"/>
      <c r="AM34" s="325"/>
      <c r="AN34" s="325"/>
      <c r="AO34" s="325">
        <f t="shared" si="13"/>
        <v>0</v>
      </c>
    </row>
    <row r="35" customHeight="1" spans="1:41">
      <c r="A35" s="270">
        <v>30</v>
      </c>
      <c r="B35" s="270"/>
      <c r="C35" s="274"/>
      <c r="D35" s="274"/>
      <c r="E35" s="272">
        <f t="shared" si="9"/>
        <v>0</v>
      </c>
      <c r="F35" s="272">
        <f t="shared" si="10"/>
        <v>0</v>
      </c>
      <c r="G35" s="273"/>
      <c r="H35" s="274">
        <f t="shared" si="11"/>
        <v>0</v>
      </c>
      <c r="I35" s="273"/>
      <c r="J35" s="274">
        <f t="shared" si="0"/>
        <v>0</v>
      </c>
      <c r="K35" s="275"/>
      <c r="L35" s="274">
        <f t="shared" si="1"/>
        <v>0</v>
      </c>
      <c r="M35" s="273"/>
      <c r="N35" s="274">
        <f t="shared" si="2"/>
        <v>0</v>
      </c>
      <c r="O35" s="273"/>
      <c r="P35" s="274">
        <f t="shared" si="3"/>
        <v>0</v>
      </c>
      <c r="Q35" s="273"/>
      <c r="R35" s="274">
        <f t="shared" si="4"/>
        <v>0</v>
      </c>
      <c r="S35" s="273"/>
      <c r="T35" s="274">
        <f t="shared" si="5"/>
        <v>0</v>
      </c>
      <c r="U35" s="273"/>
      <c r="V35" s="274">
        <f t="shared" si="6"/>
        <v>0</v>
      </c>
      <c r="W35" s="273"/>
      <c r="X35" s="274">
        <f t="shared" si="7"/>
        <v>0</v>
      </c>
      <c r="Y35" s="273"/>
      <c r="Z35" s="274">
        <f t="shared" si="8"/>
        <v>0</v>
      </c>
      <c r="AA35" s="251">
        <f t="shared" si="12"/>
        <v>0</v>
      </c>
      <c r="AB35" s="325"/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  <c r="AM35" s="325"/>
      <c r="AN35" s="325"/>
      <c r="AO35" s="325">
        <f t="shared" si="13"/>
        <v>0</v>
      </c>
    </row>
    <row r="36" customHeight="1" spans="1:41">
      <c r="A36" s="276" t="s">
        <v>22</v>
      </c>
      <c r="B36" s="277"/>
      <c r="C36" s="261">
        <f t="shared" ref="C36:H36" si="14">SUM(C6:C35)</f>
        <v>0</v>
      </c>
      <c r="D36" s="261">
        <f t="shared" si="14"/>
        <v>0</v>
      </c>
      <c r="E36" s="261">
        <f t="shared" si="14"/>
        <v>0</v>
      </c>
      <c r="F36" s="272">
        <f t="shared" si="14"/>
        <v>0</v>
      </c>
      <c r="G36" s="261">
        <f t="shared" si="14"/>
        <v>0</v>
      </c>
      <c r="H36" s="273">
        <f t="shared" si="14"/>
        <v>0</v>
      </c>
      <c r="I36" s="273">
        <f t="shared" ref="I36:AA36" si="15">SUM(I6:I35)</f>
        <v>0</v>
      </c>
      <c r="J36" s="273">
        <f t="shared" si="15"/>
        <v>0</v>
      </c>
      <c r="K36" s="273">
        <f t="shared" si="15"/>
        <v>0</v>
      </c>
      <c r="L36" s="273">
        <f t="shared" si="15"/>
        <v>0</v>
      </c>
      <c r="M36" s="273">
        <f t="shared" si="15"/>
        <v>0</v>
      </c>
      <c r="N36" s="273">
        <f t="shared" si="15"/>
        <v>0</v>
      </c>
      <c r="O36" s="273">
        <f t="shared" si="15"/>
        <v>0</v>
      </c>
      <c r="P36" s="273">
        <f t="shared" si="15"/>
        <v>0</v>
      </c>
      <c r="Q36" s="273">
        <f t="shared" si="15"/>
        <v>0</v>
      </c>
      <c r="R36" s="273">
        <f t="shared" si="15"/>
        <v>0</v>
      </c>
      <c r="S36" s="273">
        <f t="shared" si="15"/>
        <v>0</v>
      </c>
      <c r="T36" s="273">
        <f t="shared" si="15"/>
        <v>0</v>
      </c>
      <c r="U36" s="273">
        <f t="shared" si="15"/>
        <v>0</v>
      </c>
      <c r="V36" s="273">
        <f t="shared" si="15"/>
        <v>0</v>
      </c>
      <c r="W36" s="273">
        <f t="shared" si="15"/>
        <v>0</v>
      </c>
      <c r="X36" s="273">
        <f t="shared" si="15"/>
        <v>0</v>
      </c>
      <c r="Y36" s="273">
        <f t="shared" si="15"/>
        <v>0</v>
      </c>
      <c r="Z36" s="273">
        <f t="shared" si="15"/>
        <v>0</v>
      </c>
      <c r="AB36" s="325" t="s">
        <v>54</v>
      </c>
      <c r="AC36" s="325">
        <f>SUM(AC6:AC35)</f>
        <v>0</v>
      </c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</row>
    <row r="38" customHeight="1" spans="1:41">
      <c r="B38" s="257" t="s">
        <v>55</v>
      </c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</row>
    <row r="40" customHeight="1" spans="1:41">
      <c r="A40" s="259" t="s">
        <v>31</v>
      </c>
      <c r="B40" s="260" t="s">
        <v>32</v>
      </c>
      <c r="C40" s="261" t="s">
        <v>33</v>
      </c>
      <c r="D40" s="261" t="s">
        <v>34</v>
      </c>
      <c r="E40" s="262" t="s">
        <v>35</v>
      </c>
      <c r="F40" s="262" t="s">
        <v>36</v>
      </c>
      <c r="G40" s="263" t="str">
        <f>立项!$A$3</f>
        <v>RD01</v>
      </c>
      <c r="H40" s="264"/>
      <c r="I40" s="264" t="str">
        <f>立项!$A$4</f>
        <v>RD02</v>
      </c>
      <c r="J40" s="264"/>
      <c r="K40" s="264" t="str">
        <f>立项!$A$5</f>
        <v>RD03</v>
      </c>
      <c r="L40" s="264"/>
      <c r="M40" s="264" t="str">
        <f>立项!$A$6</f>
        <v>RD04</v>
      </c>
      <c r="N40" s="264"/>
      <c r="O40" s="264" t="str">
        <f>立项!$A$7</f>
        <v>RD05</v>
      </c>
      <c r="P40" s="264"/>
      <c r="Q40" s="264" t="str">
        <f>立项!$A$8</f>
        <v>RD06</v>
      </c>
      <c r="R40" s="264"/>
      <c r="S40" s="264" t="str">
        <f>立项!$A$9</f>
        <v>RD07</v>
      </c>
      <c r="T40" s="264"/>
      <c r="U40" s="264" t="str">
        <f>立项!$A$10</f>
        <v>RD08</v>
      </c>
      <c r="V40" s="264"/>
      <c r="W40" s="264" t="str">
        <f>立项!$A$11</f>
        <v>RD09</v>
      </c>
      <c r="X40" s="264"/>
      <c r="Y40" s="264" t="str">
        <f>立项!$A$12</f>
        <v>RD10</v>
      </c>
      <c r="Z40" s="264"/>
    </row>
    <row r="41" customHeight="1" spans="1:41">
      <c r="A41" s="265"/>
      <c r="B41" s="260"/>
      <c r="C41" s="261"/>
      <c r="D41" s="261"/>
      <c r="E41" s="262"/>
      <c r="F41" s="262"/>
      <c r="G41" s="267">
        <f>立项!C3</f>
        <v>0</v>
      </c>
      <c r="H41" s="263"/>
      <c r="I41" s="267">
        <f>立项!C4</f>
        <v>0</v>
      </c>
      <c r="J41" s="263"/>
      <c r="K41" s="267">
        <f>立项!C5</f>
        <v>0</v>
      </c>
      <c r="L41" s="263"/>
      <c r="M41" s="267">
        <f>立项!C6</f>
        <v>0</v>
      </c>
      <c r="N41" s="263"/>
      <c r="O41" s="267">
        <f>立项!C7</f>
        <v>0</v>
      </c>
      <c r="P41" s="263"/>
      <c r="Q41" s="267">
        <f>立项!C8</f>
        <v>0</v>
      </c>
      <c r="R41" s="263"/>
      <c r="S41" s="267">
        <f>立项!C9</f>
        <v>0</v>
      </c>
      <c r="T41" s="263"/>
      <c r="U41" s="267">
        <f>立项!C10</f>
        <v>0</v>
      </c>
      <c r="V41" s="263"/>
      <c r="W41" s="267">
        <f>立项!C11</f>
        <v>0</v>
      </c>
      <c r="X41" s="263"/>
      <c r="Y41" s="264">
        <f>立项!C12</f>
        <v>0</v>
      </c>
      <c r="Z41" s="264"/>
    </row>
    <row r="42" customHeight="1" spans="1:41">
      <c r="A42" s="268"/>
      <c r="B42" s="260"/>
      <c r="C42" s="261"/>
      <c r="D42" s="261"/>
      <c r="E42" s="262"/>
      <c r="F42" s="262"/>
      <c r="G42" s="264" t="s">
        <v>39</v>
      </c>
      <c r="H42" s="269" t="s">
        <v>40</v>
      </c>
      <c r="I42" s="264" t="s">
        <v>39</v>
      </c>
      <c r="J42" s="269" t="s">
        <v>40</v>
      </c>
      <c r="K42" s="264" t="s">
        <v>39</v>
      </c>
      <c r="L42" s="269" t="s">
        <v>40</v>
      </c>
      <c r="M42" s="264" t="s">
        <v>39</v>
      </c>
      <c r="N42" s="269" t="s">
        <v>40</v>
      </c>
      <c r="O42" s="264" t="s">
        <v>39</v>
      </c>
      <c r="P42" s="269" t="s">
        <v>40</v>
      </c>
      <c r="Q42" s="264" t="s">
        <v>39</v>
      </c>
      <c r="R42" s="269" t="s">
        <v>40</v>
      </c>
      <c r="S42" s="264" t="s">
        <v>39</v>
      </c>
      <c r="T42" s="269" t="s">
        <v>40</v>
      </c>
      <c r="U42" s="264" t="s">
        <v>39</v>
      </c>
      <c r="V42" s="269" t="s">
        <v>40</v>
      </c>
      <c r="W42" s="264" t="s">
        <v>39</v>
      </c>
      <c r="X42" s="269" t="s">
        <v>40</v>
      </c>
      <c r="Y42" s="264" t="s">
        <v>39</v>
      </c>
      <c r="Z42" s="269" t="s">
        <v>40</v>
      </c>
    </row>
    <row r="43" customHeight="1" spans="1:41">
      <c r="A43" s="270">
        <v>1</v>
      </c>
      <c r="B43" s="324"/>
      <c r="C43" s="272"/>
      <c r="D43" s="272"/>
      <c r="E43" s="272">
        <f t="shared" ref="E43:E72" si="16">G43+I43+K43+M43+O43+Q43+S43+U43+W43+Y43</f>
        <v>0</v>
      </c>
      <c r="F43" s="272">
        <f t="shared" ref="F43:F72" si="17">H43+J43+L43+N43+P43+R43+T43+V43+X43+Z43</f>
        <v>0</v>
      </c>
      <c r="G43" s="273"/>
      <c r="H43" s="274">
        <f>IF($D43=0,0,ROUND(G43/$D43*$C43,2))</f>
        <v>0</v>
      </c>
      <c r="I43" s="273"/>
      <c r="J43" s="274">
        <f t="shared" ref="J43:J72" si="18">IF($D43=0,0,ROUND(I43/$D43*$C43,2))</f>
        <v>0</v>
      </c>
      <c r="K43" s="275"/>
      <c r="L43" s="274">
        <f>IF($D43=0,0,ROUND(K43/$D43*$C43,2))</f>
        <v>0</v>
      </c>
      <c r="M43" s="273"/>
      <c r="N43" s="274">
        <f t="shared" ref="N43:N72" si="19">IF($D43=0,0,ROUND(M43/$D43*$C43,2))</f>
        <v>0</v>
      </c>
      <c r="O43" s="273"/>
      <c r="P43" s="274">
        <f t="shared" ref="P43:P72" si="20">IF($D43=0,0,ROUND(O43/$D43*$C43,2))</f>
        <v>0</v>
      </c>
      <c r="Q43" s="273"/>
      <c r="R43" s="274">
        <f t="shared" ref="R43:R72" si="21">IF($D43=0,0,ROUND(Q43/$D43*$C43,2))</f>
        <v>0</v>
      </c>
      <c r="S43" s="273"/>
      <c r="T43" s="274">
        <f t="shared" ref="T43:T72" si="22">IF($D43=0,0,ROUND(S43/$D43*$C43,2))</f>
        <v>0</v>
      </c>
      <c r="U43" s="273"/>
      <c r="V43" s="274">
        <f t="shared" ref="V43:V72" si="23">IF($D43=0,0,ROUND(U43/$D43*$C43,2))</f>
        <v>0</v>
      </c>
      <c r="W43" s="273"/>
      <c r="X43" s="274">
        <f t="shared" ref="X43:X72" si="24">IF($D43=0,0,ROUND(W43/$D43*$C43,2))</f>
        <v>0</v>
      </c>
      <c r="Y43" s="273"/>
      <c r="Z43" s="274">
        <f t="shared" ref="Z43:Z72" si="25">IF($D43=0,0,ROUND(Y43/$D43*$C43,2))</f>
        <v>0</v>
      </c>
      <c r="AA43" s="251">
        <f t="shared" ref="AA43:AA72" si="26">D43-E43</f>
        <v>0</v>
      </c>
    </row>
    <row r="44" customHeight="1" spans="1:41">
      <c r="A44" s="270">
        <v>2</v>
      </c>
      <c r="B44" s="324"/>
      <c r="C44" s="272"/>
      <c r="D44" s="272"/>
      <c r="E44" s="272">
        <f t="shared" si="16"/>
        <v>0</v>
      </c>
      <c r="F44" s="272">
        <f t="shared" si="17"/>
        <v>0</v>
      </c>
      <c r="G44" s="273"/>
      <c r="H44" s="274">
        <f t="shared" ref="H43:H72" si="27">IF($D44=0,0,ROUND(G44/$D44*$C44,2))</f>
        <v>0</v>
      </c>
      <c r="I44" s="273"/>
      <c r="J44" s="274">
        <f t="shared" si="18"/>
        <v>0</v>
      </c>
      <c r="K44" s="275"/>
      <c r="L44" s="274">
        <f t="shared" ref="L43:L72" si="28">IF($D44=0,0,ROUND(K44/$D44*$C44,2))</f>
        <v>0</v>
      </c>
      <c r="M44" s="273"/>
      <c r="N44" s="274">
        <f t="shared" si="19"/>
        <v>0</v>
      </c>
      <c r="O44" s="273"/>
      <c r="P44" s="274">
        <f t="shared" si="20"/>
        <v>0</v>
      </c>
      <c r="Q44" s="273"/>
      <c r="R44" s="274">
        <f t="shared" si="21"/>
        <v>0</v>
      </c>
      <c r="S44" s="273"/>
      <c r="T44" s="274">
        <f t="shared" si="22"/>
        <v>0</v>
      </c>
      <c r="U44" s="273"/>
      <c r="V44" s="274">
        <f t="shared" si="23"/>
        <v>0</v>
      </c>
      <c r="W44" s="273"/>
      <c r="X44" s="274">
        <f t="shared" si="24"/>
        <v>0</v>
      </c>
      <c r="Y44" s="273"/>
      <c r="Z44" s="274">
        <f t="shared" si="25"/>
        <v>0</v>
      </c>
      <c r="AA44" s="251">
        <f t="shared" si="26"/>
        <v>0</v>
      </c>
    </row>
    <row r="45" customHeight="1" spans="1:41">
      <c r="A45" s="270">
        <v>3</v>
      </c>
      <c r="B45" s="324"/>
      <c r="C45" s="272"/>
      <c r="D45" s="272"/>
      <c r="E45" s="272">
        <f t="shared" si="16"/>
        <v>0</v>
      </c>
      <c r="F45" s="272">
        <f t="shared" si="17"/>
        <v>0</v>
      </c>
      <c r="G45" s="273"/>
      <c r="H45" s="274">
        <f t="shared" si="27"/>
        <v>0</v>
      </c>
      <c r="I45" s="273"/>
      <c r="J45" s="274">
        <f t="shared" si="18"/>
        <v>0</v>
      </c>
      <c r="K45" s="275"/>
      <c r="L45" s="274">
        <f t="shared" si="28"/>
        <v>0</v>
      </c>
      <c r="M45" s="273"/>
      <c r="N45" s="274">
        <f t="shared" si="19"/>
        <v>0</v>
      </c>
      <c r="O45" s="273"/>
      <c r="P45" s="274">
        <f t="shared" si="20"/>
        <v>0</v>
      </c>
      <c r="Q45" s="273"/>
      <c r="R45" s="274">
        <f t="shared" si="21"/>
        <v>0</v>
      </c>
      <c r="S45" s="273"/>
      <c r="T45" s="274">
        <f t="shared" si="22"/>
        <v>0</v>
      </c>
      <c r="U45" s="273"/>
      <c r="V45" s="274">
        <f t="shared" si="23"/>
        <v>0</v>
      </c>
      <c r="W45" s="273"/>
      <c r="X45" s="274">
        <f t="shared" si="24"/>
        <v>0</v>
      </c>
      <c r="Y45" s="273"/>
      <c r="Z45" s="274">
        <f t="shared" si="25"/>
        <v>0</v>
      </c>
      <c r="AA45" s="251">
        <f t="shared" si="26"/>
        <v>0</v>
      </c>
    </row>
    <row r="46" customHeight="1" spans="1:41">
      <c r="A46" s="270">
        <v>4</v>
      </c>
      <c r="B46" s="324"/>
      <c r="C46" s="272"/>
      <c r="D46" s="272"/>
      <c r="E46" s="272">
        <f t="shared" si="16"/>
        <v>0</v>
      </c>
      <c r="F46" s="272">
        <f t="shared" si="17"/>
        <v>0</v>
      </c>
      <c r="G46" s="273"/>
      <c r="H46" s="274">
        <f t="shared" si="27"/>
        <v>0</v>
      </c>
      <c r="I46" s="273"/>
      <c r="J46" s="274">
        <f t="shared" si="18"/>
        <v>0</v>
      </c>
      <c r="K46" s="275"/>
      <c r="L46" s="274">
        <f t="shared" si="28"/>
        <v>0</v>
      </c>
      <c r="M46" s="273"/>
      <c r="N46" s="274">
        <f t="shared" si="19"/>
        <v>0</v>
      </c>
      <c r="O46" s="273"/>
      <c r="P46" s="274">
        <f t="shared" si="20"/>
        <v>0</v>
      </c>
      <c r="Q46" s="273"/>
      <c r="R46" s="274">
        <f t="shared" si="21"/>
        <v>0</v>
      </c>
      <c r="S46" s="273"/>
      <c r="T46" s="274">
        <f t="shared" si="22"/>
        <v>0</v>
      </c>
      <c r="U46" s="273"/>
      <c r="V46" s="274">
        <f t="shared" si="23"/>
        <v>0</v>
      </c>
      <c r="W46" s="273"/>
      <c r="X46" s="274">
        <f t="shared" si="24"/>
        <v>0</v>
      </c>
      <c r="Y46" s="273"/>
      <c r="Z46" s="274">
        <f t="shared" si="25"/>
        <v>0</v>
      </c>
      <c r="AA46" s="251">
        <f t="shared" si="26"/>
        <v>0</v>
      </c>
    </row>
    <row r="47" customHeight="1" spans="1:41">
      <c r="A47" s="270">
        <v>5</v>
      </c>
      <c r="B47" s="324"/>
      <c r="C47" s="272"/>
      <c r="D47" s="272"/>
      <c r="E47" s="272">
        <f t="shared" si="16"/>
        <v>0</v>
      </c>
      <c r="F47" s="272">
        <f t="shared" si="17"/>
        <v>0</v>
      </c>
      <c r="G47" s="273"/>
      <c r="H47" s="274">
        <f t="shared" si="27"/>
        <v>0</v>
      </c>
      <c r="I47" s="273"/>
      <c r="J47" s="274">
        <f t="shared" si="18"/>
        <v>0</v>
      </c>
      <c r="K47" s="275"/>
      <c r="L47" s="274">
        <f t="shared" si="28"/>
        <v>0</v>
      </c>
      <c r="M47" s="273"/>
      <c r="N47" s="274">
        <f t="shared" si="19"/>
        <v>0</v>
      </c>
      <c r="O47" s="273"/>
      <c r="P47" s="274">
        <f t="shared" si="20"/>
        <v>0</v>
      </c>
      <c r="Q47" s="273"/>
      <c r="R47" s="274">
        <f t="shared" si="21"/>
        <v>0</v>
      </c>
      <c r="S47" s="273"/>
      <c r="T47" s="274">
        <f t="shared" si="22"/>
        <v>0</v>
      </c>
      <c r="U47" s="273"/>
      <c r="V47" s="274">
        <f t="shared" si="23"/>
        <v>0</v>
      </c>
      <c r="W47" s="273"/>
      <c r="X47" s="274">
        <f t="shared" si="24"/>
        <v>0</v>
      </c>
      <c r="Y47" s="273"/>
      <c r="Z47" s="274">
        <f t="shared" si="25"/>
        <v>0</v>
      </c>
      <c r="AA47" s="251">
        <f t="shared" si="26"/>
        <v>0</v>
      </c>
    </row>
    <row r="48" customHeight="1" spans="1:41">
      <c r="A48" s="270">
        <v>6</v>
      </c>
      <c r="B48" s="324"/>
      <c r="C48" s="274"/>
      <c r="D48" s="274"/>
      <c r="E48" s="272">
        <f t="shared" si="16"/>
        <v>0</v>
      </c>
      <c r="F48" s="272">
        <f t="shared" si="17"/>
        <v>0</v>
      </c>
      <c r="G48" s="273"/>
      <c r="H48" s="274">
        <f t="shared" si="27"/>
        <v>0</v>
      </c>
      <c r="I48" s="273"/>
      <c r="J48" s="274">
        <f t="shared" si="18"/>
        <v>0</v>
      </c>
      <c r="K48" s="275"/>
      <c r="L48" s="274">
        <f t="shared" si="28"/>
        <v>0</v>
      </c>
      <c r="M48" s="273"/>
      <c r="N48" s="274">
        <f t="shared" si="19"/>
        <v>0</v>
      </c>
      <c r="O48" s="273"/>
      <c r="P48" s="274">
        <f t="shared" si="20"/>
        <v>0</v>
      </c>
      <c r="Q48" s="273"/>
      <c r="R48" s="274">
        <f t="shared" si="21"/>
        <v>0</v>
      </c>
      <c r="S48" s="273"/>
      <c r="T48" s="274">
        <f t="shared" si="22"/>
        <v>0</v>
      </c>
      <c r="U48" s="273"/>
      <c r="V48" s="274">
        <f t="shared" si="23"/>
        <v>0</v>
      </c>
      <c r="W48" s="273"/>
      <c r="X48" s="274">
        <f t="shared" si="24"/>
        <v>0</v>
      </c>
      <c r="Y48" s="273"/>
      <c r="Z48" s="274">
        <f t="shared" si="25"/>
        <v>0</v>
      </c>
      <c r="AA48" s="251">
        <f t="shared" si="26"/>
        <v>0</v>
      </c>
    </row>
    <row r="49" customHeight="1" spans="1:27">
      <c r="A49" s="270">
        <v>7</v>
      </c>
      <c r="B49" s="324"/>
      <c r="C49" s="274"/>
      <c r="D49" s="274"/>
      <c r="E49" s="272">
        <f t="shared" si="16"/>
        <v>0</v>
      </c>
      <c r="F49" s="272">
        <f t="shared" si="17"/>
        <v>0</v>
      </c>
      <c r="G49" s="273"/>
      <c r="H49" s="274">
        <f t="shared" si="27"/>
        <v>0</v>
      </c>
      <c r="I49" s="273"/>
      <c r="J49" s="274">
        <f t="shared" si="18"/>
        <v>0</v>
      </c>
      <c r="K49" s="275"/>
      <c r="L49" s="274">
        <f t="shared" si="28"/>
        <v>0</v>
      </c>
      <c r="M49" s="273"/>
      <c r="N49" s="274">
        <f t="shared" si="19"/>
        <v>0</v>
      </c>
      <c r="O49" s="273"/>
      <c r="P49" s="274">
        <f t="shared" si="20"/>
        <v>0</v>
      </c>
      <c r="Q49" s="273"/>
      <c r="R49" s="274">
        <f t="shared" si="21"/>
        <v>0</v>
      </c>
      <c r="S49" s="273"/>
      <c r="T49" s="274">
        <f t="shared" si="22"/>
        <v>0</v>
      </c>
      <c r="U49" s="273"/>
      <c r="V49" s="274">
        <f t="shared" si="23"/>
        <v>0</v>
      </c>
      <c r="W49" s="273"/>
      <c r="X49" s="274">
        <f t="shared" si="24"/>
        <v>0</v>
      </c>
      <c r="Y49" s="273"/>
      <c r="Z49" s="274">
        <f t="shared" si="25"/>
        <v>0</v>
      </c>
      <c r="AA49" s="251">
        <f t="shared" si="26"/>
        <v>0</v>
      </c>
    </row>
    <row r="50" customHeight="1" spans="1:27">
      <c r="A50" s="270">
        <v>8</v>
      </c>
      <c r="B50" s="324"/>
      <c r="C50" s="274"/>
      <c r="D50" s="274"/>
      <c r="E50" s="272">
        <f t="shared" si="16"/>
        <v>0</v>
      </c>
      <c r="F50" s="272">
        <f t="shared" si="17"/>
        <v>0</v>
      </c>
      <c r="G50" s="273"/>
      <c r="H50" s="274">
        <f t="shared" si="27"/>
        <v>0</v>
      </c>
      <c r="I50" s="273"/>
      <c r="J50" s="274">
        <f t="shared" si="18"/>
        <v>0</v>
      </c>
      <c r="K50" s="275"/>
      <c r="L50" s="274">
        <f t="shared" si="28"/>
        <v>0</v>
      </c>
      <c r="M50" s="273"/>
      <c r="N50" s="274">
        <f t="shared" si="19"/>
        <v>0</v>
      </c>
      <c r="O50" s="273"/>
      <c r="P50" s="274">
        <f t="shared" si="20"/>
        <v>0</v>
      </c>
      <c r="Q50" s="273"/>
      <c r="R50" s="274">
        <f t="shared" si="21"/>
        <v>0</v>
      </c>
      <c r="S50" s="273"/>
      <c r="T50" s="274">
        <f t="shared" si="22"/>
        <v>0</v>
      </c>
      <c r="U50" s="273"/>
      <c r="V50" s="274">
        <f t="shared" si="23"/>
        <v>0</v>
      </c>
      <c r="W50" s="273"/>
      <c r="X50" s="274">
        <f t="shared" si="24"/>
        <v>0</v>
      </c>
      <c r="Y50" s="273"/>
      <c r="Z50" s="274">
        <f t="shared" si="25"/>
        <v>0</v>
      </c>
      <c r="AA50" s="251">
        <f t="shared" si="26"/>
        <v>0</v>
      </c>
    </row>
    <row r="51" customHeight="1" spans="1:27">
      <c r="A51" s="270">
        <v>9</v>
      </c>
      <c r="B51" s="324"/>
      <c r="C51" s="274"/>
      <c r="D51" s="274"/>
      <c r="E51" s="272">
        <f t="shared" si="16"/>
        <v>0</v>
      </c>
      <c r="F51" s="272">
        <f t="shared" si="17"/>
        <v>0</v>
      </c>
      <c r="G51" s="273"/>
      <c r="H51" s="274">
        <f t="shared" si="27"/>
        <v>0</v>
      </c>
      <c r="I51" s="273"/>
      <c r="J51" s="274">
        <f t="shared" si="18"/>
        <v>0</v>
      </c>
      <c r="K51" s="275"/>
      <c r="L51" s="274">
        <f t="shared" si="28"/>
        <v>0</v>
      </c>
      <c r="M51" s="273"/>
      <c r="N51" s="274">
        <f t="shared" si="19"/>
        <v>0</v>
      </c>
      <c r="O51" s="273"/>
      <c r="P51" s="274">
        <f t="shared" si="20"/>
        <v>0</v>
      </c>
      <c r="Q51" s="273"/>
      <c r="R51" s="274">
        <f t="shared" si="21"/>
        <v>0</v>
      </c>
      <c r="S51" s="273"/>
      <c r="T51" s="274">
        <f t="shared" si="22"/>
        <v>0</v>
      </c>
      <c r="U51" s="273"/>
      <c r="V51" s="274">
        <f t="shared" si="23"/>
        <v>0</v>
      </c>
      <c r="W51" s="273"/>
      <c r="X51" s="274">
        <f t="shared" si="24"/>
        <v>0</v>
      </c>
      <c r="Y51" s="273"/>
      <c r="Z51" s="274">
        <f t="shared" si="25"/>
        <v>0</v>
      </c>
      <c r="AA51" s="251">
        <f t="shared" si="26"/>
        <v>0</v>
      </c>
    </row>
    <row r="52" customHeight="1" spans="1:27">
      <c r="A52" s="270">
        <v>10</v>
      </c>
      <c r="B52" s="270"/>
      <c r="C52" s="274"/>
      <c r="D52" s="274"/>
      <c r="E52" s="272">
        <f t="shared" si="16"/>
        <v>0</v>
      </c>
      <c r="F52" s="272">
        <f t="shared" si="17"/>
        <v>0</v>
      </c>
      <c r="G52" s="273"/>
      <c r="H52" s="274">
        <f t="shared" si="27"/>
        <v>0</v>
      </c>
      <c r="I52" s="273"/>
      <c r="J52" s="274">
        <f t="shared" si="18"/>
        <v>0</v>
      </c>
      <c r="K52" s="275"/>
      <c r="L52" s="274">
        <f t="shared" si="28"/>
        <v>0</v>
      </c>
      <c r="M52" s="273"/>
      <c r="N52" s="274">
        <f t="shared" si="19"/>
        <v>0</v>
      </c>
      <c r="O52" s="273"/>
      <c r="P52" s="274">
        <f t="shared" si="20"/>
        <v>0</v>
      </c>
      <c r="Q52" s="273"/>
      <c r="R52" s="274">
        <f t="shared" si="21"/>
        <v>0</v>
      </c>
      <c r="S52" s="273"/>
      <c r="T52" s="274">
        <f t="shared" si="22"/>
        <v>0</v>
      </c>
      <c r="U52" s="273"/>
      <c r="V52" s="274">
        <f t="shared" si="23"/>
        <v>0</v>
      </c>
      <c r="W52" s="273"/>
      <c r="X52" s="274">
        <f t="shared" si="24"/>
        <v>0</v>
      </c>
      <c r="Y52" s="273"/>
      <c r="Z52" s="274">
        <f t="shared" si="25"/>
        <v>0</v>
      </c>
      <c r="AA52" s="251">
        <f t="shared" si="26"/>
        <v>0</v>
      </c>
    </row>
    <row r="53" customHeight="1" spans="1:27">
      <c r="A53" s="270">
        <v>11</v>
      </c>
      <c r="B53" s="270"/>
      <c r="C53" s="274"/>
      <c r="D53" s="274"/>
      <c r="E53" s="272">
        <f t="shared" si="16"/>
        <v>0</v>
      </c>
      <c r="F53" s="272">
        <f t="shared" si="17"/>
        <v>0</v>
      </c>
      <c r="G53" s="273"/>
      <c r="H53" s="274">
        <f t="shared" si="27"/>
        <v>0</v>
      </c>
      <c r="I53" s="273"/>
      <c r="J53" s="274">
        <f t="shared" si="18"/>
        <v>0</v>
      </c>
      <c r="K53" s="275"/>
      <c r="L53" s="274">
        <f t="shared" si="28"/>
        <v>0</v>
      </c>
      <c r="M53" s="273"/>
      <c r="N53" s="274">
        <f t="shared" si="19"/>
        <v>0</v>
      </c>
      <c r="O53" s="273"/>
      <c r="P53" s="274">
        <f t="shared" si="20"/>
        <v>0</v>
      </c>
      <c r="Q53" s="273"/>
      <c r="R53" s="274">
        <f t="shared" si="21"/>
        <v>0</v>
      </c>
      <c r="S53" s="273"/>
      <c r="T53" s="274">
        <f t="shared" si="22"/>
        <v>0</v>
      </c>
      <c r="U53" s="273"/>
      <c r="V53" s="274">
        <f t="shared" si="23"/>
        <v>0</v>
      </c>
      <c r="W53" s="273"/>
      <c r="X53" s="274">
        <f t="shared" si="24"/>
        <v>0</v>
      </c>
      <c r="Y53" s="273"/>
      <c r="Z53" s="274">
        <f t="shared" si="25"/>
        <v>0</v>
      </c>
      <c r="AA53" s="251">
        <f t="shared" si="26"/>
        <v>0</v>
      </c>
    </row>
    <row r="54" customHeight="1" spans="1:27">
      <c r="A54" s="270">
        <v>12</v>
      </c>
      <c r="B54" s="270"/>
      <c r="C54" s="274"/>
      <c r="D54" s="274"/>
      <c r="E54" s="272">
        <f t="shared" si="16"/>
        <v>0</v>
      </c>
      <c r="F54" s="272">
        <f t="shared" si="17"/>
        <v>0</v>
      </c>
      <c r="G54" s="273"/>
      <c r="H54" s="274">
        <f t="shared" si="27"/>
        <v>0</v>
      </c>
      <c r="I54" s="273"/>
      <c r="J54" s="274">
        <f t="shared" si="18"/>
        <v>0</v>
      </c>
      <c r="K54" s="275"/>
      <c r="L54" s="274">
        <f t="shared" si="28"/>
        <v>0</v>
      </c>
      <c r="M54" s="273"/>
      <c r="N54" s="274">
        <f t="shared" si="19"/>
        <v>0</v>
      </c>
      <c r="O54" s="273"/>
      <c r="P54" s="274">
        <f t="shared" si="20"/>
        <v>0</v>
      </c>
      <c r="Q54" s="273"/>
      <c r="R54" s="274">
        <f t="shared" si="21"/>
        <v>0</v>
      </c>
      <c r="S54" s="273"/>
      <c r="T54" s="274">
        <f t="shared" si="22"/>
        <v>0</v>
      </c>
      <c r="U54" s="273"/>
      <c r="V54" s="274">
        <f t="shared" si="23"/>
        <v>0</v>
      </c>
      <c r="W54" s="273"/>
      <c r="X54" s="274">
        <f t="shared" si="24"/>
        <v>0</v>
      </c>
      <c r="Y54" s="273"/>
      <c r="Z54" s="274">
        <f t="shared" si="25"/>
        <v>0</v>
      </c>
      <c r="AA54" s="251">
        <f t="shared" si="26"/>
        <v>0</v>
      </c>
    </row>
    <row r="55" customHeight="1" spans="1:27">
      <c r="A55" s="270">
        <v>13</v>
      </c>
      <c r="B55" s="270"/>
      <c r="C55" s="274"/>
      <c r="D55" s="274"/>
      <c r="E55" s="272">
        <f t="shared" si="16"/>
        <v>0</v>
      </c>
      <c r="F55" s="272">
        <f t="shared" si="17"/>
        <v>0</v>
      </c>
      <c r="G55" s="273"/>
      <c r="H55" s="274">
        <f t="shared" si="27"/>
        <v>0</v>
      </c>
      <c r="I55" s="273"/>
      <c r="J55" s="274">
        <f t="shared" si="18"/>
        <v>0</v>
      </c>
      <c r="K55" s="275"/>
      <c r="L55" s="274">
        <f t="shared" si="28"/>
        <v>0</v>
      </c>
      <c r="M55" s="273"/>
      <c r="N55" s="274">
        <f t="shared" si="19"/>
        <v>0</v>
      </c>
      <c r="O55" s="273"/>
      <c r="P55" s="274">
        <f t="shared" si="20"/>
        <v>0</v>
      </c>
      <c r="Q55" s="273"/>
      <c r="R55" s="274">
        <f t="shared" si="21"/>
        <v>0</v>
      </c>
      <c r="S55" s="273"/>
      <c r="T55" s="274">
        <f t="shared" si="22"/>
        <v>0</v>
      </c>
      <c r="U55" s="273"/>
      <c r="V55" s="274">
        <f t="shared" si="23"/>
        <v>0</v>
      </c>
      <c r="W55" s="273"/>
      <c r="X55" s="274">
        <f t="shared" si="24"/>
        <v>0</v>
      </c>
      <c r="Y55" s="273"/>
      <c r="Z55" s="274">
        <f t="shared" si="25"/>
        <v>0</v>
      </c>
      <c r="AA55" s="251">
        <f t="shared" si="26"/>
        <v>0</v>
      </c>
    </row>
    <row r="56" customHeight="1" spans="1:27">
      <c r="A56" s="270">
        <v>14</v>
      </c>
      <c r="B56" s="270"/>
      <c r="C56" s="274"/>
      <c r="D56" s="274"/>
      <c r="E56" s="272">
        <f t="shared" si="16"/>
        <v>0</v>
      </c>
      <c r="F56" s="272">
        <f t="shared" si="17"/>
        <v>0</v>
      </c>
      <c r="G56" s="273"/>
      <c r="H56" s="274">
        <f t="shared" si="27"/>
        <v>0</v>
      </c>
      <c r="I56" s="273"/>
      <c r="J56" s="274">
        <f t="shared" si="18"/>
        <v>0</v>
      </c>
      <c r="K56" s="275"/>
      <c r="L56" s="274">
        <f t="shared" si="28"/>
        <v>0</v>
      </c>
      <c r="M56" s="273"/>
      <c r="N56" s="274">
        <f t="shared" si="19"/>
        <v>0</v>
      </c>
      <c r="O56" s="273"/>
      <c r="P56" s="274">
        <f t="shared" si="20"/>
        <v>0</v>
      </c>
      <c r="Q56" s="273"/>
      <c r="R56" s="274">
        <f t="shared" si="21"/>
        <v>0</v>
      </c>
      <c r="S56" s="273"/>
      <c r="T56" s="274">
        <f t="shared" si="22"/>
        <v>0</v>
      </c>
      <c r="U56" s="273"/>
      <c r="V56" s="274">
        <f t="shared" si="23"/>
        <v>0</v>
      </c>
      <c r="W56" s="273"/>
      <c r="X56" s="274">
        <f t="shared" si="24"/>
        <v>0</v>
      </c>
      <c r="Y56" s="273"/>
      <c r="Z56" s="274">
        <f t="shared" si="25"/>
        <v>0</v>
      </c>
      <c r="AA56" s="251">
        <f t="shared" si="26"/>
        <v>0</v>
      </c>
    </row>
    <row r="57" customHeight="1" spans="1:27">
      <c r="A57" s="270">
        <v>15</v>
      </c>
      <c r="B57" s="270"/>
      <c r="C57" s="274"/>
      <c r="D57" s="274"/>
      <c r="E57" s="272">
        <f t="shared" si="16"/>
        <v>0</v>
      </c>
      <c r="F57" s="272">
        <f t="shared" si="17"/>
        <v>0</v>
      </c>
      <c r="G57" s="273"/>
      <c r="H57" s="274">
        <f t="shared" si="27"/>
        <v>0</v>
      </c>
      <c r="I57" s="273"/>
      <c r="J57" s="274">
        <f t="shared" si="18"/>
        <v>0</v>
      </c>
      <c r="K57" s="275"/>
      <c r="L57" s="274">
        <f t="shared" si="28"/>
        <v>0</v>
      </c>
      <c r="M57" s="273"/>
      <c r="N57" s="274">
        <f t="shared" si="19"/>
        <v>0</v>
      </c>
      <c r="O57" s="273"/>
      <c r="P57" s="274">
        <f t="shared" si="20"/>
        <v>0</v>
      </c>
      <c r="Q57" s="273"/>
      <c r="R57" s="274">
        <f t="shared" si="21"/>
        <v>0</v>
      </c>
      <c r="S57" s="273"/>
      <c r="T57" s="274">
        <f t="shared" si="22"/>
        <v>0</v>
      </c>
      <c r="U57" s="273"/>
      <c r="V57" s="274">
        <f t="shared" si="23"/>
        <v>0</v>
      </c>
      <c r="W57" s="273"/>
      <c r="X57" s="274">
        <f t="shared" si="24"/>
        <v>0</v>
      </c>
      <c r="Y57" s="273"/>
      <c r="Z57" s="274">
        <f t="shared" si="25"/>
        <v>0</v>
      </c>
      <c r="AA57" s="251">
        <f t="shared" si="26"/>
        <v>0</v>
      </c>
    </row>
    <row r="58" customHeight="1" spans="1:27">
      <c r="A58" s="270">
        <v>16</v>
      </c>
      <c r="B58" s="270"/>
      <c r="C58" s="274"/>
      <c r="D58" s="274"/>
      <c r="E58" s="272">
        <f t="shared" si="16"/>
        <v>0</v>
      </c>
      <c r="F58" s="272">
        <f t="shared" si="17"/>
        <v>0</v>
      </c>
      <c r="G58" s="273"/>
      <c r="H58" s="274">
        <f t="shared" si="27"/>
        <v>0</v>
      </c>
      <c r="I58" s="273"/>
      <c r="J58" s="274">
        <f t="shared" si="18"/>
        <v>0</v>
      </c>
      <c r="K58" s="275"/>
      <c r="L58" s="274">
        <f t="shared" si="28"/>
        <v>0</v>
      </c>
      <c r="M58" s="273"/>
      <c r="N58" s="274">
        <f t="shared" si="19"/>
        <v>0</v>
      </c>
      <c r="O58" s="273"/>
      <c r="P58" s="274">
        <f t="shared" si="20"/>
        <v>0</v>
      </c>
      <c r="Q58" s="273"/>
      <c r="R58" s="274">
        <f t="shared" si="21"/>
        <v>0</v>
      </c>
      <c r="S58" s="273"/>
      <c r="T58" s="274">
        <f t="shared" si="22"/>
        <v>0</v>
      </c>
      <c r="U58" s="273"/>
      <c r="V58" s="274">
        <f t="shared" si="23"/>
        <v>0</v>
      </c>
      <c r="W58" s="273"/>
      <c r="X58" s="274">
        <f t="shared" si="24"/>
        <v>0</v>
      </c>
      <c r="Y58" s="273"/>
      <c r="Z58" s="274">
        <f t="shared" si="25"/>
        <v>0</v>
      </c>
      <c r="AA58" s="251">
        <f t="shared" si="26"/>
        <v>0</v>
      </c>
    </row>
    <row r="59" customHeight="1" spans="1:27">
      <c r="A59" s="270">
        <v>17</v>
      </c>
      <c r="B59" s="270"/>
      <c r="C59" s="274"/>
      <c r="D59" s="274"/>
      <c r="E59" s="272">
        <f t="shared" si="16"/>
        <v>0</v>
      </c>
      <c r="F59" s="272">
        <f t="shared" si="17"/>
        <v>0</v>
      </c>
      <c r="G59" s="273"/>
      <c r="H59" s="274">
        <f t="shared" si="27"/>
        <v>0</v>
      </c>
      <c r="I59" s="273"/>
      <c r="J59" s="274">
        <f t="shared" si="18"/>
        <v>0</v>
      </c>
      <c r="K59" s="275"/>
      <c r="L59" s="274">
        <f t="shared" si="28"/>
        <v>0</v>
      </c>
      <c r="M59" s="273"/>
      <c r="N59" s="274">
        <f t="shared" si="19"/>
        <v>0</v>
      </c>
      <c r="O59" s="273"/>
      <c r="P59" s="274">
        <f t="shared" si="20"/>
        <v>0</v>
      </c>
      <c r="Q59" s="273"/>
      <c r="R59" s="274">
        <f t="shared" si="21"/>
        <v>0</v>
      </c>
      <c r="S59" s="273"/>
      <c r="T59" s="274">
        <f t="shared" si="22"/>
        <v>0</v>
      </c>
      <c r="U59" s="273"/>
      <c r="V59" s="274">
        <f t="shared" si="23"/>
        <v>0</v>
      </c>
      <c r="W59" s="273"/>
      <c r="X59" s="274">
        <f t="shared" si="24"/>
        <v>0</v>
      </c>
      <c r="Y59" s="273"/>
      <c r="Z59" s="274">
        <f t="shared" si="25"/>
        <v>0</v>
      </c>
      <c r="AA59" s="251">
        <f t="shared" si="26"/>
        <v>0</v>
      </c>
    </row>
    <row r="60" customHeight="1" spans="1:27">
      <c r="A60" s="270">
        <v>18</v>
      </c>
      <c r="B60" s="270"/>
      <c r="C60" s="274"/>
      <c r="D60" s="274"/>
      <c r="E60" s="272">
        <f t="shared" si="16"/>
        <v>0</v>
      </c>
      <c r="F60" s="272">
        <f t="shared" si="17"/>
        <v>0</v>
      </c>
      <c r="G60" s="273"/>
      <c r="H60" s="274">
        <f t="shared" si="27"/>
        <v>0</v>
      </c>
      <c r="I60" s="273"/>
      <c r="J60" s="274">
        <f t="shared" si="18"/>
        <v>0</v>
      </c>
      <c r="K60" s="275"/>
      <c r="L60" s="274">
        <f t="shared" si="28"/>
        <v>0</v>
      </c>
      <c r="M60" s="273"/>
      <c r="N60" s="274">
        <f t="shared" si="19"/>
        <v>0</v>
      </c>
      <c r="O60" s="273"/>
      <c r="P60" s="274">
        <f t="shared" si="20"/>
        <v>0</v>
      </c>
      <c r="Q60" s="273"/>
      <c r="R60" s="274">
        <f t="shared" si="21"/>
        <v>0</v>
      </c>
      <c r="S60" s="273"/>
      <c r="T60" s="274">
        <f t="shared" si="22"/>
        <v>0</v>
      </c>
      <c r="U60" s="273"/>
      <c r="V60" s="274">
        <f t="shared" si="23"/>
        <v>0</v>
      </c>
      <c r="W60" s="273"/>
      <c r="X60" s="274">
        <f t="shared" si="24"/>
        <v>0</v>
      </c>
      <c r="Y60" s="273"/>
      <c r="Z60" s="274">
        <f t="shared" si="25"/>
        <v>0</v>
      </c>
      <c r="AA60" s="251">
        <f t="shared" si="26"/>
        <v>0</v>
      </c>
    </row>
    <row r="61" customHeight="1" spans="1:27">
      <c r="A61" s="270">
        <v>19</v>
      </c>
      <c r="B61" s="270"/>
      <c r="C61" s="274"/>
      <c r="D61" s="274"/>
      <c r="E61" s="272">
        <f t="shared" si="16"/>
        <v>0</v>
      </c>
      <c r="F61" s="272">
        <f t="shared" si="17"/>
        <v>0</v>
      </c>
      <c r="G61" s="273"/>
      <c r="H61" s="274">
        <f t="shared" si="27"/>
        <v>0</v>
      </c>
      <c r="I61" s="273"/>
      <c r="J61" s="274">
        <f t="shared" si="18"/>
        <v>0</v>
      </c>
      <c r="K61" s="275"/>
      <c r="L61" s="274">
        <f t="shared" si="28"/>
        <v>0</v>
      </c>
      <c r="M61" s="273"/>
      <c r="N61" s="274">
        <f t="shared" si="19"/>
        <v>0</v>
      </c>
      <c r="O61" s="273"/>
      <c r="P61" s="274">
        <f t="shared" si="20"/>
        <v>0</v>
      </c>
      <c r="Q61" s="273"/>
      <c r="R61" s="274">
        <f t="shared" si="21"/>
        <v>0</v>
      </c>
      <c r="S61" s="273"/>
      <c r="T61" s="274">
        <f t="shared" si="22"/>
        <v>0</v>
      </c>
      <c r="U61" s="273"/>
      <c r="V61" s="274">
        <f t="shared" si="23"/>
        <v>0</v>
      </c>
      <c r="W61" s="273"/>
      <c r="X61" s="274">
        <f t="shared" si="24"/>
        <v>0</v>
      </c>
      <c r="Y61" s="273"/>
      <c r="Z61" s="274">
        <f t="shared" si="25"/>
        <v>0</v>
      </c>
      <c r="AA61" s="251">
        <f t="shared" si="26"/>
        <v>0</v>
      </c>
    </row>
    <row r="62" customHeight="1" spans="1:27">
      <c r="A62" s="270">
        <v>20</v>
      </c>
      <c r="B62" s="270"/>
      <c r="C62" s="274"/>
      <c r="D62" s="274"/>
      <c r="E62" s="272">
        <f t="shared" si="16"/>
        <v>0</v>
      </c>
      <c r="F62" s="272">
        <f t="shared" si="17"/>
        <v>0</v>
      </c>
      <c r="G62" s="273"/>
      <c r="H62" s="274">
        <f t="shared" si="27"/>
        <v>0</v>
      </c>
      <c r="I62" s="273"/>
      <c r="J62" s="274">
        <f t="shared" si="18"/>
        <v>0</v>
      </c>
      <c r="K62" s="275"/>
      <c r="L62" s="274">
        <f t="shared" si="28"/>
        <v>0</v>
      </c>
      <c r="M62" s="273"/>
      <c r="N62" s="274">
        <f t="shared" si="19"/>
        <v>0</v>
      </c>
      <c r="O62" s="273"/>
      <c r="P62" s="274">
        <f t="shared" si="20"/>
        <v>0</v>
      </c>
      <c r="Q62" s="273"/>
      <c r="R62" s="274">
        <f t="shared" si="21"/>
        <v>0</v>
      </c>
      <c r="S62" s="273"/>
      <c r="T62" s="274">
        <f t="shared" si="22"/>
        <v>0</v>
      </c>
      <c r="U62" s="273"/>
      <c r="V62" s="274">
        <f t="shared" si="23"/>
        <v>0</v>
      </c>
      <c r="W62" s="273"/>
      <c r="X62" s="274">
        <f t="shared" si="24"/>
        <v>0</v>
      </c>
      <c r="Y62" s="273"/>
      <c r="Z62" s="274">
        <f t="shared" si="25"/>
        <v>0</v>
      </c>
      <c r="AA62" s="251">
        <f t="shared" si="26"/>
        <v>0</v>
      </c>
    </row>
    <row r="63" customHeight="1" spans="1:27">
      <c r="A63" s="270">
        <v>21</v>
      </c>
      <c r="B63" s="270"/>
      <c r="C63" s="274"/>
      <c r="D63" s="274"/>
      <c r="E63" s="272">
        <f t="shared" si="16"/>
        <v>0</v>
      </c>
      <c r="F63" s="272">
        <f t="shared" si="17"/>
        <v>0</v>
      </c>
      <c r="G63" s="273"/>
      <c r="H63" s="274">
        <f t="shared" si="27"/>
        <v>0</v>
      </c>
      <c r="I63" s="273"/>
      <c r="J63" s="274">
        <f t="shared" si="18"/>
        <v>0</v>
      </c>
      <c r="K63" s="275"/>
      <c r="L63" s="274">
        <f t="shared" si="28"/>
        <v>0</v>
      </c>
      <c r="M63" s="273"/>
      <c r="N63" s="274">
        <f t="shared" si="19"/>
        <v>0</v>
      </c>
      <c r="O63" s="273"/>
      <c r="P63" s="274">
        <f t="shared" si="20"/>
        <v>0</v>
      </c>
      <c r="Q63" s="273"/>
      <c r="R63" s="274">
        <f t="shared" si="21"/>
        <v>0</v>
      </c>
      <c r="S63" s="273"/>
      <c r="T63" s="274">
        <f t="shared" si="22"/>
        <v>0</v>
      </c>
      <c r="U63" s="273"/>
      <c r="V63" s="274">
        <f t="shared" si="23"/>
        <v>0</v>
      </c>
      <c r="W63" s="273"/>
      <c r="X63" s="274">
        <f t="shared" si="24"/>
        <v>0</v>
      </c>
      <c r="Y63" s="273"/>
      <c r="Z63" s="274">
        <f t="shared" si="25"/>
        <v>0</v>
      </c>
      <c r="AA63" s="251">
        <f t="shared" si="26"/>
        <v>0</v>
      </c>
    </row>
    <row r="64" customHeight="1" spans="1:27">
      <c r="A64" s="270">
        <v>22</v>
      </c>
      <c r="B64" s="270"/>
      <c r="C64" s="274"/>
      <c r="D64" s="274"/>
      <c r="E64" s="272">
        <f t="shared" si="16"/>
        <v>0</v>
      </c>
      <c r="F64" s="272">
        <f t="shared" si="17"/>
        <v>0</v>
      </c>
      <c r="G64" s="273"/>
      <c r="H64" s="274">
        <f t="shared" si="27"/>
        <v>0</v>
      </c>
      <c r="I64" s="273"/>
      <c r="J64" s="274">
        <f t="shared" si="18"/>
        <v>0</v>
      </c>
      <c r="K64" s="275"/>
      <c r="L64" s="274">
        <f t="shared" si="28"/>
        <v>0</v>
      </c>
      <c r="M64" s="273"/>
      <c r="N64" s="274">
        <f t="shared" si="19"/>
        <v>0</v>
      </c>
      <c r="O64" s="273"/>
      <c r="P64" s="274">
        <f t="shared" si="20"/>
        <v>0</v>
      </c>
      <c r="Q64" s="273"/>
      <c r="R64" s="274">
        <f t="shared" si="21"/>
        <v>0</v>
      </c>
      <c r="S64" s="273"/>
      <c r="T64" s="274">
        <f t="shared" si="22"/>
        <v>0</v>
      </c>
      <c r="U64" s="273"/>
      <c r="V64" s="274">
        <f t="shared" si="23"/>
        <v>0</v>
      </c>
      <c r="W64" s="273"/>
      <c r="X64" s="274">
        <f t="shared" si="24"/>
        <v>0</v>
      </c>
      <c r="Y64" s="273"/>
      <c r="Z64" s="274">
        <f t="shared" si="25"/>
        <v>0</v>
      </c>
      <c r="AA64" s="251">
        <f t="shared" si="26"/>
        <v>0</v>
      </c>
    </row>
    <row r="65" customHeight="1" spans="1:27">
      <c r="A65" s="270">
        <v>23</v>
      </c>
      <c r="B65" s="270"/>
      <c r="C65" s="274"/>
      <c r="D65" s="274"/>
      <c r="E65" s="272">
        <f t="shared" si="16"/>
        <v>0</v>
      </c>
      <c r="F65" s="272">
        <f t="shared" si="17"/>
        <v>0</v>
      </c>
      <c r="G65" s="273"/>
      <c r="H65" s="274">
        <f t="shared" si="27"/>
        <v>0</v>
      </c>
      <c r="I65" s="273"/>
      <c r="J65" s="274">
        <f t="shared" si="18"/>
        <v>0</v>
      </c>
      <c r="K65" s="275"/>
      <c r="L65" s="274">
        <f t="shared" si="28"/>
        <v>0</v>
      </c>
      <c r="M65" s="273"/>
      <c r="N65" s="274">
        <f t="shared" si="19"/>
        <v>0</v>
      </c>
      <c r="O65" s="273"/>
      <c r="P65" s="274">
        <f t="shared" si="20"/>
        <v>0</v>
      </c>
      <c r="Q65" s="273"/>
      <c r="R65" s="274">
        <f t="shared" si="21"/>
        <v>0</v>
      </c>
      <c r="S65" s="273"/>
      <c r="T65" s="274">
        <f t="shared" si="22"/>
        <v>0</v>
      </c>
      <c r="U65" s="273"/>
      <c r="V65" s="274">
        <f t="shared" si="23"/>
        <v>0</v>
      </c>
      <c r="W65" s="273"/>
      <c r="X65" s="274">
        <f t="shared" si="24"/>
        <v>0</v>
      </c>
      <c r="Y65" s="273"/>
      <c r="Z65" s="274">
        <f t="shared" si="25"/>
        <v>0</v>
      </c>
      <c r="AA65" s="251">
        <f t="shared" si="26"/>
        <v>0</v>
      </c>
    </row>
    <row r="66" customHeight="1" spans="1:27">
      <c r="A66" s="270">
        <v>25</v>
      </c>
      <c r="B66" s="270"/>
      <c r="C66" s="274"/>
      <c r="D66" s="274"/>
      <c r="E66" s="272">
        <f t="shared" si="16"/>
        <v>0</v>
      </c>
      <c r="F66" s="272">
        <f t="shared" si="17"/>
        <v>0</v>
      </c>
      <c r="G66" s="273"/>
      <c r="H66" s="274">
        <f t="shared" si="27"/>
        <v>0</v>
      </c>
      <c r="I66" s="273"/>
      <c r="J66" s="274">
        <f t="shared" si="18"/>
        <v>0</v>
      </c>
      <c r="K66" s="275"/>
      <c r="L66" s="274">
        <f t="shared" si="28"/>
        <v>0</v>
      </c>
      <c r="M66" s="273"/>
      <c r="N66" s="274">
        <f t="shared" si="19"/>
        <v>0</v>
      </c>
      <c r="O66" s="273"/>
      <c r="P66" s="274">
        <f t="shared" si="20"/>
        <v>0</v>
      </c>
      <c r="Q66" s="273"/>
      <c r="R66" s="274">
        <f t="shared" si="21"/>
        <v>0</v>
      </c>
      <c r="S66" s="273"/>
      <c r="T66" s="274">
        <f t="shared" si="22"/>
        <v>0</v>
      </c>
      <c r="U66" s="273"/>
      <c r="V66" s="274">
        <f t="shared" si="23"/>
        <v>0</v>
      </c>
      <c r="W66" s="273"/>
      <c r="X66" s="274">
        <f t="shared" si="24"/>
        <v>0</v>
      </c>
      <c r="Y66" s="273"/>
      <c r="Z66" s="274">
        <f t="shared" si="25"/>
        <v>0</v>
      </c>
      <c r="AA66" s="251">
        <f t="shared" si="26"/>
        <v>0</v>
      </c>
    </row>
    <row r="67" customHeight="1" spans="1:27">
      <c r="A67" s="270">
        <v>25</v>
      </c>
      <c r="B67" s="270"/>
      <c r="C67" s="274"/>
      <c r="D67" s="274"/>
      <c r="E67" s="272">
        <f t="shared" si="16"/>
        <v>0</v>
      </c>
      <c r="F67" s="272">
        <f t="shared" si="17"/>
        <v>0</v>
      </c>
      <c r="G67" s="273"/>
      <c r="H67" s="274">
        <f t="shared" si="27"/>
        <v>0</v>
      </c>
      <c r="I67" s="273"/>
      <c r="J67" s="274">
        <f t="shared" si="18"/>
        <v>0</v>
      </c>
      <c r="K67" s="275"/>
      <c r="L67" s="274">
        <f t="shared" si="28"/>
        <v>0</v>
      </c>
      <c r="M67" s="273"/>
      <c r="N67" s="274">
        <f t="shared" si="19"/>
        <v>0</v>
      </c>
      <c r="O67" s="273"/>
      <c r="P67" s="274">
        <f t="shared" si="20"/>
        <v>0</v>
      </c>
      <c r="Q67" s="273"/>
      <c r="R67" s="274">
        <f t="shared" si="21"/>
        <v>0</v>
      </c>
      <c r="S67" s="273"/>
      <c r="T67" s="274">
        <f t="shared" si="22"/>
        <v>0</v>
      </c>
      <c r="U67" s="273"/>
      <c r="V67" s="274">
        <f t="shared" si="23"/>
        <v>0</v>
      </c>
      <c r="W67" s="273"/>
      <c r="X67" s="274">
        <f t="shared" si="24"/>
        <v>0</v>
      </c>
      <c r="Y67" s="273"/>
      <c r="Z67" s="274">
        <f t="shared" si="25"/>
        <v>0</v>
      </c>
      <c r="AA67" s="251">
        <f t="shared" si="26"/>
        <v>0</v>
      </c>
    </row>
    <row r="68" customHeight="1" spans="1:27">
      <c r="A68" s="270">
        <v>26</v>
      </c>
      <c r="B68" s="270"/>
      <c r="C68" s="274"/>
      <c r="D68" s="274"/>
      <c r="E68" s="272">
        <f t="shared" si="16"/>
        <v>0</v>
      </c>
      <c r="F68" s="272">
        <f t="shared" si="17"/>
        <v>0</v>
      </c>
      <c r="G68" s="273"/>
      <c r="H68" s="274">
        <f t="shared" si="27"/>
        <v>0</v>
      </c>
      <c r="I68" s="273"/>
      <c r="J68" s="274">
        <f t="shared" si="18"/>
        <v>0</v>
      </c>
      <c r="K68" s="275"/>
      <c r="L68" s="274">
        <f t="shared" si="28"/>
        <v>0</v>
      </c>
      <c r="M68" s="273"/>
      <c r="N68" s="274">
        <f t="shared" si="19"/>
        <v>0</v>
      </c>
      <c r="O68" s="273"/>
      <c r="P68" s="274">
        <f t="shared" si="20"/>
        <v>0</v>
      </c>
      <c r="Q68" s="273"/>
      <c r="R68" s="274">
        <f t="shared" si="21"/>
        <v>0</v>
      </c>
      <c r="S68" s="273"/>
      <c r="T68" s="274">
        <f t="shared" si="22"/>
        <v>0</v>
      </c>
      <c r="U68" s="273"/>
      <c r="V68" s="274">
        <f t="shared" si="23"/>
        <v>0</v>
      </c>
      <c r="W68" s="273"/>
      <c r="X68" s="274">
        <f t="shared" si="24"/>
        <v>0</v>
      </c>
      <c r="Y68" s="273"/>
      <c r="Z68" s="274">
        <f t="shared" si="25"/>
        <v>0</v>
      </c>
      <c r="AA68" s="251">
        <f t="shared" si="26"/>
        <v>0</v>
      </c>
    </row>
    <row r="69" customHeight="1" spans="1:27">
      <c r="A69" s="270">
        <v>27</v>
      </c>
      <c r="B69" s="270"/>
      <c r="C69" s="274"/>
      <c r="D69" s="274"/>
      <c r="E69" s="272">
        <f t="shared" si="16"/>
        <v>0</v>
      </c>
      <c r="F69" s="272">
        <f t="shared" si="17"/>
        <v>0</v>
      </c>
      <c r="G69" s="273"/>
      <c r="H69" s="274">
        <f t="shared" si="27"/>
        <v>0</v>
      </c>
      <c r="I69" s="273"/>
      <c r="J69" s="274">
        <f t="shared" si="18"/>
        <v>0</v>
      </c>
      <c r="K69" s="275"/>
      <c r="L69" s="274">
        <f t="shared" si="28"/>
        <v>0</v>
      </c>
      <c r="M69" s="273"/>
      <c r="N69" s="274">
        <f t="shared" si="19"/>
        <v>0</v>
      </c>
      <c r="O69" s="273"/>
      <c r="P69" s="274">
        <f t="shared" si="20"/>
        <v>0</v>
      </c>
      <c r="Q69" s="273"/>
      <c r="R69" s="274">
        <f t="shared" si="21"/>
        <v>0</v>
      </c>
      <c r="S69" s="273"/>
      <c r="T69" s="274">
        <f t="shared" si="22"/>
        <v>0</v>
      </c>
      <c r="U69" s="273"/>
      <c r="V69" s="274">
        <f t="shared" si="23"/>
        <v>0</v>
      </c>
      <c r="W69" s="273"/>
      <c r="X69" s="274">
        <f t="shared" si="24"/>
        <v>0</v>
      </c>
      <c r="Y69" s="273"/>
      <c r="Z69" s="274">
        <f t="shared" si="25"/>
        <v>0</v>
      </c>
      <c r="AA69" s="251">
        <f t="shared" si="26"/>
        <v>0</v>
      </c>
    </row>
    <row r="70" customHeight="1" spans="1:27">
      <c r="A70" s="270">
        <v>28</v>
      </c>
      <c r="B70" s="270"/>
      <c r="C70" s="274"/>
      <c r="D70" s="274"/>
      <c r="E70" s="272">
        <f t="shared" si="16"/>
        <v>0</v>
      </c>
      <c r="F70" s="272">
        <f t="shared" si="17"/>
        <v>0</v>
      </c>
      <c r="G70" s="273"/>
      <c r="H70" s="274">
        <f t="shared" si="27"/>
        <v>0</v>
      </c>
      <c r="I70" s="273"/>
      <c r="J70" s="274">
        <f t="shared" si="18"/>
        <v>0</v>
      </c>
      <c r="K70" s="275"/>
      <c r="L70" s="274">
        <f t="shared" si="28"/>
        <v>0</v>
      </c>
      <c r="M70" s="273"/>
      <c r="N70" s="274">
        <f t="shared" si="19"/>
        <v>0</v>
      </c>
      <c r="O70" s="273"/>
      <c r="P70" s="274">
        <f t="shared" si="20"/>
        <v>0</v>
      </c>
      <c r="Q70" s="273"/>
      <c r="R70" s="274">
        <f t="shared" si="21"/>
        <v>0</v>
      </c>
      <c r="S70" s="273"/>
      <c r="T70" s="274">
        <f t="shared" si="22"/>
        <v>0</v>
      </c>
      <c r="U70" s="273"/>
      <c r="V70" s="274">
        <f t="shared" si="23"/>
        <v>0</v>
      </c>
      <c r="W70" s="273"/>
      <c r="X70" s="274">
        <f t="shared" si="24"/>
        <v>0</v>
      </c>
      <c r="Y70" s="273"/>
      <c r="Z70" s="274">
        <f t="shared" si="25"/>
        <v>0</v>
      </c>
      <c r="AA70" s="251">
        <f t="shared" si="26"/>
        <v>0</v>
      </c>
    </row>
    <row r="71" customHeight="1" spans="1:27">
      <c r="A71" s="270">
        <v>29</v>
      </c>
      <c r="B71" s="270"/>
      <c r="C71" s="274"/>
      <c r="D71" s="274"/>
      <c r="E71" s="272">
        <f t="shared" si="16"/>
        <v>0</v>
      </c>
      <c r="F71" s="272">
        <f t="shared" si="17"/>
        <v>0</v>
      </c>
      <c r="G71" s="273"/>
      <c r="H71" s="274">
        <f t="shared" si="27"/>
        <v>0</v>
      </c>
      <c r="I71" s="273"/>
      <c r="J71" s="274">
        <f t="shared" si="18"/>
        <v>0</v>
      </c>
      <c r="K71" s="275"/>
      <c r="L71" s="274">
        <f t="shared" si="28"/>
        <v>0</v>
      </c>
      <c r="M71" s="273"/>
      <c r="N71" s="274">
        <f t="shared" si="19"/>
        <v>0</v>
      </c>
      <c r="O71" s="273"/>
      <c r="P71" s="274">
        <f t="shared" si="20"/>
        <v>0</v>
      </c>
      <c r="Q71" s="273"/>
      <c r="R71" s="274">
        <f t="shared" si="21"/>
        <v>0</v>
      </c>
      <c r="S71" s="273"/>
      <c r="T71" s="274">
        <f t="shared" si="22"/>
        <v>0</v>
      </c>
      <c r="U71" s="273"/>
      <c r="V71" s="274">
        <f t="shared" si="23"/>
        <v>0</v>
      </c>
      <c r="W71" s="273"/>
      <c r="X71" s="274">
        <f t="shared" si="24"/>
        <v>0</v>
      </c>
      <c r="Y71" s="273"/>
      <c r="Z71" s="274">
        <f t="shared" si="25"/>
        <v>0</v>
      </c>
      <c r="AA71" s="251">
        <f t="shared" si="26"/>
        <v>0</v>
      </c>
    </row>
    <row r="72" customHeight="1" spans="1:27">
      <c r="A72" s="270">
        <v>30</v>
      </c>
      <c r="B72" s="270"/>
      <c r="C72" s="274"/>
      <c r="D72" s="274"/>
      <c r="E72" s="272">
        <f t="shared" si="16"/>
        <v>0</v>
      </c>
      <c r="F72" s="272">
        <f t="shared" si="17"/>
        <v>0</v>
      </c>
      <c r="G72" s="273"/>
      <c r="H72" s="274">
        <f t="shared" si="27"/>
        <v>0</v>
      </c>
      <c r="I72" s="273"/>
      <c r="J72" s="274">
        <f t="shared" si="18"/>
        <v>0</v>
      </c>
      <c r="K72" s="275"/>
      <c r="L72" s="274">
        <f t="shared" si="28"/>
        <v>0</v>
      </c>
      <c r="M72" s="273"/>
      <c r="N72" s="274">
        <f t="shared" si="19"/>
        <v>0</v>
      </c>
      <c r="O72" s="273"/>
      <c r="P72" s="274">
        <f t="shared" si="20"/>
        <v>0</v>
      </c>
      <c r="Q72" s="273"/>
      <c r="R72" s="274">
        <f t="shared" si="21"/>
        <v>0</v>
      </c>
      <c r="S72" s="273"/>
      <c r="T72" s="274">
        <f t="shared" si="22"/>
        <v>0</v>
      </c>
      <c r="U72" s="273"/>
      <c r="V72" s="274">
        <f t="shared" si="23"/>
        <v>0</v>
      </c>
      <c r="W72" s="273"/>
      <c r="X72" s="274">
        <f t="shared" si="24"/>
        <v>0</v>
      </c>
      <c r="Y72" s="273"/>
      <c r="Z72" s="274">
        <f t="shared" si="25"/>
        <v>0</v>
      </c>
      <c r="AA72" s="251">
        <f t="shared" si="26"/>
        <v>0</v>
      </c>
    </row>
    <row r="73" customHeight="1" spans="1:27">
      <c r="A73" s="276" t="s">
        <v>22</v>
      </c>
      <c r="B73" s="277"/>
      <c r="C73" s="261">
        <f t="shared" ref="C73:Z73" si="29">SUM(C43:C72)</f>
        <v>0</v>
      </c>
      <c r="D73" s="261">
        <f t="shared" si="29"/>
        <v>0</v>
      </c>
      <c r="E73" s="261">
        <f t="shared" si="29"/>
        <v>0</v>
      </c>
      <c r="F73" s="272">
        <f t="shared" si="29"/>
        <v>0</v>
      </c>
      <c r="G73" s="261">
        <f t="shared" si="29"/>
        <v>0</v>
      </c>
      <c r="H73" s="273">
        <f t="shared" si="29"/>
        <v>0</v>
      </c>
      <c r="I73" s="273">
        <f t="shared" si="29"/>
        <v>0</v>
      </c>
      <c r="J73" s="273">
        <f t="shared" si="29"/>
        <v>0</v>
      </c>
      <c r="K73" s="273">
        <f t="shared" si="29"/>
        <v>0</v>
      </c>
      <c r="L73" s="273">
        <f t="shared" si="29"/>
        <v>0</v>
      </c>
      <c r="M73" s="273">
        <f t="shared" si="29"/>
        <v>0</v>
      </c>
      <c r="N73" s="273">
        <f t="shared" si="29"/>
        <v>0</v>
      </c>
      <c r="O73" s="273">
        <f t="shared" si="29"/>
        <v>0</v>
      </c>
      <c r="P73" s="273">
        <f t="shared" si="29"/>
        <v>0</v>
      </c>
      <c r="Q73" s="273">
        <f t="shared" si="29"/>
        <v>0</v>
      </c>
      <c r="R73" s="273">
        <f t="shared" si="29"/>
        <v>0</v>
      </c>
      <c r="S73" s="273">
        <f t="shared" si="29"/>
        <v>0</v>
      </c>
      <c r="T73" s="273">
        <f t="shared" si="29"/>
        <v>0</v>
      </c>
      <c r="U73" s="273">
        <f t="shared" si="29"/>
        <v>0</v>
      </c>
      <c r="V73" s="273">
        <f t="shared" si="29"/>
        <v>0</v>
      </c>
      <c r="W73" s="273">
        <f t="shared" si="29"/>
        <v>0</v>
      </c>
      <c r="X73" s="273">
        <f t="shared" si="29"/>
        <v>0</v>
      </c>
      <c r="Y73" s="273">
        <f t="shared" si="29"/>
        <v>0</v>
      </c>
      <c r="Z73" s="273">
        <f t="shared" si="29"/>
        <v>0</v>
      </c>
    </row>
    <row r="76" customHeight="1" spans="1:27">
      <c r="B76" s="257" t="s">
        <v>56</v>
      </c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</row>
    <row r="78" customHeight="1" spans="1:27">
      <c r="A78" s="259" t="s">
        <v>31</v>
      </c>
      <c r="B78" s="260" t="s">
        <v>32</v>
      </c>
      <c r="C78" s="261" t="s">
        <v>33</v>
      </c>
      <c r="D78" s="261" t="s">
        <v>34</v>
      </c>
      <c r="E78" s="262" t="s">
        <v>35</v>
      </c>
      <c r="F78" s="262" t="s">
        <v>36</v>
      </c>
      <c r="G78" s="263" t="str">
        <f>立项!$A$3</f>
        <v>RD01</v>
      </c>
      <c r="H78" s="264"/>
      <c r="I78" s="264" t="str">
        <f>立项!$A$4</f>
        <v>RD02</v>
      </c>
      <c r="J78" s="264"/>
      <c r="K78" s="264" t="str">
        <f>立项!$A$5</f>
        <v>RD03</v>
      </c>
      <c r="L78" s="264"/>
      <c r="M78" s="264" t="str">
        <f>立项!$A$6</f>
        <v>RD04</v>
      </c>
      <c r="N78" s="264"/>
      <c r="O78" s="264" t="str">
        <f>立项!$A$7</f>
        <v>RD05</v>
      </c>
      <c r="P78" s="264"/>
      <c r="Q78" s="264" t="str">
        <f>立项!$A$8</f>
        <v>RD06</v>
      </c>
      <c r="R78" s="264"/>
      <c r="S78" s="264" t="str">
        <f>立项!$A$9</f>
        <v>RD07</v>
      </c>
      <c r="T78" s="264"/>
      <c r="U78" s="264" t="str">
        <f>立项!$A$10</f>
        <v>RD08</v>
      </c>
      <c r="V78" s="264"/>
      <c r="W78" s="264" t="str">
        <f>立项!$A$11</f>
        <v>RD09</v>
      </c>
      <c r="X78" s="264"/>
      <c r="Y78" s="264" t="str">
        <f>立项!$A$12</f>
        <v>RD10</v>
      </c>
      <c r="Z78" s="264"/>
    </row>
    <row r="79" customHeight="1" spans="1:27">
      <c r="A79" s="265"/>
      <c r="B79" s="260"/>
      <c r="C79" s="261"/>
      <c r="D79" s="261"/>
      <c r="E79" s="262"/>
      <c r="F79" s="262"/>
      <c r="G79" s="267">
        <f>立项!C3</f>
        <v>0</v>
      </c>
      <c r="H79" s="263"/>
      <c r="I79" s="267">
        <f>立项!C4</f>
        <v>0</v>
      </c>
      <c r="J79" s="263"/>
      <c r="K79" s="267">
        <f>立项!C5</f>
        <v>0</v>
      </c>
      <c r="L79" s="263"/>
      <c r="M79" s="267">
        <f>立项!C6</f>
        <v>0</v>
      </c>
      <c r="N79" s="263"/>
      <c r="O79" s="267">
        <f>立项!C7</f>
        <v>0</v>
      </c>
      <c r="P79" s="263"/>
      <c r="Q79" s="267">
        <f>立项!C8</f>
        <v>0</v>
      </c>
      <c r="R79" s="263"/>
      <c r="S79" s="267">
        <f>立项!C9</f>
        <v>0</v>
      </c>
      <c r="T79" s="263"/>
      <c r="U79" s="267">
        <f>立项!C10</f>
        <v>0</v>
      </c>
      <c r="V79" s="263"/>
      <c r="W79" s="267">
        <f>立项!C11</f>
        <v>0</v>
      </c>
      <c r="X79" s="263"/>
      <c r="Y79" s="264">
        <f>立项!C12</f>
        <v>0</v>
      </c>
      <c r="Z79" s="264"/>
    </row>
    <row r="80" customHeight="1" spans="1:27">
      <c r="A80" s="268"/>
      <c r="B80" s="260"/>
      <c r="C80" s="261"/>
      <c r="D80" s="261"/>
      <c r="E80" s="262"/>
      <c r="F80" s="262"/>
      <c r="G80" s="264" t="s">
        <v>39</v>
      </c>
      <c r="H80" s="269" t="s">
        <v>40</v>
      </c>
      <c r="I80" s="264" t="s">
        <v>39</v>
      </c>
      <c r="J80" s="269" t="s">
        <v>40</v>
      </c>
      <c r="K80" s="264" t="s">
        <v>39</v>
      </c>
      <c r="L80" s="269" t="s">
        <v>40</v>
      </c>
      <c r="M80" s="264" t="s">
        <v>39</v>
      </c>
      <c r="N80" s="269" t="s">
        <v>40</v>
      </c>
      <c r="O80" s="264" t="s">
        <v>39</v>
      </c>
      <c r="P80" s="269" t="s">
        <v>40</v>
      </c>
      <c r="Q80" s="264" t="s">
        <v>39</v>
      </c>
      <c r="R80" s="269" t="s">
        <v>40</v>
      </c>
      <c r="S80" s="264" t="s">
        <v>39</v>
      </c>
      <c r="T80" s="269" t="s">
        <v>40</v>
      </c>
      <c r="U80" s="264" t="s">
        <v>39</v>
      </c>
      <c r="V80" s="269" t="s">
        <v>40</v>
      </c>
      <c r="W80" s="264" t="s">
        <v>39</v>
      </c>
      <c r="X80" s="269" t="s">
        <v>40</v>
      </c>
      <c r="Y80" s="264" t="s">
        <v>39</v>
      </c>
      <c r="Z80" s="269" t="s">
        <v>40</v>
      </c>
    </row>
    <row r="81" customHeight="1" spans="1:27">
      <c r="A81" s="270">
        <v>1</v>
      </c>
      <c r="B81" s="324"/>
      <c r="C81" s="272"/>
      <c r="D81" s="272"/>
      <c r="E81" s="272">
        <f t="shared" ref="E81:E110" si="30">G81+I81+K81+M81+O81+Q81+S81+U81+W81+Y81</f>
        <v>0</v>
      </c>
      <c r="F81" s="272">
        <f t="shared" ref="F81:F110" si="31">H81+J81+L81+N81+P81+R81+T81+V81+X81+Z81</f>
        <v>0</v>
      </c>
      <c r="G81" s="273"/>
      <c r="H81" s="274">
        <f t="shared" ref="H81:H110" si="32">IF($D81=0,0,ROUND(G81/$D81*$C81,2))</f>
        <v>0</v>
      </c>
      <c r="I81" s="273"/>
      <c r="J81" s="274">
        <f t="shared" ref="J81:J110" si="33">IF($D81=0,0,ROUND(I81/$D81*$C81,2))</f>
        <v>0</v>
      </c>
      <c r="K81" s="275"/>
      <c r="L81" s="274">
        <f t="shared" ref="L81:L110" si="34">IF($D81=0,0,ROUND(K81/$D81*$C81,2))</f>
        <v>0</v>
      </c>
      <c r="M81" s="273"/>
      <c r="N81" s="274">
        <f t="shared" ref="N81:N110" si="35">IF($D81=0,0,ROUND(M81/$D81*$C81,2))</f>
        <v>0</v>
      </c>
      <c r="O81" s="273"/>
      <c r="P81" s="274">
        <f t="shared" ref="P81:P110" si="36">IF($D81=0,0,ROUND(O81/$D81*$C81,2))</f>
        <v>0</v>
      </c>
      <c r="Q81" s="273"/>
      <c r="R81" s="274">
        <f t="shared" ref="R81:R110" si="37">IF($D81=0,0,ROUND(Q81/$D81*$C81,2))</f>
        <v>0</v>
      </c>
      <c r="S81" s="273"/>
      <c r="T81" s="274">
        <f t="shared" ref="T81:T110" si="38">IF($D81=0,0,ROUND(S81/$D81*$C81,2))</f>
        <v>0</v>
      </c>
      <c r="U81" s="273"/>
      <c r="V81" s="274">
        <f t="shared" ref="V81:V110" si="39">IF($D81=0,0,ROUND(U81/$D81*$C81,2))</f>
        <v>0</v>
      </c>
      <c r="W81" s="273"/>
      <c r="X81" s="274">
        <f t="shared" ref="X81:X110" si="40">IF($D81=0,0,ROUND(W81/$D81*$C81,2))</f>
        <v>0</v>
      </c>
      <c r="Y81" s="273"/>
      <c r="Z81" s="274">
        <f t="shared" ref="Z81:Z110" si="41">IF($D81=0,0,ROUND(Y81/$D81*$C81,2))</f>
        <v>0</v>
      </c>
      <c r="AA81" s="251">
        <f t="shared" ref="AA81:AA110" si="42">D81-E81</f>
        <v>0</v>
      </c>
    </row>
    <row r="82" customHeight="1" spans="1:27">
      <c r="A82" s="270">
        <v>2</v>
      </c>
      <c r="B82" s="324"/>
      <c r="C82" s="272"/>
      <c r="D82" s="272"/>
      <c r="E82" s="272">
        <f t="shared" si="30"/>
        <v>0</v>
      </c>
      <c r="F82" s="272">
        <f t="shared" si="31"/>
        <v>0</v>
      </c>
      <c r="G82" s="273"/>
      <c r="H82" s="274">
        <f t="shared" si="32"/>
        <v>0</v>
      </c>
      <c r="I82" s="273"/>
      <c r="J82" s="274">
        <f t="shared" si="33"/>
        <v>0</v>
      </c>
      <c r="K82" s="275"/>
      <c r="L82" s="274">
        <f t="shared" si="34"/>
        <v>0</v>
      </c>
      <c r="M82" s="273"/>
      <c r="N82" s="274">
        <f t="shared" si="35"/>
        <v>0</v>
      </c>
      <c r="O82" s="273"/>
      <c r="P82" s="274">
        <f t="shared" si="36"/>
        <v>0</v>
      </c>
      <c r="Q82" s="273"/>
      <c r="R82" s="274">
        <f t="shared" si="37"/>
        <v>0</v>
      </c>
      <c r="S82" s="273"/>
      <c r="T82" s="274">
        <f t="shared" si="38"/>
        <v>0</v>
      </c>
      <c r="U82" s="273"/>
      <c r="V82" s="274">
        <f t="shared" si="39"/>
        <v>0</v>
      </c>
      <c r="W82" s="273"/>
      <c r="X82" s="274">
        <f t="shared" si="40"/>
        <v>0</v>
      </c>
      <c r="Y82" s="273"/>
      <c r="Z82" s="274">
        <f t="shared" si="41"/>
        <v>0</v>
      </c>
      <c r="AA82" s="251">
        <f t="shared" si="42"/>
        <v>0</v>
      </c>
    </row>
    <row r="83" customHeight="1" spans="1:27">
      <c r="A83" s="270">
        <v>3</v>
      </c>
      <c r="B83" s="324"/>
      <c r="C83" s="272"/>
      <c r="D83" s="272"/>
      <c r="E83" s="272">
        <f t="shared" si="30"/>
        <v>0</v>
      </c>
      <c r="F83" s="272">
        <f t="shared" si="31"/>
        <v>0</v>
      </c>
      <c r="G83" s="273"/>
      <c r="H83" s="274">
        <f t="shared" si="32"/>
        <v>0</v>
      </c>
      <c r="I83" s="273"/>
      <c r="J83" s="274">
        <f t="shared" si="33"/>
        <v>0</v>
      </c>
      <c r="K83" s="275"/>
      <c r="L83" s="274">
        <f t="shared" si="34"/>
        <v>0</v>
      </c>
      <c r="M83" s="273"/>
      <c r="N83" s="274">
        <f t="shared" si="35"/>
        <v>0</v>
      </c>
      <c r="O83" s="273"/>
      <c r="P83" s="274">
        <f t="shared" si="36"/>
        <v>0</v>
      </c>
      <c r="Q83" s="273"/>
      <c r="R83" s="274">
        <f t="shared" si="37"/>
        <v>0</v>
      </c>
      <c r="S83" s="273"/>
      <c r="T83" s="274">
        <f t="shared" si="38"/>
        <v>0</v>
      </c>
      <c r="U83" s="273"/>
      <c r="V83" s="274">
        <f t="shared" si="39"/>
        <v>0</v>
      </c>
      <c r="W83" s="273"/>
      <c r="X83" s="274">
        <f t="shared" si="40"/>
        <v>0</v>
      </c>
      <c r="Y83" s="273"/>
      <c r="Z83" s="274">
        <f t="shared" si="41"/>
        <v>0</v>
      </c>
      <c r="AA83" s="251">
        <f t="shared" si="42"/>
        <v>0</v>
      </c>
    </row>
    <row r="84" customHeight="1" spans="1:27">
      <c r="A84" s="270">
        <v>4</v>
      </c>
      <c r="B84" s="324"/>
      <c r="C84" s="272"/>
      <c r="D84" s="272"/>
      <c r="E84" s="272">
        <f t="shared" si="30"/>
        <v>0</v>
      </c>
      <c r="F84" s="272">
        <f t="shared" si="31"/>
        <v>0</v>
      </c>
      <c r="G84" s="273"/>
      <c r="H84" s="274">
        <f t="shared" si="32"/>
        <v>0</v>
      </c>
      <c r="I84" s="273"/>
      <c r="J84" s="274">
        <f t="shared" si="33"/>
        <v>0</v>
      </c>
      <c r="K84" s="275"/>
      <c r="L84" s="274">
        <f t="shared" si="34"/>
        <v>0</v>
      </c>
      <c r="M84" s="273"/>
      <c r="N84" s="274">
        <f t="shared" si="35"/>
        <v>0</v>
      </c>
      <c r="O84" s="273"/>
      <c r="P84" s="274">
        <f t="shared" si="36"/>
        <v>0</v>
      </c>
      <c r="Q84" s="273"/>
      <c r="R84" s="274">
        <f t="shared" si="37"/>
        <v>0</v>
      </c>
      <c r="S84" s="273"/>
      <c r="T84" s="274">
        <f t="shared" si="38"/>
        <v>0</v>
      </c>
      <c r="U84" s="273"/>
      <c r="V84" s="274">
        <f t="shared" si="39"/>
        <v>0</v>
      </c>
      <c r="W84" s="273"/>
      <c r="X84" s="274">
        <f t="shared" si="40"/>
        <v>0</v>
      </c>
      <c r="Y84" s="273"/>
      <c r="Z84" s="274">
        <f t="shared" si="41"/>
        <v>0</v>
      </c>
      <c r="AA84" s="251">
        <f t="shared" si="42"/>
        <v>0</v>
      </c>
    </row>
    <row r="85" customHeight="1" spans="1:27">
      <c r="A85" s="270">
        <v>5</v>
      </c>
      <c r="B85" s="324"/>
      <c r="C85" s="272"/>
      <c r="D85" s="272"/>
      <c r="E85" s="272">
        <f t="shared" si="30"/>
        <v>0</v>
      </c>
      <c r="F85" s="272">
        <f t="shared" si="31"/>
        <v>0</v>
      </c>
      <c r="G85" s="273"/>
      <c r="H85" s="274">
        <f t="shared" si="32"/>
        <v>0</v>
      </c>
      <c r="I85" s="273"/>
      <c r="J85" s="274">
        <f t="shared" si="33"/>
        <v>0</v>
      </c>
      <c r="K85" s="275"/>
      <c r="L85" s="274">
        <f t="shared" si="34"/>
        <v>0</v>
      </c>
      <c r="M85" s="273"/>
      <c r="N85" s="274">
        <f t="shared" si="35"/>
        <v>0</v>
      </c>
      <c r="O85" s="273"/>
      <c r="P85" s="274">
        <f t="shared" si="36"/>
        <v>0</v>
      </c>
      <c r="Q85" s="273"/>
      <c r="R85" s="274">
        <f t="shared" si="37"/>
        <v>0</v>
      </c>
      <c r="S85" s="273"/>
      <c r="T85" s="274">
        <f t="shared" si="38"/>
        <v>0</v>
      </c>
      <c r="U85" s="273"/>
      <c r="V85" s="274">
        <f t="shared" si="39"/>
        <v>0</v>
      </c>
      <c r="W85" s="273"/>
      <c r="X85" s="274">
        <f t="shared" si="40"/>
        <v>0</v>
      </c>
      <c r="Y85" s="273"/>
      <c r="Z85" s="274">
        <f t="shared" si="41"/>
        <v>0</v>
      </c>
      <c r="AA85" s="251">
        <f t="shared" si="42"/>
        <v>0</v>
      </c>
    </row>
    <row r="86" customHeight="1" spans="1:27">
      <c r="A86" s="270">
        <v>6</v>
      </c>
      <c r="B86" s="324"/>
      <c r="C86" s="274"/>
      <c r="D86" s="274"/>
      <c r="E86" s="272">
        <f t="shared" si="30"/>
        <v>0</v>
      </c>
      <c r="F86" s="272">
        <f t="shared" si="31"/>
        <v>0</v>
      </c>
      <c r="G86" s="273"/>
      <c r="H86" s="274">
        <f t="shared" si="32"/>
        <v>0</v>
      </c>
      <c r="I86" s="273"/>
      <c r="J86" s="274">
        <f t="shared" si="33"/>
        <v>0</v>
      </c>
      <c r="K86" s="275"/>
      <c r="L86" s="274">
        <f t="shared" si="34"/>
        <v>0</v>
      </c>
      <c r="M86" s="273"/>
      <c r="N86" s="274">
        <f t="shared" si="35"/>
        <v>0</v>
      </c>
      <c r="O86" s="273"/>
      <c r="P86" s="274">
        <f t="shared" si="36"/>
        <v>0</v>
      </c>
      <c r="Q86" s="273"/>
      <c r="R86" s="274">
        <f t="shared" si="37"/>
        <v>0</v>
      </c>
      <c r="S86" s="273"/>
      <c r="T86" s="274">
        <f t="shared" si="38"/>
        <v>0</v>
      </c>
      <c r="U86" s="273"/>
      <c r="V86" s="274">
        <f t="shared" si="39"/>
        <v>0</v>
      </c>
      <c r="W86" s="273"/>
      <c r="X86" s="274">
        <f t="shared" si="40"/>
        <v>0</v>
      </c>
      <c r="Y86" s="273"/>
      <c r="Z86" s="274">
        <f t="shared" si="41"/>
        <v>0</v>
      </c>
      <c r="AA86" s="251">
        <f t="shared" si="42"/>
        <v>0</v>
      </c>
    </row>
    <row r="87" customHeight="1" spans="1:27">
      <c r="A87" s="270">
        <v>7</v>
      </c>
      <c r="B87" s="324"/>
      <c r="C87" s="274"/>
      <c r="D87" s="274"/>
      <c r="E87" s="272">
        <f t="shared" si="30"/>
        <v>0</v>
      </c>
      <c r="F87" s="272">
        <f t="shared" si="31"/>
        <v>0</v>
      </c>
      <c r="G87" s="273"/>
      <c r="H87" s="274">
        <f t="shared" si="32"/>
        <v>0</v>
      </c>
      <c r="I87" s="273"/>
      <c r="J87" s="274">
        <f t="shared" si="33"/>
        <v>0</v>
      </c>
      <c r="K87" s="275"/>
      <c r="L87" s="274">
        <f t="shared" si="34"/>
        <v>0</v>
      </c>
      <c r="M87" s="273"/>
      <c r="N87" s="274">
        <f t="shared" si="35"/>
        <v>0</v>
      </c>
      <c r="O87" s="273"/>
      <c r="P87" s="274">
        <f t="shared" si="36"/>
        <v>0</v>
      </c>
      <c r="Q87" s="273"/>
      <c r="R87" s="274">
        <f t="shared" si="37"/>
        <v>0</v>
      </c>
      <c r="S87" s="273"/>
      <c r="T87" s="274">
        <f t="shared" si="38"/>
        <v>0</v>
      </c>
      <c r="U87" s="273"/>
      <c r="V87" s="274">
        <f t="shared" si="39"/>
        <v>0</v>
      </c>
      <c r="W87" s="273"/>
      <c r="X87" s="274">
        <f t="shared" si="40"/>
        <v>0</v>
      </c>
      <c r="Y87" s="273"/>
      <c r="Z87" s="274">
        <f t="shared" si="41"/>
        <v>0</v>
      </c>
      <c r="AA87" s="251">
        <f t="shared" si="42"/>
        <v>0</v>
      </c>
    </row>
    <row r="88" customHeight="1" spans="1:27">
      <c r="A88" s="270">
        <v>8</v>
      </c>
      <c r="B88" s="324"/>
      <c r="C88" s="274"/>
      <c r="D88" s="274"/>
      <c r="E88" s="272">
        <f t="shared" si="30"/>
        <v>0</v>
      </c>
      <c r="F88" s="272">
        <f t="shared" si="31"/>
        <v>0</v>
      </c>
      <c r="G88" s="273"/>
      <c r="H88" s="274">
        <f t="shared" si="32"/>
        <v>0</v>
      </c>
      <c r="I88" s="273"/>
      <c r="J88" s="274">
        <f t="shared" si="33"/>
        <v>0</v>
      </c>
      <c r="K88" s="275"/>
      <c r="L88" s="274">
        <f t="shared" si="34"/>
        <v>0</v>
      </c>
      <c r="M88" s="273"/>
      <c r="N88" s="274">
        <f t="shared" si="35"/>
        <v>0</v>
      </c>
      <c r="O88" s="273"/>
      <c r="P88" s="274">
        <f t="shared" si="36"/>
        <v>0</v>
      </c>
      <c r="Q88" s="273"/>
      <c r="R88" s="274">
        <f t="shared" si="37"/>
        <v>0</v>
      </c>
      <c r="S88" s="273"/>
      <c r="T88" s="274">
        <f t="shared" si="38"/>
        <v>0</v>
      </c>
      <c r="U88" s="273"/>
      <c r="V88" s="274">
        <f t="shared" si="39"/>
        <v>0</v>
      </c>
      <c r="W88" s="273"/>
      <c r="X88" s="274">
        <f t="shared" si="40"/>
        <v>0</v>
      </c>
      <c r="Y88" s="273"/>
      <c r="Z88" s="274">
        <f t="shared" si="41"/>
        <v>0</v>
      </c>
      <c r="AA88" s="251">
        <f t="shared" si="42"/>
        <v>0</v>
      </c>
    </row>
    <row r="89" customHeight="1" spans="1:27">
      <c r="A89" s="270">
        <v>9</v>
      </c>
      <c r="B89" s="324"/>
      <c r="C89" s="274"/>
      <c r="D89" s="274"/>
      <c r="E89" s="272">
        <f t="shared" si="30"/>
        <v>0</v>
      </c>
      <c r="F89" s="272">
        <f t="shared" si="31"/>
        <v>0</v>
      </c>
      <c r="G89" s="273"/>
      <c r="H89" s="274">
        <f t="shared" si="32"/>
        <v>0</v>
      </c>
      <c r="I89" s="273"/>
      <c r="J89" s="274">
        <f t="shared" si="33"/>
        <v>0</v>
      </c>
      <c r="K89" s="275"/>
      <c r="L89" s="274">
        <f t="shared" si="34"/>
        <v>0</v>
      </c>
      <c r="M89" s="273"/>
      <c r="N89" s="274">
        <f t="shared" si="35"/>
        <v>0</v>
      </c>
      <c r="O89" s="273"/>
      <c r="P89" s="274">
        <f t="shared" si="36"/>
        <v>0</v>
      </c>
      <c r="Q89" s="273"/>
      <c r="R89" s="274">
        <f t="shared" si="37"/>
        <v>0</v>
      </c>
      <c r="S89" s="273"/>
      <c r="T89" s="274">
        <f t="shared" si="38"/>
        <v>0</v>
      </c>
      <c r="U89" s="273"/>
      <c r="V89" s="274">
        <f t="shared" si="39"/>
        <v>0</v>
      </c>
      <c r="W89" s="273"/>
      <c r="X89" s="274">
        <f t="shared" si="40"/>
        <v>0</v>
      </c>
      <c r="Y89" s="273"/>
      <c r="Z89" s="274">
        <f t="shared" si="41"/>
        <v>0</v>
      </c>
      <c r="AA89" s="251">
        <f t="shared" si="42"/>
        <v>0</v>
      </c>
    </row>
    <row r="90" customHeight="1" spans="1:27">
      <c r="A90" s="270">
        <v>10</v>
      </c>
      <c r="B90" s="270"/>
      <c r="C90" s="274"/>
      <c r="D90" s="274"/>
      <c r="E90" s="272">
        <f t="shared" si="30"/>
        <v>0</v>
      </c>
      <c r="F90" s="272">
        <f t="shared" si="31"/>
        <v>0</v>
      </c>
      <c r="G90" s="273"/>
      <c r="H90" s="274">
        <f t="shared" si="32"/>
        <v>0</v>
      </c>
      <c r="I90" s="273"/>
      <c r="J90" s="274">
        <f t="shared" si="33"/>
        <v>0</v>
      </c>
      <c r="K90" s="275"/>
      <c r="L90" s="274">
        <f t="shared" si="34"/>
        <v>0</v>
      </c>
      <c r="M90" s="273"/>
      <c r="N90" s="274">
        <f t="shared" si="35"/>
        <v>0</v>
      </c>
      <c r="O90" s="273"/>
      <c r="P90" s="274">
        <f t="shared" si="36"/>
        <v>0</v>
      </c>
      <c r="Q90" s="273"/>
      <c r="R90" s="274">
        <f t="shared" si="37"/>
        <v>0</v>
      </c>
      <c r="S90" s="273"/>
      <c r="T90" s="274">
        <f t="shared" si="38"/>
        <v>0</v>
      </c>
      <c r="U90" s="273"/>
      <c r="V90" s="274">
        <f t="shared" si="39"/>
        <v>0</v>
      </c>
      <c r="W90" s="273"/>
      <c r="X90" s="274">
        <f t="shared" si="40"/>
        <v>0</v>
      </c>
      <c r="Y90" s="273"/>
      <c r="Z90" s="274">
        <f t="shared" si="41"/>
        <v>0</v>
      </c>
      <c r="AA90" s="251">
        <f t="shared" si="42"/>
        <v>0</v>
      </c>
    </row>
    <row r="91" customHeight="1" spans="1:27">
      <c r="A91" s="270">
        <v>11</v>
      </c>
      <c r="B91" s="270"/>
      <c r="C91" s="274"/>
      <c r="D91" s="274"/>
      <c r="E91" s="272">
        <f t="shared" si="30"/>
        <v>0</v>
      </c>
      <c r="F91" s="272">
        <f t="shared" si="31"/>
        <v>0</v>
      </c>
      <c r="G91" s="273"/>
      <c r="H91" s="274">
        <f t="shared" si="32"/>
        <v>0</v>
      </c>
      <c r="I91" s="273"/>
      <c r="J91" s="274">
        <f t="shared" si="33"/>
        <v>0</v>
      </c>
      <c r="K91" s="275"/>
      <c r="L91" s="274">
        <f t="shared" si="34"/>
        <v>0</v>
      </c>
      <c r="M91" s="273"/>
      <c r="N91" s="274">
        <f t="shared" si="35"/>
        <v>0</v>
      </c>
      <c r="O91" s="273"/>
      <c r="P91" s="274">
        <f t="shared" si="36"/>
        <v>0</v>
      </c>
      <c r="Q91" s="273"/>
      <c r="R91" s="274">
        <f t="shared" si="37"/>
        <v>0</v>
      </c>
      <c r="S91" s="273"/>
      <c r="T91" s="274">
        <f t="shared" si="38"/>
        <v>0</v>
      </c>
      <c r="U91" s="273"/>
      <c r="V91" s="274">
        <f t="shared" si="39"/>
        <v>0</v>
      </c>
      <c r="W91" s="273"/>
      <c r="X91" s="274">
        <f t="shared" si="40"/>
        <v>0</v>
      </c>
      <c r="Y91" s="273"/>
      <c r="Z91" s="274">
        <f t="shared" si="41"/>
        <v>0</v>
      </c>
      <c r="AA91" s="251">
        <f t="shared" si="42"/>
        <v>0</v>
      </c>
    </row>
    <row r="92" customHeight="1" spans="1:27">
      <c r="A92" s="270">
        <v>12</v>
      </c>
      <c r="B92" s="270"/>
      <c r="C92" s="274"/>
      <c r="D92" s="274"/>
      <c r="E92" s="272">
        <f t="shared" si="30"/>
        <v>0</v>
      </c>
      <c r="F92" s="272">
        <f t="shared" si="31"/>
        <v>0</v>
      </c>
      <c r="G92" s="273"/>
      <c r="H92" s="274">
        <f t="shared" si="32"/>
        <v>0</v>
      </c>
      <c r="I92" s="273"/>
      <c r="J92" s="274">
        <f t="shared" si="33"/>
        <v>0</v>
      </c>
      <c r="K92" s="275"/>
      <c r="L92" s="274">
        <f t="shared" si="34"/>
        <v>0</v>
      </c>
      <c r="M92" s="273"/>
      <c r="N92" s="274">
        <f t="shared" si="35"/>
        <v>0</v>
      </c>
      <c r="O92" s="273"/>
      <c r="P92" s="274">
        <f t="shared" si="36"/>
        <v>0</v>
      </c>
      <c r="Q92" s="273"/>
      <c r="R92" s="274">
        <f t="shared" si="37"/>
        <v>0</v>
      </c>
      <c r="S92" s="273"/>
      <c r="T92" s="274">
        <f t="shared" si="38"/>
        <v>0</v>
      </c>
      <c r="U92" s="273"/>
      <c r="V92" s="274">
        <f t="shared" si="39"/>
        <v>0</v>
      </c>
      <c r="W92" s="273"/>
      <c r="X92" s="274">
        <f t="shared" si="40"/>
        <v>0</v>
      </c>
      <c r="Y92" s="273"/>
      <c r="Z92" s="274">
        <f t="shared" si="41"/>
        <v>0</v>
      </c>
      <c r="AA92" s="251">
        <f t="shared" si="42"/>
        <v>0</v>
      </c>
    </row>
    <row r="93" customHeight="1" spans="1:27">
      <c r="A93" s="270">
        <v>13</v>
      </c>
      <c r="B93" s="270"/>
      <c r="C93" s="274"/>
      <c r="D93" s="274"/>
      <c r="E93" s="272">
        <f t="shared" si="30"/>
        <v>0</v>
      </c>
      <c r="F93" s="272">
        <f t="shared" si="31"/>
        <v>0</v>
      </c>
      <c r="G93" s="273"/>
      <c r="H93" s="274">
        <f t="shared" si="32"/>
        <v>0</v>
      </c>
      <c r="I93" s="273"/>
      <c r="J93" s="274">
        <f t="shared" si="33"/>
        <v>0</v>
      </c>
      <c r="K93" s="275"/>
      <c r="L93" s="274">
        <f t="shared" si="34"/>
        <v>0</v>
      </c>
      <c r="M93" s="273"/>
      <c r="N93" s="274">
        <f t="shared" si="35"/>
        <v>0</v>
      </c>
      <c r="O93" s="273"/>
      <c r="P93" s="274">
        <f t="shared" si="36"/>
        <v>0</v>
      </c>
      <c r="Q93" s="273"/>
      <c r="R93" s="274">
        <f t="shared" si="37"/>
        <v>0</v>
      </c>
      <c r="S93" s="273"/>
      <c r="T93" s="274">
        <f t="shared" si="38"/>
        <v>0</v>
      </c>
      <c r="U93" s="273"/>
      <c r="V93" s="274">
        <f t="shared" si="39"/>
        <v>0</v>
      </c>
      <c r="W93" s="273"/>
      <c r="X93" s="274">
        <f t="shared" si="40"/>
        <v>0</v>
      </c>
      <c r="Y93" s="273"/>
      <c r="Z93" s="274">
        <f t="shared" si="41"/>
        <v>0</v>
      </c>
      <c r="AA93" s="251">
        <f t="shared" si="42"/>
        <v>0</v>
      </c>
    </row>
    <row r="94" customHeight="1" spans="1:27">
      <c r="A94" s="270">
        <v>14</v>
      </c>
      <c r="B94" s="270"/>
      <c r="C94" s="274"/>
      <c r="D94" s="274"/>
      <c r="E94" s="272">
        <f t="shared" si="30"/>
        <v>0</v>
      </c>
      <c r="F94" s="272">
        <f t="shared" si="31"/>
        <v>0</v>
      </c>
      <c r="G94" s="273"/>
      <c r="H94" s="274">
        <f t="shared" si="32"/>
        <v>0</v>
      </c>
      <c r="I94" s="273"/>
      <c r="J94" s="274">
        <f t="shared" si="33"/>
        <v>0</v>
      </c>
      <c r="K94" s="275"/>
      <c r="L94" s="274">
        <f t="shared" si="34"/>
        <v>0</v>
      </c>
      <c r="M94" s="273"/>
      <c r="N94" s="274">
        <f t="shared" si="35"/>
        <v>0</v>
      </c>
      <c r="O94" s="273"/>
      <c r="P94" s="274">
        <f t="shared" si="36"/>
        <v>0</v>
      </c>
      <c r="Q94" s="273"/>
      <c r="R94" s="274">
        <f t="shared" si="37"/>
        <v>0</v>
      </c>
      <c r="S94" s="273"/>
      <c r="T94" s="274">
        <f t="shared" si="38"/>
        <v>0</v>
      </c>
      <c r="U94" s="273"/>
      <c r="V94" s="274">
        <f t="shared" si="39"/>
        <v>0</v>
      </c>
      <c r="W94" s="273"/>
      <c r="X94" s="274">
        <f t="shared" si="40"/>
        <v>0</v>
      </c>
      <c r="Y94" s="273"/>
      <c r="Z94" s="274">
        <f t="shared" si="41"/>
        <v>0</v>
      </c>
      <c r="AA94" s="251">
        <f t="shared" si="42"/>
        <v>0</v>
      </c>
    </row>
    <row r="95" customHeight="1" spans="1:27">
      <c r="A95" s="270">
        <v>15</v>
      </c>
      <c r="B95" s="270"/>
      <c r="C95" s="274"/>
      <c r="D95" s="274"/>
      <c r="E95" s="272">
        <f t="shared" si="30"/>
        <v>0</v>
      </c>
      <c r="F95" s="272">
        <f t="shared" si="31"/>
        <v>0</v>
      </c>
      <c r="G95" s="273"/>
      <c r="H95" s="274">
        <f t="shared" si="32"/>
        <v>0</v>
      </c>
      <c r="I95" s="273"/>
      <c r="J95" s="274">
        <f t="shared" si="33"/>
        <v>0</v>
      </c>
      <c r="K95" s="275"/>
      <c r="L95" s="274">
        <f t="shared" si="34"/>
        <v>0</v>
      </c>
      <c r="M95" s="273"/>
      <c r="N95" s="274">
        <f t="shared" si="35"/>
        <v>0</v>
      </c>
      <c r="O95" s="273"/>
      <c r="P95" s="274">
        <f t="shared" si="36"/>
        <v>0</v>
      </c>
      <c r="Q95" s="273"/>
      <c r="R95" s="274">
        <f t="shared" si="37"/>
        <v>0</v>
      </c>
      <c r="S95" s="273"/>
      <c r="T95" s="274">
        <f t="shared" si="38"/>
        <v>0</v>
      </c>
      <c r="U95" s="273"/>
      <c r="V95" s="274">
        <f t="shared" si="39"/>
        <v>0</v>
      </c>
      <c r="W95" s="273"/>
      <c r="X95" s="274">
        <f t="shared" si="40"/>
        <v>0</v>
      </c>
      <c r="Y95" s="273"/>
      <c r="Z95" s="274">
        <f t="shared" si="41"/>
        <v>0</v>
      </c>
      <c r="AA95" s="251">
        <f t="shared" si="42"/>
        <v>0</v>
      </c>
    </row>
    <row r="96" customHeight="1" spans="1:27">
      <c r="A96" s="270">
        <v>16</v>
      </c>
      <c r="B96" s="270"/>
      <c r="C96" s="274"/>
      <c r="D96" s="274"/>
      <c r="E96" s="272">
        <f t="shared" si="30"/>
        <v>0</v>
      </c>
      <c r="F96" s="272">
        <f t="shared" si="31"/>
        <v>0</v>
      </c>
      <c r="G96" s="273"/>
      <c r="H96" s="274">
        <f t="shared" si="32"/>
        <v>0</v>
      </c>
      <c r="I96" s="273"/>
      <c r="J96" s="274">
        <f t="shared" si="33"/>
        <v>0</v>
      </c>
      <c r="K96" s="275"/>
      <c r="L96" s="274">
        <f t="shared" si="34"/>
        <v>0</v>
      </c>
      <c r="M96" s="273"/>
      <c r="N96" s="274">
        <f t="shared" si="35"/>
        <v>0</v>
      </c>
      <c r="O96" s="273"/>
      <c r="P96" s="274">
        <f t="shared" si="36"/>
        <v>0</v>
      </c>
      <c r="Q96" s="273"/>
      <c r="R96" s="274">
        <f t="shared" si="37"/>
        <v>0</v>
      </c>
      <c r="S96" s="273"/>
      <c r="T96" s="274">
        <f t="shared" si="38"/>
        <v>0</v>
      </c>
      <c r="U96" s="273"/>
      <c r="V96" s="274">
        <f t="shared" si="39"/>
        <v>0</v>
      </c>
      <c r="W96" s="273"/>
      <c r="X96" s="274">
        <f t="shared" si="40"/>
        <v>0</v>
      </c>
      <c r="Y96" s="273"/>
      <c r="Z96" s="274">
        <f t="shared" si="41"/>
        <v>0</v>
      </c>
      <c r="AA96" s="251">
        <f t="shared" si="42"/>
        <v>0</v>
      </c>
    </row>
    <row r="97" customHeight="1" spans="1:27">
      <c r="A97" s="270">
        <v>17</v>
      </c>
      <c r="B97" s="270"/>
      <c r="C97" s="274"/>
      <c r="D97" s="274"/>
      <c r="E97" s="272">
        <f t="shared" si="30"/>
        <v>0</v>
      </c>
      <c r="F97" s="272">
        <f t="shared" si="31"/>
        <v>0</v>
      </c>
      <c r="G97" s="273"/>
      <c r="H97" s="274">
        <f t="shared" si="32"/>
        <v>0</v>
      </c>
      <c r="I97" s="273"/>
      <c r="J97" s="274">
        <f t="shared" si="33"/>
        <v>0</v>
      </c>
      <c r="K97" s="275"/>
      <c r="L97" s="274">
        <f t="shared" si="34"/>
        <v>0</v>
      </c>
      <c r="M97" s="273"/>
      <c r="N97" s="274">
        <f t="shared" si="35"/>
        <v>0</v>
      </c>
      <c r="O97" s="273"/>
      <c r="P97" s="274">
        <f t="shared" si="36"/>
        <v>0</v>
      </c>
      <c r="Q97" s="273"/>
      <c r="R97" s="274">
        <f t="shared" si="37"/>
        <v>0</v>
      </c>
      <c r="S97" s="273"/>
      <c r="T97" s="274">
        <f t="shared" si="38"/>
        <v>0</v>
      </c>
      <c r="U97" s="273"/>
      <c r="V97" s="274">
        <f t="shared" si="39"/>
        <v>0</v>
      </c>
      <c r="W97" s="273"/>
      <c r="X97" s="274">
        <f t="shared" si="40"/>
        <v>0</v>
      </c>
      <c r="Y97" s="273"/>
      <c r="Z97" s="274">
        <f t="shared" si="41"/>
        <v>0</v>
      </c>
      <c r="AA97" s="251">
        <f t="shared" si="42"/>
        <v>0</v>
      </c>
    </row>
    <row r="98" customHeight="1" spans="1:27">
      <c r="A98" s="270">
        <v>18</v>
      </c>
      <c r="B98" s="270"/>
      <c r="C98" s="274"/>
      <c r="D98" s="274"/>
      <c r="E98" s="272">
        <f t="shared" si="30"/>
        <v>0</v>
      </c>
      <c r="F98" s="272">
        <f t="shared" si="31"/>
        <v>0</v>
      </c>
      <c r="G98" s="273"/>
      <c r="H98" s="274">
        <f t="shared" si="32"/>
        <v>0</v>
      </c>
      <c r="I98" s="273"/>
      <c r="J98" s="274">
        <f t="shared" si="33"/>
        <v>0</v>
      </c>
      <c r="K98" s="275"/>
      <c r="L98" s="274">
        <f t="shared" si="34"/>
        <v>0</v>
      </c>
      <c r="M98" s="273"/>
      <c r="N98" s="274">
        <f t="shared" si="35"/>
        <v>0</v>
      </c>
      <c r="O98" s="273"/>
      <c r="P98" s="274">
        <f t="shared" si="36"/>
        <v>0</v>
      </c>
      <c r="Q98" s="273"/>
      <c r="R98" s="274">
        <f t="shared" si="37"/>
        <v>0</v>
      </c>
      <c r="S98" s="273"/>
      <c r="T98" s="274">
        <f t="shared" si="38"/>
        <v>0</v>
      </c>
      <c r="U98" s="273"/>
      <c r="V98" s="274">
        <f t="shared" si="39"/>
        <v>0</v>
      </c>
      <c r="W98" s="273"/>
      <c r="X98" s="274">
        <f t="shared" si="40"/>
        <v>0</v>
      </c>
      <c r="Y98" s="273"/>
      <c r="Z98" s="274">
        <f t="shared" si="41"/>
        <v>0</v>
      </c>
      <c r="AA98" s="251">
        <f t="shared" si="42"/>
        <v>0</v>
      </c>
    </row>
    <row r="99" customHeight="1" spans="1:27">
      <c r="A99" s="270">
        <v>19</v>
      </c>
      <c r="B99" s="270"/>
      <c r="C99" s="274"/>
      <c r="D99" s="274"/>
      <c r="E99" s="272">
        <f t="shared" si="30"/>
        <v>0</v>
      </c>
      <c r="F99" s="272">
        <f t="shared" si="31"/>
        <v>0</v>
      </c>
      <c r="G99" s="273"/>
      <c r="H99" s="274">
        <f t="shared" si="32"/>
        <v>0</v>
      </c>
      <c r="I99" s="273"/>
      <c r="J99" s="274">
        <f t="shared" si="33"/>
        <v>0</v>
      </c>
      <c r="K99" s="275"/>
      <c r="L99" s="274">
        <f t="shared" si="34"/>
        <v>0</v>
      </c>
      <c r="M99" s="273"/>
      <c r="N99" s="274">
        <f t="shared" si="35"/>
        <v>0</v>
      </c>
      <c r="O99" s="273"/>
      <c r="P99" s="274">
        <f t="shared" si="36"/>
        <v>0</v>
      </c>
      <c r="Q99" s="273"/>
      <c r="R99" s="274">
        <f t="shared" si="37"/>
        <v>0</v>
      </c>
      <c r="S99" s="273"/>
      <c r="T99" s="274">
        <f t="shared" si="38"/>
        <v>0</v>
      </c>
      <c r="U99" s="273"/>
      <c r="V99" s="274">
        <f t="shared" si="39"/>
        <v>0</v>
      </c>
      <c r="W99" s="273"/>
      <c r="X99" s="274">
        <f t="shared" si="40"/>
        <v>0</v>
      </c>
      <c r="Y99" s="273"/>
      <c r="Z99" s="274">
        <f t="shared" si="41"/>
        <v>0</v>
      </c>
      <c r="AA99" s="251">
        <f t="shared" si="42"/>
        <v>0</v>
      </c>
    </row>
    <row r="100" customHeight="1" spans="1:27">
      <c r="A100" s="270">
        <v>20</v>
      </c>
      <c r="B100" s="270"/>
      <c r="C100" s="274"/>
      <c r="D100" s="274"/>
      <c r="E100" s="272">
        <f t="shared" si="30"/>
        <v>0</v>
      </c>
      <c r="F100" s="272">
        <f t="shared" si="31"/>
        <v>0</v>
      </c>
      <c r="G100" s="273"/>
      <c r="H100" s="274">
        <f t="shared" si="32"/>
        <v>0</v>
      </c>
      <c r="I100" s="273"/>
      <c r="J100" s="274">
        <f t="shared" si="33"/>
        <v>0</v>
      </c>
      <c r="K100" s="275"/>
      <c r="L100" s="274">
        <f t="shared" si="34"/>
        <v>0</v>
      </c>
      <c r="M100" s="273"/>
      <c r="N100" s="274">
        <f t="shared" si="35"/>
        <v>0</v>
      </c>
      <c r="O100" s="273"/>
      <c r="P100" s="274">
        <f t="shared" si="36"/>
        <v>0</v>
      </c>
      <c r="Q100" s="273"/>
      <c r="R100" s="274">
        <f t="shared" si="37"/>
        <v>0</v>
      </c>
      <c r="S100" s="273"/>
      <c r="T100" s="274">
        <f t="shared" si="38"/>
        <v>0</v>
      </c>
      <c r="U100" s="273"/>
      <c r="V100" s="274">
        <f t="shared" si="39"/>
        <v>0</v>
      </c>
      <c r="W100" s="273"/>
      <c r="X100" s="274">
        <f t="shared" si="40"/>
        <v>0</v>
      </c>
      <c r="Y100" s="273"/>
      <c r="Z100" s="274">
        <f t="shared" si="41"/>
        <v>0</v>
      </c>
      <c r="AA100" s="251">
        <f t="shared" si="42"/>
        <v>0</v>
      </c>
    </row>
    <row r="101" customHeight="1" spans="1:27">
      <c r="A101" s="270">
        <v>21</v>
      </c>
      <c r="B101" s="270"/>
      <c r="C101" s="274"/>
      <c r="D101" s="274"/>
      <c r="E101" s="272">
        <f t="shared" si="30"/>
        <v>0</v>
      </c>
      <c r="F101" s="272">
        <f t="shared" si="31"/>
        <v>0</v>
      </c>
      <c r="G101" s="273"/>
      <c r="H101" s="274">
        <f t="shared" si="32"/>
        <v>0</v>
      </c>
      <c r="I101" s="273"/>
      <c r="J101" s="274">
        <f t="shared" si="33"/>
        <v>0</v>
      </c>
      <c r="K101" s="275"/>
      <c r="L101" s="274">
        <f t="shared" si="34"/>
        <v>0</v>
      </c>
      <c r="M101" s="273"/>
      <c r="N101" s="274">
        <f t="shared" si="35"/>
        <v>0</v>
      </c>
      <c r="O101" s="273"/>
      <c r="P101" s="274">
        <f t="shared" si="36"/>
        <v>0</v>
      </c>
      <c r="Q101" s="273"/>
      <c r="R101" s="274">
        <f t="shared" si="37"/>
        <v>0</v>
      </c>
      <c r="S101" s="273"/>
      <c r="T101" s="274">
        <f t="shared" si="38"/>
        <v>0</v>
      </c>
      <c r="U101" s="273"/>
      <c r="V101" s="274">
        <f t="shared" si="39"/>
        <v>0</v>
      </c>
      <c r="W101" s="273"/>
      <c r="X101" s="274">
        <f t="shared" si="40"/>
        <v>0</v>
      </c>
      <c r="Y101" s="273"/>
      <c r="Z101" s="274">
        <f t="shared" si="41"/>
        <v>0</v>
      </c>
      <c r="AA101" s="251">
        <f t="shared" si="42"/>
        <v>0</v>
      </c>
    </row>
    <row r="102" customHeight="1" spans="1:27">
      <c r="A102" s="270">
        <v>22</v>
      </c>
      <c r="B102" s="270"/>
      <c r="C102" s="274"/>
      <c r="D102" s="274"/>
      <c r="E102" s="272">
        <f t="shared" si="30"/>
        <v>0</v>
      </c>
      <c r="F102" s="272">
        <f t="shared" si="31"/>
        <v>0</v>
      </c>
      <c r="G102" s="273"/>
      <c r="H102" s="274">
        <f t="shared" si="32"/>
        <v>0</v>
      </c>
      <c r="I102" s="273"/>
      <c r="J102" s="274">
        <f t="shared" si="33"/>
        <v>0</v>
      </c>
      <c r="K102" s="275"/>
      <c r="L102" s="274">
        <f t="shared" si="34"/>
        <v>0</v>
      </c>
      <c r="M102" s="273"/>
      <c r="N102" s="274">
        <f t="shared" si="35"/>
        <v>0</v>
      </c>
      <c r="O102" s="273"/>
      <c r="P102" s="274">
        <f t="shared" si="36"/>
        <v>0</v>
      </c>
      <c r="Q102" s="273"/>
      <c r="R102" s="274">
        <f t="shared" si="37"/>
        <v>0</v>
      </c>
      <c r="S102" s="273"/>
      <c r="T102" s="274">
        <f t="shared" si="38"/>
        <v>0</v>
      </c>
      <c r="U102" s="273"/>
      <c r="V102" s="274">
        <f t="shared" si="39"/>
        <v>0</v>
      </c>
      <c r="W102" s="273"/>
      <c r="X102" s="274">
        <f t="shared" si="40"/>
        <v>0</v>
      </c>
      <c r="Y102" s="273"/>
      <c r="Z102" s="274">
        <f t="shared" si="41"/>
        <v>0</v>
      </c>
      <c r="AA102" s="251">
        <f t="shared" si="42"/>
        <v>0</v>
      </c>
    </row>
    <row r="103" customHeight="1" spans="1:27">
      <c r="A103" s="270">
        <v>23</v>
      </c>
      <c r="B103" s="270"/>
      <c r="C103" s="274"/>
      <c r="D103" s="274"/>
      <c r="E103" s="272">
        <f t="shared" si="30"/>
        <v>0</v>
      </c>
      <c r="F103" s="272">
        <f t="shared" si="31"/>
        <v>0</v>
      </c>
      <c r="G103" s="273"/>
      <c r="H103" s="274">
        <f t="shared" si="32"/>
        <v>0</v>
      </c>
      <c r="I103" s="273"/>
      <c r="J103" s="274">
        <f t="shared" si="33"/>
        <v>0</v>
      </c>
      <c r="K103" s="275"/>
      <c r="L103" s="274">
        <f t="shared" si="34"/>
        <v>0</v>
      </c>
      <c r="M103" s="273"/>
      <c r="N103" s="274">
        <f t="shared" si="35"/>
        <v>0</v>
      </c>
      <c r="O103" s="273"/>
      <c r="P103" s="274">
        <f t="shared" si="36"/>
        <v>0</v>
      </c>
      <c r="Q103" s="273"/>
      <c r="R103" s="274">
        <f t="shared" si="37"/>
        <v>0</v>
      </c>
      <c r="S103" s="273"/>
      <c r="T103" s="274">
        <f t="shared" si="38"/>
        <v>0</v>
      </c>
      <c r="U103" s="273"/>
      <c r="V103" s="274">
        <f t="shared" si="39"/>
        <v>0</v>
      </c>
      <c r="W103" s="273"/>
      <c r="X103" s="274">
        <f t="shared" si="40"/>
        <v>0</v>
      </c>
      <c r="Y103" s="273"/>
      <c r="Z103" s="274">
        <f t="shared" si="41"/>
        <v>0</v>
      </c>
      <c r="AA103" s="251">
        <f t="shared" si="42"/>
        <v>0</v>
      </c>
    </row>
    <row r="104" customHeight="1" spans="1:27">
      <c r="A104" s="270">
        <v>25</v>
      </c>
      <c r="B104" s="270"/>
      <c r="C104" s="274"/>
      <c r="D104" s="274"/>
      <c r="E104" s="272">
        <f t="shared" si="30"/>
        <v>0</v>
      </c>
      <c r="F104" s="272">
        <f t="shared" si="31"/>
        <v>0</v>
      </c>
      <c r="G104" s="273"/>
      <c r="H104" s="274">
        <f t="shared" si="32"/>
        <v>0</v>
      </c>
      <c r="I104" s="273"/>
      <c r="J104" s="274">
        <f t="shared" si="33"/>
        <v>0</v>
      </c>
      <c r="K104" s="275"/>
      <c r="L104" s="274">
        <f t="shared" si="34"/>
        <v>0</v>
      </c>
      <c r="M104" s="273"/>
      <c r="N104" s="274">
        <f t="shared" si="35"/>
        <v>0</v>
      </c>
      <c r="O104" s="273"/>
      <c r="P104" s="274">
        <f t="shared" si="36"/>
        <v>0</v>
      </c>
      <c r="Q104" s="273"/>
      <c r="R104" s="274">
        <f t="shared" si="37"/>
        <v>0</v>
      </c>
      <c r="S104" s="273"/>
      <c r="T104" s="274">
        <f t="shared" si="38"/>
        <v>0</v>
      </c>
      <c r="U104" s="273"/>
      <c r="V104" s="274">
        <f t="shared" si="39"/>
        <v>0</v>
      </c>
      <c r="W104" s="273"/>
      <c r="X104" s="274">
        <f t="shared" si="40"/>
        <v>0</v>
      </c>
      <c r="Y104" s="273"/>
      <c r="Z104" s="274">
        <f t="shared" si="41"/>
        <v>0</v>
      </c>
      <c r="AA104" s="251">
        <f t="shared" si="42"/>
        <v>0</v>
      </c>
    </row>
    <row r="105" customHeight="1" spans="1:27">
      <c r="A105" s="270">
        <v>25</v>
      </c>
      <c r="B105" s="270"/>
      <c r="C105" s="274"/>
      <c r="D105" s="274"/>
      <c r="E105" s="272">
        <f t="shared" si="30"/>
        <v>0</v>
      </c>
      <c r="F105" s="272">
        <f t="shared" si="31"/>
        <v>0</v>
      </c>
      <c r="G105" s="273"/>
      <c r="H105" s="274">
        <f t="shared" si="32"/>
        <v>0</v>
      </c>
      <c r="I105" s="273"/>
      <c r="J105" s="274">
        <f t="shared" si="33"/>
        <v>0</v>
      </c>
      <c r="K105" s="275"/>
      <c r="L105" s="274">
        <f t="shared" si="34"/>
        <v>0</v>
      </c>
      <c r="M105" s="273"/>
      <c r="N105" s="274">
        <f t="shared" si="35"/>
        <v>0</v>
      </c>
      <c r="O105" s="273"/>
      <c r="P105" s="274">
        <f t="shared" si="36"/>
        <v>0</v>
      </c>
      <c r="Q105" s="273"/>
      <c r="R105" s="274">
        <f t="shared" si="37"/>
        <v>0</v>
      </c>
      <c r="S105" s="273"/>
      <c r="T105" s="274">
        <f t="shared" si="38"/>
        <v>0</v>
      </c>
      <c r="U105" s="273"/>
      <c r="V105" s="274">
        <f t="shared" si="39"/>
        <v>0</v>
      </c>
      <c r="W105" s="273"/>
      <c r="X105" s="274">
        <f t="shared" si="40"/>
        <v>0</v>
      </c>
      <c r="Y105" s="273"/>
      <c r="Z105" s="274">
        <f t="shared" si="41"/>
        <v>0</v>
      </c>
      <c r="AA105" s="251">
        <f t="shared" si="42"/>
        <v>0</v>
      </c>
    </row>
    <row r="106" customHeight="1" spans="1:27">
      <c r="A106" s="270">
        <v>26</v>
      </c>
      <c r="B106" s="270"/>
      <c r="C106" s="274"/>
      <c r="D106" s="274"/>
      <c r="E106" s="272">
        <f t="shared" si="30"/>
        <v>0</v>
      </c>
      <c r="F106" s="272">
        <f t="shared" si="31"/>
        <v>0</v>
      </c>
      <c r="G106" s="273"/>
      <c r="H106" s="274">
        <f t="shared" si="32"/>
        <v>0</v>
      </c>
      <c r="I106" s="273"/>
      <c r="J106" s="274">
        <f t="shared" si="33"/>
        <v>0</v>
      </c>
      <c r="K106" s="275"/>
      <c r="L106" s="274">
        <f t="shared" si="34"/>
        <v>0</v>
      </c>
      <c r="M106" s="273"/>
      <c r="N106" s="274">
        <f t="shared" si="35"/>
        <v>0</v>
      </c>
      <c r="O106" s="273"/>
      <c r="P106" s="274">
        <f t="shared" si="36"/>
        <v>0</v>
      </c>
      <c r="Q106" s="273"/>
      <c r="R106" s="274">
        <f t="shared" si="37"/>
        <v>0</v>
      </c>
      <c r="S106" s="273"/>
      <c r="T106" s="274">
        <f t="shared" si="38"/>
        <v>0</v>
      </c>
      <c r="U106" s="273"/>
      <c r="V106" s="274">
        <f t="shared" si="39"/>
        <v>0</v>
      </c>
      <c r="W106" s="273"/>
      <c r="X106" s="274">
        <f t="shared" si="40"/>
        <v>0</v>
      </c>
      <c r="Y106" s="273"/>
      <c r="Z106" s="274">
        <f t="shared" si="41"/>
        <v>0</v>
      </c>
      <c r="AA106" s="251">
        <f t="shared" si="42"/>
        <v>0</v>
      </c>
    </row>
    <row r="107" customHeight="1" spans="1:27">
      <c r="A107" s="270">
        <v>27</v>
      </c>
      <c r="B107" s="270"/>
      <c r="C107" s="274"/>
      <c r="D107" s="274"/>
      <c r="E107" s="272">
        <f t="shared" si="30"/>
        <v>0</v>
      </c>
      <c r="F107" s="272">
        <f t="shared" si="31"/>
        <v>0</v>
      </c>
      <c r="G107" s="273"/>
      <c r="H107" s="274">
        <f t="shared" si="32"/>
        <v>0</v>
      </c>
      <c r="I107" s="273"/>
      <c r="J107" s="274">
        <f t="shared" si="33"/>
        <v>0</v>
      </c>
      <c r="K107" s="275"/>
      <c r="L107" s="274">
        <f t="shared" si="34"/>
        <v>0</v>
      </c>
      <c r="M107" s="273"/>
      <c r="N107" s="274">
        <f t="shared" si="35"/>
        <v>0</v>
      </c>
      <c r="O107" s="273"/>
      <c r="P107" s="274">
        <f t="shared" si="36"/>
        <v>0</v>
      </c>
      <c r="Q107" s="273"/>
      <c r="R107" s="274">
        <f t="shared" si="37"/>
        <v>0</v>
      </c>
      <c r="S107" s="273"/>
      <c r="T107" s="274">
        <f t="shared" si="38"/>
        <v>0</v>
      </c>
      <c r="U107" s="273"/>
      <c r="V107" s="274">
        <f t="shared" si="39"/>
        <v>0</v>
      </c>
      <c r="W107" s="273"/>
      <c r="X107" s="274">
        <f t="shared" si="40"/>
        <v>0</v>
      </c>
      <c r="Y107" s="273"/>
      <c r="Z107" s="274">
        <f t="shared" si="41"/>
        <v>0</v>
      </c>
      <c r="AA107" s="251">
        <f t="shared" si="42"/>
        <v>0</v>
      </c>
    </row>
    <row r="108" customHeight="1" spans="1:27">
      <c r="A108" s="270">
        <v>28</v>
      </c>
      <c r="B108" s="270"/>
      <c r="C108" s="274"/>
      <c r="D108" s="274"/>
      <c r="E108" s="272">
        <f t="shared" si="30"/>
        <v>0</v>
      </c>
      <c r="F108" s="272">
        <f t="shared" si="31"/>
        <v>0</v>
      </c>
      <c r="G108" s="273"/>
      <c r="H108" s="274">
        <f t="shared" si="32"/>
        <v>0</v>
      </c>
      <c r="I108" s="273"/>
      <c r="J108" s="274">
        <f t="shared" si="33"/>
        <v>0</v>
      </c>
      <c r="K108" s="275"/>
      <c r="L108" s="274">
        <f t="shared" si="34"/>
        <v>0</v>
      </c>
      <c r="M108" s="273"/>
      <c r="N108" s="274">
        <f t="shared" si="35"/>
        <v>0</v>
      </c>
      <c r="O108" s="273"/>
      <c r="P108" s="274">
        <f t="shared" si="36"/>
        <v>0</v>
      </c>
      <c r="Q108" s="273"/>
      <c r="R108" s="274">
        <f t="shared" si="37"/>
        <v>0</v>
      </c>
      <c r="S108" s="273"/>
      <c r="T108" s="274">
        <f t="shared" si="38"/>
        <v>0</v>
      </c>
      <c r="U108" s="273"/>
      <c r="V108" s="274">
        <f t="shared" si="39"/>
        <v>0</v>
      </c>
      <c r="W108" s="273"/>
      <c r="X108" s="274">
        <f t="shared" si="40"/>
        <v>0</v>
      </c>
      <c r="Y108" s="273"/>
      <c r="Z108" s="274">
        <f t="shared" si="41"/>
        <v>0</v>
      </c>
      <c r="AA108" s="251">
        <f t="shared" si="42"/>
        <v>0</v>
      </c>
    </row>
    <row r="109" customHeight="1" spans="1:27">
      <c r="A109" s="270">
        <v>29</v>
      </c>
      <c r="B109" s="270"/>
      <c r="C109" s="274"/>
      <c r="D109" s="274"/>
      <c r="E109" s="272">
        <f t="shared" si="30"/>
        <v>0</v>
      </c>
      <c r="F109" s="272">
        <f t="shared" si="31"/>
        <v>0</v>
      </c>
      <c r="G109" s="273"/>
      <c r="H109" s="274">
        <f t="shared" si="32"/>
        <v>0</v>
      </c>
      <c r="I109" s="273"/>
      <c r="J109" s="274">
        <f t="shared" si="33"/>
        <v>0</v>
      </c>
      <c r="K109" s="275"/>
      <c r="L109" s="274">
        <f t="shared" si="34"/>
        <v>0</v>
      </c>
      <c r="M109" s="273"/>
      <c r="N109" s="274">
        <f t="shared" si="35"/>
        <v>0</v>
      </c>
      <c r="O109" s="273"/>
      <c r="P109" s="274">
        <f t="shared" si="36"/>
        <v>0</v>
      </c>
      <c r="Q109" s="273"/>
      <c r="R109" s="274">
        <f t="shared" si="37"/>
        <v>0</v>
      </c>
      <c r="S109" s="273"/>
      <c r="T109" s="274">
        <f t="shared" si="38"/>
        <v>0</v>
      </c>
      <c r="U109" s="273"/>
      <c r="V109" s="274">
        <f t="shared" si="39"/>
        <v>0</v>
      </c>
      <c r="W109" s="273"/>
      <c r="X109" s="274">
        <f t="shared" si="40"/>
        <v>0</v>
      </c>
      <c r="Y109" s="273"/>
      <c r="Z109" s="274">
        <f t="shared" si="41"/>
        <v>0</v>
      </c>
      <c r="AA109" s="251">
        <f t="shared" si="42"/>
        <v>0</v>
      </c>
    </row>
    <row r="110" customHeight="1" spans="1:27">
      <c r="A110" s="270">
        <v>30</v>
      </c>
      <c r="B110" s="270"/>
      <c r="C110" s="274"/>
      <c r="D110" s="274"/>
      <c r="E110" s="272">
        <f t="shared" si="30"/>
        <v>0</v>
      </c>
      <c r="F110" s="272">
        <f t="shared" si="31"/>
        <v>0</v>
      </c>
      <c r="G110" s="273"/>
      <c r="H110" s="274">
        <f t="shared" si="32"/>
        <v>0</v>
      </c>
      <c r="I110" s="273"/>
      <c r="J110" s="274">
        <f t="shared" si="33"/>
        <v>0</v>
      </c>
      <c r="K110" s="275"/>
      <c r="L110" s="274">
        <f t="shared" si="34"/>
        <v>0</v>
      </c>
      <c r="M110" s="273"/>
      <c r="N110" s="274">
        <f t="shared" si="35"/>
        <v>0</v>
      </c>
      <c r="O110" s="273"/>
      <c r="P110" s="274">
        <f t="shared" si="36"/>
        <v>0</v>
      </c>
      <c r="Q110" s="273"/>
      <c r="R110" s="274">
        <f t="shared" si="37"/>
        <v>0</v>
      </c>
      <c r="S110" s="273"/>
      <c r="T110" s="274">
        <f t="shared" si="38"/>
        <v>0</v>
      </c>
      <c r="U110" s="273"/>
      <c r="V110" s="274">
        <f t="shared" si="39"/>
        <v>0</v>
      </c>
      <c r="W110" s="273"/>
      <c r="X110" s="274">
        <f t="shared" si="40"/>
        <v>0</v>
      </c>
      <c r="Y110" s="273"/>
      <c r="Z110" s="274">
        <f t="shared" si="41"/>
        <v>0</v>
      </c>
      <c r="AA110" s="251">
        <f t="shared" si="42"/>
        <v>0</v>
      </c>
    </row>
    <row r="111" customHeight="1" spans="1:27">
      <c r="A111" s="276" t="s">
        <v>22</v>
      </c>
      <c r="B111" s="277"/>
      <c r="C111" s="261">
        <f t="shared" ref="C111:Z111" si="43">SUM(C81:C110)</f>
        <v>0</v>
      </c>
      <c r="D111" s="261">
        <f t="shared" si="43"/>
        <v>0</v>
      </c>
      <c r="E111" s="261">
        <f t="shared" si="43"/>
        <v>0</v>
      </c>
      <c r="F111" s="272">
        <f t="shared" si="43"/>
        <v>0</v>
      </c>
      <c r="G111" s="261">
        <f t="shared" si="43"/>
        <v>0</v>
      </c>
      <c r="H111" s="273">
        <f t="shared" si="43"/>
        <v>0</v>
      </c>
      <c r="I111" s="273">
        <f t="shared" si="43"/>
        <v>0</v>
      </c>
      <c r="J111" s="273">
        <f t="shared" si="43"/>
        <v>0</v>
      </c>
      <c r="K111" s="273">
        <f t="shared" si="43"/>
        <v>0</v>
      </c>
      <c r="L111" s="273">
        <f t="shared" si="43"/>
        <v>0</v>
      </c>
      <c r="M111" s="273">
        <f t="shared" si="43"/>
        <v>0</v>
      </c>
      <c r="N111" s="273">
        <f t="shared" si="43"/>
        <v>0</v>
      </c>
      <c r="O111" s="273">
        <f t="shared" si="43"/>
        <v>0</v>
      </c>
      <c r="P111" s="273">
        <f t="shared" si="43"/>
        <v>0</v>
      </c>
      <c r="Q111" s="273">
        <f t="shared" si="43"/>
        <v>0</v>
      </c>
      <c r="R111" s="273">
        <f t="shared" si="43"/>
        <v>0</v>
      </c>
      <c r="S111" s="273">
        <f t="shared" si="43"/>
        <v>0</v>
      </c>
      <c r="T111" s="273">
        <f t="shared" si="43"/>
        <v>0</v>
      </c>
      <c r="U111" s="273">
        <f t="shared" si="43"/>
        <v>0</v>
      </c>
      <c r="V111" s="273">
        <f t="shared" si="43"/>
        <v>0</v>
      </c>
      <c r="W111" s="273">
        <f t="shared" si="43"/>
        <v>0</v>
      </c>
      <c r="X111" s="273">
        <f t="shared" si="43"/>
        <v>0</v>
      </c>
      <c r="Y111" s="273">
        <f t="shared" si="43"/>
        <v>0</v>
      </c>
      <c r="Z111" s="273">
        <f t="shared" si="43"/>
        <v>0</v>
      </c>
    </row>
    <row r="112" customHeight="1" spans="1:27">
      <c r="A112" s="279"/>
    </row>
    <row r="114" customHeight="1" spans="1:27">
      <c r="B114" s="257" t="s">
        <v>57</v>
      </c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  <c r="Z114" s="258"/>
    </row>
    <row r="116" customHeight="1" spans="1:27">
      <c r="A116" s="259" t="s">
        <v>31</v>
      </c>
      <c r="B116" s="260" t="s">
        <v>32</v>
      </c>
      <c r="C116" s="261" t="s">
        <v>33</v>
      </c>
      <c r="D116" s="261" t="s">
        <v>34</v>
      </c>
      <c r="E116" s="262" t="s">
        <v>35</v>
      </c>
      <c r="F116" s="262" t="s">
        <v>36</v>
      </c>
      <c r="G116" s="263" t="str">
        <f>立项!$A$3</f>
        <v>RD01</v>
      </c>
      <c r="H116" s="264"/>
      <c r="I116" s="264" t="str">
        <f>立项!$A$4</f>
        <v>RD02</v>
      </c>
      <c r="J116" s="264"/>
      <c r="K116" s="264" t="str">
        <f>立项!$A$5</f>
        <v>RD03</v>
      </c>
      <c r="L116" s="264"/>
      <c r="M116" s="264" t="str">
        <f>立项!$A$6</f>
        <v>RD04</v>
      </c>
      <c r="N116" s="264"/>
      <c r="O116" s="264" t="str">
        <f>立项!$A$7</f>
        <v>RD05</v>
      </c>
      <c r="P116" s="264"/>
      <c r="Q116" s="264" t="str">
        <f>立项!$A$8</f>
        <v>RD06</v>
      </c>
      <c r="R116" s="264"/>
      <c r="S116" s="264" t="str">
        <f>立项!$A$9</f>
        <v>RD07</v>
      </c>
      <c r="T116" s="264"/>
      <c r="U116" s="264" t="str">
        <f>立项!$A$10</f>
        <v>RD08</v>
      </c>
      <c r="V116" s="264"/>
      <c r="W116" s="264" t="str">
        <f>立项!$A$11</f>
        <v>RD09</v>
      </c>
      <c r="X116" s="264"/>
      <c r="Y116" s="264" t="str">
        <f>立项!$A$12</f>
        <v>RD10</v>
      </c>
      <c r="Z116" s="264"/>
    </row>
    <row r="117" customHeight="1" spans="1:27">
      <c r="A117" s="265"/>
      <c r="B117" s="260"/>
      <c r="C117" s="261"/>
      <c r="D117" s="261"/>
      <c r="E117" s="262"/>
      <c r="F117" s="262"/>
      <c r="G117" s="267">
        <f>立项!C3</f>
        <v>0</v>
      </c>
      <c r="H117" s="263"/>
      <c r="I117" s="267">
        <f>立项!C4</f>
        <v>0</v>
      </c>
      <c r="J117" s="263"/>
      <c r="K117" s="267">
        <f>立项!C5</f>
        <v>0</v>
      </c>
      <c r="L117" s="263"/>
      <c r="M117" s="267">
        <f>立项!C6</f>
        <v>0</v>
      </c>
      <c r="N117" s="263"/>
      <c r="O117" s="267">
        <f>立项!C7</f>
        <v>0</v>
      </c>
      <c r="P117" s="263"/>
      <c r="Q117" s="267">
        <f>立项!C8</f>
        <v>0</v>
      </c>
      <c r="R117" s="263"/>
      <c r="S117" s="267">
        <f>立项!C9</f>
        <v>0</v>
      </c>
      <c r="T117" s="263"/>
      <c r="U117" s="267">
        <f>立项!C10</f>
        <v>0</v>
      </c>
      <c r="V117" s="263"/>
      <c r="W117" s="267">
        <f>立项!C11</f>
        <v>0</v>
      </c>
      <c r="X117" s="263"/>
      <c r="Y117" s="264">
        <f>立项!C12</f>
        <v>0</v>
      </c>
      <c r="Z117" s="264"/>
    </row>
    <row r="118" customHeight="1" spans="1:27">
      <c r="A118" s="268"/>
      <c r="B118" s="260"/>
      <c r="C118" s="261"/>
      <c r="D118" s="261"/>
      <c r="E118" s="262"/>
      <c r="F118" s="262"/>
      <c r="G118" s="264" t="s">
        <v>39</v>
      </c>
      <c r="H118" s="269" t="s">
        <v>40</v>
      </c>
      <c r="I118" s="264" t="s">
        <v>39</v>
      </c>
      <c r="J118" s="269" t="s">
        <v>40</v>
      </c>
      <c r="K118" s="264" t="s">
        <v>39</v>
      </c>
      <c r="L118" s="269" t="s">
        <v>40</v>
      </c>
      <c r="M118" s="264" t="s">
        <v>39</v>
      </c>
      <c r="N118" s="269" t="s">
        <v>40</v>
      </c>
      <c r="O118" s="264" t="s">
        <v>39</v>
      </c>
      <c r="P118" s="269" t="s">
        <v>40</v>
      </c>
      <c r="Q118" s="264" t="s">
        <v>39</v>
      </c>
      <c r="R118" s="269" t="s">
        <v>40</v>
      </c>
      <c r="S118" s="264" t="s">
        <v>39</v>
      </c>
      <c r="T118" s="269" t="s">
        <v>40</v>
      </c>
      <c r="U118" s="264" t="s">
        <v>39</v>
      </c>
      <c r="V118" s="269" t="s">
        <v>40</v>
      </c>
      <c r="W118" s="264" t="s">
        <v>39</v>
      </c>
      <c r="X118" s="269" t="s">
        <v>40</v>
      </c>
      <c r="Y118" s="264" t="s">
        <v>39</v>
      </c>
      <c r="Z118" s="269" t="s">
        <v>40</v>
      </c>
    </row>
    <row r="119" customHeight="1" spans="1:27">
      <c r="A119" s="270">
        <v>1</v>
      </c>
      <c r="B119" s="324"/>
      <c r="C119" s="272"/>
      <c r="D119" s="272"/>
      <c r="E119" s="272">
        <f t="shared" ref="E119:E148" si="44">G119+I119+K119+M119+O119+Q119+S119+U119+W119+Y119</f>
        <v>0</v>
      </c>
      <c r="F119" s="272">
        <f t="shared" ref="F119:F148" si="45">H119+J119+L119+N119+P119+R119+T119+V119+X119+Z119</f>
        <v>0</v>
      </c>
      <c r="G119" s="273"/>
      <c r="H119" s="274">
        <f t="shared" ref="H119:H148" si="46">IF($D119=0,0,ROUND(G119/$D119*$C119,2))</f>
        <v>0</v>
      </c>
      <c r="I119" s="273"/>
      <c r="J119" s="274">
        <f t="shared" ref="J119:J148" si="47">IF($D119=0,0,ROUND(I119/$D119*$C119,2))</f>
        <v>0</v>
      </c>
      <c r="K119" s="275"/>
      <c r="L119" s="274">
        <f t="shared" ref="L119:L148" si="48">IF($D119=0,0,ROUND(K119/$D119*$C119,2))</f>
        <v>0</v>
      </c>
      <c r="M119" s="273"/>
      <c r="N119" s="274">
        <f t="shared" ref="N119:N148" si="49">IF($D119=0,0,ROUND(M119/$D119*$C119,2))</f>
        <v>0</v>
      </c>
      <c r="O119" s="273"/>
      <c r="P119" s="274">
        <f t="shared" ref="P119:P148" si="50">IF($D119=0,0,ROUND(O119/$D119*$C119,2))</f>
        <v>0</v>
      </c>
      <c r="Q119" s="273"/>
      <c r="R119" s="274">
        <f t="shared" ref="R119:R148" si="51">IF($D119=0,0,ROUND(Q119/$D119*$C119,2))</f>
        <v>0</v>
      </c>
      <c r="S119" s="273"/>
      <c r="T119" s="274">
        <f t="shared" ref="T119:T148" si="52">IF($D119=0,0,ROUND(S119/$D119*$C119,2))</f>
        <v>0</v>
      </c>
      <c r="U119" s="273"/>
      <c r="V119" s="274">
        <f t="shared" ref="V119:V148" si="53">IF($D119=0,0,ROUND(U119/$D119*$C119,2))</f>
        <v>0</v>
      </c>
      <c r="W119" s="273"/>
      <c r="X119" s="274">
        <f t="shared" ref="X119:X148" si="54">IF($D119=0,0,ROUND(W119/$D119*$C119,2))</f>
        <v>0</v>
      </c>
      <c r="Y119" s="273"/>
      <c r="Z119" s="274">
        <f t="shared" ref="Z119:Z148" si="55">IF($D119=0,0,ROUND(Y119/$D119*$C119,2))</f>
        <v>0</v>
      </c>
      <c r="AA119" s="251">
        <f t="shared" ref="AA119:AA148" si="56">D119-E119</f>
        <v>0</v>
      </c>
    </row>
    <row r="120" customHeight="1" spans="1:27">
      <c r="A120" s="270">
        <v>2</v>
      </c>
      <c r="B120" s="324"/>
      <c r="C120" s="272"/>
      <c r="D120" s="272"/>
      <c r="E120" s="272">
        <f t="shared" si="44"/>
        <v>0</v>
      </c>
      <c r="F120" s="272">
        <f t="shared" si="45"/>
        <v>0</v>
      </c>
      <c r="G120" s="273"/>
      <c r="H120" s="274">
        <f t="shared" si="46"/>
        <v>0</v>
      </c>
      <c r="I120" s="273"/>
      <c r="J120" s="274">
        <f t="shared" si="47"/>
        <v>0</v>
      </c>
      <c r="K120" s="275"/>
      <c r="L120" s="274">
        <f t="shared" si="48"/>
        <v>0</v>
      </c>
      <c r="M120" s="273"/>
      <c r="N120" s="274">
        <f t="shared" si="49"/>
        <v>0</v>
      </c>
      <c r="O120" s="273"/>
      <c r="P120" s="274">
        <f t="shared" si="50"/>
        <v>0</v>
      </c>
      <c r="Q120" s="273"/>
      <c r="R120" s="274">
        <f t="shared" si="51"/>
        <v>0</v>
      </c>
      <c r="S120" s="273"/>
      <c r="T120" s="274">
        <f t="shared" si="52"/>
        <v>0</v>
      </c>
      <c r="U120" s="273"/>
      <c r="V120" s="274">
        <f t="shared" si="53"/>
        <v>0</v>
      </c>
      <c r="W120" s="273"/>
      <c r="X120" s="274">
        <f t="shared" si="54"/>
        <v>0</v>
      </c>
      <c r="Y120" s="273"/>
      <c r="Z120" s="274">
        <f t="shared" si="55"/>
        <v>0</v>
      </c>
      <c r="AA120" s="251">
        <f t="shared" si="56"/>
        <v>0</v>
      </c>
    </row>
    <row r="121" customHeight="1" spans="1:27">
      <c r="A121" s="270">
        <v>3</v>
      </c>
      <c r="B121" s="324"/>
      <c r="C121" s="272"/>
      <c r="D121" s="272"/>
      <c r="E121" s="272">
        <f t="shared" si="44"/>
        <v>0</v>
      </c>
      <c r="F121" s="272">
        <f t="shared" si="45"/>
        <v>0</v>
      </c>
      <c r="G121" s="273"/>
      <c r="H121" s="274">
        <f t="shared" si="46"/>
        <v>0</v>
      </c>
      <c r="I121" s="273"/>
      <c r="J121" s="274">
        <f t="shared" si="47"/>
        <v>0</v>
      </c>
      <c r="K121" s="275"/>
      <c r="L121" s="274">
        <f t="shared" si="48"/>
        <v>0</v>
      </c>
      <c r="M121" s="273"/>
      <c r="N121" s="274">
        <f t="shared" si="49"/>
        <v>0</v>
      </c>
      <c r="O121" s="273"/>
      <c r="P121" s="274">
        <f t="shared" si="50"/>
        <v>0</v>
      </c>
      <c r="Q121" s="273"/>
      <c r="R121" s="274">
        <f t="shared" si="51"/>
        <v>0</v>
      </c>
      <c r="S121" s="273"/>
      <c r="T121" s="274">
        <f t="shared" si="52"/>
        <v>0</v>
      </c>
      <c r="U121" s="273"/>
      <c r="V121" s="274">
        <f t="shared" si="53"/>
        <v>0</v>
      </c>
      <c r="W121" s="273"/>
      <c r="X121" s="274">
        <f t="shared" si="54"/>
        <v>0</v>
      </c>
      <c r="Y121" s="273"/>
      <c r="Z121" s="274">
        <f t="shared" si="55"/>
        <v>0</v>
      </c>
      <c r="AA121" s="251">
        <f t="shared" si="56"/>
        <v>0</v>
      </c>
    </row>
    <row r="122" customHeight="1" spans="1:27">
      <c r="A122" s="270">
        <v>4</v>
      </c>
      <c r="B122" s="324"/>
      <c r="C122" s="272"/>
      <c r="D122" s="272"/>
      <c r="E122" s="272">
        <f t="shared" si="44"/>
        <v>0</v>
      </c>
      <c r="F122" s="272">
        <f t="shared" si="45"/>
        <v>0</v>
      </c>
      <c r="G122" s="273"/>
      <c r="H122" s="274">
        <f t="shared" si="46"/>
        <v>0</v>
      </c>
      <c r="I122" s="273"/>
      <c r="J122" s="274">
        <f t="shared" si="47"/>
        <v>0</v>
      </c>
      <c r="K122" s="275"/>
      <c r="L122" s="274">
        <f t="shared" si="48"/>
        <v>0</v>
      </c>
      <c r="M122" s="273"/>
      <c r="N122" s="274">
        <f t="shared" si="49"/>
        <v>0</v>
      </c>
      <c r="O122" s="273"/>
      <c r="P122" s="274">
        <f t="shared" si="50"/>
        <v>0</v>
      </c>
      <c r="Q122" s="273"/>
      <c r="R122" s="274">
        <f t="shared" si="51"/>
        <v>0</v>
      </c>
      <c r="S122" s="273"/>
      <c r="T122" s="274">
        <f t="shared" si="52"/>
        <v>0</v>
      </c>
      <c r="U122" s="273"/>
      <c r="V122" s="274">
        <f t="shared" si="53"/>
        <v>0</v>
      </c>
      <c r="W122" s="273"/>
      <c r="X122" s="274">
        <f t="shared" si="54"/>
        <v>0</v>
      </c>
      <c r="Y122" s="273"/>
      <c r="Z122" s="274">
        <f t="shared" si="55"/>
        <v>0</v>
      </c>
      <c r="AA122" s="251">
        <f t="shared" si="56"/>
        <v>0</v>
      </c>
    </row>
    <row r="123" customHeight="1" spans="1:27">
      <c r="A123" s="270">
        <v>5</v>
      </c>
      <c r="B123" s="324"/>
      <c r="C123" s="272"/>
      <c r="D123" s="272"/>
      <c r="E123" s="272">
        <f t="shared" si="44"/>
        <v>0</v>
      </c>
      <c r="F123" s="272">
        <f t="shared" si="45"/>
        <v>0</v>
      </c>
      <c r="G123" s="273"/>
      <c r="H123" s="274">
        <f t="shared" si="46"/>
        <v>0</v>
      </c>
      <c r="I123" s="273"/>
      <c r="J123" s="274">
        <f t="shared" si="47"/>
        <v>0</v>
      </c>
      <c r="K123" s="275"/>
      <c r="L123" s="274">
        <f t="shared" si="48"/>
        <v>0</v>
      </c>
      <c r="M123" s="273"/>
      <c r="N123" s="274">
        <f t="shared" si="49"/>
        <v>0</v>
      </c>
      <c r="O123" s="273"/>
      <c r="P123" s="274">
        <f t="shared" si="50"/>
        <v>0</v>
      </c>
      <c r="Q123" s="273"/>
      <c r="R123" s="274">
        <f t="shared" si="51"/>
        <v>0</v>
      </c>
      <c r="S123" s="273"/>
      <c r="T123" s="274">
        <f t="shared" si="52"/>
        <v>0</v>
      </c>
      <c r="U123" s="273"/>
      <c r="V123" s="274">
        <f t="shared" si="53"/>
        <v>0</v>
      </c>
      <c r="W123" s="273"/>
      <c r="X123" s="274">
        <f t="shared" si="54"/>
        <v>0</v>
      </c>
      <c r="Y123" s="273"/>
      <c r="Z123" s="274">
        <f t="shared" si="55"/>
        <v>0</v>
      </c>
      <c r="AA123" s="251">
        <f t="shared" si="56"/>
        <v>0</v>
      </c>
    </row>
    <row r="124" customHeight="1" spans="1:27">
      <c r="A124" s="270">
        <v>6</v>
      </c>
      <c r="B124" s="324"/>
      <c r="C124" s="274"/>
      <c r="D124" s="274"/>
      <c r="E124" s="272">
        <f t="shared" si="44"/>
        <v>0</v>
      </c>
      <c r="F124" s="272">
        <f t="shared" si="45"/>
        <v>0</v>
      </c>
      <c r="G124" s="273"/>
      <c r="H124" s="274">
        <f t="shared" si="46"/>
        <v>0</v>
      </c>
      <c r="I124" s="273"/>
      <c r="J124" s="274">
        <f t="shared" si="47"/>
        <v>0</v>
      </c>
      <c r="K124" s="275"/>
      <c r="L124" s="274">
        <f t="shared" si="48"/>
        <v>0</v>
      </c>
      <c r="M124" s="273"/>
      <c r="N124" s="274">
        <f t="shared" si="49"/>
        <v>0</v>
      </c>
      <c r="O124" s="273"/>
      <c r="P124" s="274">
        <f t="shared" si="50"/>
        <v>0</v>
      </c>
      <c r="Q124" s="273"/>
      <c r="R124" s="274">
        <f t="shared" si="51"/>
        <v>0</v>
      </c>
      <c r="S124" s="273"/>
      <c r="T124" s="274">
        <f t="shared" si="52"/>
        <v>0</v>
      </c>
      <c r="U124" s="273"/>
      <c r="V124" s="274">
        <f t="shared" si="53"/>
        <v>0</v>
      </c>
      <c r="W124" s="273"/>
      <c r="X124" s="274">
        <f t="shared" si="54"/>
        <v>0</v>
      </c>
      <c r="Y124" s="273"/>
      <c r="Z124" s="274">
        <f t="shared" si="55"/>
        <v>0</v>
      </c>
      <c r="AA124" s="251">
        <f t="shared" si="56"/>
        <v>0</v>
      </c>
    </row>
    <row r="125" customHeight="1" spans="1:27">
      <c r="A125" s="270">
        <v>7</v>
      </c>
      <c r="B125" s="324"/>
      <c r="C125" s="274"/>
      <c r="D125" s="274"/>
      <c r="E125" s="272">
        <f t="shared" si="44"/>
        <v>0</v>
      </c>
      <c r="F125" s="272">
        <f t="shared" si="45"/>
        <v>0</v>
      </c>
      <c r="G125" s="273"/>
      <c r="H125" s="274">
        <f t="shared" si="46"/>
        <v>0</v>
      </c>
      <c r="I125" s="273"/>
      <c r="J125" s="274">
        <f t="shared" si="47"/>
        <v>0</v>
      </c>
      <c r="K125" s="275"/>
      <c r="L125" s="274">
        <f t="shared" si="48"/>
        <v>0</v>
      </c>
      <c r="M125" s="273"/>
      <c r="N125" s="274">
        <f t="shared" si="49"/>
        <v>0</v>
      </c>
      <c r="O125" s="273"/>
      <c r="P125" s="274">
        <f t="shared" si="50"/>
        <v>0</v>
      </c>
      <c r="Q125" s="273"/>
      <c r="R125" s="274">
        <f t="shared" si="51"/>
        <v>0</v>
      </c>
      <c r="S125" s="273"/>
      <c r="T125" s="274">
        <f t="shared" si="52"/>
        <v>0</v>
      </c>
      <c r="U125" s="273"/>
      <c r="V125" s="274">
        <f t="shared" si="53"/>
        <v>0</v>
      </c>
      <c r="W125" s="273"/>
      <c r="X125" s="274">
        <f t="shared" si="54"/>
        <v>0</v>
      </c>
      <c r="Y125" s="273"/>
      <c r="Z125" s="274">
        <f t="shared" si="55"/>
        <v>0</v>
      </c>
      <c r="AA125" s="251">
        <f t="shared" si="56"/>
        <v>0</v>
      </c>
    </row>
    <row r="126" customHeight="1" spans="1:27">
      <c r="A126" s="270">
        <v>8</v>
      </c>
      <c r="B126" s="324"/>
      <c r="C126" s="274"/>
      <c r="D126" s="274"/>
      <c r="E126" s="272">
        <f t="shared" si="44"/>
        <v>0</v>
      </c>
      <c r="F126" s="272">
        <f t="shared" si="45"/>
        <v>0</v>
      </c>
      <c r="G126" s="273"/>
      <c r="H126" s="274">
        <f t="shared" si="46"/>
        <v>0</v>
      </c>
      <c r="I126" s="273"/>
      <c r="J126" s="274">
        <f t="shared" si="47"/>
        <v>0</v>
      </c>
      <c r="K126" s="275"/>
      <c r="L126" s="274">
        <f t="shared" si="48"/>
        <v>0</v>
      </c>
      <c r="M126" s="273"/>
      <c r="N126" s="274">
        <f t="shared" si="49"/>
        <v>0</v>
      </c>
      <c r="O126" s="273"/>
      <c r="P126" s="274">
        <f t="shared" si="50"/>
        <v>0</v>
      </c>
      <c r="Q126" s="273"/>
      <c r="R126" s="274">
        <f t="shared" si="51"/>
        <v>0</v>
      </c>
      <c r="S126" s="273"/>
      <c r="T126" s="274">
        <f t="shared" si="52"/>
        <v>0</v>
      </c>
      <c r="U126" s="273"/>
      <c r="V126" s="274">
        <f t="shared" si="53"/>
        <v>0</v>
      </c>
      <c r="W126" s="273"/>
      <c r="X126" s="274">
        <f t="shared" si="54"/>
        <v>0</v>
      </c>
      <c r="Y126" s="273"/>
      <c r="Z126" s="274">
        <f t="shared" si="55"/>
        <v>0</v>
      </c>
      <c r="AA126" s="251">
        <f t="shared" si="56"/>
        <v>0</v>
      </c>
    </row>
    <row r="127" customHeight="1" spans="1:27">
      <c r="A127" s="270">
        <v>9</v>
      </c>
      <c r="B127" s="324"/>
      <c r="C127" s="274"/>
      <c r="D127" s="274"/>
      <c r="E127" s="272">
        <f t="shared" si="44"/>
        <v>0</v>
      </c>
      <c r="F127" s="272">
        <f t="shared" si="45"/>
        <v>0</v>
      </c>
      <c r="G127" s="273"/>
      <c r="H127" s="274">
        <f t="shared" si="46"/>
        <v>0</v>
      </c>
      <c r="I127" s="273"/>
      <c r="J127" s="274">
        <f t="shared" si="47"/>
        <v>0</v>
      </c>
      <c r="K127" s="275"/>
      <c r="L127" s="274">
        <f t="shared" si="48"/>
        <v>0</v>
      </c>
      <c r="M127" s="273"/>
      <c r="N127" s="274">
        <f t="shared" si="49"/>
        <v>0</v>
      </c>
      <c r="O127" s="273"/>
      <c r="P127" s="274">
        <f t="shared" si="50"/>
        <v>0</v>
      </c>
      <c r="Q127" s="273"/>
      <c r="R127" s="274">
        <f t="shared" si="51"/>
        <v>0</v>
      </c>
      <c r="S127" s="273"/>
      <c r="T127" s="274">
        <f t="shared" si="52"/>
        <v>0</v>
      </c>
      <c r="U127" s="273"/>
      <c r="V127" s="274">
        <f t="shared" si="53"/>
        <v>0</v>
      </c>
      <c r="W127" s="273"/>
      <c r="X127" s="274">
        <f t="shared" si="54"/>
        <v>0</v>
      </c>
      <c r="Y127" s="273"/>
      <c r="Z127" s="274">
        <f t="shared" si="55"/>
        <v>0</v>
      </c>
      <c r="AA127" s="251">
        <f t="shared" si="56"/>
        <v>0</v>
      </c>
    </row>
    <row r="128" customHeight="1" spans="1:27">
      <c r="A128" s="270">
        <v>10</v>
      </c>
      <c r="B128" s="270"/>
      <c r="C128" s="274"/>
      <c r="D128" s="274"/>
      <c r="E128" s="272">
        <f t="shared" si="44"/>
        <v>0</v>
      </c>
      <c r="F128" s="272">
        <f t="shared" si="45"/>
        <v>0</v>
      </c>
      <c r="G128" s="273"/>
      <c r="H128" s="274">
        <f t="shared" si="46"/>
        <v>0</v>
      </c>
      <c r="I128" s="273"/>
      <c r="J128" s="274">
        <f t="shared" si="47"/>
        <v>0</v>
      </c>
      <c r="K128" s="275"/>
      <c r="L128" s="274">
        <f t="shared" si="48"/>
        <v>0</v>
      </c>
      <c r="M128" s="273"/>
      <c r="N128" s="274">
        <f t="shared" si="49"/>
        <v>0</v>
      </c>
      <c r="O128" s="273"/>
      <c r="P128" s="274">
        <f t="shared" si="50"/>
        <v>0</v>
      </c>
      <c r="Q128" s="273"/>
      <c r="R128" s="274">
        <f t="shared" si="51"/>
        <v>0</v>
      </c>
      <c r="S128" s="273"/>
      <c r="T128" s="274">
        <f t="shared" si="52"/>
        <v>0</v>
      </c>
      <c r="U128" s="273"/>
      <c r="V128" s="274">
        <f t="shared" si="53"/>
        <v>0</v>
      </c>
      <c r="W128" s="273"/>
      <c r="X128" s="274">
        <f t="shared" si="54"/>
        <v>0</v>
      </c>
      <c r="Y128" s="273"/>
      <c r="Z128" s="274">
        <f t="shared" si="55"/>
        <v>0</v>
      </c>
      <c r="AA128" s="251">
        <f t="shared" si="56"/>
        <v>0</v>
      </c>
    </row>
    <row r="129" customHeight="1" spans="1:27">
      <c r="A129" s="270">
        <v>11</v>
      </c>
      <c r="B129" s="270"/>
      <c r="C129" s="274"/>
      <c r="D129" s="274"/>
      <c r="E129" s="272">
        <f t="shared" si="44"/>
        <v>0</v>
      </c>
      <c r="F129" s="272">
        <f t="shared" si="45"/>
        <v>0</v>
      </c>
      <c r="G129" s="273"/>
      <c r="H129" s="274">
        <f t="shared" si="46"/>
        <v>0</v>
      </c>
      <c r="I129" s="273"/>
      <c r="J129" s="274">
        <f t="shared" si="47"/>
        <v>0</v>
      </c>
      <c r="K129" s="275"/>
      <c r="L129" s="274">
        <f t="shared" si="48"/>
        <v>0</v>
      </c>
      <c r="M129" s="273"/>
      <c r="N129" s="274">
        <f t="shared" si="49"/>
        <v>0</v>
      </c>
      <c r="O129" s="273"/>
      <c r="P129" s="274">
        <f t="shared" si="50"/>
        <v>0</v>
      </c>
      <c r="Q129" s="273"/>
      <c r="R129" s="274">
        <f t="shared" si="51"/>
        <v>0</v>
      </c>
      <c r="S129" s="273"/>
      <c r="T129" s="274">
        <f t="shared" si="52"/>
        <v>0</v>
      </c>
      <c r="U129" s="273"/>
      <c r="V129" s="274">
        <f t="shared" si="53"/>
        <v>0</v>
      </c>
      <c r="W129" s="273"/>
      <c r="X129" s="274">
        <f t="shared" si="54"/>
        <v>0</v>
      </c>
      <c r="Y129" s="273"/>
      <c r="Z129" s="274">
        <f t="shared" si="55"/>
        <v>0</v>
      </c>
      <c r="AA129" s="251">
        <f t="shared" si="56"/>
        <v>0</v>
      </c>
    </row>
    <row r="130" customHeight="1" spans="1:27">
      <c r="A130" s="270">
        <v>12</v>
      </c>
      <c r="B130" s="270"/>
      <c r="C130" s="274"/>
      <c r="D130" s="274"/>
      <c r="E130" s="272">
        <f t="shared" si="44"/>
        <v>0</v>
      </c>
      <c r="F130" s="272">
        <f t="shared" si="45"/>
        <v>0</v>
      </c>
      <c r="G130" s="273"/>
      <c r="H130" s="274">
        <f t="shared" si="46"/>
        <v>0</v>
      </c>
      <c r="I130" s="273"/>
      <c r="J130" s="274">
        <f t="shared" si="47"/>
        <v>0</v>
      </c>
      <c r="K130" s="275"/>
      <c r="L130" s="274">
        <f t="shared" si="48"/>
        <v>0</v>
      </c>
      <c r="M130" s="273"/>
      <c r="N130" s="274">
        <f t="shared" si="49"/>
        <v>0</v>
      </c>
      <c r="O130" s="273"/>
      <c r="P130" s="274">
        <f t="shared" si="50"/>
        <v>0</v>
      </c>
      <c r="Q130" s="273"/>
      <c r="R130" s="274">
        <f t="shared" si="51"/>
        <v>0</v>
      </c>
      <c r="S130" s="273"/>
      <c r="T130" s="274">
        <f t="shared" si="52"/>
        <v>0</v>
      </c>
      <c r="U130" s="273"/>
      <c r="V130" s="274">
        <f t="shared" si="53"/>
        <v>0</v>
      </c>
      <c r="W130" s="273"/>
      <c r="X130" s="274">
        <f t="shared" si="54"/>
        <v>0</v>
      </c>
      <c r="Y130" s="273"/>
      <c r="Z130" s="274">
        <f t="shared" si="55"/>
        <v>0</v>
      </c>
      <c r="AA130" s="251">
        <f t="shared" si="56"/>
        <v>0</v>
      </c>
    </row>
    <row r="131" customHeight="1" spans="1:27">
      <c r="A131" s="270">
        <v>13</v>
      </c>
      <c r="B131" s="270"/>
      <c r="C131" s="274"/>
      <c r="D131" s="274"/>
      <c r="E131" s="272">
        <f t="shared" si="44"/>
        <v>0</v>
      </c>
      <c r="F131" s="272">
        <f t="shared" si="45"/>
        <v>0</v>
      </c>
      <c r="G131" s="273"/>
      <c r="H131" s="274">
        <f t="shared" si="46"/>
        <v>0</v>
      </c>
      <c r="I131" s="273"/>
      <c r="J131" s="274">
        <f t="shared" si="47"/>
        <v>0</v>
      </c>
      <c r="K131" s="275"/>
      <c r="L131" s="274">
        <f t="shared" si="48"/>
        <v>0</v>
      </c>
      <c r="M131" s="273"/>
      <c r="N131" s="274">
        <f t="shared" si="49"/>
        <v>0</v>
      </c>
      <c r="O131" s="273"/>
      <c r="P131" s="274">
        <f t="shared" si="50"/>
        <v>0</v>
      </c>
      <c r="Q131" s="273"/>
      <c r="R131" s="274">
        <f t="shared" si="51"/>
        <v>0</v>
      </c>
      <c r="S131" s="273"/>
      <c r="T131" s="274">
        <f t="shared" si="52"/>
        <v>0</v>
      </c>
      <c r="U131" s="273"/>
      <c r="V131" s="274">
        <f t="shared" si="53"/>
        <v>0</v>
      </c>
      <c r="W131" s="273"/>
      <c r="X131" s="274">
        <f t="shared" si="54"/>
        <v>0</v>
      </c>
      <c r="Y131" s="273"/>
      <c r="Z131" s="274">
        <f t="shared" si="55"/>
        <v>0</v>
      </c>
      <c r="AA131" s="251">
        <f t="shared" si="56"/>
        <v>0</v>
      </c>
    </row>
    <row r="132" customHeight="1" spans="1:27">
      <c r="A132" s="270">
        <v>14</v>
      </c>
      <c r="B132" s="270"/>
      <c r="C132" s="274"/>
      <c r="D132" s="274"/>
      <c r="E132" s="272">
        <f t="shared" si="44"/>
        <v>0</v>
      </c>
      <c r="F132" s="272">
        <f t="shared" si="45"/>
        <v>0</v>
      </c>
      <c r="G132" s="273"/>
      <c r="H132" s="274">
        <f t="shared" si="46"/>
        <v>0</v>
      </c>
      <c r="I132" s="273"/>
      <c r="J132" s="274">
        <f t="shared" si="47"/>
        <v>0</v>
      </c>
      <c r="K132" s="275"/>
      <c r="L132" s="274">
        <f t="shared" si="48"/>
        <v>0</v>
      </c>
      <c r="M132" s="273"/>
      <c r="N132" s="274">
        <f t="shared" si="49"/>
        <v>0</v>
      </c>
      <c r="O132" s="273"/>
      <c r="P132" s="274">
        <f t="shared" si="50"/>
        <v>0</v>
      </c>
      <c r="Q132" s="273"/>
      <c r="R132" s="274">
        <f t="shared" si="51"/>
        <v>0</v>
      </c>
      <c r="S132" s="273"/>
      <c r="T132" s="274">
        <f t="shared" si="52"/>
        <v>0</v>
      </c>
      <c r="U132" s="273"/>
      <c r="V132" s="274">
        <f t="shared" si="53"/>
        <v>0</v>
      </c>
      <c r="W132" s="273"/>
      <c r="X132" s="274">
        <f t="shared" si="54"/>
        <v>0</v>
      </c>
      <c r="Y132" s="273"/>
      <c r="Z132" s="274">
        <f t="shared" si="55"/>
        <v>0</v>
      </c>
      <c r="AA132" s="251">
        <f t="shared" si="56"/>
        <v>0</v>
      </c>
    </row>
    <row r="133" customHeight="1" spans="1:27">
      <c r="A133" s="270">
        <v>15</v>
      </c>
      <c r="B133" s="270"/>
      <c r="C133" s="274"/>
      <c r="D133" s="274"/>
      <c r="E133" s="272">
        <f t="shared" si="44"/>
        <v>0</v>
      </c>
      <c r="F133" s="272">
        <f t="shared" si="45"/>
        <v>0</v>
      </c>
      <c r="G133" s="273"/>
      <c r="H133" s="274">
        <f t="shared" si="46"/>
        <v>0</v>
      </c>
      <c r="I133" s="273"/>
      <c r="J133" s="274">
        <f t="shared" si="47"/>
        <v>0</v>
      </c>
      <c r="K133" s="275"/>
      <c r="L133" s="274">
        <f t="shared" si="48"/>
        <v>0</v>
      </c>
      <c r="M133" s="273"/>
      <c r="N133" s="274">
        <f t="shared" si="49"/>
        <v>0</v>
      </c>
      <c r="O133" s="273"/>
      <c r="P133" s="274">
        <f t="shared" si="50"/>
        <v>0</v>
      </c>
      <c r="Q133" s="273"/>
      <c r="R133" s="274">
        <f t="shared" si="51"/>
        <v>0</v>
      </c>
      <c r="S133" s="273"/>
      <c r="T133" s="274">
        <f t="shared" si="52"/>
        <v>0</v>
      </c>
      <c r="U133" s="273"/>
      <c r="V133" s="274">
        <f t="shared" si="53"/>
        <v>0</v>
      </c>
      <c r="W133" s="273"/>
      <c r="X133" s="274">
        <f t="shared" si="54"/>
        <v>0</v>
      </c>
      <c r="Y133" s="273"/>
      <c r="Z133" s="274">
        <f t="shared" si="55"/>
        <v>0</v>
      </c>
      <c r="AA133" s="251">
        <f t="shared" si="56"/>
        <v>0</v>
      </c>
    </row>
    <row r="134" customHeight="1" spans="1:27">
      <c r="A134" s="270">
        <v>16</v>
      </c>
      <c r="B134" s="270"/>
      <c r="C134" s="274"/>
      <c r="D134" s="274"/>
      <c r="E134" s="272">
        <f t="shared" si="44"/>
        <v>0</v>
      </c>
      <c r="F134" s="272">
        <f t="shared" si="45"/>
        <v>0</v>
      </c>
      <c r="G134" s="273"/>
      <c r="H134" s="274">
        <f t="shared" si="46"/>
        <v>0</v>
      </c>
      <c r="I134" s="273"/>
      <c r="J134" s="274">
        <f t="shared" si="47"/>
        <v>0</v>
      </c>
      <c r="K134" s="275"/>
      <c r="L134" s="274">
        <f t="shared" si="48"/>
        <v>0</v>
      </c>
      <c r="M134" s="273"/>
      <c r="N134" s="274">
        <f t="shared" si="49"/>
        <v>0</v>
      </c>
      <c r="O134" s="273"/>
      <c r="P134" s="274">
        <f t="shared" si="50"/>
        <v>0</v>
      </c>
      <c r="Q134" s="273"/>
      <c r="R134" s="274">
        <f t="shared" si="51"/>
        <v>0</v>
      </c>
      <c r="S134" s="273"/>
      <c r="T134" s="274">
        <f t="shared" si="52"/>
        <v>0</v>
      </c>
      <c r="U134" s="273"/>
      <c r="V134" s="274">
        <f t="shared" si="53"/>
        <v>0</v>
      </c>
      <c r="W134" s="273"/>
      <c r="X134" s="274">
        <f t="shared" si="54"/>
        <v>0</v>
      </c>
      <c r="Y134" s="273"/>
      <c r="Z134" s="274">
        <f t="shared" si="55"/>
        <v>0</v>
      </c>
      <c r="AA134" s="251">
        <f t="shared" si="56"/>
        <v>0</v>
      </c>
    </row>
    <row r="135" customHeight="1" spans="1:27">
      <c r="A135" s="270">
        <v>17</v>
      </c>
      <c r="B135" s="270"/>
      <c r="C135" s="274"/>
      <c r="D135" s="274"/>
      <c r="E135" s="272">
        <f t="shared" si="44"/>
        <v>0</v>
      </c>
      <c r="F135" s="272">
        <f t="shared" si="45"/>
        <v>0</v>
      </c>
      <c r="G135" s="273"/>
      <c r="H135" s="274">
        <f t="shared" si="46"/>
        <v>0</v>
      </c>
      <c r="I135" s="273"/>
      <c r="J135" s="274">
        <f t="shared" si="47"/>
        <v>0</v>
      </c>
      <c r="K135" s="275"/>
      <c r="L135" s="274">
        <f t="shared" si="48"/>
        <v>0</v>
      </c>
      <c r="M135" s="273"/>
      <c r="N135" s="274">
        <f t="shared" si="49"/>
        <v>0</v>
      </c>
      <c r="O135" s="273"/>
      <c r="P135" s="274">
        <f t="shared" si="50"/>
        <v>0</v>
      </c>
      <c r="Q135" s="273"/>
      <c r="R135" s="274">
        <f t="shared" si="51"/>
        <v>0</v>
      </c>
      <c r="S135" s="273"/>
      <c r="T135" s="274">
        <f t="shared" si="52"/>
        <v>0</v>
      </c>
      <c r="U135" s="273"/>
      <c r="V135" s="274">
        <f t="shared" si="53"/>
        <v>0</v>
      </c>
      <c r="W135" s="273"/>
      <c r="X135" s="274">
        <f t="shared" si="54"/>
        <v>0</v>
      </c>
      <c r="Y135" s="273"/>
      <c r="Z135" s="274">
        <f t="shared" si="55"/>
        <v>0</v>
      </c>
      <c r="AA135" s="251">
        <f t="shared" si="56"/>
        <v>0</v>
      </c>
    </row>
    <row r="136" customHeight="1" spans="1:27">
      <c r="A136" s="270">
        <v>18</v>
      </c>
      <c r="B136" s="270"/>
      <c r="C136" s="274"/>
      <c r="D136" s="274"/>
      <c r="E136" s="272">
        <f t="shared" si="44"/>
        <v>0</v>
      </c>
      <c r="F136" s="272">
        <f t="shared" si="45"/>
        <v>0</v>
      </c>
      <c r="G136" s="273"/>
      <c r="H136" s="274">
        <f t="shared" si="46"/>
        <v>0</v>
      </c>
      <c r="I136" s="273"/>
      <c r="J136" s="274">
        <f t="shared" si="47"/>
        <v>0</v>
      </c>
      <c r="K136" s="275"/>
      <c r="L136" s="274">
        <f t="shared" si="48"/>
        <v>0</v>
      </c>
      <c r="M136" s="273"/>
      <c r="N136" s="274">
        <f t="shared" si="49"/>
        <v>0</v>
      </c>
      <c r="O136" s="273"/>
      <c r="P136" s="274">
        <f t="shared" si="50"/>
        <v>0</v>
      </c>
      <c r="Q136" s="273"/>
      <c r="R136" s="274">
        <f t="shared" si="51"/>
        <v>0</v>
      </c>
      <c r="S136" s="273"/>
      <c r="T136" s="274">
        <f t="shared" si="52"/>
        <v>0</v>
      </c>
      <c r="U136" s="273"/>
      <c r="V136" s="274">
        <f t="shared" si="53"/>
        <v>0</v>
      </c>
      <c r="W136" s="273"/>
      <c r="X136" s="274">
        <f t="shared" si="54"/>
        <v>0</v>
      </c>
      <c r="Y136" s="273"/>
      <c r="Z136" s="274">
        <f t="shared" si="55"/>
        <v>0</v>
      </c>
      <c r="AA136" s="251">
        <f t="shared" si="56"/>
        <v>0</v>
      </c>
    </row>
    <row r="137" customHeight="1" spans="1:27">
      <c r="A137" s="270">
        <v>19</v>
      </c>
      <c r="B137" s="270"/>
      <c r="C137" s="274"/>
      <c r="D137" s="274"/>
      <c r="E137" s="272">
        <f t="shared" si="44"/>
        <v>0</v>
      </c>
      <c r="F137" s="272">
        <f t="shared" si="45"/>
        <v>0</v>
      </c>
      <c r="G137" s="273"/>
      <c r="H137" s="274">
        <f t="shared" si="46"/>
        <v>0</v>
      </c>
      <c r="I137" s="273"/>
      <c r="J137" s="274">
        <f t="shared" si="47"/>
        <v>0</v>
      </c>
      <c r="K137" s="275"/>
      <c r="L137" s="274">
        <f t="shared" si="48"/>
        <v>0</v>
      </c>
      <c r="M137" s="273"/>
      <c r="N137" s="274">
        <f t="shared" si="49"/>
        <v>0</v>
      </c>
      <c r="O137" s="273"/>
      <c r="P137" s="274">
        <f t="shared" si="50"/>
        <v>0</v>
      </c>
      <c r="Q137" s="273"/>
      <c r="R137" s="274">
        <f t="shared" si="51"/>
        <v>0</v>
      </c>
      <c r="S137" s="273"/>
      <c r="T137" s="274">
        <f t="shared" si="52"/>
        <v>0</v>
      </c>
      <c r="U137" s="273"/>
      <c r="V137" s="274">
        <f t="shared" si="53"/>
        <v>0</v>
      </c>
      <c r="W137" s="273"/>
      <c r="X137" s="274">
        <f t="shared" si="54"/>
        <v>0</v>
      </c>
      <c r="Y137" s="273"/>
      <c r="Z137" s="274">
        <f t="shared" si="55"/>
        <v>0</v>
      </c>
      <c r="AA137" s="251">
        <f t="shared" si="56"/>
        <v>0</v>
      </c>
    </row>
    <row r="138" customHeight="1" spans="1:27">
      <c r="A138" s="270">
        <v>20</v>
      </c>
      <c r="B138" s="270"/>
      <c r="C138" s="274"/>
      <c r="D138" s="274"/>
      <c r="E138" s="272">
        <f t="shared" si="44"/>
        <v>0</v>
      </c>
      <c r="F138" s="272">
        <f t="shared" si="45"/>
        <v>0</v>
      </c>
      <c r="G138" s="273"/>
      <c r="H138" s="274">
        <f t="shared" si="46"/>
        <v>0</v>
      </c>
      <c r="I138" s="273"/>
      <c r="J138" s="274">
        <f t="shared" si="47"/>
        <v>0</v>
      </c>
      <c r="K138" s="275"/>
      <c r="L138" s="274">
        <f t="shared" si="48"/>
        <v>0</v>
      </c>
      <c r="M138" s="273"/>
      <c r="N138" s="274">
        <f t="shared" si="49"/>
        <v>0</v>
      </c>
      <c r="O138" s="273"/>
      <c r="P138" s="274">
        <f t="shared" si="50"/>
        <v>0</v>
      </c>
      <c r="Q138" s="273"/>
      <c r="R138" s="274">
        <f t="shared" si="51"/>
        <v>0</v>
      </c>
      <c r="S138" s="273"/>
      <c r="T138" s="274">
        <f t="shared" si="52"/>
        <v>0</v>
      </c>
      <c r="U138" s="273"/>
      <c r="V138" s="274">
        <f t="shared" si="53"/>
        <v>0</v>
      </c>
      <c r="W138" s="273"/>
      <c r="X138" s="274">
        <f t="shared" si="54"/>
        <v>0</v>
      </c>
      <c r="Y138" s="273"/>
      <c r="Z138" s="274">
        <f t="shared" si="55"/>
        <v>0</v>
      </c>
      <c r="AA138" s="251">
        <f t="shared" si="56"/>
        <v>0</v>
      </c>
    </row>
    <row r="139" customHeight="1" spans="1:27">
      <c r="A139" s="270">
        <v>21</v>
      </c>
      <c r="B139" s="270"/>
      <c r="C139" s="274"/>
      <c r="D139" s="274"/>
      <c r="E139" s="272">
        <f t="shared" si="44"/>
        <v>0</v>
      </c>
      <c r="F139" s="272">
        <f t="shared" si="45"/>
        <v>0</v>
      </c>
      <c r="G139" s="273"/>
      <c r="H139" s="274">
        <f t="shared" si="46"/>
        <v>0</v>
      </c>
      <c r="I139" s="273"/>
      <c r="J139" s="274">
        <f t="shared" si="47"/>
        <v>0</v>
      </c>
      <c r="K139" s="275"/>
      <c r="L139" s="274">
        <f t="shared" si="48"/>
        <v>0</v>
      </c>
      <c r="M139" s="273"/>
      <c r="N139" s="274">
        <f t="shared" si="49"/>
        <v>0</v>
      </c>
      <c r="O139" s="273"/>
      <c r="P139" s="274">
        <f t="shared" si="50"/>
        <v>0</v>
      </c>
      <c r="Q139" s="273"/>
      <c r="R139" s="274">
        <f t="shared" si="51"/>
        <v>0</v>
      </c>
      <c r="S139" s="273"/>
      <c r="T139" s="274">
        <f t="shared" si="52"/>
        <v>0</v>
      </c>
      <c r="U139" s="273"/>
      <c r="V139" s="274">
        <f t="shared" si="53"/>
        <v>0</v>
      </c>
      <c r="W139" s="273"/>
      <c r="X139" s="274">
        <f t="shared" si="54"/>
        <v>0</v>
      </c>
      <c r="Y139" s="273"/>
      <c r="Z139" s="274">
        <f t="shared" si="55"/>
        <v>0</v>
      </c>
      <c r="AA139" s="251">
        <f t="shared" si="56"/>
        <v>0</v>
      </c>
    </row>
    <row r="140" customHeight="1" spans="1:27">
      <c r="A140" s="270">
        <v>22</v>
      </c>
      <c r="B140" s="270"/>
      <c r="C140" s="274"/>
      <c r="D140" s="274"/>
      <c r="E140" s="272">
        <f t="shared" si="44"/>
        <v>0</v>
      </c>
      <c r="F140" s="272">
        <f t="shared" si="45"/>
        <v>0</v>
      </c>
      <c r="G140" s="273"/>
      <c r="H140" s="274">
        <f t="shared" si="46"/>
        <v>0</v>
      </c>
      <c r="I140" s="273"/>
      <c r="J140" s="274">
        <f t="shared" si="47"/>
        <v>0</v>
      </c>
      <c r="K140" s="275"/>
      <c r="L140" s="274">
        <f t="shared" si="48"/>
        <v>0</v>
      </c>
      <c r="M140" s="273"/>
      <c r="N140" s="274">
        <f t="shared" si="49"/>
        <v>0</v>
      </c>
      <c r="O140" s="273"/>
      <c r="P140" s="274">
        <f t="shared" si="50"/>
        <v>0</v>
      </c>
      <c r="Q140" s="273"/>
      <c r="R140" s="274">
        <f t="shared" si="51"/>
        <v>0</v>
      </c>
      <c r="S140" s="273"/>
      <c r="T140" s="274">
        <f t="shared" si="52"/>
        <v>0</v>
      </c>
      <c r="U140" s="273"/>
      <c r="V140" s="274">
        <f t="shared" si="53"/>
        <v>0</v>
      </c>
      <c r="W140" s="273"/>
      <c r="X140" s="274">
        <f t="shared" si="54"/>
        <v>0</v>
      </c>
      <c r="Y140" s="273"/>
      <c r="Z140" s="274">
        <f t="shared" si="55"/>
        <v>0</v>
      </c>
      <c r="AA140" s="251">
        <f t="shared" si="56"/>
        <v>0</v>
      </c>
    </row>
    <row r="141" customHeight="1" spans="1:27">
      <c r="A141" s="270">
        <v>23</v>
      </c>
      <c r="B141" s="270"/>
      <c r="C141" s="274"/>
      <c r="D141" s="274"/>
      <c r="E141" s="272">
        <f t="shared" si="44"/>
        <v>0</v>
      </c>
      <c r="F141" s="272">
        <f t="shared" si="45"/>
        <v>0</v>
      </c>
      <c r="G141" s="273"/>
      <c r="H141" s="274">
        <f t="shared" si="46"/>
        <v>0</v>
      </c>
      <c r="I141" s="273"/>
      <c r="J141" s="274">
        <f t="shared" si="47"/>
        <v>0</v>
      </c>
      <c r="K141" s="275"/>
      <c r="L141" s="274">
        <f t="shared" si="48"/>
        <v>0</v>
      </c>
      <c r="M141" s="273"/>
      <c r="N141" s="274">
        <f t="shared" si="49"/>
        <v>0</v>
      </c>
      <c r="O141" s="273"/>
      <c r="P141" s="274">
        <f t="shared" si="50"/>
        <v>0</v>
      </c>
      <c r="Q141" s="273"/>
      <c r="R141" s="274">
        <f t="shared" si="51"/>
        <v>0</v>
      </c>
      <c r="S141" s="273"/>
      <c r="T141" s="274">
        <f t="shared" si="52"/>
        <v>0</v>
      </c>
      <c r="U141" s="273"/>
      <c r="V141" s="274">
        <f t="shared" si="53"/>
        <v>0</v>
      </c>
      <c r="W141" s="273"/>
      <c r="X141" s="274">
        <f t="shared" si="54"/>
        <v>0</v>
      </c>
      <c r="Y141" s="273"/>
      <c r="Z141" s="274">
        <f t="shared" si="55"/>
        <v>0</v>
      </c>
      <c r="AA141" s="251">
        <f t="shared" si="56"/>
        <v>0</v>
      </c>
    </row>
    <row r="142" customHeight="1" spans="1:27">
      <c r="A142" s="270">
        <v>25</v>
      </c>
      <c r="B142" s="270"/>
      <c r="C142" s="274"/>
      <c r="D142" s="274"/>
      <c r="E142" s="272">
        <f t="shared" si="44"/>
        <v>0</v>
      </c>
      <c r="F142" s="272">
        <f t="shared" si="45"/>
        <v>0</v>
      </c>
      <c r="G142" s="273"/>
      <c r="H142" s="274">
        <f t="shared" si="46"/>
        <v>0</v>
      </c>
      <c r="I142" s="273"/>
      <c r="J142" s="274">
        <f t="shared" si="47"/>
        <v>0</v>
      </c>
      <c r="K142" s="275"/>
      <c r="L142" s="274">
        <f t="shared" si="48"/>
        <v>0</v>
      </c>
      <c r="M142" s="273"/>
      <c r="N142" s="274">
        <f t="shared" si="49"/>
        <v>0</v>
      </c>
      <c r="O142" s="273"/>
      <c r="P142" s="274">
        <f t="shared" si="50"/>
        <v>0</v>
      </c>
      <c r="Q142" s="273"/>
      <c r="R142" s="274">
        <f t="shared" si="51"/>
        <v>0</v>
      </c>
      <c r="S142" s="273"/>
      <c r="T142" s="274">
        <f t="shared" si="52"/>
        <v>0</v>
      </c>
      <c r="U142" s="273"/>
      <c r="V142" s="274">
        <f t="shared" si="53"/>
        <v>0</v>
      </c>
      <c r="W142" s="273"/>
      <c r="X142" s="274">
        <f t="shared" si="54"/>
        <v>0</v>
      </c>
      <c r="Y142" s="273"/>
      <c r="Z142" s="274">
        <f t="shared" si="55"/>
        <v>0</v>
      </c>
      <c r="AA142" s="251">
        <f t="shared" si="56"/>
        <v>0</v>
      </c>
    </row>
    <row r="143" customHeight="1" spans="1:27">
      <c r="A143" s="270">
        <v>25</v>
      </c>
      <c r="B143" s="270"/>
      <c r="C143" s="274"/>
      <c r="D143" s="274"/>
      <c r="E143" s="272">
        <f t="shared" si="44"/>
        <v>0</v>
      </c>
      <c r="F143" s="272">
        <f t="shared" si="45"/>
        <v>0</v>
      </c>
      <c r="G143" s="273"/>
      <c r="H143" s="274">
        <f t="shared" si="46"/>
        <v>0</v>
      </c>
      <c r="I143" s="273"/>
      <c r="J143" s="274">
        <f t="shared" si="47"/>
        <v>0</v>
      </c>
      <c r="K143" s="275"/>
      <c r="L143" s="274">
        <f t="shared" si="48"/>
        <v>0</v>
      </c>
      <c r="M143" s="273"/>
      <c r="N143" s="274">
        <f t="shared" si="49"/>
        <v>0</v>
      </c>
      <c r="O143" s="273"/>
      <c r="P143" s="274">
        <f t="shared" si="50"/>
        <v>0</v>
      </c>
      <c r="Q143" s="273"/>
      <c r="R143" s="274">
        <f t="shared" si="51"/>
        <v>0</v>
      </c>
      <c r="S143" s="273"/>
      <c r="T143" s="274">
        <f t="shared" si="52"/>
        <v>0</v>
      </c>
      <c r="U143" s="273"/>
      <c r="V143" s="274">
        <f t="shared" si="53"/>
        <v>0</v>
      </c>
      <c r="W143" s="273"/>
      <c r="X143" s="274">
        <f t="shared" si="54"/>
        <v>0</v>
      </c>
      <c r="Y143" s="273"/>
      <c r="Z143" s="274">
        <f t="shared" si="55"/>
        <v>0</v>
      </c>
      <c r="AA143" s="251">
        <f t="shared" si="56"/>
        <v>0</v>
      </c>
    </row>
    <row r="144" customHeight="1" spans="1:27">
      <c r="A144" s="270">
        <v>26</v>
      </c>
      <c r="B144" s="270"/>
      <c r="C144" s="274"/>
      <c r="D144" s="274"/>
      <c r="E144" s="272">
        <f t="shared" si="44"/>
        <v>0</v>
      </c>
      <c r="F144" s="272">
        <f t="shared" si="45"/>
        <v>0</v>
      </c>
      <c r="G144" s="273"/>
      <c r="H144" s="274">
        <f t="shared" si="46"/>
        <v>0</v>
      </c>
      <c r="I144" s="273"/>
      <c r="J144" s="274">
        <f t="shared" si="47"/>
        <v>0</v>
      </c>
      <c r="K144" s="275"/>
      <c r="L144" s="274">
        <f t="shared" si="48"/>
        <v>0</v>
      </c>
      <c r="M144" s="273"/>
      <c r="N144" s="274">
        <f t="shared" si="49"/>
        <v>0</v>
      </c>
      <c r="O144" s="273"/>
      <c r="P144" s="274">
        <f t="shared" si="50"/>
        <v>0</v>
      </c>
      <c r="Q144" s="273"/>
      <c r="R144" s="274">
        <f t="shared" si="51"/>
        <v>0</v>
      </c>
      <c r="S144" s="273"/>
      <c r="T144" s="274">
        <f t="shared" si="52"/>
        <v>0</v>
      </c>
      <c r="U144" s="273"/>
      <c r="V144" s="274">
        <f t="shared" si="53"/>
        <v>0</v>
      </c>
      <c r="W144" s="273"/>
      <c r="X144" s="274">
        <f t="shared" si="54"/>
        <v>0</v>
      </c>
      <c r="Y144" s="273"/>
      <c r="Z144" s="274">
        <f t="shared" si="55"/>
        <v>0</v>
      </c>
      <c r="AA144" s="251">
        <f t="shared" si="56"/>
        <v>0</v>
      </c>
    </row>
    <row r="145" customHeight="1" spans="1:27">
      <c r="A145" s="270">
        <v>27</v>
      </c>
      <c r="B145" s="270"/>
      <c r="C145" s="274"/>
      <c r="D145" s="274"/>
      <c r="E145" s="272">
        <f t="shared" si="44"/>
        <v>0</v>
      </c>
      <c r="F145" s="272">
        <f t="shared" si="45"/>
        <v>0</v>
      </c>
      <c r="G145" s="273"/>
      <c r="H145" s="274">
        <f t="shared" si="46"/>
        <v>0</v>
      </c>
      <c r="I145" s="273"/>
      <c r="J145" s="274">
        <f t="shared" si="47"/>
        <v>0</v>
      </c>
      <c r="K145" s="275"/>
      <c r="L145" s="274">
        <f t="shared" si="48"/>
        <v>0</v>
      </c>
      <c r="M145" s="273"/>
      <c r="N145" s="274">
        <f t="shared" si="49"/>
        <v>0</v>
      </c>
      <c r="O145" s="273"/>
      <c r="P145" s="274">
        <f t="shared" si="50"/>
        <v>0</v>
      </c>
      <c r="Q145" s="273"/>
      <c r="R145" s="274">
        <f t="shared" si="51"/>
        <v>0</v>
      </c>
      <c r="S145" s="273"/>
      <c r="T145" s="274">
        <f t="shared" si="52"/>
        <v>0</v>
      </c>
      <c r="U145" s="273"/>
      <c r="V145" s="274">
        <f t="shared" si="53"/>
        <v>0</v>
      </c>
      <c r="W145" s="273"/>
      <c r="X145" s="274">
        <f t="shared" si="54"/>
        <v>0</v>
      </c>
      <c r="Y145" s="273"/>
      <c r="Z145" s="274">
        <f t="shared" si="55"/>
        <v>0</v>
      </c>
      <c r="AA145" s="251">
        <f t="shared" si="56"/>
        <v>0</v>
      </c>
    </row>
    <row r="146" customHeight="1" spans="1:27">
      <c r="A146" s="270">
        <v>28</v>
      </c>
      <c r="B146" s="270"/>
      <c r="C146" s="274"/>
      <c r="D146" s="274"/>
      <c r="E146" s="272">
        <f t="shared" si="44"/>
        <v>0</v>
      </c>
      <c r="F146" s="272">
        <f t="shared" si="45"/>
        <v>0</v>
      </c>
      <c r="G146" s="273"/>
      <c r="H146" s="274">
        <f t="shared" si="46"/>
        <v>0</v>
      </c>
      <c r="I146" s="273"/>
      <c r="J146" s="274">
        <f t="shared" si="47"/>
        <v>0</v>
      </c>
      <c r="K146" s="275"/>
      <c r="L146" s="274">
        <f t="shared" si="48"/>
        <v>0</v>
      </c>
      <c r="M146" s="273"/>
      <c r="N146" s="274">
        <f t="shared" si="49"/>
        <v>0</v>
      </c>
      <c r="O146" s="273"/>
      <c r="P146" s="274">
        <f t="shared" si="50"/>
        <v>0</v>
      </c>
      <c r="Q146" s="273"/>
      <c r="R146" s="274">
        <f t="shared" si="51"/>
        <v>0</v>
      </c>
      <c r="S146" s="273"/>
      <c r="T146" s="274">
        <f t="shared" si="52"/>
        <v>0</v>
      </c>
      <c r="U146" s="273"/>
      <c r="V146" s="274">
        <f t="shared" si="53"/>
        <v>0</v>
      </c>
      <c r="W146" s="273"/>
      <c r="X146" s="274">
        <f t="shared" si="54"/>
        <v>0</v>
      </c>
      <c r="Y146" s="273"/>
      <c r="Z146" s="274">
        <f t="shared" si="55"/>
        <v>0</v>
      </c>
      <c r="AA146" s="251">
        <f t="shared" si="56"/>
        <v>0</v>
      </c>
    </row>
    <row r="147" customHeight="1" spans="1:27">
      <c r="A147" s="270">
        <v>29</v>
      </c>
      <c r="B147" s="270"/>
      <c r="C147" s="274"/>
      <c r="D147" s="274"/>
      <c r="E147" s="272">
        <f t="shared" si="44"/>
        <v>0</v>
      </c>
      <c r="F147" s="272">
        <f t="shared" si="45"/>
        <v>0</v>
      </c>
      <c r="G147" s="273"/>
      <c r="H147" s="274">
        <f t="shared" si="46"/>
        <v>0</v>
      </c>
      <c r="I147" s="273"/>
      <c r="J147" s="274">
        <f t="shared" si="47"/>
        <v>0</v>
      </c>
      <c r="K147" s="275"/>
      <c r="L147" s="274">
        <f t="shared" si="48"/>
        <v>0</v>
      </c>
      <c r="M147" s="273"/>
      <c r="N147" s="274">
        <f t="shared" si="49"/>
        <v>0</v>
      </c>
      <c r="O147" s="273"/>
      <c r="P147" s="274">
        <f t="shared" si="50"/>
        <v>0</v>
      </c>
      <c r="Q147" s="273"/>
      <c r="R147" s="274">
        <f t="shared" si="51"/>
        <v>0</v>
      </c>
      <c r="S147" s="273"/>
      <c r="T147" s="274">
        <f t="shared" si="52"/>
        <v>0</v>
      </c>
      <c r="U147" s="273"/>
      <c r="V147" s="274">
        <f t="shared" si="53"/>
        <v>0</v>
      </c>
      <c r="W147" s="273"/>
      <c r="X147" s="274">
        <f t="shared" si="54"/>
        <v>0</v>
      </c>
      <c r="Y147" s="273"/>
      <c r="Z147" s="274">
        <f t="shared" si="55"/>
        <v>0</v>
      </c>
      <c r="AA147" s="251">
        <f t="shared" si="56"/>
        <v>0</v>
      </c>
    </row>
    <row r="148" customHeight="1" spans="1:27">
      <c r="A148" s="270">
        <v>30</v>
      </c>
      <c r="B148" s="270"/>
      <c r="C148" s="274"/>
      <c r="D148" s="274"/>
      <c r="E148" s="272">
        <f t="shared" si="44"/>
        <v>0</v>
      </c>
      <c r="F148" s="272">
        <f t="shared" si="45"/>
        <v>0</v>
      </c>
      <c r="G148" s="273"/>
      <c r="H148" s="274">
        <f t="shared" si="46"/>
        <v>0</v>
      </c>
      <c r="I148" s="273"/>
      <c r="J148" s="274">
        <f t="shared" si="47"/>
        <v>0</v>
      </c>
      <c r="K148" s="275"/>
      <c r="L148" s="274">
        <f t="shared" si="48"/>
        <v>0</v>
      </c>
      <c r="M148" s="273"/>
      <c r="N148" s="274">
        <f t="shared" si="49"/>
        <v>0</v>
      </c>
      <c r="O148" s="273"/>
      <c r="P148" s="274">
        <f t="shared" si="50"/>
        <v>0</v>
      </c>
      <c r="Q148" s="273"/>
      <c r="R148" s="274">
        <f t="shared" si="51"/>
        <v>0</v>
      </c>
      <c r="S148" s="273"/>
      <c r="T148" s="274">
        <f t="shared" si="52"/>
        <v>0</v>
      </c>
      <c r="U148" s="273"/>
      <c r="V148" s="274">
        <f t="shared" si="53"/>
        <v>0</v>
      </c>
      <c r="W148" s="273"/>
      <c r="X148" s="274">
        <f t="shared" si="54"/>
        <v>0</v>
      </c>
      <c r="Y148" s="273"/>
      <c r="Z148" s="274">
        <f t="shared" si="55"/>
        <v>0</v>
      </c>
      <c r="AA148" s="251">
        <f t="shared" si="56"/>
        <v>0</v>
      </c>
    </row>
    <row r="149" customHeight="1" spans="1:27">
      <c r="A149" s="276" t="s">
        <v>22</v>
      </c>
      <c r="B149" s="277"/>
      <c r="C149" s="261">
        <f t="shared" ref="C149:Z149" si="57">SUM(C119:C148)</f>
        <v>0</v>
      </c>
      <c r="D149" s="261">
        <f t="shared" si="57"/>
        <v>0</v>
      </c>
      <c r="E149" s="261">
        <f t="shared" si="57"/>
        <v>0</v>
      </c>
      <c r="F149" s="272">
        <f t="shared" si="57"/>
        <v>0</v>
      </c>
      <c r="G149" s="261">
        <f t="shared" si="57"/>
        <v>0</v>
      </c>
      <c r="H149" s="273">
        <f t="shared" si="57"/>
        <v>0</v>
      </c>
      <c r="I149" s="273">
        <f t="shared" si="57"/>
        <v>0</v>
      </c>
      <c r="J149" s="273">
        <f t="shared" si="57"/>
        <v>0</v>
      </c>
      <c r="K149" s="273">
        <f t="shared" si="57"/>
        <v>0</v>
      </c>
      <c r="L149" s="273">
        <f t="shared" si="57"/>
        <v>0</v>
      </c>
      <c r="M149" s="273">
        <f t="shared" si="57"/>
        <v>0</v>
      </c>
      <c r="N149" s="273">
        <f t="shared" si="57"/>
        <v>0</v>
      </c>
      <c r="O149" s="273">
        <f t="shared" si="57"/>
        <v>0</v>
      </c>
      <c r="P149" s="273">
        <f t="shared" si="57"/>
        <v>0</v>
      </c>
      <c r="Q149" s="273">
        <f t="shared" si="57"/>
        <v>0</v>
      </c>
      <c r="R149" s="273">
        <f t="shared" si="57"/>
        <v>0</v>
      </c>
      <c r="S149" s="273">
        <f t="shared" si="57"/>
        <v>0</v>
      </c>
      <c r="T149" s="273">
        <f t="shared" si="57"/>
        <v>0</v>
      </c>
      <c r="U149" s="273">
        <f t="shared" si="57"/>
        <v>0</v>
      </c>
      <c r="V149" s="273">
        <f t="shared" si="57"/>
        <v>0</v>
      </c>
      <c r="W149" s="273">
        <f t="shared" si="57"/>
        <v>0</v>
      </c>
      <c r="X149" s="273">
        <f t="shared" si="57"/>
        <v>0</v>
      </c>
      <c r="Y149" s="273">
        <f t="shared" si="57"/>
        <v>0</v>
      </c>
      <c r="Z149" s="273">
        <f t="shared" si="57"/>
        <v>0</v>
      </c>
    </row>
    <row r="152" customHeight="1" spans="1:27">
      <c r="B152" s="257" t="s">
        <v>58</v>
      </c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</row>
    <row r="154" customHeight="1" spans="1:27">
      <c r="A154" s="259" t="s">
        <v>31</v>
      </c>
      <c r="B154" s="260" t="s">
        <v>32</v>
      </c>
      <c r="C154" s="261" t="s">
        <v>33</v>
      </c>
      <c r="D154" s="261" t="s">
        <v>34</v>
      </c>
      <c r="E154" s="262" t="s">
        <v>35</v>
      </c>
      <c r="F154" s="262" t="s">
        <v>36</v>
      </c>
      <c r="G154" s="263" t="str">
        <f>立项!$A$3</f>
        <v>RD01</v>
      </c>
      <c r="H154" s="264"/>
      <c r="I154" s="264" t="str">
        <f>立项!$A$4</f>
        <v>RD02</v>
      </c>
      <c r="J154" s="264"/>
      <c r="K154" s="264" t="str">
        <f>立项!$A$5</f>
        <v>RD03</v>
      </c>
      <c r="L154" s="264"/>
      <c r="M154" s="264" t="str">
        <f>立项!$A$6</f>
        <v>RD04</v>
      </c>
      <c r="N154" s="264"/>
      <c r="O154" s="264" t="str">
        <f>立项!$A$7</f>
        <v>RD05</v>
      </c>
      <c r="P154" s="264"/>
      <c r="Q154" s="264" t="str">
        <f>立项!$A$8</f>
        <v>RD06</v>
      </c>
      <c r="R154" s="264"/>
      <c r="S154" s="264" t="str">
        <f>立项!$A$9</f>
        <v>RD07</v>
      </c>
      <c r="T154" s="264"/>
      <c r="U154" s="264" t="str">
        <f>立项!$A$10</f>
        <v>RD08</v>
      </c>
      <c r="V154" s="264"/>
      <c r="W154" s="264" t="str">
        <f>立项!$A$11</f>
        <v>RD09</v>
      </c>
      <c r="X154" s="264"/>
      <c r="Y154" s="264" t="str">
        <f>立项!$A$12</f>
        <v>RD10</v>
      </c>
      <c r="Z154" s="264"/>
    </row>
    <row r="155" customHeight="1" spans="1:27">
      <c r="A155" s="265"/>
      <c r="B155" s="260"/>
      <c r="C155" s="261"/>
      <c r="D155" s="261"/>
      <c r="E155" s="262"/>
      <c r="F155" s="262"/>
      <c r="G155" s="267">
        <f>立项!C3</f>
        <v>0</v>
      </c>
      <c r="H155" s="263"/>
      <c r="I155" s="267">
        <f>立项!C4</f>
        <v>0</v>
      </c>
      <c r="J155" s="263"/>
      <c r="K155" s="267">
        <f>立项!C5</f>
        <v>0</v>
      </c>
      <c r="L155" s="263"/>
      <c r="M155" s="267">
        <f>立项!C6</f>
        <v>0</v>
      </c>
      <c r="N155" s="263"/>
      <c r="O155" s="267">
        <f>立项!C7</f>
        <v>0</v>
      </c>
      <c r="P155" s="263"/>
      <c r="Q155" s="267">
        <f>立项!C8</f>
        <v>0</v>
      </c>
      <c r="R155" s="263"/>
      <c r="S155" s="267">
        <f>立项!C9</f>
        <v>0</v>
      </c>
      <c r="T155" s="263"/>
      <c r="U155" s="267">
        <f>立项!C10</f>
        <v>0</v>
      </c>
      <c r="V155" s="263"/>
      <c r="W155" s="267">
        <f>立项!C11</f>
        <v>0</v>
      </c>
      <c r="X155" s="263"/>
      <c r="Y155" s="264">
        <f>立项!C12</f>
        <v>0</v>
      </c>
      <c r="Z155" s="264"/>
    </row>
    <row r="156" customHeight="1" spans="1:27">
      <c r="A156" s="268"/>
      <c r="B156" s="260"/>
      <c r="C156" s="261"/>
      <c r="D156" s="261"/>
      <c r="E156" s="262"/>
      <c r="F156" s="262"/>
      <c r="G156" s="264" t="s">
        <v>39</v>
      </c>
      <c r="H156" s="269" t="s">
        <v>40</v>
      </c>
      <c r="I156" s="264" t="s">
        <v>39</v>
      </c>
      <c r="J156" s="269" t="s">
        <v>40</v>
      </c>
      <c r="K156" s="264" t="s">
        <v>39</v>
      </c>
      <c r="L156" s="269" t="s">
        <v>40</v>
      </c>
      <c r="M156" s="264" t="s">
        <v>39</v>
      </c>
      <c r="N156" s="269" t="s">
        <v>40</v>
      </c>
      <c r="O156" s="264" t="s">
        <v>39</v>
      </c>
      <c r="P156" s="269" t="s">
        <v>40</v>
      </c>
      <c r="Q156" s="264" t="s">
        <v>39</v>
      </c>
      <c r="R156" s="269" t="s">
        <v>40</v>
      </c>
      <c r="S156" s="264" t="s">
        <v>39</v>
      </c>
      <c r="T156" s="269" t="s">
        <v>40</v>
      </c>
      <c r="U156" s="264" t="s">
        <v>39</v>
      </c>
      <c r="V156" s="269" t="s">
        <v>40</v>
      </c>
      <c r="W156" s="264" t="s">
        <v>39</v>
      </c>
      <c r="X156" s="269" t="s">
        <v>40</v>
      </c>
      <c r="Y156" s="264" t="s">
        <v>39</v>
      </c>
      <c r="Z156" s="269" t="s">
        <v>40</v>
      </c>
    </row>
    <row r="157" customHeight="1" spans="1:27">
      <c r="A157" s="270">
        <v>1</v>
      </c>
      <c r="B157" s="324"/>
      <c r="C157" s="272"/>
      <c r="D157" s="272"/>
      <c r="E157" s="272">
        <f t="shared" ref="E157:E186" si="58">G157+I157+K157+M157+O157+Q157+S157+U157+W157+Y157</f>
        <v>0</v>
      </c>
      <c r="F157" s="272">
        <f t="shared" ref="F157:F186" si="59">H157+J157+L157+N157+P157+R157+T157+V157+X157+Z157</f>
        <v>0</v>
      </c>
      <c r="G157" s="273"/>
      <c r="H157" s="274">
        <f t="shared" ref="H157:H186" si="60">IF($D157=0,0,ROUND(G157/$D157*$C157,2))</f>
        <v>0</v>
      </c>
      <c r="I157" s="273"/>
      <c r="J157" s="274">
        <f t="shared" ref="J157:J186" si="61">IF($D157=0,0,ROUND(I157/$D157*$C157,2))</f>
        <v>0</v>
      </c>
      <c r="K157" s="275"/>
      <c r="L157" s="274">
        <f t="shared" ref="L157:L186" si="62">IF($D157=0,0,ROUND(K157/$D157*$C157,2))</f>
        <v>0</v>
      </c>
      <c r="M157" s="273"/>
      <c r="N157" s="274">
        <f t="shared" ref="N157:N186" si="63">IF($D157=0,0,ROUND(M157/$D157*$C157,2))</f>
        <v>0</v>
      </c>
      <c r="O157" s="273"/>
      <c r="P157" s="274">
        <f t="shared" ref="P157:P186" si="64">IF($D157=0,0,ROUND(O157/$D157*$C157,2))</f>
        <v>0</v>
      </c>
      <c r="Q157" s="273"/>
      <c r="R157" s="274">
        <f t="shared" ref="R157:R186" si="65">IF($D157=0,0,ROUND(Q157/$D157*$C157,2))</f>
        <v>0</v>
      </c>
      <c r="S157" s="273"/>
      <c r="T157" s="274">
        <f t="shared" ref="T157:T186" si="66">IF($D157=0,0,ROUND(S157/$D157*$C157,2))</f>
        <v>0</v>
      </c>
      <c r="U157" s="273"/>
      <c r="V157" s="274">
        <f t="shared" ref="V157:V186" si="67">IF($D157=0,0,ROUND(U157/$D157*$C157,2))</f>
        <v>0</v>
      </c>
      <c r="W157" s="273"/>
      <c r="X157" s="274">
        <f t="shared" ref="X157:X186" si="68">IF($D157=0,0,ROUND(W157/$D157*$C157,2))</f>
        <v>0</v>
      </c>
      <c r="Y157" s="273"/>
      <c r="Z157" s="274">
        <f t="shared" ref="Z157:Z186" si="69">IF($D157=0,0,ROUND(Y157/$D157*$C157,2))</f>
        <v>0</v>
      </c>
      <c r="AA157" s="251">
        <f t="shared" ref="AA157:AA186" si="70">D157-E157</f>
        <v>0</v>
      </c>
    </row>
    <row r="158" customHeight="1" spans="1:27">
      <c r="A158" s="270">
        <v>2</v>
      </c>
      <c r="B158" s="324"/>
      <c r="C158" s="272"/>
      <c r="D158" s="272"/>
      <c r="E158" s="272">
        <f t="shared" si="58"/>
        <v>0</v>
      </c>
      <c r="F158" s="272">
        <f t="shared" si="59"/>
        <v>0</v>
      </c>
      <c r="G158" s="273"/>
      <c r="H158" s="274">
        <f t="shared" si="60"/>
        <v>0</v>
      </c>
      <c r="I158" s="273"/>
      <c r="J158" s="274">
        <f t="shared" si="61"/>
        <v>0</v>
      </c>
      <c r="K158" s="275"/>
      <c r="L158" s="274">
        <f t="shared" si="62"/>
        <v>0</v>
      </c>
      <c r="M158" s="273"/>
      <c r="N158" s="274">
        <f t="shared" si="63"/>
        <v>0</v>
      </c>
      <c r="O158" s="273"/>
      <c r="P158" s="274">
        <f t="shared" si="64"/>
        <v>0</v>
      </c>
      <c r="Q158" s="273"/>
      <c r="R158" s="274">
        <f t="shared" si="65"/>
        <v>0</v>
      </c>
      <c r="S158" s="273"/>
      <c r="T158" s="274">
        <f t="shared" si="66"/>
        <v>0</v>
      </c>
      <c r="U158" s="273"/>
      <c r="V158" s="274">
        <f t="shared" si="67"/>
        <v>0</v>
      </c>
      <c r="W158" s="273"/>
      <c r="X158" s="274">
        <f t="shared" si="68"/>
        <v>0</v>
      </c>
      <c r="Y158" s="273"/>
      <c r="Z158" s="274">
        <f t="shared" si="69"/>
        <v>0</v>
      </c>
      <c r="AA158" s="251">
        <f t="shared" si="70"/>
        <v>0</v>
      </c>
    </row>
    <row r="159" customHeight="1" spans="1:27">
      <c r="A159" s="270">
        <v>3</v>
      </c>
      <c r="B159" s="324"/>
      <c r="C159" s="272"/>
      <c r="D159" s="272"/>
      <c r="E159" s="272">
        <f t="shared" si="58"/>
        <v>0</v>
      </c>
      <c r="F159" s="272">
        <f t="shared" si="59"/>
        <v>0</v>
      </c>
      <c r="G159" s="273"/>
      <c r="H159" s="274">
        <f t="shared" si="60"/>
        <v>0</v>
      </c>
      <c r="I159" s="273"/>
      <c r="J159" s="274">
        <f t="shared" si="61"/>
        <v>0</v>
      </c>
      <c r="K159" s="275"/>
      <c r="L159" s="274">
        <f t="shared" si="62"/>
        <v>0</v>
      </c>
      <c r="M159" s="273"/>
      <c r="N159" s="274">
        <f t="shared" si="63"/>
        <v>0</v>
      </c>
      <c r="O159" s="273"/>
      <c r="P159" s="274">
        <f t="shared" si="64"/>
        <v>0</v>
      </c>
      <c r="Q159" s="273"/>
      <c r="R159" s="274">
        <f t="shared" si="65"/>
        <v>0</v>
      </c>
      <c r="S159" s="273"/>
      <c r="T159" s="274">
        <f t="shared" si="66"/>
        <v>0</v>
      </c>
      <c r="U159" s="273"/>
      <c r="V159" s="274">
        <f t="shared" si="67"/>
        <v>0</v>
      </c>
      <c r="W159" s="273"/>
      <c r="X159" s="274">
        <f t="shared" si="68"/>
        <v>0</v>
      </c>
      <c r="Y159" s="273"/>
      <c r="Z159" s="274">
        <f t="shared" si="69"/>
        <v>0</v>
      </c>
      <c r="AA159" s="251">
        <f t="shared" si="70"/>
        <v>0</v>
      </c>
    </row>
    <row r="160" customHeight="1" spans="1:27">
      <c r="A160" s="270">
        <v>4</v>
      </c>
      <c r="B160" s="324"/>
      <c r="C160" s="272"/>
      <c r="D160" s="272"/>
      <c r="E160" s="272">
        <f t="shared" si="58"/>
        <v>0</v>
      </c>
      <c r="F160" s="272">
        <f t="shared" si="59"/>
        <v>0</v>
      </c>
      <c r="G160" s="273"/>
      <c r="H160" s="274">
        <f t="shared" si="60"/>
        <v>0</v>
      </c>
      <c r="I160" s="273"/>
      <c r="J160" s="274">
        <f t="shared" si="61"/>
        <v>0</v>
      </c>
      <c r="K160" s="275"/>
      <c r="L160" s="274">
        <f t="shared" si="62"/>
        <v>0</v>
      </c>
      <c r="M160" s="273"/>
      <c r="N160" s="274">
        <f t="shared" si="63"/>
        <v>0</v>
      </c>
      <c r="O160" s="273"/>
      <c r="P160" s="274">
        <f t="shared" si="64"/>
        <v>0</v>
      </c>
      <c r="Q160" s="273"/>
      <c r="R160" s="274">
        <f t="shared" si="65"/>
        <v>0</v>
      </c>
      <c r="S160" s="273"/>
      <c r="T160" s="274">
        <f t="shared" si="66"/>
        <v>0</v>
      </c>
      <c r="U160" s="273"/>
      <c r="V160" s="274">
        <f t="shared" si="67"/>
        <v>0</v>
      </c>
      <c r="W160" s="273"/>
      <c r="X160" s="274">
        <f t="shared" si="68"/>
        <v>0</v>
      </c>
      <c r="Y160" s="273"/>
      <c r="Z160" s="274">
        <f t="shared" si="69"/>
        <v>0</v>
      </c>
      <c r="AA160" s="251">
        <f t="shared" si="70"/>
        <v>0</v>
      </c>
    </row>
    <row r="161" customHeight="1" spans="1:27">
      <c r="A161" s="270">
        <v>5</v>
      </c>
      <c r="B161" s="324"/>
      <c r="C161" s="272"/>
      <c r="D161" s="272"/>
      <c r="E161" s="272">
        <f t="shared" si="58"/>
        <v>0</v>
      </c>
      <c r="F161" s="272">
        <f t="shared" si="59"/>
        <v>0</v>
      </c>
      <c r="G161" s="273"/>
      <c r="H161" s="274">
        <f t="shared" si="60"/>
        <v>0</v>
      </c>
      <c r="I161" s="273"/>
      <c r="J161" s="274">
        <f t="shared" si="61"/>
        <v>0</v>
      </c>
      <c r="K161" s="275"/>
      <c r="L161" s="274">
        <f t="shared" si="62"/>
        <v>0</v>
      </c>
      <c r="M161" s="273"/>
      <c r="N161" s="274">
        <f t="shared" si="63"/>
        <v>0</v>
      </c>
      <c r="O161" s="273"/>
      <c r="P161" s="274">
        <f t="shared" si="64"/>
        <v>0</v>
      </c>
      <c r="Q161" s="273"/>
      <c r="R161" s="274">
        <f t="shared" si="65"/>
        <v>0</v>
      </c>
      <c r="S161" s="273"/>
      <c r="T161" s="274">
        <f t="shared" si="66"/>
        <v>0</v>
      </c>
      <c r="U161" s="273"/>
      <c r="V161" s="274">
        <f t="shared" si="67"/>
        <v>0</v>
      </c>
      <c r="W161" s="273"/>
      <c r="X161" s="274">
        <f t="shared" si="68"/>
        <v>0</v>
      </c>
      <c r="Y161" s="273"/>
      <c r="Z161" s="274">
        <f t="shared" si="69"/>
        <v>0</v>
      </c>
      <c r="AA161" s="251">
        <f t="shared" si="70"/>
        <v>0</v>
      </c>
    </row>
    <row r="162" customHeight="1" spans="1:27">
      <c r="A162" s="270">
        <v>6</v>
      </c>
      <c r="B162" s="324"/>
      <c r="C162" s="274"/>
      <c r="D162" s="274"/>
      <c r="E162" s="272">
        <f t="shared" si="58"/>
        <v>0</v>
      </c>
      <c r="F162" s="272">
        <f t="shared" si="59"/>
        <v>0</v>
      </c>
      <c r="G162" s="273"/>
      <c r="H162" s="274">
        <f t="shared" si="60"/>
        <v>0</v>
      </c>
      <c r="I162" s="273"/>
      <c r="J162" s="274">
        <f t="shared" si="61"/>
        <v>0</v>
      </c>
      <c r="K162" s="275"/>
      <c r="L162" s="274">
        <f t="shared" si="62"/>
        <v>0</v>
      </c>
      <c r="M162" s="273"/>
      <c r="N162" s="274">
        <f t="shared" si="63"/>
        <v>0</v>
      </c>
      <c r="O162" s="273"/>
      <c r="P162" s="274">
        <f t="shared" si="64"/>
        <v>0</v>
      </c>
      <c r="Q162" s="273"/>
      <c r="R162" s="274">
        <f t="shared" si="65"/>
        <v>0</v>
      </c>
      <c r="S162" s="273"/>
      <c r="T162" s="274">
        <f t="shared" si="66"/>
        <v>0</v>
      </c>
      <c r="U162" s="273"/>
      <c r="V162" s="274">
        <f t="shared" si="67"/>
        <v>0</v>
      </c>
      <c r="W162" s="273"/>
      <c r="X162" s="274">
        <f t="shared" si="68"/>
        <v>0</v>
      </c>
      <c r="Y162" s="273"/>
      <c r="Z162" s="274">
        <f t="shared" si="69"/>
        <v>0</v>
      </c>
      <c r="AA162" s="251">
        <f t="shared" si="70"/>
        <v>0</v>
      </c>
    </row>
    <row r="163" customHeight="1" spans="1:27">
      <c r="A163" s="270">
        <v>7</v>
      </c>
      <c r="B163" s="324"/>
      <c r="C163" s="274"/>
      <c r="D163" s="274"/>
      <c r="E163" s="272">
        <f t="shared" si="58"/>
        <v>0</v>
      </c>
      <c r="F163" s="272">
        <f t="shared" si="59"/>
        <v>0</v>
      </c>
      <c r="G163" s="273"/>
      <c r="H163" s="274">
        <f t="shared" si="60"/>
        <v>0</v>
      </c>
      <c r="I163" s="273"/>
      <c r="J163" s="274">
        <f t="shared" si="61"/>
        <v>0</v>
      </c>
      <c r="K163" s="275"/>
      <c r="L163" s="274">
        <f t="shared" si="62"/>
        <v>0</v>
      </c>
      <c r="M163" s="273"/>
      <c r="N163" s="274">
        <f t="shared" si="63"/>
        <v>0</v>
      </c>
      <c r="O163" s="273"/>
      <c r="P163" s="274">
        <f t="shared" si="64"/>
        <v>0</v>
      </c>
      <c r="Q163" s="273"/>
      <c r="R163" s="274">
        <f t="shared" si="65"/>
        <v>0</v>
      </c>
      <c r="S163" s="273"/>
      <c r="T163" s="274">
        <f t="shared" si="66"/>
        <v>0</v>
      </c>
      <c r="U163" s="273"/>
      <c r="V163" s="274">
        <f t="shared" si="67"/>
        <v>0</v>
      </c>
      <c r="W163" s="273"/>
      <c r="X163" s="274">
        <f t="shared" si="68"/>
        <v>0</v>
      </c>
      <c r="Y163" s="273"/>
      <c r="Z163" s="274">
        <f t="shared" si="69"/>
        <v>0</v>
      </c>
      <c r="AA163" s="251">
        <f t="shared" si="70"/>
        <v>0</v>
      </c>
    </row>
    <row r="164" customHeight="1" spans="1:27">
      <c r="A164" s="270">
        <v>8</v>
      </c>
      <c r="B164" s="324"/>
      <c r="C164" s="274"/>
      <c r="D164" s="274"/>
      <c r="E164" s="272">
        <f t="shared" si="58"/>
        <v>0</v>
      </c>
      <c r="F164" s="272">
        <f t="shared" si="59"/>
        <v>0</v>
      </c>
      <c r="G164" s="273"/>
      <c r="H164" s="274">
        <f t="shared" si="60"/>
        <v>0</v>
      </c>
      <c r="I164" s="273"/>
      <c r="J164" s="274">
        <f t="shared" si="61"/>
        <v>0</v>
      </c>
      <c r="K164" s="275"/>
      <c r="L164" s="274">
        <f t="shared" si="62"/>
        <v>0</v>
      </c>
      <c r="M164" s="273"/>
      <c r="N164" s="274">
        <f t="shared" si="63"/>
        <v>0</v>
      </c>
      <c r="O164" s="273"/>
      <c r="P164" s="274">
        <f t="shared" si="64"/>
        <v>0</v>
      </c>
      <c r="Q164" s="273"/>
      <c r="R164" s="274">
        <f t="shared" si="65"/>
        <v>0</v>
      </c>
      <c r="S164" s="273"/>
      <c r="T164" s="274">
        <f t="shared" si="66"/>
        <v>0</v>
      </c>
      <c r="U164" s="273"/>
      <c r="V164" s="274">
        <f t="shared" si="67"/>
        <v>0</v>
      </c>
      <c r="W164" s="273"/>
      <c r="X164" s="274">
        <f t="shared" si="68"/>
        <v>0</v>
      </c>
      <c r="Y164" s="273"/>
      <c r="Z164" s="274">
        <f t="shared" si="69"/>
        <v>0</v>
      </c>
      <c r="AA164" s="251">
        <f t="shared" si="70"/>
        <v>0</v>
      </c>
    </row>
    <row r="165" customHeight="1" spans="1:27">
      <c r="A165" s="270">
        <v>9</v>
      </c>
      <c r="B165" s="324"/>
      <c r="C165" s="274"/>
      <c r="D165" s="274"/>
      <c r="E165" s="272">
        <f t="shared" si="58"/>
        <v>0</v>
      </c>
      <c r="F165" s="272">
        <f t="shared" si="59"/>
        <v>0</v>
      </c>
      <c r="G165" s="273"/>
      <c r="H165" s="274">
        <f t="shared" si="60"/>
        <v>0</v>
      </c>
      <c r="I165" s="273"/>
      <c r="J165" s="274">
        <f t="shared" si="61"/>
        <v>0</v>
      </c>
      <c r="K165" s="275"/>
      <c r="L165" s="274">
        <f t="shared" si="62"/>
        <v>0</v>
      </c>
      <c r="M165" s="273"/>
      <c r="N165" s="274">
        <f t="shared" si="63"/>
        <v>0</v>
      </c>
      <c r="O165" s="273"/>
      <c r="P165" s="274">
        <f t="shared" si="64"/>
        <v>0</v>
      </c>
      <c r="Q165" s="273"/>
      <c r="R165" s="274">
        <f t="shared" si="65"/>
        <v>0</v>
      </c>
      <c r="S165" s="273"/>
      <c r="T165" s="274">
        <f t="shared" si="66"/>
        <v>0</v>
      </c>
      <c r="U165" s="273"/>
      <c r="V165" s="274">
        <f t="shared" si="67"/>
        <v>0</v>
      </c>
      <c r="W165" s="273"/>
      <c r="X165" s="274">
        <f t="shared" si="68"/>
        <v>0</v>
      </c>
      <c r="Y165" s="273"/>
      <c r="Z165" s="274">
        <f t="shared" si="69"/>
        <v>0</v>
      </c>
      <c r="AA165" s="251">
        <f t="shared" si="70"/>
        <v>0</v>
      </c>
    </row>
    <row r="166" customHeight="1" spans="1:27">
      <c r="A166" s="270">
        <v>10</v>
      </c>
      <c r="B166" s="270"/>
      <c r="C166" s="274"/>
      <c r="D166" s="274"/>
      <c r="E166" s="272">
        <f t="shared" si="58"/>
        <v>0</v>
      </c>
      <c r="F166" s="272">
        <f t="shared" si="59"/>
        <v>0</v>
      </c>
      <c r="G166" s="273"/>
      <c r="H166" s="274">
        <f t="shared" si="60"/>
        <v>0</v>
      </c>
      <c r="I166" s="273"/>
      <c r="J166" s="274">
        <f t="shared" si="61"/>
        <v>0</v>
      </c>
      <c r="K166" s="275"/>
      <c r="L166" s="274">
        <f t="shared" si="62"/>
        <v>0</v>
      </c>
      <c r="M166" s="273"/>
      <c r="N166" s="274">
        <f t="shared" si="63"/>
        <v>0</v>
      </c>
      <c r="O166" s="273"/>
      <c r="P166" s="274">
        <f t="shared" si="64"/>
        <v>0</v>
      </c>
      <c r="Q166" s="273"/>
      <c r="R166" s="274">
        <f t="shared" si="65"/>
        <v>0</v>
      </c>
      <c r="S166" s="273"/>
      <c r="T166" s="274">
        <f t="shared" si="66"/>
        <v>0</v>
      </c>
      <c r="U166" s="273"/>
      <c r="V166" s="274">
        <f t="shared" si="67"/>
        <v>0</v>
      </c>
      <c r="W166" s="273"/>
      <c r="X166" s="274">
        <f t="shared" si="68"/>
        <v>0</v>
      </c>
      <c r="Y166" s="273"/>
      <c r="Z166" s="274">
        <f t="shared" si="69"/>
        <v>0</v>
      </c>
      <c r="AA166" s="251">
        <f t="shared" si="70"/>
        <v>0</v>
      </c>
    </row>
    <row r="167" customHeight="1" spans="1:27">
      <c r="A167" s="270">
        <v>11</v>
      </c>
      <c r="B167" s="270"/>
      <c r="C167" s="274"/>
      <c r="D167" s="274"/>
      <c r="E167" s="272">
        <f t="shared" si="58"/>
        <v>0</v>
      </c>
      <c r="F167" s="272">
        <f t="shared" si="59"/>
        <v>0</v>
      </c>
      <c r="G167" s="273"/>
      <c r="H167" s="274">
        <f t="shared" si="60"/>
        <v>0</v>
      </c>
      <c r="I167" s="273"/>
      <c r="J167" s="274">
        <f t="shared" si="61"/>
        <v>0</v>
      </c>
      <c r="K167" s="275"/>
      <c r="L167" s="274">
        <f t="shared" si="62"/>
        <v>0</v>
      </c>
      <c r="M167" s="273"/>
      <c r="N167" s="274">
        <f t="shared" si="63"/>
        <v>0</v>
      </c>
      <c r="O167" s="273"/>
      <c r="P167" s="274">
        <f t="shared" si="64"/>
        <v>0</v>
      </c>
      <c r="Q167" s="273"/>
      <c r="R167" s="274">
        <f t="shared" si="65"/>
        <v>0</v>
      </c>
      <c r="S167" s="273"/>
      <c r="T167" s="274">
        <f t="shared" si="66"/>
        <v>0</v>
      </c>
      <c r="U167" s="273"/>
      <c r="V167" s="274">
        <f t="shared" si="67"/>
        <v>0</v>
      </c>
      <c r="W167" s="273"/>
      <c r="X167" s="274">
        <f t="shared" si="68"/>
        <v>0</v>
      </c>
      <c r="Y167" s="273"/>
      <c r="Z167" s="274">
        <f t="shared" si="69"/>
        <v>0</v>
      </c>
      <c r="AA167" s="251">
        <f t="shared" si="70"/>
        <v>0</v>
      </c>
    </row>
    <row r="168" customHeight="1" spans="1:27">
      <c r="A168" s="270">
        <v>12</v>
      </c>
      <c r="B168" s="270"/>
      <c r="C168" s="274"/>
      <c r="D168" s="274"/>
      <c r="E168" s="272">
        <f t="shared" si="58"/>
        <v>0</v>
      </c>
      <c r="F168" s="272">
        <f t="shared" si="59"/>
        <v>0</v>
      </c>
      <c r="G168" s="273"/>
      <c r="H168" s="274">
        <f t="shared" si="60"/>
        <v>0</v>
      </c>
      <c r="I168" s="273"/>
      <c r="J168" s="274">
        <f t="shared" si="61"/>
        <v>0</v>
      </c>
      <c r="K168" s="275"/>
      <c r="L168" s="274">
        <f t="shared" si="62"/>
        <v>0</v>
      </c>
      <c r="M168" s="273"/>
      <c r="N168" s="274">
        <f t="shared" si="63"/>
        <v>0</v>
      </c>
      <c r="O168" s="273"/>
      <c r="P168" s="274">
        <f t="shared" si="64"/>
        <v>0</v>
      </c>
      <c r="Q168" s="273"/>
      <c r="R168" s="274">
        <f t="shared" si="65"/>
        <v>0</v>
      </c>
      <c r="S168" s="273"/>
      <c r="T168" s="274">
        <f t="shared" si="66"/>
        <v>0</v>
      </c>
      <c r="U168" s="273"/>
      <c r="V168" s="274">
        <f t="shared" si="67"/>
        <v>0</v>
      </c>
      <c r="W168" s="273"/>
      <c r="X168" s="274">
        <f t="shared" si="68"/>
        <v>0</v>
      </c>
      <c r="Y168" s="273"/>
      <c r="Z168" s="274">
        <f t="shared" si="69"/>
        <v>0</v>
      </c>
      <c r="AA168" s="251">
        <f t="shared" si="70"/>
        <v>0</v>
      </c>
    </row>
    <row r="169" customHeight="1" spans="1:27">
      <c r="A169" s="270">
        <v>13</v>
      </c>
      <c r="B169" s="270"/>
      <c r="C169" s="274"/>
      <c r="D169" s="274"/>
      <c r="E169" s="272">
        <f t="shared" si="58"/>
        <v>0</v>
      </c>
      <c r="F169" s="272">
        <f t="shared" si="59"/>
        <v>0</v>
      </c>
      <c r="G169" s="273"/>
      <c r="H169" s="274">
        <f t="shared" si="60"/>
        <v>0</v>
      </c>
      <c r="I169" s="273"/>
      <c r="J169" s="274">
        <f t="shared" si="61"/>
        <v>0</v>
      </c>
      <c r="K169" s="275"/>
      <c r="L169" s="274">
        <f t="shared" si="62"/>
        <v>0</v>
      </c>
      <c r="M169" s="273"/>
      <c r="N169" s="274">
        <f t="shared" si="63"/>
        <v>0</v>
      </c>
      <c r="O169" s="273"/>
      <c r="P169" s="274">
        <f t="shared" si="64"/>
        <v>0</v>
      </c>
      <c r="Q169" s="273"/>
      <c r="R169" s="274">
        <f t="shared" si="65"/>
        <v>0</v>
      </c>
      <c r="S169" s="273"/>
      <c r="T169" s="274">
        <f t="shared" si="66"/>
        <v>0</v>
      </c>
      <c r="U169" s="273"/>
      <c r="V169" s="274">
        <f t="shared" si="67"/>
        <v>0</v>
      </c>
      <c r="W169" s="273"/>
      <c r="X169" s="274">
        <f t="shared" si="68"/>
        <v>0</v>
      </c>
      <c r="Y169" s="273"/>
      <c r="Z169" s="274">
        <f t="shared" si="69"/>
        <v>0</v>
      </c>
      <c r="AA169" s="251">
        <f t="shared" si="70"/>
        <v>0</v>
      </c>
    </row>
    <row r="170" customHeight="1" spans="1:27">
      <c r="A170" s="270">
        <v>14</v>
      </c>
      <c r="B170" s="270"/>
      <c r="C170" s="274"/>
      <c r="D170" s="274"/>
      <c r="E170" s="272">
        <f t="shared" si="58"/>
        <v>0</v>
      </c>
      <c r="F170" s="272">
        <f t="shared" si="59"/>
        <v>0</v>
      </c>
      <c r="G170" s="273"/>
      <c r="H170" s="274">
        <f t="shared" si="60"/>
        <v>0</v>
      </c>
      <c r="I170" s="273"/>
      <c r="J170" s="274">
        <f t="shared" si="61"/>
        <v>0</v>
      </c>
      <c r="K170" s="275"/>
      <c r="L170" s="274">
        <f t="shared" si="62"/>
        <v>0</v>
      </c>
      <c r="M170" s="273"/>
      <c r="N170" s="274">
        <f t="shared" si="63"/>
        <v>0</v>
      </c>
      <c r="O170" s="273"/>
      <c r="P170" s="274">
        <f t="shared" si="64"/>
        <v>0</v>
      </c>
      <c r="Q170" s="273"/>
      <c r="R170" s="274">
        <f t="shared" si="65"/>
        <v>0</v>
      </c>
      <c r="S170" s="273"/>
      <c r="T170" s="274">
        <f t="shared" si="66"/>
        <v>0</v>
      </c>
      <c r="U170" s="273"/>
      <c r="V170" s="274">
        <f t="shared" si="67"/>
        <v>0</v>
      </c>
      <c r="W170" s="273"/>
      <c r="X170" s="274">
        <f t="shared" si="68"/>
        <v>0</v>
      </c>
      <c r="Y170" s="273"/>
      <c r="Z170" s="274">
        <f t="shared" si="69"/>
        <v>0</v>
      </c>
      <c r="AA170" s="251">
        <f t="shared" si="70"/>
        <v>0</v>
      </c>
    </row>
    <row r="171" customHeight="1" spans="1:27">
      <c r="A171" s="270">
        <v>15</v>
      </c>
      <c r="B171" s="270"/>
      <c r="C171" s="274"/>
      <c r="D171" s="274"/>
      <c r="E171" s="272">
        <f t="shared" si="58"/>
        <v>0</v>
      </c>
      <c r="F171" s="272">
        <f t="shared" si="59"/>
        <v>0</v>
      </c>
      <c r="G171" s="273"/>
      <c r="H171" s="274">
        <f t="shared" si="60"/>
        <v>0</v>
      </c>
      <c r="I171" s="273"/>
      <c r="J171" s="274">
        <f t="shared" si="61"/>
        <v>0</v>
      </c>
      <c r="K171" s="275"/>
      <c r="L171" s="274">
        <f t="shared" si="62"/>
        <v>0</v>
      </c>
      <c r="M171" s="273"/>
      <c r="N171" s="274">
        <f t="shared" si="63"/>
        <v>0</v>
      </c>
      <c r="O171" s="273"/>
      <c r="P171" s="274">
        <f t="shared" si="64"/>
        <v>0</v>
      </c>
      <c r="Q171" s="273"/>
      <c r="R171" s="274">
        <f t="shared" si="65"/>
        <v>0</v>
      </c>
      <c r="S171" s="273"/>
      <c r="T171" s="274">
        <f t="shared" si="66"/>
        <v>0</v>
      </c>
      <c r="U171" s="273"/>
      <c r="V171" s="274">
        <f t="shared" si="67"/>
        <v>0</v>
      </c>
      <c r="W171" s="273"/>
      <c r="X171" s="274">
        <f t="shared" si="68"/>
        <v>0</v>
      </c>
      <c r="Y171" s="273"/>
      <c r="Z171" s="274">
        <f t="shared" si="69"/>
        <v>0</v>
      </c>
      <c r="AA171" s="251">
        <f t="shared" si="70"/>
        <v>0</v>
      </c>
    </row>
    <row r="172" customHeight="1" spans="1:27">
      <c r="A172" s="270">
        <v>16</v>
      </c>
      <c r="B172" s="270"/>
      <c r="C172" s="274"/>
      <c r="D172" s="274"/>
      <c r="E172" s="272">
        <f t="shared" si="58"/>
        <v>0</v>
      </c>
      <c r="F172" s="272">
        <f t="shared" si="59"/>
        <v>0</v>
      </c>
      <c r="G172" s="273"/>
      <c r="H172" s="274">
        <f t="shared" si="60"/>
        <v>0</v>
      </c>
      <c r="I172" s="273"/>
      <c r="J172" s="274">
        <f t="shared" si="61"/>
        <v>0</v>
      </c>
      <c r="K172" s="275"/>
      <c r="L172" s="274">
        <f t="shared" si="62"/>
        <v>0</v>
      </c>
      <c r="M172" s="273"/>
      <c r="N172" s="274">
        <f t="shared" si="63"/>
        <v>0</v>
      </c>
      <c r="O172" s="273"/>
      <c r="P172" s="274">
        <f t="shared" si="64"/>
        <v>0</v>
      </c>
      <c r="Q172" s="273"/>
      <c r="R172" s="274">
        <f t="shared" si="65"/>
        <v>0</v>
      </c>
      <c r="S172" s="273"/>
      <c r="T172" s="274">
        <f t="shared" si="66"/>
        <v>0</v>
      </c>
      <c r="U172" s="273"/>
      <c r="V172" s="274">
        <f t="shared" si="67"/>
        <v>0</v>
      </c>
      <c r="W172" s="273"/>
      <c r="X172" s="274">
        <f t="shared" si="68"/>
        <v>0</v>
      </c>
      <c r="Y172" s="273"/>
      <c r="Z172" s="274">
        <f t="shared" si="69"/>
        <v>0</v>
      </c>
      <c r="AA172" s="251">
        <f t="shared" si="70"/>
        <v>0</v>
      </c>
    </row>
    <row r="173" customHeight="1" spans="1:27">
      <c r="A173" s="270">
        <v>17</v>
      </c>
      <c r="B173" s="270"/>
      <c r="C173" s="274"/>
      <c r="D173" s="274"/>
      <c r="E173" s="272">
        <f t="shared" si="58"/>
        <v>0</v>
      </c>
      <c r="F173" s="272">
        <f t="shared" si="59"/>
        <v>0</v>
      </c>
      <c r="G173" s="273"/>
      <c r="H173" s="274">
        <f t="shared" si="60"/>
        <v>0</v>
      </c>
      <c r="I173" s="273"/>
      <c r="J173" s="274">
        <f t="shared" si="61"/>
        <v>0</v>
      </c>
      <c r="K173" s="275"/>
      <c r="L173" s="274">
        <f t="shared" si="62"/>
        <v>0</v>
      </c>
      <c r="M173" s="273"/>
      <c r="N173" s="274">
        <f t="shared" si="63"/>
        <v>0</v>
      </c>
      <c r="O173" s="273"/>
      <c r="P173" s="274">
        <f t="shared" si="64"/>
        <v>0</v>
      </c>
      <c r="Q173" s="273"/>
      <c r="R173" s="274">
        <f t="shared" si="65"/>
        <v>0</v>
      </c>
      <c r="S173" s="273"/>
      <c r="T173" s="274">
        <f t="shared" si="66"/>
        <v>0</v>
      </c>
      <c r="U173" s="273"/>
      <c r="V173" s="274">
        <f t="shared" si="67"/>
        <v>0</v>
      </c>
      <c r="W173" s="273"/>
      <c r="X173" s="274">
        <f t="shared" si="68"/>
        <v>0</v>
      </c>
      <c r="Y173" s="273"/>
      <c r="Z173" s="274">
        <f t="shared" si="69"/>
        <v>0</v>
      </c>
      <c r="AA173" s="251">
        <f t="shared" si="70"/>
        <v>0</v>
      </c>
    </row>
    <row r="174" customHeight="1" spans="1:27">
      <c r="A174" s="270">
        <v>18</v>
      </c>
      <c r="B174" s="270"/>
      <c r="C174" s="274"/>
      <c r="D174" s="274"/>
      <c r="E174" s="272">
        <f t="shared" si="58"/>
        <v>0</v>
      </c>
      <c r="F174" s="272">
        <f t="shared" si="59"/>
        <v>0</v>
      </c>
      <c r="G174" s="273"/>
      <c r="H174" s="274">
        <f t="shared" si="60"/>
        <v>0</v>
      </c>
      <c r="I174" s="273"/>
      <c r="J174" s="274">
        <f t="shared" si="61"/>
        <v>0</v>
      </c>
      <c r="K174" s="275"/>
      <c r="L174" s="274">
        <f t="shared" si="62"/>
        <v>0</v>
      </c>
      <c r="M174" s="273"/>
      <c r="N174" s="274">
        <f t="shared" si="63"/>
        <v>0</v>
      </c>
      <c r="O174" s="273"/>
      <c r="P174" s="274">
        <f t="shared" si="64"/>
        <v>0</v>
      </c>
      <c r="Q174" s="273"/>
      <c r="R174" s="274">
        <f t="shared" si="65"/>
        <v>0</v>
      </c>
      <c r="S174" s="273"/>
      <c r="T174" s="274">
        <f t="shared" si="66"/>
        <v>0</v>
      </c>
      <c r="U174" s="273"/>
      <c r="V174" s="274">
        <f t="shared" si="67"/>
        <v>0</v>
      </c>
      <c r="W174" s="273"/>
      <c r="X174" s="274">
        <f t="shared" si="68"/>
        <v>0</v>
      </c>
      <c r="Y174" s="273"/>
      <c r="Z174" s="274">
        <f t="shared" si="69"/>
        <v>0</v>
      </c>
      <c r="AA174" s="251">
        <f t="shared" si="70"/>
        <v>0</v>
      </c>
    </row>
    <row r="175" customHeight="1" spans="1:27">
      <c r="A175" s="270">
        <v>19</v>
      </c>
      <c r="B175" s="270"/>
      <c r="C175" s="274"/>
      <c r="D175" s="274"/>
      <c r="E175" s="272">
        <f t="shared" si="58"/>
        <v>0</v>
      </c>
      <c r="F175" s="272">
        <f t="shared" si="59"/>
        <v>0</v>
      </c>
      <c r="G175" s="273"/>
      <c r="H175" s="274">
        <f t="shared" si="60"/>
        <v>0</v>
      </c>
      <c r="I175" s="273"/>
      <c r="J175" s="274">
        <f t="shared" si="61"/>
        <v>0</v>
      </c>
      <c r="K175" s="275"/>
      <c r="L175" s="274">
        <f t="shared" si="62"/>
        <v>0</v>
      </c>
      <c r="M175" s="273"/>
      <c r="N175" s="274">
        <f t="shared" si="63"/>
        <v>0</v>
      </c>
      <c r="O175" s="273"/>
      <c r="P175" s="274">
        <f t="shared" si="64"/>
        <v>0</v>
      </c>
      <c r="Q175" s="273"/>
      <c r="R175" s="274">
        <f t="shared" si="65"/>
        <v>0</v>
      </c>
      <c r="S175" s="273"/>
      <c r="T175" s="274">
        <f t="shared" si="66"/>
        <v>0</v>
      </c>
      <c r="U175" s="273"/>
      <c r="V175" s="274">
        <f t="shared" si="67"/>
        <v>0</v>
      </c>
      <c r="W175" s="273"/>
      <c r="X175" s="274">
        <f t="shared" si="68"/>
        <v>0</v>
      </c>
      <c r="Y175" s="273"/>
      <c r="Z175" s="274">
        <f t="shared" si="69"/>
        <v>0</v>
      </c>
      <c r="AA175" s="251">
        <f t="shared" si="70"/>
        <v>0</v>
      </c>
    </row>
    <row r="176" customHeight="1" spans="1:27">
      <c r="A176" s="270">
        <v>20</v>
      </c>
      <c r="B176" s="270"/>
      <c r="C176" s="274"/>
      <c r="D176" s="274"/>
      <c r="E176" s="272">
        <f t="shared" si="58"/>
        <v>0</v>
      </c>
      <c r="F176" s="272">
        <f t="shared" si="59"/>
        <v>0</v>
      </c>
      <c r="G176" s="273"/>
      <c r="H176" s="274">
        <f t="shared" si="60"/>
        <v>0</v>
      </c>
      <c r="I176" s="273"/>
      <c r="J176" s="274">
        <f t="shared" si="61"/>
        <v>0</v>
      </c>
      <c r="K176" s="275"/>
      <c r="L176" s="274">
        <f t="shared" si="62"/>
        <v>0</v>
      </c>
      <c r="M176" s="273"/>
      <c r="N176" s="274">
        <f t="shared" si="63"/>
        <v>0</v>
      </c>
      <c r="O176" s="273"/>
      <c r="P176" s="274">
        <f t="shared" si="64"/>
        <v>0</v>
      </c>
      <c r="Q176" s="273"/>
      <c r="R176" s="274">
        <f t="shared" si="65"/>
        <v>0</v>
      </c>
      <c r="S176" s="273"/>
      <c r="T176" s="274">
        <f t="shared" si="66"/>
        <v>0</v>
      </c>
      <c r="U176" s="273"/>
      <c r="V176" s="274">
        <f t="shared" si="67"/>
        <v>0</v>
      </c>
      <c r="W176" s="273"/>
      <c r="X176" s="274">
        <f t="shared" si="68"/>
        <v>0</v>
      </c>
      <c r="Y176" s="273"/>
      <c r="Z176" s="274">
        <f t="shared" si="69"/>
        <v>0</v>
      </c>
      <c r="AA176" s="251">
        <f t="shared" si="70"/>
        <v>0</v>
      </c>
    </row>
    <row r="177" customHeight="1" spans="1:27">
      <c r="A177" s="270">
        <v>21</v>
      </c>
      <c r="B177" s="270"/>
      <c r="C177" s="274"/>
      <c r="D177" s="274"/>
      <c r="E177" s="272">
        <f t="shared" si="58"/>
        <v>0</v>
      </c>
      <c r="F177" s="272">
        <f t="shared" si="59"/>
        <v>0</v>
      </c>
      <c r="G177" s="273"/>
      <c r="H177" s="274">
        <f t="shared" si="60"/>
        <v>0</v>
      </c>
      <c r="I177" s="273"/>
      <c r="J177" s="274">
        <f t="shared" si="61"/>
        <v>0</v>
      </c>
      <c r="K177" s="275"/>
      <c r="L177" s="274">
        <f t="shared" si="62"/>
        <v>0</v>
      </c>
      <c r="M177" s="273"/>
      <c r="N177" s="274">
        <f t="shared" si="63"/>
        <v>0</v>
      </c>
      <c r="O177" s="273"/>
      <c r="P177" s="274">
        <f t="shared" si="64"/>
        <v>0</v>
      </c>
      <c r="Q177" s="273"/>
      <c r="R177" s="274">
        <f t="shared" si="65"/>
        <v>0</v>
      </c>
      <c r="S177" s="273"/>
      <c r="T177" s="274">
        <f t="shared" si="66"/>
        <v>0</v>
      </c>
      <c r="U177" s="273"/>
      <c r="V177" s="274">
        <f t="shared" si="67"/>
        <v>0</v>
      </c>
      <c r="W177" s="273"/>
      <c r="X177" s="274">
        <f t="shared" si="68"/>
        <v>0</v>
      </c>
      <c r="Y177" s="273"/>
      <c r="Z177" s="274">
        <f t="shared" si="69"/>
        <v>0</v>
      </c>
      <c r="AA177" s="251">
        <f t="shared" si="70"/>
        <v>0</v>
      </c>
    </row>
    <row r="178" customHeight="1" spans="1:27">
      <c r="A178" s="270">
        <v>22</v>
      </c>
      <c r="B178" s="270"/>
      <c r="C178" s="274"/>
      <c r="D178" s="274"/>
      <c r="E178" s="272">
        <f t="shared" si="58"/>
        <v>0</v>
      </c>
      <c r="F178" s="272">
        <f t="shared" si="59"/>
        <v>0</v>
      </c>
      <c r="G178" s="273"/>
      <c r="H178" s="274">
        <f t="shared" si="60"/>
        <v>0</v>
      </c>
      <c r="I178" s="273"/>
      <c r="J178" s="274">
        <f t="shared" si="61"/>
        <v>0</v>
      </c>
      <c r="K178" s="275"/>
      <c r="L178" s="274">
        <f t="shared" si="62"/>
        <v>0</v>
      </c>
      <c r="M178" s="273"/>
      <c r="N178" s="274">
        <f t="shared" si="63"/>
        <v>0</v>
      </c>
      <c r="O178" s="273"/>
      <c r="P178" s="274">
        <f t="shared" si="64"/>
        <v>0</v>
      </c>
      <c r="Q178" s="273"/>
      <c r="R178" s="274">
        <f t="shared" si="65"/>
        <v>0</v>
      </c>
      <c r="S178" s="273"/>
      <c r="T178" s="274">
        <f t="shared" si="66"/>
        <v>0</v>
      </c>
      <c r="U178" s="273"/>
      <c r="V178" s="274">
        <f t="shared" si="67"/>
        <v>0</v>
      </c>
      <c r="W178" s="273"/>
      <c r="X178" s="274">
        <f t="shared" si="68"/>
        <v>0</v>
      </c>
      <c r="Y178" s="273"/>
      <c r="Z178" s="274">
        <f t="shared" si="69"/>
        <v>0</v>
      </c>
      <c r="AA178" s="251">
        <f t="shared" si="70"/>
        <v>0</v>
      </c>
    </row>
    <row r="179" customHeight="1" spans="1:27">
      <c r="A179" s="270">
        <v>23</v>
      </c>
      <c r="B179" s="270"/>
      <c r="C179" s="274"/>
      <c r="D179" s="274"/>
      <c r="E179" s="272">
        <f t="shared" si="58"/>
        <v>0</v>
      </c>
      <c r="F179" s="272">
        <f t="shared" si="59"/>
        <v>0</v>
      </c>
      <c r="G179" s="273"/>
      <c r="H179" s="274">
        <f t="shared" si="60"/>
        <v>0</v>
      </c>
      <c r="I179" s="273"/>
      <c r="J179" s="274">
        <f t="shared" si="61"/>
        <v>0</v>
      </c>
      <c r="K179" s="275"/>
      <c r="L179" s="274">
        <f t="shared" si="62"/>
        <v>0</v>
      </c>
      <c r="M179" s="273"/>
      <c r="N179" s="274">
        <f t="shared" si="63"/>
        <v>0</v>
      </c>
      <c r="O179" s="273"/>
      <c r="P179" s="274">
        <f t="shared" si="64"/>
        <v>0</v>
      </c>
      <c r="Q179" s="273"/>
      <c r="R179" s="274">
        <f t="shared" si="65"/>
        <v>0</v>
      </c>
      <c r="S179" s="273"/>
      <c r="T179" s="274">
        <f t="shared" si="66"/>
        <v>0</v>
      </c>
      <c r="U179" s="273"/>
      <c r="V179" s="274">
        <f t="shared" si="67"/>
        <v>0</v>
      </c>
      <c r="W179" s="273"/>
      <c r="X179" s="274">
        <f t="shared" si="68"/>
        <v>0</v>
      </c>
      <c r="Y179" s="273"/>
      <c r="Z179" s="274">
        <f t="shared" si="69"/>
        <v>0</v>
      </c>
      <c r="AA179" s="251">
        <f t="shared" si="70"/>
        <v>0</v>
      </c>
    </row>
    <row r="180" customHeight="1" spans="1:27">
      <c r="A180" s="270">
        <v>25</v>
      </c>
      <c r="B180" s="270"/>
      <c r="C180" s="274"/>
      <c r="D180" s="274"/>
      <c r="E180" s="272">
        <f t="shared" si="58"/>
        <v>0</v>
      </c>
      <c r="F180" s="272">
        <f t="shared" si="59"/>
        <v>0</v>
      </c>
      <c r="G180" s="273"/>
      <c r="H180" s="274">
        <f t="shared" si="60"/>
        <v>0</v>
      </c>
      <c r="I180" s="273"/>
      <c r="J180" s="274">
        <f t="shared" si="61"/>
        <v>0</v>
      </c>
      <c r="K180" s="275"/>
      <c r="L180" s="274">
        <f t="shared" si="62"/>
        <v>0</v>
      </c>
      <c r="M180" s="273"/>
      <c r="N180" s="274">
        <f t="shared" si="63"/>
        <v>0</v>
      </c>
      <c r="O180" s="273"/>
      <c r="P180" s="274">
        <f t="shared" si="64"/>
        <v>0</v>
      </c>
      <c r="Q180" s="273"/>
      <c r="R180" s="274">
        <f t="shared" si="65"/>
        <v>0</v>
      </c>
      <c r="S180" s="273"/>
      <c r="T180" s="274">
        <f t="shared" si="66"/>
        <v>0</v>
      </c>
      <c r="U180" s="273"/>
      <c r="V180" s="274">
        <f t="shared" si="67"/>
        <v>0</v>
      </c>
      <c r="W180" s="273"/>
      <c r="X180" s="274">
        <f t="shared" si="68"/>
        <v>0</v>
      </c>
      <c r="Y180" s="273"/>
      <c r="Z180" s="274">
        <f t="shared" si="69"/>
        <v>0</v>
      </c>
      <c r="AA180" s="251">
        <f t="shared" si="70"/>
        <v>0</v>
      </c>
    </row>
    <row r="181" customHeight="1" spans="1:27">
      <c r="A181" s="270">
        <v>25</v>
      </c>
      <c r="B181" s="270"/>
      <c r="C181" s="274"/>
      <c r="D181" s="274"/>
      <c r="E181" s="272">
        <f t="shared" si="58"/>
        <v>0</v>
      </c>
      <c r="F181" s="272">
        <f t="shared" si="59"/>
        <v>0</v>
      </c>
      <c r="G181" s="273"/>
      <c r="H181" s="274">
        <f t="shared" si="60"/>
        <v>0</v>
      </c>
      <c r="I181" s="273"/>
      <c r="J181" s="274">
        <f t="shared" si="61"/>
        <v>0</v>
      </c>
      <c r="K181" s="275"/>
      <c r="L181" s="274">
        <f t="shared" si="62"/>
        <v>0</v>
      </c>
      <c r="M181" s="273"/>
      <c r="N181" s="274">
        <f t="shared" si="63"/>
        <v>0</v>
      </c>
      <c r="O181" s="273"/>
      <c r="P181" s="274">
        <f t="shared" si="64"/>
        <v>0</v>
      </c>
      <c r="Q181" s="273"/>
      <c r="R181" s="274">
        <f t="shared" si="65"/>
        <v>0</v>
      </c>
      <c r="S181" s="273"/>
      <c r="T181" s="274">
        <f t="shared" si="66"/>
        <v>0</v>
      </c>
      <c r="U181" s="273"/>
      <c r="V181" s="274">
        <f t="shared" si="67"/>
        <v>0</v>
      </c>
      <c r="W181" s="273"/>
      <c r="X181" s="274">
        <f t="shared" si="68"/>
        <v>0</v>
      </c>
      <c r="Y181" s="273"/>
      <c r="Z181" s="274">
        <f t="shared" si="69"/>
        <v>0</v>
      </c>
      <c r="AA181" s="251">
        <f t="shared" si="70"/>
        <v>0</v>
      </c>
    </row>
    <row r="182" customHeight="1" spans="1:27">
      <c r="A182" s="270">
        <v>26</v>
      </c>
      <c r="B182" s="270"/>
      <c r="C182" s="274"/>
      <c r="D182" s="274"/>
      <c r="E182" s="272">
        <f t="shared" si="58"/>
        <v>0</v>
      </c>
      <c r="F182" s="272">
        <f t="shared" si="59"/>
        <v>0</v>
      </c>
      <c r="G182" s="273"/>
      <c r="H182" s="274">
        <f t="shared" si="60"/>
        <v>0</v>
      </c>
      <c r="I182" s="273"/>
      <c r="J182" s="274">
        <f t="shared" si="61"/>
        <v>0</v>
      </c>
      <c r="K182" s="275"/>
      <c r="L182" s="274">
        <f t="shared" si="62"/>
        <v>0</v>
      </c>
      <c r="M182" s="273"/>
      <c r="N182" s="274">
        <f t="shared" si="63"/>
        <v>0</v>
      </c>
      <c r="O182" s="273"/>
      <c r="P182" s="274">
        <f t="shared" si="64"/>
        <v>0</v>
      </c>
      <c r="Q182" s="273"/>
      <c r="R182" s="274">
        <f t="shared" si="65"/>
        <v>0</v>
      </c>
      <c r="S182" s="273"/>
      <c r="T182" s="274">
        <f t="shared" si="66"/>
        <v>0</v>
      </c>
      <c r="U182" s="273"/>
      <c r="V182" s="274">
        <f t="shared" si="67"/>
        <v>0</v>
      </c>
      <c r="W182" s="273"/>
      <c r="X182" s="274">
        <f t="shared" si="68"/>
        <v>0</v>
      </c>
      <c r="Y182" s="273"/>
      <c r="Z182" s="274">
        <f t="shared" si="69"/>
        <v>0</v>
      </c>
      <c r="AA182" s="251">
        <f t="shared" si="70"/>
        <v>0</v>
      </c>
    </row>
    <row r="183" customHeight="1" spans="1:27">
      <c r="A183" s="270">
        <v>27</v>
      </c>
      <c r="B183" s="270"/>
      <c r="C183" s="274"/>
      <c r="D183" s="274"/>
      <c r="E183" s="272">
        <f t="shared" si="58"/>
        <v>0</v>
      </c>
      <c r="F183" s="272">
        <f t="shared" si="59"/>
        <v>0</v>
      </c>
      <c r="G183" s="273"/>
      <c r="H183" s="274">
        <f t="shared" si="60"/>
        <v>0</v>
      </c>
      <c r="I183" s="273"/>
      <c r="J183" s="274">
        <f t="shared" si="61"/>
        <v>0</v>
      </c>
      <c r="K183" s="275"/>
      <c r="L183" s="274">
        <f t="shared" si="62"/>
        <v>0</v>
      </c>
      <c r="M183" s="273"/>
      <c r="N183" s="274">
        <f t="shared" si="63"/>
        <v>0</v>
      </c>
      <c r="O183" s="273"/>
      <c r="P183" s="274">
        <f t="shared" si="64"/>
        <v>0</v>
      </c>
      <c r="Q183" s="273"/>
      <c r="R183" s="274">
        <f t="shared" si="65"/>
        <v>0</v>
      </c>
      <c r="S183" s="273"/>
      <c r="T183" s="274">
        <f t="shared" si="66"/>
        <v>0</v>
      </c>
      <c r="U183" s="273"/>
      <c r="V183" s="274">
        <f t="shared" si="67"/>
        <v>0</v>
      </c>
      <c r="W183" s="273"/>
      <c r="X183" s="274">
        <f t="shared" si="68"/>
        <v>0</v>
      </c>
      <c r="Y183" s="273"/>
      <c r="Z183" s="274">
        <f t="shared" si="69"/>
        <v>0</v>
      </c>
      <c r="AA183" s="251">
        <f t="shared" si="70"/>
        <v>0</v>
      </c>
    </row>
    <row r="184" customHeight="1" spans="1:27">
      <c r="A184" s="270">
        <v>28</v>
      </c>
      <c r="B184" s="270"/>
      <c r="C184" s="274"/>
      <c r="D184" s="274"/>
      <c r="E184" s="272">
        <f t="shared" si="58"/>
        <v>0</v>
      </c>
      <c r="F184" s="272">
        <f t="shared" si="59"/>
        <v>0</v>
      </c>
      <c r="G184" s="273"/>
      <c r="H184" s="274">
        <f t="shared" si="60"/>
        <v>0</v>
      </c>
      <c r="I184" s="273"/>
      <c r="J184" s="274">
        <f t="shared" si="61"/>
        <v>0</v>
      </c>
      <c r="K184" s="275"/>
      <c r="L184" s="274">
        <f t="shared" si="62"/>
        <v>0</v>
      </c>
      <c r="M184" s="273"/>
      <c r="N184" s="274">
        <f t="shared" si="63"/>
        <v>0</v>
      </c>
      <c r="O184" s="273"/>
      <c r="P184" s="274">
        <f t="shared" si="64"/>
        <v>0</v>
      </c>
      <c r="Q184" s="273"/>
      <c r="R184" s="274">
        <f t="shared" si="65"/>
        <v>0</v>
      </c>
      <c r="S184" s="273"/>
      <c r="T184" s="274">
        <f t="shared" si="66"/>
        <v>0</v>
      </c>
      <c r="U184" s="273"/>
      <c r="V184" s="274">
        <f t="shared" si="67"/>
        <v>0</v>
      </c>
      <c r="W184" s="273"/>
      <c r="X184" s="274">
        <f t="shared" si="68"/>
        <v>0</v>
      </c>
      <c r="Y184" s="273"/>
      <c r="Z184" s="274">
        <f t="shared" si="69"/>
        <v>0</v>
      </c>
      <c r="AA184" s="251">
        <f t="shared" si="70"/>
        <v>0</v>
      </c>
    </row>
    <row r="185" customHeight="1" spans="1:27">
      <c r="A185" s="270">
        <v>29</v>
      </c>
      <c r="B185" s="270"/>
      <c r="C185" s="274"/>
      <c r="D185" s="274"/>
      <c r="E185" s="272">
        <f t="shared" si="58"/>
        <v>0</v>
      </c>
      <c r="F185" s="272">
        <f t="shared" si="59"/>
        <v>0</v>
      </c>
      <c r="G185" s="273"/>
      <c r="H185" s="274">
        <f t="shared" si="60"/>
        <v>0</v>
      </c>
      <c r="I185" s="273"/>
      <c r="J185" s="274">
        <f t="shared" si="61"/>
        <v>0</v>
      </c>
      <c r="K185" s="275"/>
      <c r="L185" s="274">
        <f t="shared" si="62"/>
        <v>0</v>
      </c>
      <c r="M185" s="273"/>
      <c r="N185" s="274">
        <f t="shared" si="63"/>
        <v>0</v>
      </c>
      <c r="O185" s="273"/>
      <c r="P185" s="274">
        <f t="shared" si="64"/>
        <v>0</v>
      </c>
      <c r="Q185" s="273"/>
      <c r="R185" s="274">
        <f t="shared" si="65"/>
        <v>0</v>
      </c>
      <c r="S185" s="273"/>
      <c r="T185" s="274">
        <f t="shared" si="66"/>
        <v>0</v>
      </c>
      <c r="U185" s="273"/>
      <c r="V185" s="274">
        <f t="shared" si="67"/>
        <v>0</v>
      </c>
      <c r="W185" s="273"/>
      <c r="X185" s="274">
        <f t="shared" si="68"/>
        <v>0</v>
      </c>
      <c r="Y185" s="273"/>
      <c r="Z185" s="274">
        <f t="shared" si="69"/>
        <v>0</v>
      </c>
      <c r="AA185" s="251">
        <f t="shared" si="70"/>
        <v>0</v>
      </c>
    </row>
    <row r="186" customHeight="1" spans="1:27">
      <c r="A186" s="270">
        <v>30</v>
      </c>
      <c r="B186" s="270"/>
      <c r="C186" s="274"/>
      <c r="D186" s="274"/>
      <c r="E186" s="272">
        <f t="shared" si="58"/>
        <v>0</v>
      </c>
      <c r="F186" s="272">
        <f t="shared" si="59"/>
        <v>0</v>
      </c>
      <c r="G186" s="273"/>
      <c r="H186" s="274">
        <f t="shared" si="60"/>
        <v>0</v>
      </c>
      <c r="I186" s="273"/>
      <c r="J186" s="274">
        <f t="shared" si="61"/>
        <v>0</v>
      </c>
      <c r="K186" s="275"/>
      <c r="L186" s="274">
        <f t="shared" si="62"/>
        <v>0</v>
      </c>
      <c r="M186" s="273"/>
      <c r="N186" s="274">
        <f t="shared" si="63"/>
        <v>0</v>
      </c>
      <c r="O186" s="273"/>
      <c r="P186" s="274">
        <f t="shared" si="64"/>
        <v>0</v>
      </c>
      <c r="Q186" s="273"/>
      <c r="R186" s="274">
        <f t="shared" si="65"/>
        <v>0</v>
      </c>
      <c r="S186" s="273"/>
      <c r="T186" s="274">
        <f t="shared" si="66"/>
        <v>0</v>
      </c>
      <c r="U186" s="273"/>
      <c r="V186" s="274">
        <f t="shared" si="67"/>
        <v>0</v>
      </c>
      <c r="W186" s="273"/>
      <c r="X186" s="274">
        <f t="shared" si="68"/>
        <v>0</v>
      </c>
      <c r="Y186" s="273"/>
      <c r="Z186" s="274">
        <f t="shared" si="69"/>
        <v>0</v>
      </c>
      <c r="AA186" s="251">
        <f t="shared" si="70"/>
        <v>0</v>
      </c>
    </row>
    <row r="187" customHeight="1" spans="1:27">
      <c r="A187" s="276" t="s">
        <v>22</v>
      </c>
      <c r="B187" s="277"/>
      <c r="C187" s="261">
        <f t="shared" ref="C187:Z187" si="71">SUM(C157:C186)</f>
        <v>0</v>
      </c>
      <c r="D187" s="261">
        <f t="shared" si="71"/>
        <v>0</v>
      </c>
      <c r="E187" s="261">
        <f t="shared" si="71"/>
        <v>0</v>
      </c>
      <c r="F187" s="272">
        <f t="shared" si="71"/>
        <v>0</v>
      </c>
      <c r="G187" s="261">
        <f t="shared" si="71"/>
        <v>0</v>
      </c>
      <c r="H187" s="273">
        <f t="shared" si="71"/>
        <v>0</v>
      </c>
      <c r="I187" s="273">
        <f t="shared" si="71"/>
        <v>0</v>
      </c>
      <c r="J187" s="273">
        <f t="shared" si="71"/>
        <v>0</v>
      </c>
      <c r="K187" s="273">
        <f t="shared" si="71"/>
        <v>0</v>
      </c>
      <c r="L187" s="273">
        <f t="shared" si="71"/>
        <v>0</v>
      </c>
      <c r="M187" s="273">
        <f t="shared" si="71"/>
        <v>0</v>
      </c>
      <c r="N187" s="273">
        <f t="shared" si="71"/>
        <v>0</v>
      </c>
      <c r="O187" s="273">
        <f t="shared" si="71"/>
        <v>0</v>
      </c>
      <c r="P187" s="273">
        <f t="shared" si="71"/>
        <v>0</v>
      </c>
      <c r="Q187" s="273">
        <f t="shared" si="71"/>
        <v>0</v>
      </c>
      <c r="R187" s="273">
        <f t="shared" si="71"/>
        <v>0</v>
      </c>
      <c r="S187" s="273">
        <f t="shared" si="71"/>
        <v>0</v>
      </c>
      <c r="T187" s="273">
        <f t="shared" si="71"/>
        <v>0</v>
      </c>
      <c r="U187" s="273">
        <f t="shared" si="71"/>
        <v>0</v>
      </c>
      <c r="V187" s="273">
        <f t="shared" si="71"/>
        <v>0</v>
      </c>
      <c r="W187" s="273">
        <f t="shared" si="71"/>
        <v>0</v>
      </c>
      <c r="X187" s="273">
        <f t="shared" si="71"/>
        <v>0</v>
      </c>
      <c r="Y187" s="273">
        <f t="shared" si="71"/>
        <v>0</v>
      </c>
      <c r="Z187" s="273">
        <f t="shared" si="71"/>
        <v>0</v>
      </c>
    </row>
    <row r="189" customHeight="1" spans="1:27">
      <c r="B189" s="257" t="s">
        <v>59</v>
      </c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  <c r="Z189" s="258"/>
    </row>
    <row r="191" customHeight="1" spans="1:27">
      <c r="A191" s="259" t="s">
        <v>31</v>
      </c>
      <c r="B191" s="260" t="s">
        <v>32</v>
      </c>
      <c r="C191" s="261" t="s">
        <v>33</v>
      </c>
      <c r="D191" s="261" t="s">
        <v>34</v>
      </c>
      <c r="E191" s="262" t="s">
        <v>35</v>
      </c>
      <c r="F191" s="262" t="s">
        <v>36</v>
      </c>
      <c r="G191" s="263" t="str">
        <f>立项!$A$3</f>
        <v>RD01</v>
      </c>
      <c r="H191" s="264"/>
      <c r="I191" s="264" t="str">
        <f>立项!$A$4</f>
        <v>RD02</v>
      </c>
      <c r="J191" s="264"/>
      <c r="K191" s="264" t="str">
        <f>立项!$A$5</f>
        <v>RD03</v>
      </c>
      <c r="L191" s="264"/>
      <c r="M191" s="264" t="str">
        <f>立项!$A$6</f>
        <v>RD04</v>
      </c>
      <c r="N191" s="264"/>
      <c r="O191" s="264" t="str">
        <f>立项!$A$7</f>
        <v>RD05</v>
      </c>
      <c r="P191" s="264"/>
      <c r="Q191" s="264" t="str">
        <f>立项!$A$8</f>
        <v>RD06</v>
      </c>
      <c r="R191" s="264"/>
      <c r="S191" s="264" t="str">
        <f>立项!$A$9</f>
        <v>RD07</v>
      </c>
      <c r="T191" s="264"/>
      <c r="U191" s="264" t="str">
        <f>立项!$A$10</f>
        <v>RD08</v>
      </c>
      <c r="V191" s="264"/>
      <c r="W191" s="264" t="str">
        <f>立项!$A$11</f>
        <v>RD09</v>
      </c>
      <c r="X191" s="264"/>
      <c r="Y191" s="264" t="str">
        <f>立项!$A$12</f>
        <v>RD10</v>
      </c>
      <c r="Z191" s="264"/>
    </row>
    <row r="192" customHeight="1" spans="1:27">
      <c r="A192" s="265"/>
      <c r="B192" s="260"/>
      <c r="C192" s="261"/>
      <c r="D192" s="261"/>
      <c r="E192" s="262"/>
      <c r="F192" s="262"/>
      <c r="G192" s="267">
        <f>立项!C3</f>
        <v>0</v>
      </c>
      <c r="H192" s="263"/>
      <c r="I192" s="267">
        <f>立项!C4</f>
        <v>0</v>
      </c>
      <c r="J192" s="263"/>
      <c r="K192" s="267">
        <f>立项!C5</f>
        <v>0</v>
      </c>
      <c r="L192" s="263"/>
      <c r="M192" s="267">
        <f>立项!C6</f>
        <v>0</v>
      </c>
      <c r="N192" s="263"/>
      <c r="O192" s="267">
        <f>立项!C7</f>
        <v>0</v>
      </c>
      <c r="P192" s="263"/>
      <c r="Q192" s="267">
        <f>立项!C8</f>
        <v>0</v>
      </c>
      <c r="R192" s="263"/>
      <c r="S192" s="267">
        <f>立项!C9</f>
        <v>0</v>
      </c>
      <c r="T192" s="263"/>
      <c r="U192" s="267">
        <f>立项!C10</f>
        <v>0</v>
      </c>
      <c r="V192" s="263"/>
      <c r="W192" s="267">
        <f>立项!C11</f>
        <v>0</v>
      </c>
      <c r="X192" s="263"/>
      <c r="Y192" s="264">
        <f>立项!C12</f>
        <v>0</v>
      </c>
      <c r="Z192" s="264"/>
    </row>
    <row r="193" customHeight="1" spans="1:27">
      <c r="A193" s="268"/>
      <c r="B193" s="260"/>
      <c r="C193" s="261"/>
      <c r="D193" s="261"/>
      <c r="E193" s="262"/>
      <c r="F193" s="262"/>
      <c r="G193" s="264" t="s">
        <v>39</v>
      </c>
      <c r="H193" s="269" t="s">
        <v>40</v>
      </c>
      <c r="I193" s="264" t="s">
        <v>39</v>
      </c>
      <c r="J193" s="269" t="s">
        <v>40</v>
      </c>
      <c r="K193" s="264" t="s">
        <v>39</v>
      </c>
      <c r="L193" s="269" t="s">
        <v>40</v>
      </c>
      <c r="M193" s="264" t="s">
        <v>39</v>
      </c>
      <c r="N193" s="269" t="s">
        <v>40</v>
      </c>
      <c r="O193" s="264" t="s">
        <v>39</v>
      </c>
      <c r="P193" s="269" t="s">
        <v>40</v>
      </c>
      <c r="Q193" s="264" t="s">
        <v>39</v>
      </c>
      <c r="R193" s="269" t="s">
        <v>40</v>
      </c>
      <c r="S193" s="264" t="s">
        <v>39</v>
      </c>
      <c r="T193" s="269" t="s">
        <v>40</v>
      </c>
      <c r="U193" s="264" t="s">
        <v>39</v>
      </c>
      <c r="V193" s="269" t="s">
        <v>40</v>
      </c>
      <c r="W193" s="264" t="s">
        <v>39</v>
      </c>
      <c r="X193" s="269" t="s">
        <v>40</v>
      </c>
      <c r="Y193" s="264" t="s">
        <v>39</v>
      </c>
      <c r="Z193" s="269" t="s">
        <v>40</v>
      </c>
    </row>
    <row r="194" customHeight="1" spans="1:27">
      <c r="A194" s="270">
        <v>1</v>
      </c>
      <c r="B194" s="324"/>
      <c r="C194" s="272"/>
      <c r="D194" s="272"/>
      <c r="E194" s="272">
        <f t="shared" ref="E194:E223" si="72">G194+I194+K194+M194+O194+Q194+S194+U194+W194+Y194</f>
        <v>0</v>
      </c>
      <c r="F194" s="272">
        <f t="shared" ref="F194:F223" si="73">H194+J194+L194+N194+P194+R194+T194+V194+X194+Z194</f>
        <v>0</v>
      </c>
      <c r="G194" s="273"/>
      <c r="H194" s="274">
        <f t="shared" ref="H194:H223" si="74">IF($D194=0,0,ROUND(G194/$D194*$C194,2))</f>
        <v>0</v>
      </c>
      <c r="I194" s="273"/>
      <c r="J194" s="274">
        <f t="shared" ref="J194:J223" si="75">IF($D194=0,0,ROUND(I194/$D194*$C194,2))</f>
        <v>0</v>
      </c>
      <c r="K194" s="275"/>
      <c r="L194" s="274">
        <f t="shared" ref="L194:L223" si="76">IF($D194=0,0,ROUND(K194/$D194*$C194,2))</f>
        <v>0</v>
      </c>
      <c r="M194" s="273"/>
      <c r="N194" s="274">
        <f t="shared" ref="N194:N223" si="77">IF($D194=0,0,ROUND(M194/$D194*$C194,2))</f>
        <v>0</v>
      </c>
      <c r="O194" s="273"/>
      <c r="P194" s="274">
        <f t="shared" ref="P194:P223" si="78">IF($D194=0,0,ROUND(O194/$D194*$C194,2))</f>
        <v>0</v>
      </c>
      <c r="Q194" s="273"/>
      <c r="R194" s="274">
        <f t="shared" ref="R194:R223" si="79">IF($D194=0,0,ROUND(Q194/$D194*$C194,2))</f>
        <v>0</v>
      </c>
      <c r="S194" s="273"/>
      <c r="T194" s="274">
        <f t="shared" ref="T194:T223" si="80">IF($D194=0,0,ROUND(S194/$D194*$C194,2))</f>
        <v>0</v>
      </c>
      <c r="U194" s="273"/>
      <c r="V194" s="274">
        <f t="shared" ref="V194:V223" si="81">IF($D194=0,0,ROUND(U194/$D194*$C194,2))</f>
        <v>0</v>
      </c>
      <c r="W194" s="273"/>
      <c r="X194" s="274">
        <f t="shared" ref="X194:X223" si="82">IF($D194=0,0,ROUND(W194/$D194*$C194,2))</f>
        <v>0</v>
      </c>
      <c r="Y194" s="273"/>
      <c r="Z194" s="274">
        <f t="shared" ref="Z194:Z223" si="83">IF($D194=0,0,ROUND(Y194/$D194*$C194,2))</f>
        <v>0</v>
      </c>
      <c r="AA194" s="251">
        <f t="shared" ref="AA194:AA223" si="84">D194-E194</f>
        <v>0</v>
      </c>
    </row>
    <row r="195" customHeight="1" spans="1:27">
      <c r="A195" s="270">
        <v>2</v>
      </c>
      <c r="B195" s="324"/>
      <c r="C195" s="272"/>
      <c r="D195" s="272"/>
      <c r="E195" s="272">
        <f t="shared" si="72"/>
        <v>0</v>
      </c>
      <c r="F195" s="272">
        <f t="shared" si="73"/>
        <v>0</v>
      </c>
      <c r="G195" s="273"/>
      <c r="H195" s="274">
        <f t="shared" si="74"/>
        <v>0</v>
      </c>
      <c r="I195" s="273"/>
      <c r="J195" s="274">
        <f t="shared" si="75"/>
        <v>0</v>
      </c>
      <c r="K195" s="275"/>
      <c r="L195" s="274">
        <f t="shared" si="76"/>
        <v>0</v>
      </c>
      <c r="M195" s="273"/>
      <c r="N195" s="274">
        <f t="shared" si="77"/>
        <v>0</v>
      </c>
      <c r="O195" s="273"/>
      <c r="P195" s="274">
        <f t="shared" si="78"/>
        <v>0</v>
      </c>
      <c r="Q195" s="273"/>
      <c r="R195" s="274">
        <f t="shared" si="79"/>
        <v>0</v>
      </c>
      <c r="S195" s="273"/>
      <c r="T195" s="274">
        <f t="shared" si="80"/>
        <v>0</v>
      </c>
      <c r="U195" s="273"/>
      <c r="V195" s="274">
        <f t="shared" si="81"/>
        <v>0</v>
      </c>
      <c r="W195" s="273"/>
      <c r="X195" s="274">
        <f t="shared" si="82"/>
        <v>0</v>
      </c>
      <c r="Y195" s="273"/>
      <c r="Z195" s="274">
        <f t="shared" si="83"/>
        <v>0</v>
      </c>
      <c r="AA195" s="251">
        <f t="shared" si="84"/>
        <v>0</v>
      </c>
    </row>
    <row r="196" customHeight="1" spans="1:27">
      <c r="A196" s="270">
        <v>3</v>
      </c>
      <c r="B196" s="324"/>
      <c r="C196" s="272"/>
      <c r="D196" s="272"/>
      <c r="E196" s="272">
        <f t="shared" si="72"/>
        <v>0</v>
      </c>
      <c r="F196" s="272">
        <f t="shared" si="73"/>
        <v>0</v>
      </c>
      <c r="G196" s="273"/>
      <c r="H196" s="274">
        <f t="shared" si="74"/>
        <v>0</v>
      </c>
      <c r="I196" s="273"/>
      <c r="J196" s="274">
        <f t="shared" si="75"/>
        <v>0</v>
      </c>
      <c r="K196" s="275"/>
      <c r="L196" s="274">
        <f t="shared" si="76"/>
        <v>0</v>
      </c>
      <c r="M196" s="273"/>
      <c r="N196" s="274">
        <f t="shared" si="77"/>
        <v>0</v>
      </c>
      <c r="O196" s="273"/>
      <c r="P196" s="274">
        <f t="shared" si="78"/>
        <v>0</v>
      </c>
      <c r="Q196" s="273"/>
      <c r="R196" s="274">
        <f t="shared" si="79"/>
        <v>0</v>
      </c>
      <c r="S196" s="273"/>
      <c r="T196" s="274">
        <f t="shared" si="80"/>
        <v>0</v>
      </c>
      <c r="U196" s="273"/>
      <c r="V196" s="274">
        <f t="shared" si="81"/>
        <v>0</v>
      </c>
      <c r="W196" s="273"/>
      <c r="X196" s="274">
        <f t="shared" si="82"/>
        <v>0</v>
      </c>
      <c r="Y196" s="273"/>
      <c r="Z196" s="274">
        <f t="shared" si="83"/>
        <v>0</v>
      </c>
      <c r="AA196" s="251">
        <f t="shared" si="84"/>
        <v>0</v>
      </c>
    </row>
    <row r="197" customHeight="1" spans="1:27">
      <c r="A197" s="270">
        <v>4</v>
      </c>
      <c r="B197" s="324"/>
      <c r="C197" s="272"/>
      <c r="D197" s="272"/>
      <c r="E197" s="272">
        <f t="shared" si="72"/>
        <v>0</v>
      </c>
      <c r="F197" s="272">
        <f t="shared" si="73"/>
        <v>0</v>
      </c>
      <c r="G197" s="273"/>
      <c r="H197" s="274">
        <f t="shared" si="74"/>
        <v>0</v>
      </c>
      <c r="I197" s="273"/>
      <c r="J197" s="274">
        <f t="shared" si="75"/>
        <v>0</v>
      </c>
      <c r="K197" s="275"/>
      <c r="L197" s="274">
        <f t="shared" si="76"/>
        <v>0</v>
      </c>
      <c r="M197" s="273"/>
      <c r="N197" s="274">
        <f t="shared" si="77"/>
        <v>0</v>
      </c>
      <c r="O197" s="273"/>
      <c r="P197" s="274">
        <f t="shared" si="78"/>
        <v>0</v>
      </c>
      <c r="Q197" s="273"/>
      <c r="R197" s="274">
        <f t="shared" si="79"/>
        <v>0</v>
      </c>
      <c r="S197" s="273"/>
      <c r="T197" s="274">
        <f t="shared" si="80"/>
        <v>0</v>
      </c>
      <c r="U197" s="273"/>
      <c r="V197" s="274">
        <f t="shared" si="81"/>
        <v>0</v>
      </c>
      <c r="W197" s="273"/>
      <c r="X197" s="274">
        <f t="shared" si="82"/>
        <v>0</v>
      </c>
      <c r="Y197" s="273"/>
      <c r="Z197" s="274">
        <f t="shared" si="83"/>
        <v>0</v>
      </c>
      <c r="AA197" s="251">
        <f t="shared" si="84"/>
        <v>0</v>
      </c>
    </row>
    <row r="198" customHeight="1" spans="1:27">
      <c r="A198" s="270">
        <v>5</v>
      </c>
      <c r="B198" s="324"/>
      <c r="C198" s="272"/>
      <c r="D198" s="272"/>
      <c r="E198" s="272">
        <f t="shared" si="72"/>
        <v>0</v>
      </c>
      <c r="F198" s="272">
        <f t="shared" si="73"/>
        <v>0</v>
      </c>
      <c r="G198" s="273"/>
      <c r="H198" s="274">
        <f t="shared" si="74"/>
        <v>0</v>
      </c>
      <c r="I198" s="273"/>
      <c r="J198" s="274">
        <f t="shared" si="75"/>
        <v>0</v>
      </c>
      <c r="K198" s="275"/>
      <c r="L198" s="274">
        <f t="shared" si="76"/>
        <v>0</v>
      </c>
      <c r="M198" s="273"/>
      <c r="N198" s="274">
        <f t="shared" si="77"/>
        <v>0</v>
      </c>
      <c r="O198" s="273"/>
      <c r="P198" s="274">
        <f t="shared" si="78"/>
        <v>0</v>
      </c>
      <c r="Q198" s="273"/>
      <c r="R198" s="274">
        <f t="shared" si="79"/>
        <v>0</v>
      </c>
      <c r="S198" s="273"/>
      <c r="T198" s="274">
        <f t="shared" si="80"/>
        <v>0</v>
      </c>
      <c r="U198" s="273"/>
      <c r="V198" s="274">
        <f t="shared" si="81"/>
        <v>0</v>
      </c>
      <c r="W198" s="273"/>
      <c r="X198" s="274">
        <f t="shared" si="82"/>
        <v>0</v>
      </c>
      <c r="Y198" s="273"/>
      <c r="Z198" s="274">
        <f t="shared" si="83"/>
        <v>0</v>
      </c>
      <c r="AA198" s="251">
        <f t="shared" si="84"/>
        <v>0</v>
      </c>
    </row>
    <row r="199" customHeight="1" spans="1:27">
      <c r="A199" s="270">
        <v>6</v>
      </c>
      <c r="B199" s="324"/>
      <c r="C199" s="274"/>
      <c r="D199" s="274"/>
      <c r="E199" s="272">
        <f t="shared" si="72"/>
        <v>0</v>
      </c>
      <c r="F199" s="272">
        <f t="shared" si="73"/>
        <v>0</v>
      </c>
      <c r="G199" s="273"/>
      <c r="H199" s="274">
        <f t="shared" si="74"/>
        <v>0</v>
      </c>
      <c r="I199" s="273"/>
      <c r="J199" s="274">
        <f t="shared" si="75"/>
        <v>0</v>
      </c>
      <c r="K199" s="275"/>
      <c r="L199" s="274">
        <f t="shared" si="76"/>
        <v>0</v>
      </c>
      <c r="M199" s="273"/>
      <c r="N199" s="274">
        <f t="shared" si="77"/>
        <v>0</v>
      </c>
      <c r="O199" s="273"/>
      <c r="P199" s="274">
        <f t="shared" si="78"/>
        <v>0</v>
      </c>
      <c r="Q199" s="273"/>
      <c r="R199" s="274">
        <f t="shared" si="79"/>
        <v>0</v>
      </c>
      <c r="S199" s="273"/>
      <c r="T199" s="274">
        <f t="shared" si="80"/>
        <v>0</v>
      </c>
      <c r="U199" s="273"/>
      <c r="V199" s="274">
        <f t="shared" si="81"/>
        <v>0</v>
      </c>
      <c r="W199" s="273"/>
      <c r="X199" s="274">
        <f t="shared" si="82"/>
        <v>0</v>
      </c>
      <c r="Y199" s="273"/>
      <c r="Z199" s="274">
        <f t="shared" si="83"/>
        <v>0</v>
      </c>
      <c r="AA199" s="251">
        <f t="shared" si="84"/>
        <v>0</v>
      </c>
    </row>
    <row r="200" customHeight="1" spans="1:27">
      <c r="A200" s="270">
        <v>7</v>
      </c>
      <c r="B200" s="324"/>
      <c r="C200" s="274"/>
      <c r="D200" s="274"/>
      <c r="E200" s="272">
        <f t="shared" si="72"/>
        <v>0</v>
      </c>
      <c r="F200" s="272">
        <f t="shared" si="73"/>
        <v>0</v>
      </c>
      <c r="G200" s="273"/>
      <c r="H200" s="274">
        <f t="shared" si="74"/>
        <v>0</v>
      </c>
      <c r="I200" s="273"/>
      <c r="J200" s="274">
        <f t="shared" si="75"/>
        <v>0</v>
      </c>
      <c r="K200" s="275"/>
      <c r="L200" s="274">
        <f t="shared" si="76"/>
        <v>0</v>
      </c>
      <c r="M200" s="273"/>
      <c r="N200" s="274">
        <f t="shared" si="77"/>
        <v>0</v>
      </c>
      <c r="O200" s="273"/>
      <c r="P200" s="274">
        <f t="shared" si="78"/>
        <v>0</v>
      </c>
      <c r="Q200" s="273"/>
      <c r="R200" s="274">
        <f t="shared" si="79"/>
        <v>0</v>
      </c>
      <c r="S200" s="273"/>
      <c r="T200" s="274">
        <f t="shared" si="80"/>
        <v>0</v>
      </c>
      <c r="U200" s="273"/>
      <c r="V200" s="274">
        <f t="shared" si="81"/>
        <v>0</v>
      </c>
      <c r="W200" s="273"/>
      <c r="X200" s="274">
        <f t="shared" si="82"/>
        <v>0</v>
      </c>
      <c r="Y200" s="273"/>
      <c r="Z200" s="274">
        <f t="shared" si="83"/>
        <v>0</v>
      </c>
      <c r="AA200" s="251">
        <f t="shared" si="84"/>
        <v>0</v>
      </c>
    </row>
    <row r="201" customHeight="1" spans="1:27">
      <c r="A201" s="270">
        <v>8</v>
      </c>
      <c r="B201" s="324"/>
      <c r="C201" s="274"/>
      <c r="D201" s="274"/>
      <c r="E201" s="272">
        <f t="shared" si="72"/>
        <v>0</v>
      </c>
      <c r="F201" s="272">
        <f t="shared" si="73"/>
        <v>0</v>
      </c>
      <c r="G201" s="273"/>
      <c r="H201" s="274">
        <f t="shared" si="74"/>
        <v>0</v>
      </c>
      <c r="I201" s="273"/>
      <c r="J201" s="274">
        <f t="shared" si="75"/>
        <v>0</v>
      </c>
      <c r="K201" s="275"/>
      <c r="L201" s="274">
        <f t="shared" si="76"/>
        <v>0</v>
      </c>
      <c r="M201" s="273"/>
      <c r="N201" s="274">
        <f t="shared" si="77"/>
        <v>0</v>
      </c>
      <c r="O201" s="273"/>
      <c r="P201" s="274">
        <f t="shared" si="78"/>
        <v>0</v>
      </c>
      <c r="Q201" s="273"/>
      <c r="R201" s="274">
        <f t="shared" si="79"/>
        <v>0</v>
      </c>
      <c r="S201" s="273"/>
      <c r="T201" s="274">
        <f t="shared" si="80"/>
        <v>0</v>
      </c>
      <c r="U201" s="273"/>
      <c r="V201" s="274">
        <f t="shared" si="81"/>
        <v>0</v>
      </c>
      <c r="W201" s="273"/>
      <c r="X201" s="274">
        <f t="shared" si="82"/>
        <v>0</v>
      </c>
      <c r="Y201" s="273"/>
      <c r="Z201" s="274">
        <f t="shared" si="83"/>
        <v>0</v>
      </c>
      <c r="AA201" s="251">
        <f t="shared" si="84"/>
        <v>0</v>
      </c>
    </row>
    <row r="202" customHeight="1" spans="1:27">
      <c r="A202" s="270">
        <v>9</v>
      </c>
      <c r="B202" s="324"/>
      <c r="C202" s="274"/>
      <c r="D202" s="274"/>
      <c r="E202" s="272">
        <f t="shared" si="72"/>
        <v>0</v>
      </c>
      <c r="F202" s="272">
        <f t="shared" si="73"/>
        <v>0</v>
      </c>
      <c r="G202" s="273"/>
      <c r="H202" s="274">
        <f t="shared" si="74"/>
        <v>0</v>
      </c>
      <c r="I202" s="273"/>
      <c r="J202" s="274">
        <f t="shared" si="75"/>
        <v>0</v>
      </c>
      <c r="K202" s="275"/>
      <c r="L202" s="274">
        <f t="shared" si="76"/>
        <v>0</v>
      </c>
      <c r="M202" s="273"/>
      <c r="N202" s="274">
        <f t="shared" si="77"/>
        <v>0</v>
      </c>
      <c r="O202" s="273"/>
      <c r="P202" s="274">
        <f t="shared" si="78"/>
        <v>0</v>
      </c>
      <c r="Q202" s="273"/>
      <c r="R202" s="274">
        <f t="shared" si="79"/>
        <v>0</v>
      </c>
      <c r="S202" s="273"/>
      <c r="T202" s="274">
        <f t="shared" si="80"/>
        <v>0</v>
      </c>
      <c r="U202" s="273"/>
      <c r="V202" s="274">
        <f t="shared" si="81"/>
        <v>0</v>
      </c>
      <c r="W202" s="273"/>
      <c r="X202" s="274">
        <f t="shared" si="82"/>
        <v>0</v>
      </c>
      <c r="Y202" s="273"/>
      <c r="Z202" s="274">
        <f t="shared" si="83"/>
        <v>0</v>
      </c>
      <c r="AA202" s="251">
        <f t="shared" si="84"/>
        <v>0</v>
      </c>
    </row>
    <row r="203" customHeight="1" spans="1:27">
      <c r="A203" s="270">
        <v>10</v>
      </c>
      <c r="B203" s="270"/>
      <c r="C203" s="274"/>
      <c r="D203" s="274"/>
      <c r="E203" s="272">
        <f t="shared" si="72"/>
        <v>0</v>
      </c>
      <c r="F203" s="272">
        <f t="shared" si="73"/>
        <v>0</v>
      </c>
      <c r="G203" s="273"/>
      <c r="H203" s="274">
        <f t="shared" si="74"/>
        <v>0</v>
      </c>
      <c r="I203" s="273"/>
      <c r="J203" s="274">
        <f t="shared" si="75"/>
        <v>0</v>
      </c>
      <c r="K203" s="275"/>
      <c r="L203" s="274">
        <f t="shared" si="76"/>
        <v>0</v>
      </c>
      <c r="M203" s="273"/>
      <c r="N203" s="274">
        <f t="shared" si="77"/>
        <v>0</v>
      </c>
      <c r="O203" s="273"/>
      <c r="P203" s="274">
        <f t="shared" si="78"/>
        <v>0</v>
      </c>
      <c r="Q203" s="273"/>
      <c r="R203" s="274">
        <f t="shared" si="79"/>
        <v>0</v>
      </c>
      <c r="S203" s="273"/>
      <c r="T203" s="274">
        <f t="shared" si="80"/>
        <v>0</v>
      </c>
      <c r="U203" s="273"/>
      <c r="V203" s="274">
        <f t="shared" si="81"/>
        <v>0</v>
      </c>
      <c r="W203" s="273"/>
      <c r="X203" s="274">
        <f t="shared" si="82"/>
        <v>0</v>
      </c>
      <c r="Y203" s="273"/>
      <c r="Z203" s="274">
        <f t="shared" si="83"/>
        <v>0</v>
      </c>
      <c r="AA203" s="251">
        <f t="shared" si="84"/>
        <v>0</v>
      </c>
    </row>
    <row r="204" customHeight="1" spans="1:27">
      <c r="A204" s="270">
        <v>11</v>
      </c>
      <c r="B204" s="270"/>
      <c r="C204" s="274"/>
      <c r="D204" s="274"/>
      <c r="E204" s="272">
        <f t="shared" si="72"/>
        <v>0</v>
      </c>
      <c r="F204" s="272">
        <f t="shared" si="73"/>
        <v>0</v>
      </c>
      <c r="G204" s="273"/>
      <c r="H204" s="274">
        <f t="shared" si="74"/>
        <v>0</v>
      </c>
      <c r="I204" s="273"/>
      <c r="J204" s="274">
        <f t="shared" si="75"/>
        <v>0</v>
      </c>
      <c r="K204" s="275"/>
      <c r="L204" s="274">
        <f t="shared" si="76"/>
        <v>0</v>
      </c>
      <c r="M204" s="273"/>
      <c r="N204" s="274">
        <f t="shared" si="77"/>
        <v>0</v>
      </c>
      <c r="O204" s="273"/>
      <c r="P204" s="274">
        <f t="shared" si="78"/>
        <v>0</v>
      </c>
      <c r="Q204" s="273"/>
      <c r="R204" s="274">
        <f t="shared" si="79"/>
        <v>0</v>
      </c>
      <c r="S204" s="273"/>
      <c r="T204" s="274">
        <f t="shared" si="80"/>
        <v>0</v>
      </c>
      <c r="U204" s="273"/>
      <c r="V204" s="274">
        <f t="shared" si="81"/>
        <v>0</v>
      </c>
      <c r="W204" s="273"/>
      <c r="X204" s="274">
        <f t="shared" si="82"/>
        <v>0</v>
      </c>
      <c r="Y204" s="273"/>
      <c r="Z204" s="274">
        <f t="shared" si="83"/>
        <v>0</v>
      </c>
      <c r="AA204" s="251">
        <f t="shared" si="84"/>
        <v>0</v>
      </c>
    </row>
    <row r="205" customHeight="1" spans="1:27">
      <c r="A205" s="270">
        <v>12</v>
      </c>
      <c r="B205" s="270"/>
      <c r="C205" s="274"/>
      <c r="D205" s="274"/>
      <c r="E205" s="272">
        <f t="shared" si="72"/>
        <v>0</v>
      </c>
      <c r="F205" s="272">
        <f t="shared" si="73"/>
        <v>0</v>
      </c>
      <c r="G205" s="273"/>
      <c r="H205" s="274">
        <f t="shared" si="74"/>
        <v>0</v>
      </c>
      <c r="I205" s="273"/>
      <c r="J205" s="274">
        <f t="shared" si="75"/>
        <v>0</v>
      </c>
      <c r="K205" s="275"/>
      <c r="L205" s="274">
        <f t="shared" si="76"/>
        <v>0</v>
      </c>
      <c r="M205" s="273"/>
      <c r="N205" s="274">
        <f t="shared" si="77"/>
        <v>0</v>
      </c>
      <c r="O205" s="273"/>
      <c r="P205" s="274">
        <f t="shared" si="78"/>
        <v>0</v>
      </c>
      <c r="Q205" s="273"/>
      <c r="R205" s="274">
        <f t="shared" si="79"/>
        <v>0</v>
      </c>
      <c r="S205" s="273"/>
      <c r="T205" s="274">
        <f t="shared" si="80"/>
        <v>0</v>
      </c>
      <c r="U205" s="273"/>
      <c r="V205" s="274">
        <f t="shared" si="81"/>
        <v>0</v>
      </c>
      <c r="W205" s="273"/>
      <c r="X205" s="274">
        <f t="shared" si="82"/>
        <v>0</v>
      </c>
      <c r="Y205" s="273"/>
      <c r="Z205" s="274">
        <f t="shared" si="83"/>
        <v>0</v>
      </c>
      <c r="AA205" s="251">
        <f t="shared" si="84"/>
        <v>0</v>
      </c>
    </row>
    <row r="206" customHeight="1" spans="1:27">
      <c r="A206" s="270">
        <v>13</v>
      </c>
      <c r="B206" s="270"/>
      <c r="C206" s="274"/>
      <c r="D206" s="274"/>
      <c r="E206" s="272">
        <f t="shared" si="72"/>
        <v>0</v>
      </c>
      <c r="F206" s="272">
        <f t="shared" si="73"/>
        <v>0</v>
      </c>
      <c r="G206" s="273"/>
      <c r="H206" s="274">
        <f t="shared" si="74"/>
        <v>0</v>
      </c>
      <c r="I206" s="273"/>
      <c r="J206" s="274">
        <f t="shared" si="75"/>
        <v>0</v>
      </c>
      <c r="K206" s="275"/>
      <c r="L206" s="274">
        <f t="shared" si="76"/>
        <v>0</v>
      </c>
      <c r="M206" s="273"/>
      <c r="N206" s="274">
        <f t="shared" si="77"/>
        <v>0</v>
      </c>
      <c r="O206" s="273"/>
      <c r="P206" s="274">
        <f t="shared" si="78"/>
        <v>0</v>
      </c>
      <c r="Q206" s="273"/>
      <c r="R206" s="274">
        <f t="shared" si="79"/>
        <v>0</v>
      </c>
      <c r="S206" s="273"/>
      <c r="T206" s="274">
        <f t="shared" si="80"/>
        <v>0</v>
      </c>
      <c r="U206" s="273"/>
      <c r="V206" s="274">
        <f t="shared" si="81"/>
        <v>0</v>
      </c>
      <c r="W206" s="273"/>
      <c r="X206" s="274">
        <f t="shared" si="82"/>
        <v>0</v>
      </c>
      <c r="Y206" s="273"/>
      <c r="Z206" s="274">
        <f t="shared" si="83"/>
        <v>0</v>
      </c>
      <c r="AA206" s="251">
        <f t="shared" si="84"/>
        <v>0</v>
      </c>
    </row>
    <row r="207" customHeight="1" spans="1:27">
      <c r="A207" s="270">
        <v>14</v>
      </c>
      <c r="B207" s="270"/>
      <c r="C207" s="274"/>
      <c r="D207" s="274"/>
      <c r="E207" s="272">
        <f t="shared" si="72"/>
        <v>0</v>
      </c>
      <c r="F207" s="272">
        <f t="shared" si="73"/>
        <v>0</v>
      </c>
      <c r="G207" s="273"/>
      <c r="H207" s="274">
        <f t="shared" si="74"/>
        <v>0</v>
      </c>
      <c r="I207" s="273"/>
      <c r="J207" s="274">
        <f t="shared" si="75"/>
        <v>0</v>
      </c>
      <c r="K207" s="275"/>
      <c r="L207" s="274">
        <f t="shared" si="76"/>
        <v>0</v>
      </c>
      <c r="M207" s="273"/>
      <c r="N207" s="274">
        <f t="shared" si="77"/>
        <v>0</v>
      </c>
      <c r="O207" s="273"/>
      <c r="P207" s="274">
        <f t="shared" si="78"/>
        <v>0</v>
      </c>
      <c r="Q207" s="273"/>
      <c r="R207" s="274">
        <f t="shared" si="79"/>
        <v>0</v>
      </c>
      <c r="S207" s="273"/>
      <c r="T207" s="274">
        <f t="shared" si="80"/>
        <v>0</v>
      </c>
      <c r="U207" s="273"/>
      <c r="V207" s="274">
        <f t="shared" si="81"/>
        <v>0</v>
      </c>
      <c r="W207" s="273"/>
      <c r="X207" s="274">
        <f t="shared" si="82"/>
        <v>0</v>
      </c>
      <c r="Y207" s="273"/>
      <c r="Z207" s="274">
        <f t="shared" si="83"/>
        <v>0</v>
      </c>
      <c r="AA207" s="251">
        <f t="shared" si="84"/>
        <v>0</v>
      </c>
    </row>
    <row r="208" customHeight="1" spans="1:27">
      <c r="A208" s="270">
        <v>15</v>
      </c>
      <c r="B208" s="270"/>
      <c r="C208" s="274"/>
      <c r="D208" s="274"/>
      <c r="E208" s="272">
        <f t="shared" si="72"/>
        <v>0</v>
      </c>
      <c r="F208" s="272">
        <f t="shared" si="73"/>
        <v>0</v>
      </c>
      <c r="G208" s="273"/>
      <c r="H208" s="274">
        <f t="shared" si="74"/>
        <v>0</v>
      </c>
      <c r="I208" s="273"/>
      <c r="J208" s="274">
        <f t="shared" si="75"/>
        <v>0</v>
      </c>
      <c r="K208" s="275"/>
      <c r="L208" s="274">
        <f t="shared" si="76"/>
        <v>0</v>
      </c>
      <c r="M208" s="273"/>
      <c r="N208" s="274">
        <f t="shared" si="77"/>
        <v>0</v>
      </c>
      <c r="O208" s="273"/>
      <c r="P208" s="274">
        <f t="shared" si="78"/>
        <v>0</v>
      </c>
      <c r="Q208" s="273"/>
      <c r="R208" s="274">
        <f t="shared" si="79"/>
        <v>0</v>
      </c>
      <c r="S208" s="273"/>
      <c r="T208" s="274">
        <f t="shared" si="80"/>
        <v>0</v>
      </c>
      <c r="U208" s="273"/>
      <c r="V208" s="274">
        <f t="shared" si="81"/>
        <v>0</v>
      </c>
      <c r="W208" s="273"/>
      <c r="X208" s="274">
        <f t="shared" si="82"/>
        <v>0</v>
      </c>
      <c r="Y208" s="273"/>
      <c r="Z208" s="274">
        <f t="shared" si="83"/>
        <v>0</v>
      </c>
      <c r="AA208" s="251">
        <f t="shared" si="84"/>
        <v>0</v>
      </c>
    </row>
    <row r="209" customHeight="1" spans="1:27">
      <c r="A209" s="270">
        <v>16</v>
      </c>
      <c r="B209" s="270"/>
      <c r="C209" s="274"/>
      <c r="D209" s="274"/>
      <c r="E209" s="272">
        <f t="shared" si="72"/>
        <v>0</v>
      </c>
      <c r="F209" s="272">
        <f t="shared" si="73"/>
        <v>0</v>
      </c>
      <c r="G209" s="273"/>
      <c r="H209" s="274">
        <f t="shared" si="74"/>
        <v>0</v>
      </c>
      <c r="I209" s="273"/>
      <c r="J209" s="274">
        <f t="shared" si="75"/>
        <v>0</v>
      </c>
      <c r="K209" s="275"/>
      <c r="L209" s="274">
        <f t="shared" si="76"/>
        <v>0</v>
      </c>
      <c r="M209" s="273"/>
      <c r="N209" s="274">
        <f t="shared" si="77"/>
        <v>0</v>
      </c>
      <c r="O209" s="273"/>
      <c r="P209" s="274">
        <f t="shared" si="78"/>
        <v>0</v>
      </c>
      <c r="Q209" s="273"/>
      <c r="R209" s="274">
        <f t="shared" si="79"/>
        <v>0</v>
      </c>
      <c r="S209" s="273"/>
      <c r="T209" s="274">
        <f t="shared" si="80"/>
        <v>0</v>
      </c>
      <c r="U209" s="273"/>
      <c r="V209" s="274">
        <f t="shared" si="81"/>
        <v>0</v>
      </c>
      <c r="W209" s="273"/>
      <c r="X209" s="274">
        <f t="shared" si="82"/>
        <v>0</v>
      </c>
      <c r="Y209" s="273"/>
      <c r="Z209" s="274">
        <f t="shared" si="83"/>
        <v>0</v>
      </c>
      <c r="AA209" s="251">
        <f t="shared" si="84"/>
        <v>0</v>
      </c>
    </row>
    <row r="210" customHeight="1" spans="1:27">
      <c r="A210" s="270">
        <v>17</v>
      </c>
      <c r="B210" s="270"/>
      <c r="C210" s="274"/>
      <c r="D210" s="274"/>
      <c r="E210" s="272">
        <f t="shared" si="72"/>
        <v>0</v>
      </c>
      <c r="F210" s="272">
        <f t="shared" si="73"/>
        <v>0</v>
      </c>
      <c r="G210" s="273"/>
      <c r="H210" s="274">
        <f t="shared" si="74"/>
        <v>0</v>
      </c>
      <c r="I210" s="273"/>
      <c r="J210" s="274">
        <f t="shared" si="75"/>
        <v>0</v>
      </c>
      <c r="K210" s="275"/>
      <c r="L210" s="274">
        <f t="shared" si="76"/>
        <v>0</v>
      </c>
      <c r="M210" s="273"/>
      <c r="N210" s="274">
        <f t="shared" si="77"/>
        <v>0</v>
      </c>
      <c r="O210" s="273"/>
      <c r="P210" s="274">
        <f t="shared" si="78"/>
        <v>0</v>
      </c>
      <c r="Q210" s="273"/>
      <c r="R210" s="274">
        <f t="shared" si="79"/>
        <v>0</v>
      </c>
      <c r="S210" s="273"/>
      <c r="T210" s="274">
        <f t="shared" si="80"/>
        <v>0</v>
      </c>
      <c r="U210" s="273"/>
      <c r="V210" s="274">
        <f t="shared" si="81"/>
        <v>0</v>
      </c>
      <c r="W210" s="273"/>
      <c r="X210" s="274">
        <f t="shared" si="82"/>
        <v>0</v>
      </c>
      <c r="Y210" s="273"/>
      <c r="Z210" s="274">
        <f t="shared" si="83"/>
        <v>0</v>
      </c>
      <c r="AA210" s="251">
        <f t="shared" si="84"/>
        <v>0</v>
      </c>
    </row>
    <row r="211" customHeight="1" spans="1:27">
      <c r="A211" s="270">
        <v>18</v>
      </c>
      <c r="B211" s="270"/>
      <c r="C211" s="274"/>
      <c r="D211" s="274"/>
      <c r="E211" s="272">
        <f t="shared" si="72"/>
        <v>0</v>
      </c>
      <c r="F211" s="272">
        <f t="shared" si="73"/>
        <v>0</v>
      </c>
      <c r="G211" s="273"/>
      <c r="H211" s="274">
        <f t="shared" si="74"/>
        <v>0</v>
      </c>
      <c r="I211" s="273"/>
      <c r="J211" s="274">
        <f t="shared" si="75"/>
        <v>0</v>
      </c>
      <c r="K211" s="275"/>
      <c r="L211" s="274">
        <f t="shared" si="76"/>
        <v>0</v>
      </c>
      <c r="M211" s="273"/>
      <c r="N211" s="274">
        <f t="shared" si="77"/>
        <v>0</v>
      </c>
      <c r="O211" s="273"/>
      <c r="P211" s="274">
        <f t="shared" si="78"/>
        <v>0</v>
      </c>
      <c r="Q211" s="273"/>
      <c r="R211" s="274">
        <f t="shared" si="79"/>
        <v>0</v>
      </c>
      <c r="S211" s="273"/>
      <c r="T211" s="274">
        <f t="shared" si="80"/>
        <v>0</v>
      </c>
      <c r="U211" s="273"/>
      <c r="V211" s="274">
        <f t="shared" si="81"/>
        <v>0</v>
      </c>
      <c r="W211" s="273"/>
      <c r="X211" s="274">
        <f t="shared" si="82"/>
        <v>0</v>
      </c>
      <c r="Y211" s="273"/>
      <c r="Z211" s="274">
        <f t="shared" si="83"/>
        <v>0</v>
      </c>
      <c r="AA211" s="251">
        <f t="shared" si="84"/>
        <v>0</v>
      </c>
    </row>
    <row r="212" customHeight="1" spans="1:27">
      <c r="A212" s="270">
        <v>19</v>
      </c>
      <c r="B212" s="270"/>
      <c r="C212" s="274"/>
      <c r="D212" s="274"/>
      <c r="E212" s="272">
        <f t="shared" si="72"/>
        <v>0</v>
      </c>
      <c r="F212" s="272">
        <f t="shared" si="73"/>
        <v>0</v>
      </c>
      <c r="G212" s="273"/>
      <c r="H212" s="274">
        <f t="shared" si="74"/>
        <v>0</v>
      </c>
      <c r="I212" s="273"/>
      <c r="J212" s="274">
        <f t="shared" si="75"/>
        <v>0</v>
      </c>
      <c r="K212" s="275"/>
      <c r="L212" s="274">
        <f t="shared" si="76"/>
        <v>0</v>
      </c>
      <c r="M212" s="273"/>
      <c r="N212" s="274">
        <f t="shared" si="77"/>
        <v>0</v>
      </c>
      <c r="O212" s="273"/>
      <c r="P212" s="274">
        <f t="shared" si="78"/>
        <v>0</v>
      </c>
      <c r="Q212" s="273"/>
      <c r="R212" s="274">
        <f t="shared" si="79"/>
        <v>0</v>
      </c>
      <c r="S212" s="273"/>
      <c r="T212" s="274">
        <f t="shared" si="80"/>
        <v>0</v>
      </c>
      <c r="U212" s="273"/>
      <c r="V212" s="274">
        <f t="shared" si="81"/>
        <v>0</v>
      </c>
      <c r="W212" s="273"/>
      <c r="X212" s="274">
        <f t="shared" si="82"/>
        <v>0</v>
      </c>
      <c r="Y212" s="273"/>
      <c r="Z212" s="274">
        <f t="shared" si="83"/>
        <v>0</v>
      </c>
      <c r="AA212" s="251">
        <f t="shared" si="84"/>
        <v>0</v>
      </c>
    </row>
    <row r="213" customHeight="1" spans="1:27">
      <c r="A213" s="270">
        <v>20</v>
      </c>
      <c r="B213" s="270"/>
      <c r="C213" s="274"/>
      <c r="D213" s="274"/>
      <c r="E213" s="272">
        <f t="shared" si="72"/>
        <v>0</v>
      </c>
      <c r="F213" s="272">
        <f t="shared" si="73"/>
        <v>0</v>
      </c>
      <c r="G213" s="273"/>
      <c r="H213" s="274">
        <f t="shared" si="74"/>
        <v>0</v>
      </c>
      <c r="I213" s="273"/>
      <c r="J213" s="274">
        <f t="shared" si="75"/>
        <v>0</v>
      </c>
      <c r="K213" s="275"/>
      <c r="L213" s="274">
        <f t="shared" si="76"/>
        <v>0</v>
      </c>
      <c r="M213" s="273"/>
      <c r="N213" s="274">
        <f t="shared" si="77"/>
        <v>0</v>
      </c>
      <c r="O213" s="273"/>
      <c r="P213" s="274">
        <f t="shared" si="78"/>
        <v>0</v>
      </c>
      <c r="Q213" s="273"/>
      <c r="R213" s="274">
        <f t="shared" si="79"/>
        <v>0</v>
      </c>
      <c r="S213" s="273"/>
      <c r="T213" s="274">
        <f t="shared" si="80"/>
        <v>0</v>
      </c>
      <c r="U213" s="273"/>
      <c r="V213" s="274">
        <f t="shared" si="81"/>
        <v>0</v>
      </c>
      <c r="W213" s="273"/>
      <c r="X213" s="274">
        <f t="shared" si="82"/>
        <v>0</v>
      </c>
      <c r="Y213" s="273"/>
      <c r="Z213" s="274">
        <f t="shared" si="83"/>
        <v>0</v>
      </c>
      <c r="AA213" s="251">
        <f t="shared" si="84"/>
        <v>0</v>
      </c>
    </row>
    <row r="214" customHeight="1" spans="1:27">
      <c r="A214" s="270">
        <v>21</v>
      </c>
      <c r="B214" s="270"/>
      <c r="C214" s="274"/>
      <c r="D214" s="274"/>
      <c r="E214" s="272">
        <f t="shared" si="72"/>
        <v>0</v>
      </c>
      <c r="F214" s="272">
        <f t="shared" si="73"/>
        <v>0</v>
      </c>
      <c r="G214" s="273"/>
      <c r="H214" s="274">
        <f t="shared" si="74"/>
        <v>0</v>
      </c>
      <c r="I214" s="273"/>
      <c r="J214" s="274">
        <f t="shared" si="75"/>
        <v>0</v>
      </c>
      <c r="K214" s="275"/>
      <c r="L214" s="274">
        <f t="shared" si="76"/>
        <v>0</v>
      </c>
      <c r="M214" s="273"/>
      <c r="N214" s="274">
        <f t="shared" si="77"/>
        <v>0</v>
      </c>
      <c r="O214" s="273"/>
      <c r="P214" s="274">
        <f t="shared" si="78"/>
        <v>0</v>
      </c>
      <c r="Q214" s="273"/>
      <c r="R214" s="274">
        <f t="shared" si="79"/>
        <v>0</v>
      </c>
      <c r="S214" s="273"/>
      <c r="T214" s="274">
        <f t="shared" si="80"/>
        <v>0</v>
      </c>
      <c r="U214" s="273"/>
      <c r="V214" s="274">
        <f t="shared" si="81"/>
        <v>0</v>
      </c>
      <c r="W214" s="273"/>
      <c r="X214" s="274">
        <f t="shared" si="82"/>
        <v>0</v>
      </c>
      <c r="Y214" s="273"/>
      <c r="Z214" s="274">
        <f t="shared" si="83"/>
        <v>0</v>
      </c>
      <c r="AA214" s="251">
        <f t="shared" si="84"/>
        <v>0</v>
      </c>
    </row>
    <row r="215" customHeight="1" spans="1:27">
      <c r="A215" s="270">
        <v>22</v>
      </c>
      <c r="B215" s="270"/>
      <c r="C215" s="274"/>
      <c r="D215" s="274"/>
      <c r="E215" s="272">
        <f t="shared" si="72"/>
        <v>0</v>
      </c>
      <c r="F215" s="272">
        <f t="shared" si="73"/>
        <v>0</v>
      </c>
      <c r="G215" s="273"/>
      <c r="H215" s="274">
        <f t="shared" si="74"/>
        <v>0</v>
      </c>
      <c r="I215" s="273"/>
      <c r="J215" s="274">
        <f t="shared" si="75"/>
        <v>0</v>
      </c>
      <c r="K215" s="275"/>
      <c r="L215" s="274">
        <f t="shared" si="76"/>
        <v>0</v>
      </c>
      <c r="M215" s="273"/>
      <c r="N215" s="274">
        <f t="shared" si="77"/>
        <v>0</v>
      </c>
      <c r="O215" s="273"/>
      <c r="P215" s="274">
        <f t="shared" si="78"/>
        <v>0</v>
      </c>
      <c r="Q215" s="273"/>
      <c r="R215" s="274">
        <f t="shared" si="79"/>
        <v>0</v>
      </c>
      <c r="S215" s="273"/>
      <c r="T215" s="274">
        <f t="shared" si="80"/>
        <v>0</v>
      </c>
      <c r="U215" s="273"/>
      <c r="V215" s="274">
        <f t="shared" si="81"/>
        <v>0</v>
      </c>
      <c r="W215" s="273"/>
      <c r="X215" s="274">
        <f t="shared" si="82"/>
        <v>0</v>
      </c>
      <c r="Y215" s="273"/>
      <c r="Z215" s="274">
        <f t="shared" si="83"/>
        <v>0</v>
      </c>
      <c r="AA215" s="251">
        <f t="shared" si="84"/>
        <v>0</v>
      </c>
    </row>
    <row r="216" customHeight="1" spans="1:27">
      <c r="A216" s="270">
        <v>23</v>
      </c>
      <c r="B216" s="270"/>
      <c r="C216" s="274"/>
      <c r="D216" s="274"/>
      <c r="E216" s="272">
        <f t="shared" si="72"/>
        <v>0</v>
      </c>
      <c r="F216" s="272">
        <f t="shared" si="73"/>
        <v>0</v>
      </c>
      <c r="G216" s="273"/>
      <c r="H216" s="274">
        <f t="shared" si="74"/>
        <v>0</v>
      </c>
      <c r="I216" s="273"/>
      <c r="J216" s="274">
        <f t="shared" si="75"/>
        <v>0</v>
      </c>
      <c r="K216" s="275"/>
      <c r="L216" s="274">
        <f t="shared" si="76"/>
        <v>0</v>
      </c>
      <c r="M216" s="273"/>
      <c r="N216" s="274">
        <f t="shared" si="77"/>
        <v>0</v>
      </c>
      <c r="O216" s="273"/>
      <c r="P216" s="274">
        <f t="shared" si="78"/>
        <v>0</v>
      </c>
      <c r="Q216" s="273"/>
      <c r="R216" s="274">
        <f t="shared" si="79"/>
        <v>0</v>
      </c>
      <c r="S216" s="273"/>
      <c r="T216" s="274">
        <f t="shared" si="80"/>
        <v>0</v>
      </c>
      <c r="U216" s="273"/>
      <c r="V216" s="274">
        <f t="shared" si="81"/>
        <v>0</v>
      </c>
      <c r="W216" s="273"/>
      <c r="X216" s="274">
        <f t="shared" si="82"/>
        <v>0</v>
      </c>
      <c r="Y216" s="273"/>
      <c r="Z216" s="274">
        <f t="shared" si="83"/>
        <v>0</v>
      </c>
      <c r="AA216" s="251">
        <f t="shared" si="84"/>
        <v>0</v>
      </c>
    </row>
    <row r="217" customHeight="1" spans="1:27">
      <c r="A217" s="270">
        <v>25</v>
      </c>
      <c r="B217" s="270"/>
      <c r="C217" s="274"/>
      <c r="D217" s="274"/>
      <c r="E217" s="272">
        <f t="shared" si="72"/>
        <v>0</v>
      </c>
      <c r="F217" s="272">
        <f t="shared" si="73"/>
        <v>0</v>
      </c>
      <c r="G217" s="273"/>
      <c r="H217" s="274">
        <f t="shared" si="74"/>
        <v>0</v>
      </c>
      <c r="I217" s="273"/>
      <c r="J217" s="274">
        <f t="shared" si="75"/>
        <v>0</v>
      </c>
      <c r="K217" s="275"/>
      <c r="L217" s="274">
        <f t="shared" si="76"/>
        <v>0</v>
      </c>
      <c r="M217" s="273"/>
      <c r="N217" s="274">
        <f t="shared" si="77"/>
        <v>0</v>
      </c>
      <c r="O217" s="273"/>
      <c r="P217" s="274">
        <f t="shared" si="78"/>
        <v>0</v>
      </c>
      <c r="Q217" s="273"/>
      <c r="R217" s="274">
        <f t="shared" si="79"/>
        <v>0</v>
      </c>
      <c r="S217" s="273"/>
      <c r="T217" s="274">
        <f t="shared" si="80"/>
        <v>0</v>
      </c>
      <c r="U217" s="273"/>
      <c r="V217" s="274">
        <f t="shared" si="81"/>
        <v>0</v>
      </c>
      <c r="W217" s="273"/>
      <c r="X217" s="274">
        <f t="shared" si="82"/>
        <v>0</v>
      </c>
      <c r="Y217" s="273"/>
      <c r="Z217" s="274">
        <f t="shared" si="83"/>
        <v>0</v>
      </c>
      <c r="AA217" s="251">
        <f t="shared" si="84"/>
        <v>0</v>
      </c>
    </row>
    <row r="218" customHeight="1" spans="1:27">
      <c r="A218" s="270">
        <v>25</v>
      </c>
      <c r="B218" s="270"/>
      <c r="C218" s="274"/>
      <c r="D218" s="274"/>
      <c r="E218" s="272">
        <f t="shared" si="72"/>
        <v>0</v>
      </c>
      <c r="F218" s="272">
        <f t="shared" si="73"/>
        <v>0</v>
      </c>
      <c r="G218" s="273"/>
      <c r="H218" s="274">
        <f t="shared" si="74"/>
        <v>0</v>
      </c>
      <c r="I218" s="273"/>
      <c r="J218" s="274">
        <f t="shared" si="75"/>
        <v>0</v>
      </c>
      <c r="K218" s="275"/>
      <c r="L218" s="274">
        <f t="shared" si="76"/>
        <v>0</v>
      </c>
      <c r="M218" s="273"/>
      <c r="N218" s="274">
        <f t="shared" si="77"/>
        <v>0</v>
      </c>
      <c r="O218" s="273"/>
      <c r="P218" s="274">
        <f t="shared" si="78"/>
        <v>0</v>
      </c>
      <c r="Q218" s="273"/>
      <c r="R218" s="274">
        <f t="shared" si="79"/>
        <v>0</v>
      </c>
      <c r="S218" s="273"/>
      <c r="T218" s="274">
        <f t="shared" si="80"/>
        <v>0</v>
      </c>
      <c r="U218" s="273"/>
      <c r="V218" s="274">
        <f t="shared" si="81"/>
        <v>0</v>
      </c>
      <c r="W218" s="273"/>
      <c r="X218" s="274">
        <f t="shared" si="82"/>
        <v>0</v>
      </c>
      <c r="Y218" s="273"/>
      <c r="Z218" s="274">
        <f t="shared" si="83"/>
        <v>0</v>
      </c>
      <c r="AA218" s="251">
        <f t="shared" si="84"/>
        <v>0</v>
      </c>
    </row>
    <row r="219" customHeight="1" spans="1:27">
      <c r="A219" s="270">
        <v>26</v>
      </c>
      <c r="B219" s="270"/>
      <c r="C219" s="274"/>
      <c r="D219" s="274"/>
      <c r="E219" s="272">
        <f t="shared" si="72"/>
        <v>0</v>
      </c>
      <c r="F219" s="272">
        <f t="shared" si="73"/>
        <v>0</v>
      </c>
      <c r="G219" s="273"/>
      <c r="H219" s="274">
        <f t="shared" si="74"/>
        <v>0</v>
      </c>
      <c r="I219" s="273"/>
      <c r="J219" s="274">
        <f t="shared" si="75"/>
        <v>0</v>
      </c>
      <c r="K219" s="275"/>
      <c r="L219" s="274">
        <f t="shared" si="76"/>
        <v>0</v>
      </c>
      <c r="M219" s="273"/>
      <c r="N219" s="274">
        <f t="shared" si="77"/>
        <v>0</v>
      </c>
      <c r="O219" s="273"/>
      <c r="P219" s="274">
        <f t="shared" si="78"/>
        <v>0</v>
      </c>
      <c r="Q219" s="273"/>
      <c r="R219" s="274">
        <f t="shared" si="79"/>
        <v>0</v>
      </c>
      <c r="S219" s="273"/>
      <c r="T219" s="274">
        <f t="shared" si="80"/>
        <v>0</v>
      </c>
      <c r="U219" s="273"/>
      <c r="V219" s="274">
        <f t="shared" si="81"/>
        <v>0</v>
      </c>
      <c r="W219" s="273"/>
      <c r="X219" s="274">
        <f t="shared" si="82"/>
        <v>0</v>
      </c>
      <c r="Y219" s="273"/>
      <c r="Z219" s="274">
        <f t="shared" si="83"/>
        <v>0</v>
      </c>
      <c r="AA219" s="251">
        <f t="shared" si="84"/>
        <v>0</v>
      </c>
    </row>
    <row r="220" customHeight="1" spans="1:27">
      <c r="A220" s="270">
        <v>27</v>
      </c>
      <c r="B220" s="270"/>
      <c r="C220" s="274"/>
      <c r="D220" s="274"/>
      <c r="E220" s="272">
        <f t="shared" si="72"/>
        <v>0</v>
      </c>
      <c r="F220" s="272">
        <f t="shared" si="73"/>
        <v>0</v>
      </c>
      <c r="G220" s="273"/>
      <c r="H220" s="274">
        <f t="shared" si="74"/>
        <v>0</v>
      </c>
      <c r="I220" s="273"/>
      <c r="J220" s="274">
        <f t="shared" si="75"/>
        <v>0</v>
      </c>
      <c r="K220" s="275"/>
      <c r="L220" s="274">
        <f t="shared" si="76"/>
        <v>0</v>
      </c>
      <c r="M220" s="273"/>
      <c r="N220" s="274">
        <f t="shared" si="77"/>
        <v>0</v>
      </c>
      <c r="O220" s="273"/>
      <c r="P220" s="274">
        <f t="shared" si="78"/>
        <v>0</v>
      </c>
      <c r="Q220" s="273"/>
      <c r="R220" s="274">
        <f t="shared" si="79"/>
        <v>0</v>
      </c>
      <c r="S220" s="273"/>
      <c r="T220" s="274">
        <f t="shared" si="80"/>
        <v>0</v>
      </c>
      <c r="U220" s="273"/>
      <c r="V220" s="274">
        <f t="shared" si="81"/>
        <v>0</v>
      </c>
      <c r="W220" s="273"/>
      <c r="X220" s="274">
        <f t="shared" si="82"/>
        <v>0</v>
      </c>
      <c r="Y220" s="273"/>
      <c r="Z220" s="274">
        <f t="shared" si="83"/>
        <v>0</v>
      </c>
      <c r="AA220" s="251">
        <f t="shared" si="84"/>
        <v>0</v>
      </c>
    </row>
    <row r="221" customHeight="1" spans="1:27">
      <c r="A221" s="270">
        <v>28</v>
      </c>
      <c r="B221" s="270"/>
      <c r="C221" s="274"/>
      <c r="D221" s="274"/>
      <c r="E221" s="272">
        <f t="shared" si="72"/>
        <v>0</v>
      </c>
      <c r="F221" s="272">
        <f t="shared" si="73"/>
        <v>0</v>
      </c>
      <c r="G221" s="273"/>
      <c r="H221" s="274">
        <f t="shared" si="74"/>
        <v>0</v>
      </c>
      <c r="I221" s="273"/>
      <c r="J221" s="274">
        <f t="shared" si="75"/>
        <v>0</v>
      </c>
      <c r="K221" s="275"/>
      <c r="L221" s="274">
        <f t="shared" si="76"/>
        <v>0</v>
      </c>
      <c r="M221" s="273"/>
      <c r="N221" s="274">
        <f t="shared" si="77"/>
        <v>0</v>
      </c>
      <c r="O221" s="273"/>
      <c r="P221" s="274">
        <f t="shared" si="78"/>
        <v>0</v>
      </c>
      <c r="Q221" s="273"/>
      <c r="R221" s="274">
        <f t="shared" si="79"/>
        <v>0</v>
      </c>
      <c r="S221" s="273"/>
      <c r="T221" s="274">
        <f t="shared" si="80"/>
        <v>0</v>
      </c>
      <c r="U221" s="273"/>
      <c r="V221" s="274">
        <f t="shared" si="81"/>
        <v>0</v>
      </c>
      <c r="W221" s="273"/>
      <c r="X221" s="274">
        <f t="shared" si="82"/>
        <v>0</v>
      </c>
      <c r="Y221" s="273"/>
      <c r="Z221" s="274">
        <f t="shared" si="83"/>
        <v>0</v>
      </c>
      <c r="AA221" s="251">
        <f t="shared" si="84"/>
        <v>0</v>
      </c>
    </row>
    <row r="222" customHeight="1" spans="1:27">
      <c r="A222" s="270">
        <v>29</v>
      </c>
      <c r="B222" s="270"/>
      <c r="C222" s="274"/>
      <c r="D222" s="274"/>
      <c r="E222" s="272">
        <f t="shared" si="72"/>
        <v>0</v>
      </c>
      <c r="F222" s="272">
        <f t="shared" si="73"/>
        <v>0</v>
      </c>
      <c r="G222" s="273"/>
      <c r="H222" s="274">
        <f t="shared" si="74"/>
        <v>0</v>
      </c>
      <c r="I222" s="273"/>
      <c r="J222" s="274">
        <f t="shared" si="75"/>
        <v>0</v>
      </c>
      <c r="K222" s="275"/>
      <c r="L222" s="274">
        <f t="shared" si="76"/>
        <v>0</v>
      </c>
      <c r="M222" s="273"/>
      <c r="N222" s="274">
        <f t="shared" si="77"/>
        <v>0</v>
      </c>
      <c r="O222" s="273"/>
      <c r="P222" s="274">
        <f t="shared" si="78"/>
        <v>0</v>
      </c>
      <c r="Q222" s="273"/>
      <c r="R222" s="274">
        <f t="shared" si="79"/>
        <v>0</v>
      </c>
      <c r="S222" s="273"/>
      <c r="T222" s="274">
        <f t="shared" si="80"/>
        <v>0</v>
      </c>
      <c r="U222" s="273"/>
      <c r="V222" s="274">
        <f t="shared" si="81"/>
        <v>0</v>
      </c>
      <c r="W222" s="273"/>
      <c r="X222" s="274">
        <f t="shared" si="82"/>
        <v>0</v>
      </c>
      <c r="Y222" s="273"/>
      <c r="Z222" s="274">
        <f t="shared" si="83"/>
        <v>0</v>
      </c>
      <c r="AA222" s="251">
        <f t="shared" si="84"/>
        <v>0</v>
      </c>
    </row>
    <row r="223" customHeight="1" spans="1:27">
      <c r="A223" s="270">
        <v>30</v>
      </c>
      <c r="B223" s="270"/>
      <c r="C223" s="274"/>
      <c r="D223" s="274"/>
      <c r="E223" s="272">
        <f t="shared" si="72"/>
        <v>0</v>
      </c>
      <c r="F223" s="272">
        <f t="shared" si="73"/>
        <v>0</v>
      </c>
      <c r="G223" s="273"/>
      <c r="H223" s="274">
        <f t="shared" si="74"/>
        <v>0</v>
      </c>
      <c r="I223" s="273"/>
      <c r="J223" s="274">
        <f t="shared" si="75"/>
        <v>0</v>
      </c>
      <c r="K223" s="275"/>
      <c r="L223" s="274">
        <f t="shared" si="76"/>
        <v>0</v>
      </c>
      <c r="M223" s="273"/>
      <c r="N223" s="274">
        <f t="shared" si="77"/>
        <v>0</v>
      </c>
      <c r="O223" s="273"/>
      <c r="P223" s="274">
        <f t="shared" si="78"/>
        <v>0</v>
      </c>
      <c r="Q223" s="273"/>
      <c r="R223" s="274">
        <f t="shared" si="79"/>
        <v>0</v>
      </c>
      <c r="S223" s="273"/>
      <c r="T223" s="274">
        <f t="shared" si="80"/>
        <v>0</v>
      </c>
      <c r="U223" s="273"/>
      <c r="V223" s="274">
        <f t="shared" si="81"/>
        <v>0</v>
      </c>
      <c r="W223" s="273"/>
      <c r="X223" s="274">
        <f t="shared" si="82"/>
        <v>0</v>
      </c>
      <c r="Y223" s="273"/>
      <c r="Z223" s="274">
        <f t="shared" si="83"/>
        <v>0</v>
      </c>
      <c r="AA223" s="251">
        <f t="shared" si="84"/>
        <v>0</v>
      </c>
    </row>
    <row r="224" customHeight="1" spans="1:27">
      <c r="A224" s="276" t="s">
        <v>22</v>
      </c>
      <c r="B224" s="277"/>
      <c r="C224" s="261">
        <f t="shared" ref="C224:Z224" si="85">SUM(C194:C223)</f>
        <v>0</v>
      </c>
      <c r="D224" s="261">
        <f t="shared" si="85"/>
        <v>0</v>
      </c>
      <c r="E224" s="261">
        <f t="shared" si="85"/>
        <v>0</v>
      </c>
      <c r="F224" s="272">
        <f t="shared" si="85"/>
        <v>0</v>
      </c>
      <c r="G224" s="261">
        <f t="shared" si="85"/>
        <v>0</v>
      </c>
      <c r="H224" s="273">
        <f t="shared" si="85"/>
        <v>0</v>
      </c>
      <c r="I224" s="273">
        <f t="shared" si="85"/>
        <v>0</v>
      </c>
      <c r="J224" s="273">
        <f t="shared" si="85"/>
        <v>0</v>
      </c>
      <c r="K224" s="273">
        <f t="shared" si="85"/>
        <v>0</v>
      </c>
      <c r="L224" s="273">
        <f t="shared" si="85"/>
        <v>0</v>
      </c>
      <c r="M224" s="273">
        <f t="shared" si="85"/>
        <v>0</v>
      </c>
      <c r="N224" s="273">
        <f t="shared" si="85"/>
        <v>0</v>
      </c>
      <c r="O224" s="273">
        <f t="shared" si="85"/>
        <v>0</v>
      </c>
      <c r="P224" s="273">
        <f t="shared" si="85"/>
        <v>0</v>
      </c>
      <c r="Q224" s="273">
        <f t="shared" si="85"/>
        <v>0</v>
      </c>
      <c r="R224" s="273">
        <f t="shared" si="85"/>
        <v>0</v>
      </c>
      <c r="S224" s="273">
        <f t="shared" si="85"/>
        <v>0</v>
      </c>
      <c r="T224" s="273">
        <f t="shared" si="85"/>
        <v>0</v>
      </c>
      <c r="U224" s="273">
        <f t="shared" si="85"/>
        <v>0</v>
      </c>
      <c r="V224" s="273">
        <f t="shared" si="85"/>
        <v>0</v>
      </c>
      <c r="W224" s="273">
        <f t="shared" si="85"/>
        <v>0</v>
      </c>
      <c r="X224" s="273">
        <f t="shared" si="85"/>
        <v>0</v>
      </c>
      <c r="Y224" s="273">
        <f t="shared" si="85"/>
        <v>0</v>
      </c>
      <c r="Z224" s="273">
        <f t="shared" si="85"/>
        <v>0</v>
      </c>
    </row>
    <row r="227" customHeight="1" spans="1:27">
      <c r="B227" s="257" t="s">
        <v>60</v>
      </c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</row>
    <row r="229" customHeight="1" spans="1:27">
      <c r="A229" s="259" t="s">
        <v>31</v>
      </c>
      <c r="B229" s="260" t="s">
        <v>32</v>
      </c>
      <c r="C229" s="261" t="s">
        <v>33</v>
      </c>
      <c r="D229" s="261" t="s">
        <v>34</v>
      </c>
      <c r="E229" s="262" t="s">
        <v>35</v>
      </c>
      <c r="F229" s="262" t="s">
        <v>36</v>
      </c>
      <c r="G229" s="263" t="str">
        <f>立项!$A$3</f>
        <v>RD01</v>
      </c>
      <c r="H229" s="264"/>
      <c r="I229" s="264" t="str">
        <f>立项!$A$4</f>
        <v>RD02</v>
      </c>
      <c r="J229" s="264"/>
      <c r="K229" s="264" t="str">
        <f>立项!$A$5</f>
        <v>RD03</v>
      </c>
      <c r="L229" s="264"/>
      <c r="M229" s="264" t="str">
        <f>立项!$A$6</f>
        <v>RD04</v>
      </c>
      <c r="N229" s="264"/>
      <c r="O229" s="264" t="str">
        <f>立项!$A$7</f>
        <v>RD05</v>
      </c>
      <c r="P229" s="264"/>
      <c r="Q229" s="264" t="str">
        <f>立项!$A$8</f>
        <v>RD06</v>
      </c>
      <c r="R229" s="264"/>
      <c r="S229" s="264" t="str">
        <f>立项!$A$9</f>
        <v>RD07</v>
      </c>
      <c r="T229" s="264"/>
      <c r="U229" s="264" t="str">
        <f>立项!$A$10</f>
        <v>RD08</v>
      </c>
      <c r="V229" s="264"/>
      <c r="W229" s="264" t="str">
        <f>立项!$A$11</f>
        <v>RD09</v>
      </c>
      <c r="X229" s="264"/>
      <c r="Y229" s="264" t="str">
        <f>立项!$A$12</f>
        <v>RD10</v>
      </c>
      <c r="Z229" s="264"/>
    </row>
    <row r="230" customHeight="1" spans="1:27">
      <c r="A230" s="265"/>
      <c r="B230" s="260"/>
      <c r="C230" s="261"/>
      <c r="D230" s="261"/>
      <c r="E230" s="262"/>
      <c r="F230" s="262"/>
      <c r="G230" s="267">
        <f>立项!C3</f>
        <v>0</v>
      </c>
      <c r="H230" s="263"/>
      <c r="I230" s="267">
        <f>立项!C4</f>
        <v>0</v>
      </c>
      <c r="J230" s="263"/>
      <c r="K230" s="267">
        <f>立项!C5</f>
        <v>0</v>
      </c>
      <c r="L230" s="263"/>
      <c r="M230" s="267">
        <f>立项!C6</f>
        <v>0</v>
      </c>
      <c r="N230" s="263"/>
      <c r="O230" s="267">
        <f>立项!C7</f>
        <v>0</v>
      </c>
      <c r="P230" s="263"/>
      <c r="Q230" s="267">
        <f>立项!C8</f>
        <v>0</v>
      </c>
      <c r="R230" s="263"/>
      <c r="S230" s="267">
        <f>立项!C9</f>
        <v>0</v>
      </c>
      <c r="T230" s="263"/>
      <c r="U230" s="267">
        <f>立项!C10</f>
        <v>0</v>
      </c>
      <c r="V230" s="263"/>
      <c r="W230" s="267">
        <f>立项!C11</f>
        <v>0</v>
      </c>
      <c r="X230" s="263"/>
      <c r="Y230" s="264">
        <f>立项!C12</f>
        <v>0</v>
      </c>
      <c r="Z230" s="264"/>
    </row>
    <row r="231" customHeight="1" spans="1:27">
      <c r="A231" s="268"/>
      <c r="B231" s="260"/>
      <c r="C231" s="261"/>
      <c r="D231" s="261"/>
      <c r="E231" s="262"/>
      <c r="F231" s="262"/>
      <c r="G231" s="264" t="s">
        <v>39</v>
      </c>
      <c r="H231" s="269" t="s">
        <v>40</v>
      </c>
      <c r="I231" s="264" t="s">
        <v>39</v>
      </c>
      <c r="J231" s="269" t="s">
        <v>40</v>
      </c>
      <c r="K231" s="264" t="s">
        <v>39</v>
      </c>
      <c r="L231" s="269" t="s">
        <v>40</v>
      </c>
      <c r="M231" s="264" t="s">
        <v>39</v>
      </c>
      <c r="N231" s="269" t="s">
        <v>40</v>
      </c>
      <c r="O231" s="264" t="s">
        <v>39</v>
      </c>
      <c r="P231" s="269" t="s">
        <v>40</v>
      </c>
      <c r="Q231" s="264" t="s">
        <v>39</v>
      </c>
      <c r="R231" s="269" t="s">
        <v>40</v>
      </c>
      <c r="S231" s="264" t="s">
        <v>39</v>
      </c>
      <c r="T231" s="269" t="s">
        <v>40</v>
      </c>
      <c r="U231" s="264" t="s">
        <v>39</v>
      </c>
      <c r="V231" s="269" t="s">
        <v>40</v>
      </c>
      <c r="W231" s="264" t="s">
        <v>39</v>
      </c>
      <c r="X231" s="269" t="s">
        <v>40</v>
      </c>
      <c r="Y231" s="264" t="s">
        <v>39</v>
      </c>
      <c r="Z231" s="269" t="s">
        <v>40</v>
      </c>
    </row>
    <row r="232" customHeight="1" spans="1:27">
      <c r="A232" s="270">
        <v>1</v>
      </c>
      <c r="B232" s="324"/>
      <c r="C232" s="272"/>
      <c r="D232" s="272"/>
      <c r="E232" s="272">
        <f t="shared" ref="E232:E261" si="86">G232+I232+K232+M232+O232+Q232+S232+U232+W232+Y232</f>
        <v>0</v>
      </c>
      <c r="F232" s="272">
        <f t="shared" ref="F232:F261" si="87">H232+J232+L232+N232+P232+R232+T232+V232+X232+Z232</f>
        <v>0</v>
      </c>
      <c r="G232" s="273"/>
      <c r="H232" s="274">
        <f t="shared" ref="H232:H261" si="88">IF($D232=0,0,ROUND(G232/$D232*$C232,2))</f>
        <v>0</v>
      </c>
      <c r="I232" s="273"/>
      <c r="J232" s="274">
        <f t="shared" ref="J232:J261" si="89">IF($D232=0,0,ROUND(I232/$D232*$C232,2))</f>
        <v>0</v>
      </c>
      <c r="K232" s="275"/>
      <c r="L232" s="274">
        <f t="shared" ref="L232:L261" si="90">IF($D232=0,0,ROUND(K232/$D232*$C232,2))</f>
        <v>0</v>
      </c>
      <c r="M232" s="273"/>
      <c r="N232" s="274">
        <f t="shared" ref="N232:N261" si="91">IF($D232=0,0,ROUND(M232/$D232*$C232,2))</f>
        <v>0</v>
      </c>
      <c r="O232" s="273"/>
      <c r="P232" s="274">
        <f t="shared" ref="P232:P261" si="92">IF($D232=0,0,ROUND(O232/$D232*$C232,2))</f>
        <v>0</v>
      </c>
      <c r="Q232" s="273"/>
      <c r="R232" s="274">
        <f t="shared" ref="R232:R261" si="93">IF($D232=0,0,ROUND(Q232/$D232*$C232,2))</f>
        <v>0</v>
      </c>
      <c r="S232" s="273"/>
      <c r="T232" s="274">
        <f t="shared" ref="T232:T261" si="94">IF($D232=0,0,ROUND(S232/$D232*$C232,2))</f>
        <v>0</v>
      </c>
      <c r="U232" s="273"/>
      <c r="V232" s="274">
        <f t="shared" ref="V232:V261" si="95">IF($D232=0,0,ROUND(U232/$D232*$C232,2))</f>
        <v>0</v>
      </c>
      <c r="W232" s="273"/>
      <c r="X232" s="274">
        <f t="shared" ref="X232:X261" si="96">IF($D232=0,0,ROUND(W232/$D232*$C232,2))</f>
        <v>0</v>
      </c>
      <c r="Y232" s="273"/>
      <c r="Z232" s="274">
        <f t="shared" ref="Z232:Z261" si="97">IF($D232=0,0,ROUND(Y232/$D232*$C232,2))</f>
        <v>0</v>
      </c>
      <c r="AA232" s="251">
        <f t="shared" ref="AA232:AA261" si="98">D232-E232</f>
        <v>0</v>
      </c>
    </row>
    <row r="233" customHeight="1" spans="1:27">
      <c r="A233" s="270">
        <v>2</v>
      </c>
      <c r="B233" s="324"/>
      <c r="C233" s="272"/>
      <c r="D233" s="272"/>
      <c r="E233" s="272">
        <f t="shared" si="86"/>
        <v>0</v>
      </c>
      <c r="F233" s="272">
        <f t="shared" si="87"/>
        <v>0</v>
      </c>
      <c r="G233" s="273"/>
      <c r="H233" s="274">
        <f t="shared" si="88"/>
        <v>0</v>
      </c>
      <c r="I233" s="273"/>
      <c r="J233" s="274">
        <f t="shared" si="89"/>
        <v>0</v>
      </c>
      <c r="K233" s="275"/>
      <c r="L233" s="274">
        <f t="shared" si="90"/>
        <v>0</v>
      </c>
      <c r="M233" s="273"/>
      <c r="N233" s="274">
        <f t="shared" si="91"/>
        <v>0</v>
      </c>
      <c r="O233" s="273"/>
      <c r="P233" s="274">
        <f t="shared" si="92"/>
        <v>0</v>
      </c>
      <c r="Q233" s="273"/>
      <c r="R233" s="274">
        <f t="shared" si="93"/>
        <v>0</v>
      </c>
      <c r="S233" s="273"/>
      <c r="T233" s="274">
        <f t="shared" si="94"/>
        <v>0</v>
      </c>
      <c r="U233" s="273"/>
      <c r="V233" s="274">
        <f t="shared" si="95"/>
        <v>0</v>
      </c>
      <c r="W233" s="273"/>
      <c r="X233" s="274">
        <f t="shared" si="96"/>
        <v>0</v>
      </c>
      <c r="Y233" s="273"/>
      <c r="Z233" s="274">
        <f t="shared" si="97"/>
        <v>0</v>
      </c>
      <c r="AA233" s="251">
        <f t="shared" si="98"/>
        <v>0</v>
      </c>
    </row>
    <row r="234" customHeight="1" spans="1:27">
      <c r="A234" s="270">
        <v>3</v>
      </c>
      <c r="B234" s="324"/>
      <c r="C234" s="272"/>
      <c r="D234" s="272"/>
      <c r="E234" s="272">
        <f t="shared" si="86"/>
        <v>0</v>
      </c>
      <c r="F234" s="272">
        <f t="shared" si="87"/>
        <v>0</v>
      </c>
      <c r="G234" s="273"/>
      <c r="H234" s="274">
        <f t="shared" si="88"/>
        <v>0</v>
      </c>
      <c r="I234" s="273"/>
      <c r="J234" s="274">
        <f t="shared" si="89"/>
        <v>0</v>
      </c>
      <c r="K234" s="275"/>
      <c r="L234" s="274">
        <f t="shared" si="90"/>
        <v>0</v>
      </c>
      <c r="M234" s="273"/>
      <c r="N234" s="274">
        <f t="shared" si="91"/>
        <v>0</v>
      </c>
      <c r="O234" s="273"/>
      <c r="P234" s="274">
        <f t="shared" si="92"/>
        <v>0</v>
      </c>
      <c r="Q234" s="273"/>
      <c r="R234" s="274">
        <f t="shared" si="93"/>
        <v>0</v>
      </c>
      <c r="S234" s="273"/>
      <c r="T234" s="274">
        <f t="shared" si="94"/>
        <v>0</v>
      </c>
      <c r="U234" s="273"/>
      <c r="V234" s="274">
        <f t="shared" si="95"/>
        <v>0</v>
      </c>
      <c r="W234" s="273"/>
      <c r="X234" s="274">
        <f t="shared" si="96"/>
        <v>0</v>
      </c>
      <c r="Y234" s="273"/>
      <c r="Z234" s="274">
        <f t="shared" si="97"/>
        <v>0</v>
      </c>
      <c r="AA234" s="251">
        <f t="shared" si="98"/>
        <v>0</v>
      </c>
    </row>
    <row r="235" customHeight="1" spans="1:27">
      <c r="A235" s="270">
        <v>4</v>
      </c>
      <c r="B235" s="324"/>
      <c r="C235" s="272"/>
      <c r="D235" s="272"/>
      <c r="E235" s="272">
        <f t="shared" si="86"/>
        <v>0</v>
      </c>
      <c r="F235" s="272">
        <f t="shared" si="87"/>
        <v>0</v>
      </c>
      <c r="G235" s="273"/>
      <c r="H235" s="274">
        <f t="shared" si="88"/>
        <v>0</v>
      </c>
      <c r="I235" s="273"/>
      <c r="J235" s="274">
        <f t="shared" si="89"/>
        <v>0</v>
      </c>
      <c r="K235" s="275"/>
      <c r="L235" s="274">
        <f t="shared" si="90"/>
        <v>0</v>
      </c>
      <c r="M235" s="273"/>
      <c r="N235" s="274">
        <f t="shared" si="91"/>
        <v>0</v>
      </c>
      <c r="O235" s="273"/>
      <c r="P235" s="274">
        <f t="shared" si="92"/>
        <v>0</v>
      </c>
      <c r="Q235" s="273"/>
      <c r="R235" s="274">
        <f t="shared" si="93"/>
        <v>0</v>
      </c>
      <c r="S235" s="273"/>
      <c r="T235" s="274">
        <f t="shared" si="94"/>
        <v>0</v>
      </c>
      <c r="U235" s="273"/>
      <c r="V235" s="274">
        <f t="shared" si="95"/>
        <v>0</v>
      </c>
      <c r="W235" s="273"/>
      <c r="X235" s="274">
        <f t="shared" si="96"/>
        <v>0</v>
      </c>
      <c r="Y235" s="273"/>
      <c r="Z235" s="274">
        <f t="shared" si="97"/>
        <v>0</v>
      </c>
      <c r="AA235" s="251">
        <f t="shared" si="98"/>
        <v>0</v>
      </c>
    </row>
    <row r="236" customHeight="1" spans="1:27">
      <c r="A236" s="270">
        <v>5</v>
      </c>
      <c r="B236" s="324"/>
      <c r="C236" s="272"/>
      <c r="D236" s="272"/>
      <c r="E236" s="272">
        <f t="shared" si="86"/>
        <v>0</v>
      </c>
      <c r="F236" s="272">
        <f t="shared" si="87"/>
        <v>0</v>
      </c>
      <c r="G236" s="273"/>
      <c r="H236" s="274">
        <f t="shared" si="88"/>
        <v>0</v>
      </c>
      <c r="I236" s="273"/>
      <c r="J236" s="274">
        <f t="shared" si="89"/>
        <v>0</v>
      </c>
      <c r="K236" s="275"/>
      <c r="L236" s="274">
        <f t="shared" si="90"/>
        <v>0</v>
      </c>
      <c r="M236" s="273"/>
      <c r="N236" s="274">
        <f t="shared" si="91"/>
        <v>0</v>
      </c>
      <c r="O236" s="273"/>
      <c r="P236" s="274">
        <f t="shared" si="92"/>
        <v>0</v>
      </c>
      <c r="Q236" s="273"/>
      <c r="R236" s="274">
        <f t="shared" si="93"/>
        <v>0</v>
      </c>
      <c r="S236" s="273"/>
      <c r="T236" s="274">
        <f t="shared" si="94"/>
        <v>0</v>
      </c>
      <c r="U236" s="273"/>
      <c r="V236" s="274">
        <f t="shared" si="95"/>
        <v>0</v>
      </c>
      <c r="W236" s="273"/>
      <c r="X236" s="274">
        <f t="shared" si="96"/>
        <v>0</v>
      </c>
      <c r="Y236" s="273"/>
      <c r="Z236" s="274">
        <f t="shared" si="97"/>
        <v>0</v>
      </c>
      <c r="AA236" s="251">
        <f t="shared" si="98"/>
        <v>0</v>
      </c>
    </row>
    <row r="237" customHeight="1" spans="1:27">
      <c r="A237" s="270">
        <v>6</v>
      </c>
      <c r="B237" s="324"/>
      <c r="C237" s="274"/>
      <c r="D237" s="274"/>
      <c r="E237" s="272">
        <f t="shared" si="86"/>
        <v>0</v>
      </c>
      <c r="F237" s="272">
        <f t="shared" si="87"/>
        <v>0</v>
      </c>
      <c r="G237" s="273"/>
      <c r="H237" s="274">
        <f t="shared" si="88"/>
        <v>0</v>
      </c>
      <c r="I237" s="273"/>
      <c r="J237" s="274">
        <f t="shared" si="89"/>
        <v>0</v>
      </c>
      <c r="K237" s="275"/>
      <c r="L237" s="274">
        <f t="shared" si="90"/>
        <v>0</v>
      </c>
      <c r="M237" s="273"/>
      <c r="N237" s="274">
        <f t="shared" si="91"/>
        <v>0</v>
      </c>
      <c r="O237" s="273"/>
      <c r="P237" s="274">
        <f t="shared" si="92"/>
        <v>0</v>
      </c>
      <c r="Q237" s="273"/>
      <c r="R237" s="274">
        <f t="shared" si="93"/>
        <v>0</v>
      </c>
      <c r="S237" s="273"/>
      <c r="T237" s="274">
        <f t="shared" si="94"/>
        <v>0</v>
      </c>
      <c r="U237" s="273"/>
      <c r="V237" s="274">
        <f t="shared" si="95"/>
        <v>0</v>
      </c>
      <c r="W237" s="273"/>
      <c r="X237" s="274">
        <f t="shared" si="96"/>
        <v>0</v>
      </c>
      <c r="Y237" s="273"/>
      <c r="Z237" s="274">
        <f t="shared" si="97"/>
        <v>0</v>
      </c>
      <c r="AA237" s="251">
        <f t="shared" si="98"/>
        <v>0</v>
      </c>
    </row>
    <row r="238" customHeight="1" spans="1:27">
      <c r="A238" s="270">
        <v>7</v>
      </c>
      <c r="B238" s="324"/>
      <c r="C238" s="274"/>
      <c r="D238" s="274"/>
      <c r="E238" s="272">
        <f t="shared" si="86"/>
        <v>0</v>
      </c>
      <c r="F238" s="272">
        <f t="shared" si="87"/>
        <v>0</v>
      </c>
      <c r="G238" s="273"/>
      <c r="H238" s="274">
        <f t="shared" si="88"/>
        <v>0</v>
      </c>
      <c r="I238" s="273"/>
      <c r="J238" s="274">
        <f t="shared" si="89"/>
        <v>0</v>
      </c>
      <c r="K238" s="275"/>
      <c r="L238" s="274">
        <f t="shared" si="90"/>
        <v>0</v>
      </c>
      <c r="M238" s="273"/>
      <c r="N238" s="274">
        <f t="shared" si="91"/>
        <v>0</v>
      </c>
      <c r="O238" s="273"/>
      <c r="P238" s="274">
        <f t="shared" si="92"/>
        <v>0</v>
      </c>
      <c r="Q238" s="273"/>
      <c r="R238" s="274">
        <f t="shared" si="93"/>
        <v>0</v>
      </c>
      <c r="S238" s="273"/>
      <c r="T238" s="274">
        <f t="shared" si="94"/>
        <v>0</v>
      </c>
      <c r="U238" s="273"/>
      <c r="V238" s="274">
        <f t="shared" si="95"/>
        <v>0</v>
      </c>
      <c r="W238" s="273"/>
      <c r="X238" s="274">
        <f t="shared" si="96"/>
        <v>0</v>
      </c>
      <c r="Y238" s="273"/>
      <c r="Z238" s="274">
        <f t="shared" si="97"/>
        <v>0</v>
      </c>
      <c r="AA238" s="251">
        <f t="shared" si="98"/>
        <v>0</v>
      </c>
    </row>
    <row r="239" customHeight="1" spans="1:27">
      <c r="A239" s="270">
        <v>8</v>
      </c>
      <c r="B239" s="324"/>
      <c r="C239" s="274"/>
      <c r="D239" s="274"/>
      <c r="E239" s="272">
        <f t="shared" si="86"/>
        <v>0</v>
      </c>
      <c r="F239" s="272">
        <f t="shared" si="87"/>
        <v>0</v>
      </c>
      <c r="G239" s="273"/>
      <c r="H239" s="274">
        <f t="shared" si="88"/>
        <v>0</v>
      </c>
      <c r="I239" s="273"/>
      <c r="J239" s="274">
        <f t="shared" si="89"/>
        <v>0</v>
      </c>
      <c r="K239" s="275"/>
      <c r="L239" s="274">
        <f t="shared" si="90"/>
        <v>0</v>
      </c>
      <c r="M239" s="273"/>
      <c r="N239" s="274">
        <f t="shared" si="91"/>
        <v>0</v>
      </c>
      <c r="O239" s="273"/>
      <c r="P239" s="274">
        <f t="shared" si="92"/>
        <v>0</v>
      </c>
      <c r="Q239" s="273"/>
      <c r="R239" s="274">
        <f t="shared" si="93"/>
        <v>0</v>
      </c>
      <c r="S239" s="273"/>
      <c r="T239" s="274">
        <f t="shared" si="94"/>
        <v>0</v>
      </c>
      <c r="U239" s="273"/>
      <c r="V239" s="274">
        <f t="shared" si="95"/>
        <v>0</v>
      </c>
      <c r="W239" s="273"/>
      <c r="X239" s="274">
        <f t="shared" si="96"/>
        <v>0</v>
      </c>
      <c r="Y239" s="273"/>
      <c r="Z239" s="274">
        <f t="shared" si="97"/>
        <v>0</v>
      </c>
      <c r="AA239" s="251">
        <f t="shared" si="98"/>
        <v>0</v>
      </c>
    </row>
    <row r="240" customHeight="1" spans="1:27">
      <c r="A240" s="270">
        <v>9</v>
      </c>
      <c r="B240" s="324"/>
      <c r="C240" s="274"/>
      <c r="D240" s="274"/>
      <c r="E240" s="272">
        <f t="shared" ref="E240:E249" si="99">G250+I250+K250+M250+O250+Q250+S250+U250+W250+Y250</f>
        <v>0</v>
      </c>
      <c r="F240" s="272">
        <f t="shared" ref="F240:F249" si="100">H250+J250+L250+N250+P250+R250+T250+V250+X250+Z250</f>
        <v>0</v>
      </c>
      <c r="G240" s="273"/>
      <c r="H240" s="274">
        <f t="shared" ref="H240:H249" si="101">IF($D250=0,0,ROUND(G250/$D250*$C250,2))</f>
        <v>0</v>
      </c>
      <c r="I240" s="273"/>
      <c r="J240" s="274">
        <f t="shared" ref="J240:J249" si="102">IF($D250=0,0,ROUND(I250/$D250*$C250,2))</f>
        <v>0</v>
      </c>
      <c r="K240" s="275"/>
      <c r="L240" s="274">
        <f t="shared" ref="L240:L249" si="103">IF($D250=0,0,ROUND(K250/$D250*$C250,2))</f>
        <v>0</v>
      </c>
      <c r="M240" s="273"/>
      <c r="N240" s="274">
        <f t="shared" ref="N240:N249" si="104">IF($D250=0,0,ROUND(M250/$D250*$C250,2))</f>
        <v>0</v>
      </c>
      <c r="O240" s="273"/>
      <c r="P240" s="274">
        <f t="shared" ref="P240:P249" si="105">IF($D250=0,0,ROUND(O250/$D250*$C250,2))</f>
        <v>0</v>
      </c>
      <c r="Q240" s="273"/>
      <c r="R240" s="274">
        <f t="shared" ref="R240:R249" si="106">IF($D250=0,0,ROUND(Q250/$D250*$C250,2))</f>
        <v>0</v>
      </c>
      <c r="S240" s="273"/>
      <c r="T240" s="274">
        <f t="shared" ref="T240:T249" si="107">IF($D250=0,0,ROUND(S250/$D250*$C250,2))</f>
        <v>0</v>
      </c>
      <c r="U240" s="273"/>
      <c r="V240" s="274">
        <f t="shared" ref="V240:V249" si="108">IF($D250=0,0,ROUND(U250/$D250*$C250,2))</f>
        <v>0</v>
      </c>
      <c r="W240" s="273"/>
      <c r="X240" s="274">
        <f t="shared" ref="X240:X249" si="109">IF($D250=0,0,ROUND(W250/$D250*$C250,2))</f>
        <v>0</v>
      </c>
      <c r="Y240" s="273"/>
      <c r="Z240" s="274">
        <f t="shared" ref="Z240:Z249" si="110">IF($D250=0,0,ROUND(Y250/$D250*$C250,2))</f>
        <v>0</v>
      </c>
      <c r="AA240" s="251">
        <f t="shared" ref="AA240:AA249" si="111">D250-E250</f>
        <v>0</v>
      </c>
    </row>
    <row r="241" customHeight="1" spans="1:27">
      <c r="A241" s="270">
        <v>10</v>
      </c>
      <c r="B241" s="270"/>
      <c r="C241" s="274"/>
      <c r="D241" s="274"/>
      <c r="E241" s="272">
        <f t="shared" si="99"/>
        <v>0</v>
      </c>
      <c r="F241" s="272">
        <f t="shared" si="100"/>
        <v>0</v>
      </c>
      <c r="G241" s="273"/>
      <c r="H241" s="274">
        <f t="shared" si="101"/>
        <v>0</v>
      </c>
      <c r="I241" s="273"/>
      <c r="J241" s="274">
        <f t="shared" si="102"/>
        <v>0</v>
      </c>
      <c r="K241" s="275"/>
      <c r="L241" s="274">
        <f t="shared" si="103"/>
        <v>0</v>
      </c>
      <c r="M241" s="273"/>
      <c r="N241" s="274">
        <f t="shared" si="104"/>
        <v>0</v>
      </c>
      <c r="O241" s="273"/>
      <c r="P241" s="274">
        <f t="shared" si="105"/>
        <v>0</v>
      </c>
      <c r="Q241" s="273"/>
      <c r="R241" s="274">
        <f t="shared" si="106"/>
        <v>0</v>
      </c>
      <c r="S241" s="273"/>
      <c r="T241" s="274">
        <f t="shared" si="107"/>
        <v>0</v>
      </c>
      <c r="U241" s="273"/>
      <c r="V241" s="274">
        <f t="shared" si="108"/>
        <v>0</v>
      </c>
      <c r="W241" s="273"/>
      <c r="X241" s="274">
        <f t="shared" si="109"/>
        <v>0</v>
      </c>
      <c r="Y241" s="273"/>
      <c r="Z241" s="274">
        <f t="shared" si="110"/>
        <v>0</v>
      </c>
      <c r="AA241" s="251">
        <f t="shared" si="111"/>
        <v>0</v>
      </c>
    </row>
    <row r="242" customHeight="1" spans="1:27">
      <c r="A242" s="270">
        <v>11</v>
      </c>
      <c r="B242" s="270"/>
      <c r="C242" s="274"/>
      <c r="D242" s="274"/>
      <c r="E242" s="272">
        <f t="shared" si="99"/>
        <v>0</v>
      </c>
      <c r="F242" s="272">
        <f t="shared" si="100"/>
        <v>0</v>
      </c>
      <c r="G242" s="273"/>
      <c r="H242" s="274">
        <f t="shared" si="101"/>
        <v>0</v>
      </c>
      <c r="I242" s="273"/>
      <c r="J242" s="274">
        <f t="shared" si="102"/>
        <v>0</v>
      </c>
      <c r="K242" s="275"/>
      <c r="L242" s="274">
        <f t="shared" si="103"/>
        <v>0</v>
      </c>
      <c r="M242" s="273"/>
      <c r="N242" s="274">
        <f t="shared" si="104"/>
        <v>0</v>
      </c>
      <c r="O242" s="273"/>
      <c r="P242" s="274">
        <f t="shared" si="105"/>
        <v>0</v>
      </c>
      <c r="Q242" s="273"/>
      <c r="R242" s="274">
        <f t="shared" si="106"/>
        <v>0</v>
      </c>
      <c r="S242" s="273"/>
      <c r="T242" s="274">
        <f t="shared" si="107"/>
        <v>0</v>
      </c>
      <c r="U242" s="273"/>
      <c r="V242" s="274">
        <f t="shared" si="108"/>
        <v>0</v>
      </c>
      <c r="W242" s="273"/>
      <c r="X242" s="274">
        <f t="shared" si="109"/>
        <v>0</v>
      </c>
      <c r="Y242" s="273"/>
      <c r="Z242" s="274">
        <f t="shared" si="110"/>
        <v>0</v>
      </c>
      <c r="AA242" s="251">
        <f t="shared" si="111"/>
        <v>0</v>
      </c>
    </row>
    <row r="243" customHeight="1" spans="1:27">
      <c r="A243" s="270">
        <v>12</v>
      </c>
      <c r="B243" s="270"/>
      <c r="C243" s="274"/>
      <c r="D243" s="274"/>
      <c r="E243" s="272">
        <f t="shared" si="99"/>
        <v>0</v>
      </c>
      <c r="F243" s="272">
        <f t="shared" si="100"/>
        <v>0</v>
      </c>
      <c r="G243" s="273"/>
      <c r="H243" s="274">
        <f t="shared" si="101"/>
        <v>0</v>
      </c>
      <c r="I243" s="273"/>
      <c r="J243" s="274">
        <f t="shared" si="102"/>
        <v>0</v>
      </c>
      <c r="K243" s="275"/>
      <c r="L243" s="274">
        <f t="shared" si="103"/>
        <v>0</v>
      </c>
      <c r="M243" s="273"/>
      <c r="N243" s="274">
        <f t="shared" si="104"/>
        <v>0</v>
      </c>
      <c r="O243" s="273"/>
      <c r="P243" s="274">
        <f t="shared" si="105"/>
        <v>0</v>
      </c>
      <c r="Q243" s="273"/>
      <c r="R243" s="274">
        <f t="shared" si="106"/>
        <v>0</v>
      </c>
      <c r="S243" s="273"/>
      <c r="T243" s="274">
        <f t="shared" si="107"/>
        <v>0</v>
      </c>
      <c r="U243" s="273"/>
      <c r="V243" s="274">
        <f t="shared" si="108"/>
        <v>0</v>
      </c>
      <c r="W243" s="273"/>
      <c r="X243" s="274">
        <f t="shared" si="109"/>
        <v>0</v>
      </c>
      <c r="Y243" s="273"/>
      <c r="Z243" s="274">
        <f t="shared" si="110"/>
        <v>0</v>
      </c>
      <c r="AA243" s="251">
        <f t="shared" si="111"/>
        <v>0</v>
      </c>
    </row>
    <row r="244" customHeight="1" spans="1:27">
      <c r="A244" s="270">
        <v>13</v>
      </c>
      <c r="B244" s="270"/>
      <c r="C244" s="274"/>
      <c r="D244" s="274"/>
      <c r="E244" s="272">
        <f t="shared" si="99"/>
        <v>0</v>
      </c>
      <c r="F244" s="272">
        <f t="shared" si="100"/>
        <v>0</v>
      </c>
      <c r="G244" s="273"/>
      <c r="H244" s="274">
        <f t="shared" si="101"/>
        <v>0</v>
      </c>
      <c r="I244" s="273"/>
      <c r="J244" s="274">
        <f t="shared" si="102"/>
        <v>0</v>
      </c>
      <c r="K244" s="275"/>
      <c r="L244" s="274">
        <f t="shared" si="103"/>
        <v>0</v>
      </c>
      <c r="M244" s="273"/>
      <c r="N244" s="274">
        <f t="shared" si="104"/>
        <v>0</v>
      </c>
      <c r="O244" s="273"/>
      <c r="P244" s="274">
        <f t="shared" si="105"/>
        <v>0</v>
      </c>
      <c r="Q244" s="273"/>
      <c r="R244" s="274">
        <f t="shared" si="106"/>
        <v>0</v>
      </c>
      <c r="S244" s="273"/>
      <c r="T244" s="274">
        <f t="shared" si="107"/>
        <v>0</v>
      </c>
      <c r="U244" s="273"/>
      <c r="V244" s="274">
        <f t="shared" si="108"/>
        <v>0</v>
      </c>
      <c r="W244" s="273"/>
      <c r="X244" s="274">
        <f t="shared" si="109"/>
        <v>0</v>
      </c>
      <c r="Y244" s="273"/>
      <c r="Z244" s="274">
        <f t="shared" si="110"/>
        <v>0</v>
      </c>
      <c r="AA244" s="251">
        <f t="shared" si="111"/>
        <v>0</v>
      </c>
    </row>
    <row r="245" customHeight="1" spans="1:27">
      <c r="A245" s="270">
        <v>14</v>
      </c>
      <c r="B245" s="270"/>
      <c r="C245" s="274"/>
      <c r="D245" s="274"/>
      <c r="E245" s="272">
        <f t="shared" si="99"/>
        <v>0</v>
      </c>
      <c r="F245" s="272">
        <f t="shared" si="100"/>
        <v>0</v>
      </c>
      <c r="G245" s="273"/>
      <c r="H245" s="274">
        <f t="shared" si="101"/>
        <v>0</v>
      </c>
      <c r="I245" s="273"/>
      <c r="J245" s="274">
        <f t="shared" si="102"/>
        <v>0</v>
      </c>
      <c r="K245" s="275"/>
      <c r="L245" s="274">
        <f t="shared" si="103"/>
        <v>0</v>
      </c>
      <c r="M245" s="273"/>
      <c r="N245" s="274">
        <f t="shared" si="104"/>
        <v>0</v>
      </c>
      <c r="O245" s="273"/>
      <c r="P245" s="274">
        <f t="shared" si="105"/>
        <v>0</v>
      </c>
      <c r="Q245" s="273"/>
      <c r="R245" s="274">
        <f t="shared" si="106"/>
        <v>0</v>
      </c>
      <c r="S245" s="273"/>
      <c r="T245" s="274">
        <f t="shared" si="107"/>
        <v>0</v>
      </c>
      <c r="U245" s="273"/>
      <c r="V245" s="274">
        <f t="shared" si="108"/>
        <v>0</v>
      </c>
      <c r="W245" s="273"/>
      <c r="X245" s="274">
        <f t="shared" si="109"/>
        <v>0</v>
      </c>
      <c r="Y245" s="273"/>
      <c r="Z245" s="274">
        <f t="shared" si="110"/>
        <v>0</v>
      </c>
      <c r="AA245" s="251">
        <f t="shared" si="111"/>
        <v>0</v>
      </c>
    </row>
    <row r="246" customHeight="1" spans="1:27">
      <c r="A246" s="270">
        <v>15</v>
      </c>
      <c r="B246" s="270"/>
      <c r="C246" s="274"/>
      <c r="D246" s="274"/>
      <c r="E246" s="272">
        <f t="shared" si="99"/>
        <v>0</v>
      </c>
      <c r="F246" s="272">
        <f t="shared" si="100"/>
        <v>0</v>
      </c>
      <c r="G246" s="273"/>
      <c r="H246" s="274">
        <f t="shared" si="101"/>
        <v>0</v>
      </c>
      <c r="I246" s="273"/>
      <c r="J246" s="274">
        <f t="shared" si="102"/>
        <v>0</v>
      </c>
      <c r="K246" s="275"/>
      <c r="L246" s="274">
        <f t="shared" si="103"/>
        <v>0</v>
      </c>
      <c r="M246" s="273"/>
      <c r="N246" s="274">
        <f t="shared" si="104"/>
        <v>0</v>
      </c>
      <c r="O246" s="273"/>
      <c r="P246" s="274">
        <f t="shared" si="105"/>
        <v>0</v>
      </c>
      <c r="Q246" s="273"/>
      <c r="R246" s="274">
        <f t="shared" si="106"/>
        <v>0</v>
      </c>
      <c r="S246" s="273"/>
      <c r="T246" s="274">
        <f t="shared" si="107"/>
        <v>0</v>
      </c>
      <c r="U246" s="273"/>
      <c r="V246" s="274">
        <f t="shared" si="108"/>
        <v>0</v>
      </c>
      <c r="W246" s="273"/>
      <c r="X246" s="274">
        <f t="shared" si="109"/>
        <v>0</v>
      </c>
      <c r="Y246" s="273"/>
      <c r="Z246" s="274">
        <f t="shared" si="110"/>
        <v>0</v>
      </c>
      <c r="AA246" s="251">
        <f t="shared" si="111"/>
        <v>0</v>
      </c>
    </row>
    <row r="247" customHeight="1" spans="1:27">
      <c r="A247" s="270">
        <v>16</v>
      </c>
      <c r="B247" s="270"/>
      <c r="C247" s="274"/>
      <c r="D247" s="274"/>
      <c r="E247" s="272">
        <f t="shared" si="99"/>
        <v>0</v>
      </c>
      <c r="F247" s="272">
        <f t="shared" si="100"/>
        <v>0</v>
      </c>
      <c r="G247" s="273"/>
      <c r="H247" s="274">
        <f t="shared" si="101"/>
        <v>0</v>
      </c>
      <c r="I247" s="273"/>
      <c r="J247" s="274">
        <f t="shared" si="102"/>
        <v>0</v>
      </c>
      <c r="K247" s="275"/>
      <c r="L247" s="274">
        <f t="shared" si="103"/>
        <v>0</v>
      </c>
      <c r="M247" s="273"/>
      <c r="N247" s="274">
        <f t="shared" si="104"/>
        <v>0</v>
      </c>
      <c r="O247" s="273"/>
      <c r="P247" s="274">
        <f t="shared" si="105"/>
        <v>0</v>
      </c>
      <c r="Q247" s="273"/>
      <c r="R247" s="274">
        <f t="shared" si="106"/>
        <v>0</v>
      </c>
      <c r="S247" s="273"/>
      <c r="T247" s="274">
        <f t="shared" si="107"/>
        <v>0</v>
      </c>
      <c r="U247" s="273"/>
      <c r="V247" s="274">
        <f t="shared" si="108"/>
        <v>0</v>
      </c>
      <c r="W247" s="273"/>
      <c r="X247" s="274">
        <f t="shared" si="109"/>
        <v>0</v>
      </c>
      <c r="Y247" s="273"/>
      <c r="Z247" s="274">
        <f t="shared" si="110"/>
        <v>0</v>
      </c>
      <c r="AA247" s="251">
        <f t="shared" si="111"/>
        <v>0</v>
      </c>
    </row>
    <row r="248" customHeight="1" spans="1:27">
      <c r="A248" s="270">
        <v>17</v>
      </c>
      <c r="B248" s="270"/>
      <c r="C248" s="274"/>
      <c r="D248" s="274"/>
      <c r="E248" s="272">
        <f t="shared" si="99"/>
        <v>0</v>
      </c>
      <c r="F248" s="272">
        <f t="shared" si="100"/>
        <v>0</v>
      </c>
      <c r="G248" s="273"/>
      <c r="H248" s="274">
        <f t="shared" si="101"/>
        <v>0</v>
      </c>
      <c r="I248" s="273"/>
      <c r="J248" s="274">
        <f t="shared" si="102"/>
        <v>0</v>
      </c>
      <c r="K248" s="275"/>
      <c r="L248" s="274">
        <f t="shared" si="103"/>
        <v>0</v>
      </c>
      <c r="M248" s="273"/>
      <c r="N248" s="274">
        <f t="shared" si="104"/>
        <v>0</v>
      </c>
      <c r="O248" s="273"/>
      <c r="P248" s="274">
        <f t="shared" si="105"/>
        <v>0</v>
      </c>
      <c r="Q248" s="273"/>
      <c r="R248" s="274">
        <f t="shared" si="106"/>
        <v>0</v>
      </c>
      <c r="S248" s="273"/>
      <c r="T248" s="274">
        <f t="shared" si="107"/>
        <v>0</v>
      </c>
      <c r="U248" s="273"/>
      <c r="V248" s="274">
        <f t="shared" si="108"/>
        <v>0</v>
      </c>
      <c r="W248" s="273"/>
      <c r="X248" s="274">
        <f t="shared" si="109"/>
        <v>0</v>
      </c>
      <c r="Y248" s="273"/>
      <c r="Z248" s="274">
        <f t="shared" si="110"/>
        <v>0</v>
      </c>
      <c r="AA248" s="251">
        <f t="shared" si="111"/>
        <v>0</v>
      </c>
    </row>
    <row r="249" customHeight="1" spans="1:27">
      <c r="A249" s="270">
        <v>18</v>
      </c>
      <c r="B249" s="270"/>
      <c r="C249" s="274"/>
      <c r="D249" s="274"/>
      <c r="E249" s="272">
        <f t="shared" si="99"/>
        <v>0</v>
      </c>
      <c r="F249" s="272">
        <f t="shared" si="100"/>
        <v>0</v>
      </c>
      <c r="G249" s="273"/>
      <c r="H249" s="274">
        <f t="shared" si="101"/>
        <v>0</v>
      </c>
      <c r="I249" s="273"/>
      <c r="J249" s="274">
        <f t="shared" si="102"/>
        <v>0</v>
      </c>
      <c r="K249" s="275"/>
      <c r="L249" s="274">
        <f t="shared" si="103"/>
        <v>0</v>
      </c>
      <c r="M249" s="273"/>
      <c r="N249" s="274">
        <f t="shared" si="104"/>
        <v>0</v>
      </c>
      <c r="O249" s="273"/>
      <c r="P249" s="274">
        <f t="shared" si="105"/>
        <v>0</v>
      </c>
      <c r="Q249" s="273"/>
      <c r="R249" s="274">
        <f t="shared" si="106"/>
        <v>0</v>
      </c>
      <c r="S249" s="273"/>
      <c r="T249" s="274">
        <f t="shared" si="107"/>
        <v>0</v>
      </c>
      <c r="U249" s="273"/>
      <c r="V249" s="274">
        <f t="shared" si="108"/>
        <v>0</v>
      </c>
      <c r="W249" s="273"/>
      <c r="X249" s="274">
        <f t="shared" si="109"/>
        <v>0</v>
      </c>
      <c r="Y249" s="273"/>
      <c r="Z249" s="274">
        <f t="shared" si="110"/>
        <v>0</v>
      </c>
      <c r="AA249" s="251">
        <f t="shared" si="111"/>
        <v>0</v>
      </c>
    </row>
    <row r="250" customHeight="1" spans="1:27">
      <c r="A250" s="270">
        <v>19</v>
      </c>
      <c r="B250" s="270"/>
      <c r="C250" s="274"/>
      <c r="D250" s="274"/>
      <c r="E250" s="272">
        <f t="shared" si="86"/>
        <v>0</v>
      </c>
      <c r="F250" s="272">
        <f t="shared" si="87"/>
        <v>0</v>
      </c>
      <c r="G250" s="273"/>
      <c r="H250" s="274">
        <f t="shared" si="88"/>
        <v>0</v>
      </c>
      <c r="I250" s="273"/>
      <c r="J250" s="274">
        <f t="shared" si="89"/>
        <v>0</v>
      </c>
      <c r="K250" s="275"/>
      <c r="L250" s="274">
        <f t="shared" si="90"/>
        <v>0</v>
      </c>
      <c r="M250" s="273"/>
      <c r="N250" s="274">
        <f t="shared" si="91"/>
        <v>0</v>
      </c>
      <c r="O250" s="273"/>
      <c r="P250" s="274">
        <f t="shared" si="92"/>
        <v>0</v>
      </c>
      <c r="Q250" s="273"/>
      <c r="R250" s="274">
        <f t="shared" si="93"/>
        <v>0</v>
      </c>
      <c r="S250" s="273"/>
      <c r="T250" s="274">
        <f t="shared" si="94"/>
        <v>0</v>
      </c>
      <c r="U250" s="273"/>
      <c r="V250" s="274">
        <f t="shared" si="95"/>
        <v>0</v>
      </c>
      <c r="W250" s="273"/>
      <c r="X250" s="274">
        <f t="shared" si="96"/>
        <v>0</v>
      </c>
      <c r="Y250" s="273"/>
      <c r="Z250" s="274">
        <f t="shared" si="97"/>
        <v>0</v>
      </c>
      <c r="AA250" s="251">
        <f t="shared" si="98"/>
        <v>0</v>
      </c>
    </row>
    <row r="251" customHeight="1" spans="1:27">
      <c r="A251" s="270">
        <v>20</v>
      </c>
      <c r="B251" s="270"/>
      <c r="C251" s="274"/>
      <c r="D251" s="274"/>
      <c r="E251" s="272">
        <f t="shared" si="86"/>
        <v>0</v>
      </c>
      <c r="F251" s="272">
        <f t="shared" si="87"/>
        <v>0</v>
      </c>
      <c r="G251" s="273"/>
      <c r="H251" s="274">
        <f t="shared" si="88"/>
        <v>0</v>
      </c>
      <c r="I251" s="273"/>
      <c r="J251" s="274">
        <f t="shared" si="89"/>
        <v>0</v>
      </c>
      <c r="K251" s="275"/>
      <c r="L251" s="274">
        <f t="shared" si="90"/>
        <v>0</v>
      </c>
      <c r="M251" s="273"/>
      <c r="N251" s="274">
        <f t="shared" si="91"/>
        <v>0</v>
      </c>
      <c r="O251" s="273"/>
      <c r="P251" s="274">
        <f t="shared" si="92"/>
        <v>0</v>
      </c>
      <c r="Q251" s="273"/>
      <c r="R251" s="274">
        <f t="shared" si="93"/>
        <v>0</v>
      </c>
      <c r="S251" s="273"/>
      <c r="T251" s="274">
        <f t="shared" si="94"/>
        <v>0</v>
      </c>
      <c r="U251" s="273"/>
      <c r="V251" s="274">
        <f t="shared" si="95"/>
        <v>0</v>
      </c>
      <c r="W251" s="273"/>
      <c r="X251" s="274">
        <f t="shared" si="96"/>
        <v>0</v>
      </c>
      <c r="Y251" s="273"/>
      <c r="Z251" s="274">
        <f t="shared" si="97"/>
        <v>0</v>
      </c>
      <c r="AA251" s="251">
        <f t="shared" si="98"/>
        <v>0</v>
      </c>
    </row>
    <row r="252" customHeight="1" spans="1:27">
      <c r="A252" s="270">
        <v>21</v>
      </c>
      <c r="B252" s="270"/>
      <c r="C252" s="274"/>
      <c r="D252" s="274"/>
      <c r="E252" s="272">
        <f t="shared" si="86"/>
        <v>0</v>
      </c>
      <c r="F252" s="272">
        <f t="shared" si="87"/>
        <v>0</v>
      </c>
      <c r="G252" s="273"/>
      <c r="H252" s="274">
        <f t="shared" si="88"/>
        <v>0</v>
      </c>
      <c r="I252" s="273"/>
      <c r="J252" s="274">
        <f t="shared" si="89"/>
        <v>0</v>
      </c>
      <c r="K252" s="275"/>
      <c r="L252" s="274">
        <f t="shared" si="90"/>
        <v>0</v>
      </c>
      <c r="M252" s="273"/>
      <c r="N252" s="274">
        <f t="shared" si="91"/>
        <v>0</v>
      </c>
      <c r="O252" s="273"/>
      <c r="P252" s="274">
        <f t="shared" si="92"/>
        <v>0</v>
      </c>
      <c r="Q252" s="273"/>
      <c r="R252" s="274">
        <f t="shared" si="93"/>
        <v>0</v>
      </c>
      <c r="S252" s="273"/>
      <c r="T252" s="274">
        <f t="shared" si="94"/>
        <v>0</v>
      </c>
      <c r="U252" s="273"/>
      <c r="V252" s="274">
        <f t="shared" si="95"/>
        <v>0</v>
      </c>
      <c r="W252" s="273"/>
      <c r="X252" s="274">
        <f t="shared" si="96"/>
        <v>0</v>
      </c>
      <c r="Y252" s="273"/>
      <c r="Z252" s="274">
        <f t="shared" si="97"/>
        <v>0</v>
      </c>
      <c r="AA252" s="251">
        <f t="shared" si="98"/>
        <v>0</v>
      </c>
    </row>
    <row r="253" customHeight="1" spans="1:27">
      <c r="A253" s="270">
        <v>22</v>
      </c>
      <c r="B253" s="270"/>
      <c r="C253" s="274"/>
      <c r="D253" s="274"/>
      <c r="E253" s="272">
        <f t="shared" si="86"/>
        <v>0</v>
      </c>
      <c r="F253" s="272">
        <f t="shared" si="87"/>
        <v>0</v>
      </c>
      <c r="G253" s="273"/>
      <c r="H253" s="274">
        <f t="shared" si="88"/>
        <v>0</v>
      </c>
      <c r="I253" s="273"/>
      <c r="J253" s="274">
        <f t="shared" si="89"/>
        <v>0</v>
      </c>
      <c r="K253" s="275"/>
      <c r="L253" s="274">
        <f t="shared" si="90"/>
        <v>0</v>
      </c>
      <c r="M253" s="273"/>
      <c r="N253" s="274">
        <f t="shared" si="91"/>
        <v>0</v>
      </c>
      <c r="O253" s="273"/>
      <c r="P253" s="274">
        <f t="shared" si="92"/>
        <v>0</v>
      </c>
      <c r="Q253" s="273"/>
      <c r="R253" s="274">
        <f t="shared" si="93"/>
        <v>0</v>
      </c>
      <c r="S253" s="273"/>
      <c r="T253" s="274">
        <f t="shared" si="94"/>
        <v>0</v>
      </c>
      <c r="U253" s="273"/>
      <c r="V253" s="274">
        <f t="shared" si="95"/>
        <v>0</v>
      </c>
      <c r="W253" s="273"/>
      <c r="X253" s="274">
        <f t="shared" si="96"/>
        <v>0</v>
      </c>
      <c r="Y253" s="273"/>
      <c r="Z253" s="274">
        <f t="shared" si="97"/>
        <v>0</v>
      </c>
      <c r="AA253" s="251">
        <f t="shared" si="98"/>
        <v>0</v>
      </c>
    </row>
    <row r="254" customHeight="1" spans="1:27">
      <c r="A254" s="270">
        <v>23</v>
      </c>
      <c r="B254" s="270"/>
      <c r="C254" s="274"/>
      <c r="D254" s="274"/>
      <c r="E254" s="272">
        <f t="shared" si="86"/>
        <v>0</v>
      </c>
      <c r="F254" s="272">
        <f t="shared" si="87"/>
        <v>0</v>
      </c>
      <c r="G254" s="273"/>
      <c r="H254" s="274">
        <f t="shared" si="88"/>
        <v>0</v>
      </c>
      <c r="I254" s="273"/>
      <c r="J254" s="274">
        <f t="shared" si="89"/>
        <v>0</v>
      </c>
      <c r="K254" s="275"/>
      <c r="L254" s="274">
        <f t="shared" si="90"/>
        <v>0</v>
      </c>
      <c r="M254" s="273"/>
      <c r="N254" s="274">
        <f t="shared" si="91"/>
        <v>0</v>
      </c>
      <c r="O254" s="273"/>
      <c r="P254" s="274">
        <f t="shared" si="92"/>
        <v>0</v>
      </c>
      <c r="Q254" s="273"/>
      <c r="R254" s="274">
        <f t="shared" si="93"/>
        <v>0</v>
      </c>
      <c r="S254" s="273"/>
      <c r="T254" s="274">
        <f t="shared" si="94"/>
        <v>0</v>
      </c>
      <c r="U254" s="273"/>
      <c r="V254" s="274">
        <f t="shared" si="95"/>
        <v>0</v>
      </c>
      <c r="W254" s="273"/>
      <c r="X254" s="274">
        <f t="shared" si="96"/>
        <v>0</v>
      </c>
      <c r="Y254" s="273"/>
      <c r="Z254" s="274">
        <f t="shared" si="97"/>
        <v>0</v>
      </c>
      <c r="AA254" s="251">
        <f t="shared" si="98"/>
        <v>0</v>
      </c>
    </row>
    <row r="255" customHeight="1" spans="1:27">
      <c r="A255" s="270">
        <v>25</v>
      </c>
      <c r="B255" s="270"/>
      <c r="C255" s="274"/>
      <c r="D255" s="274"/>
      <c r="E255" s="272">
        <f t="shared" si="86"/>
        <v>0</v>
      </c>
      <c r="F255" s="272">
        <f t="shared" si="87"/>
        <v>0</v>
      </c>
      <c r="G255" s="273"/>
      <c r="H255" s="274">
        <f t="shared" si="88"/>
        <v>0</v>
      </c>
      <c r="I255" s="273"/>
      <c r="J255" s="274">
        <f t="shared" si="89"/>
        <v>0</v>
      </c>
      <c r="K255" s="275"/>
      <c r="L255" s="274">
        <f t="shared" si="90"/>
        <v>0</v>
      </c>
      <c r="M255" s="273"/>
      <c r="N255" s="274">
        <f t="shared" si="91"/>
        <v>0</v>
      </c>
      <c r="O255" s="273"/>
      <c r="P255" s="274">
        <f t="shared" si="92"/>
        <v>0</v>
      </c>
      <c r="Q255" s="273"/>
      <c r="R255" s="274">
        <f t="shared" si="93"/>
        <v>0</v>
      </c>
      <c r="S255" s="273"/>
      <c r="T255" s="274">
        <f t="shared" si="94"/>
        <v>0</v>
      </c>
      <c r="U255" s="273"/>
      <c r="V255" s="274">
        <f t="shared" si="95"/>
        <v>0</v>
      </c>
      <c r="W255" s="273"/>
      <c r="X255" s="274">
        <f t="shared" si="96"/>
        <v>0</v>
      </c>
      <c r="Y255" s="273"/>
      <c r="Z255" s="274">
        <f t="shared" si="97"/>
        <v>0</v>
      </c>
      <c r="AA255" s="251">
        <f t="shared" si="98"/>
        <v>0</v>
      </c>
    </row>
    <row r="256" customHeight="1" spans="1:27">
      <c r="A256" s="270">
        <v>25</v>
      </c>
      <c r="B256" s="270"/>
      <c r="C256" s="274"/>
      <c r="D256" s="274"/>
      <c r="E256" s="272">
        <f t="shared" si="86"/>
        <v>0</v>
      </c>
      <c r="F256" s="272">
        <f t="shared" si="87"/>
        <v>0</v>
      </c>
      <c r="G256" s="273"/>
      <c r="H256" s="274">
        <f t="shared" si="88"/>
        <v>0</v>
      </c>
      <c r="I256" s="273"/>
      <c r="J256" s="274">
        <f t="shared" si="89"/>
        <v>0</v>
      </c>
      <c r="K256" s="275"/>
      <c r="L256" s="274">
        <f t="shared" si="90"/>
        <v>0</v>
      </c>
      <c r="M256" s="273"/>
      <c r="N256" s="274">
        <f t="shared" si="91"/>
        <v>0</v>
      </c>
      <c r="O256" s="273"/>
      <c r="P256" s="274">
        <f t="shared" si="92"/>
        <v>0</v>
      </c>
      <c r="Q256" s="273"/>
      <c r="R256" s="274">
        <f t="shared" si="93"/>
        <v>0</v>
      </c>
      <c r="S256" s="273"/>
      <c r="T256" s="274">
        <f t="shared" si="94"/>
        <v>0</v>
      </c>
      <c r="U256" s="273"/>
      <c r="V256" s="274">
        <f t="shared" si="95"/>
        <v>0</v>
      </c>
      <c r="W256" s="273"/>
      <c r="X256" s="274">
        <f t="shared" si="96"/>
        <v>0</v>
      </c>
      <c r="Y256" s="273"/>
      <c r="Z256" s="274">
        <f t="shared" si="97"/>
        <v>0</v>
      </c>
      <c r="AA256" s="251">
        <f t="shared" si="98"/>
        <v>0</v>
      </c>
    </row>
    <row r="257" customHeight="1" spans="1:27">
      <c r="A257" s="270">
        <v>26</v>
      </c>
      <c r="B257" s="270"/>
      <c r="C257" s="274"/>
      <c r="D257" s="274"/>
      <c r="E257" s="272">
        <f t="shared" si="86"/>
        <v>0</v>
      </c>
      <c r="F257" s="272">
        <f t="shared" si="87"/>
        <v>0</v>
      </c>
      <c r="G257" s="273"/>
      <c r="H257" s="274">
        <f t="shared" si="88"/>
        <v>0</v>
      </c>
      <c r="I257" s="273"/>
      <c r="J257" s="274">
        <f t="shared" si="89"/>
        <v>0</v>
      </c>
      <c r="K257" s="275"/>
      <c r="L257" s="274">
        <f t="shared" si="90"/>
        <v>0</v>
      </c>
      <c r="M257" s="273"/>
      <c r="N257" s="274">
        <f t="shared" si="91"/>
        <v>0</v>
      </c>
      <c r="O257" s="273"/>
      <c r="P257" s="274">
        <f t="shared" si="92"/>
        <v>0</v>
      </c>
      <c r="Q257" s="273"/>
      <c r="R257" s="274">
        <f t="shared" si="93"/>
        <v>0</v>
      </c>
      <c r="S257" s="273"/>
      <c r="T257" s="274">
        <f t="shared" si="94"/>
        <v>0</v>
      </c>
      <c r="U257" s="273"/>
      <c r="V257" s="274">
        <f t="shared" si="95"/>
        <v>0</v>
      </c>
      <c r="W257" s="273"/>
      <c r="X257" s="274">
        <f t="shared" si="96"/>
        <v>0</v>
      </c>
      <c r="Y257" s="273"/>
      <c r="Z257" s="274">
        <f t="shared" si="97"/>
        <v>0</v>
      </c>
      <c r="AA257" s="251">
        <f t="shared" si="98"/>
        <v>0</v>
      </c>
    </row>
    <row r="258" customHeight="1" spans="1:27">
      <c r="A258" s="270">
        <v>27</v>
      </c>
      <c r="B258" s="270"/>
      <c r="C258" s="274"/>
      <c r="D258" s="274"/>
      <c r="E258" s="272">
        <f t="shared" si="86"/>
        <v>0</v>
      </c>
      <c r="F258" s="272">
        <f t="shared" si="87"/>
        <v>0</v>
      </c>
      <c r="G258" s="273"/>
      <c r="H258" s="274">
        <f t="shared" si="88"/>
        <v>0</v>
      </c>
      <c r="I258" s="273"/>
      <c r="J258" s="274">
        <f t="shared" si="89"/>
        <v>0</v>
      </c>
      <c r="K258" s="275"/>
      <c r="L258" s="274">
        <f t="shared" si="90"/>
        <v>0</v>
      </c>
      <c r="M258" s="273"/>
      <c r="N258" s="274">
        <f t="shared" si="91"/>
        <v>0</v>
      </c>
      <c r="O258" s="273"/>
      <c r="P258" s="274">
        <f t="shared" si="92"/>
        <v>0</v>
      </c>
      <c r="Q258" s="273"/>
      <c r="R258" s="274">
        <f t="shared" si="93"/>
        <v>0</v>
      </c>
      <c r="S258" s="273"/>
      <c r="T258" s="274">
        <f t="shared" si="94"/>
        <v>0</v>
      </c>
      <c r="U258" s="273"/>
      <c r="V258" s="274">
        <f t="shared" si="95"/>
        <v>0</v>
      </c>
      <c r="W258" s="273"/>
      <c r="X258" s="274">
        <f t="shared" si="96"/>
        <v>0</v>
      </c>
      <c r="Y258" s="273"/>
      <c r="Z258" s="274">
        <f t="shared" si="97"/>
        <v>0</v>
      </c>
      <c r="AA258" s="251">
        <f t="shared" si="98"/>
        <v>0</v>
      </c>
    </row>
    <row r="259" customHeight="1" spans="1:27">
      <c r="A259" s="270">
        <v>28</v>
      </c>
      <c r="B259" s="270"/>
      <c r="C259" s="274"/>
      <c r="D259" s="274"/>
      <c r="E259" s="272">
        <f t="shared" si="86"/>
        <v>0</v>
      </c>
      <c r="F259" s="272">
        <f t="shared" si="87"/>
        <v>0</v>
      </c>
      <c r="G259" s="273"/>
      <c r="H259" s="274">
        <f t="shared" si="88"/>
        <v>0</v>
      </c>
      <c r="I259" s="273"/>
      <c r="J259" s="274">
        <f t="shared" si="89"/>
        <v>0</v>
      </c>
      <c r="K259" s="275"/>
      <c r="L259" s="274">
        <f t="shared" si="90"/>
        <v>0</v>
      </c>
      <c r="M259" s="273"/>
      <c r="N259" s="274">
        <f t="shared" si="91"/>
        <v>0</v>
      </c>
      <c r="O259" s="273"/>
      <c r="P259" s="274">
        <f t="shared" si="92"/>
        <v>0</v>
      </c>
      <c r="Q259" s="273"/>
      <c r="R259" s="274">
        <f t="shared" si="93"/>
        <v>0</v>
      </c>
      <c r="S259" s="273"/>
      <c r="T259" s="274">
        <f t="shared" si="94"/>
        <v>0</v>
      </c>
      <c r="U259" s="273"/>
      <c r="V259" s="274">
        <f t="shared" si="95"/>
        <v>0</v>
      </c>
      <c r="W259" s="273"/>
      <c r="X259" s="274">
        <f t="shared" si="96"/>
        <v>0</v>
      </c>
      <c r="Y259" s="273"/>
      <c r="Z259" s="274">
        <f t="shared" si="97"/>
        <v>0</v>
      </c>
      <c r="AA259" s="251">
        <f t="shared" si="98"/>
        <v>0</v>
      </c>
    </row>
    <row r="260" customHeight="1" spans="1:27">
      <c r="A260" s="270">
        <v>29</v>
      </c>
      <c r="B260" s="270"/>
      <c r="C260" s="274"/>
      <c r="D260" s="274"/>
      <c r="E260" s="272">
        <f t="shared" si="86"/>
        <v>0</v>
      </c>
      <c r="F260" s="272">
        <f t="shared" si="87"/>
        <v>0</v>
      </c>
      <c r="G260" s="273"/>
      <c r="H260" s="274">
        <f t="shared" si="88"/>
        <v>0</v>
      </c>
      <c r="I260" s="273"/>
      <c r="J260" s="274">
        <f t="shared" si="89"/>
        <v>0</v>
      </c>
      <c r="K260" s="275"/>
      <c r="L260" s="274">
        <f t="shared" si="90"/>
        <v>0</v>
      </c>
      <c r="M260" s="273"/>
      <c r="N260" s="274">
        <f t="shared" si="91"/>
        <v>0</v>
      </c>
      <c r="O260" s="273"/>
      <c r="P260" s="274">
        <f t="shared" si="92"/>
        <v>0</v>
      </c>
      <c r="Q260" s="273"/>
      <c r="R260" s="274">
        <f t="shared" si="93"/>
        <v>0</v>
      </c>
      <c r="S260" s="273"/>
      <c r="T260" s="274">
        <f t="shared" si="94"/>
        <v>0</v>
      </c>
      <c r="U260" s="273"/>
      <c r="V260" s="274">
        <f t="shared" si="95"/>
        <v>0</v>
      </c>
      <c r="W260" s="273"/>
      <c r="X260" s="274">
        <f t="shared" si="96"/>
        <v>0</v>
      </c>
      <c r="Y260" s="273"/>
      <c r="Z260" s="274">
        <f t="shared" si="97"/>
        <v>0</v>
      </c>
      <c r="AA260" s="251">
        <f t="shared" si="98"/>
        <v>0</v>
      </c>
    </row>
    <row r="261" customHeight="1" spans="1:27">
      <c r="A261" s="270">
        <v>30</v>
      </c>
      <c r="B261" s="270"/>
      <c r="C261" s="274"/>
      <c r="D261" s="274"/>
      <c r="E261" s="272">
        <f t="shared" si="86"/>
        <v>0</v>
      </c>
      <c r="F261" s="272">
        <f t="shared" si="87"/>
        <v>0</v>
      </c>
      <c r="G261" s="273"/>
      <c r="H261" s="274">
        <f t="shared" si="88"/>
        <v>0</v>
      </c>
      <c r="I261" s="273"/>
      <c r="J261" s="274">
        <f t="shared" si="89"/>
        <v>0</v>
      </c>
      <c r="K261" s="275"/>
      <c r="L261" s="274">
        <f t="shared" si="90"/>
        <v>0</v>
      </c>
      <c r="M261" s="273"/>
      <c r="N261" s="274">
        <f t="shared" si="91"/>
        <v>0</v>
      </c>
      <c r="O261" s="273"/>
      <c r="P261" s="274">
        <f t="shared" si="92"/>
        <v>0</v>
      </c>
      <c r="Q261" s="273"/>
      <c r="R261" s="274">
        <f t="shared" si="93"/>
        <v>0</v>
      </c>
      <c r="S261" s="273"/>
      <c r="T261" s="274">
        <f t="shared" si="94"/>
        <v>0</v>
      </c>
      <c r="U261" s="273"/>
      <c r="V261" s="274">
        <f t="shared" si="95"/>
        <v>0</v>
      </c>
      <c r="W261" s="273"/>
      <c r="X261" s="274">
        <f t="shared" si="96"/>
        <v>0</v>
      </c>
      <c r="Y261" s="273"/>
      <c r="Z261" s="274">
        <f t="shared" si="97"/>
        <v>0</v>
      </c>
      <c r="AA261" s="251">
        <f t="shared" si="98"/>
        <v>0</v>
      </c>
    </row>
    <row r="262" customHeight="1" spans="1:27">
      <c r="A262" s="276" t="s">
        <v>22</v>
      </c>
      <c r="B262" s="277"/>
      <c r="C262" s="261">
        <f t="shared" ref="C262:Z262" si="112">SUM(C232:C261)</f>
        <v>0</v>
      </c>
      <c r="D262" s="261">
        <f t="shared" si="112"/>
        <v>0</v>
      </c>
      <c r="E262" s="261">
        <f t="shared" si="112"/>
        <v>0</v>
      </c>
      <c r="F262" s="272">
        <f t="shared" si="112"/>
        <v>0</v>
      </c>
      <c r="G262" s="261">
        <f t="shared" si="112"/>
        <v>0</v>
      </c>
      <c r="H262" s="273">
        <f t="shared" si="112"/>
        <v>0</v>
      </c>
      <c r="I262" s="273">
        <f t="shared" si="112"/>
        <v>0</v>
      </c>
      <c r="J262" s="273">
        <f t="shared" si="112"/>
        <v>0</v>
      </c>
      <c r="K262" s="273">
        <f t="shared" si="112"/>
        <v>0</v>
      </c>
      <c r="L262" s="273">
        <f t="shared" si="112"/>
        <v>0</v>
      </c>
      <c r="M262" s="273">
        <f t="shared" si="112"/>
        <v>0</v>
      </c>
      <c r="N262" s="273">
        <f t="shared" si="112"/>
        <v>0</v>
      </c>
      <c r="O262" s="273">
        <f t="shared" si="112"/>
        <v>0</v>
      </c>
      <c r="P262" s="273">
        <f t="shared" si="112"/>
        <v>0</v>
      </c>
      <c r="Q262" s="273">
        <f t="shared" si="112"/>
        <v>0</v>
      </c>
      <c r="R262" s="273">
        <f t="shared" si="112"/>
        <v>0</v>
      </c>
      <c r="S262" s="273">
        <f t="shared" si="112"/>
        <v>0</v>
      </c>
      <c r="T262" s="273">
        <f t="shared" si="112"/>
        <v>0</v>
      </c>
      <c r="U262" s="273">
        <f t="shared" si="112"/>
        <v>0</v>
      </c>
      <c r="V262" s="273">
        <f t="shared" si="112"/>
        <v>0</v>
      </c>
      <c r="W262" s="273">
        <f t="shared" si="112"/>
        <v>0</v>
      </c>
      <c r="X262" s="273">
        <f t="shared" si="112"/>
        <v>0</v>
      </c>
      <c r="Y262" s="273">
        <f t="shared" si="112"/>
        <v>0</v>
      </c>
      <c r="Z262" s="273">
        <f t="shared" si="112"/>
        <v>0</v>
      </c>
    </row>
    <row r="265" customHeight="1" spans="1:27">
      <c r="B265" s="257" t="s">
        <v>61</v>
      </c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  <c r="Z265" s="258"/>
    </row>
    <row r="267" customHeight="1" spans="1:27">
      <c r="A267" s="259" t="s">
        <v>31</v>
      </c>
      <c r="B267" s="260" t="s">
        <v>32</v>
      </c>
      <c r="C267" s="261" t="s">
        <v>33</v>
      </c>
      <c r="D267" s="261" t="s">
        <v>34</v>
      </c>
      <c r="E267" s="262" t="s">
        <v>35</v>
      </c>
      <c r="F267" s="262" t="s">
        <v>36</v>
      </c>
      <c r="G267" s="263" t="str">
        <f>立项!$A$3</f>
        <v>RD01</v>
      </c>
      <c r="H267" s="264"/>
      <c r="I267" s="264" t="str">
        <f>立项!$A$4</f>
        <v>RD02</v>
      </c>
      <c r="J267" s="264"/>
      <c r="K267" s="264" t="str">
        <f>立项!$A$5</f>
        <v>RD03</v>
      </c>
      <c r="L267" s="264"/>
      <c r="M267" s="264" t="str">
        <f>立项!$A$6</f>
        <v>RD04</v>
      </c>
      <c r="N267" s="264"/>
      <c r="O267" s="264" t="str">
        <f>立项!$A$7</f>
        <v>RD05</v>
      </c>
      <c r="P267" s="264"/>
      <c r="Q267" s="264" t="str">
        <f>立项!$A$8</f>
        <v>RD06</v>
      </c>
      <c r="R267" s="264"/>
      <c r="S267" s="264" t="str">
        <f>立项!$A$9</f>
        <v>RD07</v>
      </c>
      <c r="T267" s="264"/>
      <c r="U267" s="264" t="str">
        <f>立项!$A$10</f>
        <v>RD08</v>
      </c>
      <c r="V267" s="264"/>
      <c r="W267" s="264" t="str">
        <f>立项!$A$11</f>
        <v>RD09</v>
      </c>
      <c r="X267" s="264"/>
      <c r="Y267" s="264" t="str">
        <f>立项!$A$12</f>
        <v>RD10</v>
      </c>
      <c r="Z267" s="264"/>
    </row>
    <row r="268" customHeight="1" spans="1:27">
      <c r="A268" s="265"/>
      <c r="B268" s="260"/>
      <c r="C268" s="261"/>
      <c r="D268" s="261"/>
      <c r="E268" s="262"/>
      <c r="F268" s="262"/>
      <c r="G268" s="267">
        <f>立项!C3</f>
        <v>0</v>
      </c>
      <c r="H268" s="263"/>
      <c r="I268" s="267">
        <f>立项!C4</f>
        <v>0</v>
      </c>
      <c r="J268" s="263"/>
      <c r="K268" s="267">
        <f>立项!C5</f>
        <v>0</v>
      </c>
      <c r="L268" s="263"/>
      <c r="M268" s="267">
        <f>立项!C6</f>
        <v>0</v>
      </c>
      <c r="N268" s="263"/>
      <c r="O268" s="267">
        <f>立项!C7</f>
        <v>0</v>
      </c>
      <c r="P268" s="263"/>
      <c r="Q268" s="267">
        <f>立项!C8</f>
        <v>0</v>
      </c>
      <c r="R268" s="263"/>
      <c r="S268" s="267">
        <f>立项!C9</f>
        <v>0</v>
      </c>
      <c r="T268" s="263"/>
      <c r="U268" s="267">
        <f>立项!C10</f>
        <v>0</v>
      </c>
      <c r="V268" s="263"/>
      <c r="W268" s="267">
        <f>立项!C11</f>
        <v>0</v>
      </c>
      <c r="X268" s="263"/>
      <c r="Y268" s="264">
        <f>立项!C12</f>
        <v>0</v>
      </c>
      <c r="Z268" s="264"/>
    </row>
    <row r="269" customHeight="1" spans="1:27">
      <c r="A269" s="268"/>
      <c r="B269" s="260"/>
      <c r="C269" s="261"/>
      <c r="D269" s="261"/>
      <c r="E269" s="262"/>
      <c r="F269" s="262"/>
      <c r="G269" s="264" t="s">
        <v>39</v>
      </c>
      <c r="H269" s="269" t="s">
        <v>40</v>
      </c>
      <c r="I269" s="264" t="s">
        <v>39</v>
      </c>
      <c r="J269" s="269" t="s">
        <v>40</v>
      </c>
      <c r="K269" s="264" t="s">
        <v>39</v>
      </c>
      <c r="L269" s="269" t="s">
        <v>40</v>
      </c>
      <c r="M269" s="264" t="s">
        <v>39</v>
      </c>
      <c r="N269" s="269" t="s">
        <v>40</v>
      </c>
      <c r="O269" s="264" t="s">
        <v>39</v>
      </c>
      <c r="P269" s="269" t="s">
        <v>40</v>
      </c>
      <c r="Q269" s="264" t="s">
        <v>39</v>
      </c>
      <c r="R269" s="269" t="s">
        <v>40</v>
      </c>
      <c r="S269" s="264" t="s">
        <v>39</v>
      </c>
      <c r="T269" s="269" t="s">
        <v>40</v>
      </c>
      <c r="U269" s="264" t="s">
        <v>39</v>
      </c>
      <c r="V269" s="269" t="s">
        <v>40</v>
      </c>
      <c r="W269" s="264" t="s">
        <v>39</v>
      </c>
      <c r="X269" s="269" t="s">
        <v>40</v>
      </c>
      <c r="Y269" s="264" t="s">
        <v>39</v>
      </c>
      <c r="Z269" s="269" t="s">
        <v>40</v>
      </c>
    </row>
    <row r="270" customHeight="1" spans="1:27">
      <c r="A270" s="270">
        <v>1</v>
      </c>
      <c r="B270" s="324"/>
      <c r="C270" s="272"/>
      <c r="D270" s="272"/>
      <c r="E270" s="272">
        <f t="shared" ref="E270:E299" si="113">G270+I270+K270+M270+O270+Q270+S270+U270+W270+Y270</f>
        <v>0</v>
      </c>
      <c r="F270" s="272">
        <f t="shared" ref="F270:F299" si="114">H270+J270+L270+N270+P270+R270+T270+V270+X270+Z270</f>
        <v>0</v>
      </c>
      <c r="G270" s="273"/>
      <c r="H270" s="274">
        <f t="shared" ref="H270:H299" si="115">IF($D270=0,0,ROUND(G270/$D270*$C270,2))</f>
        <v>0</v>
      </c>
      <c r="I270" s="273"/>
      <c r="J270" s="274">
        <f t="shared" ref="J270:J299" si="116">IF($D270=0,0,ROUND(I270/$D270*$C270,2))</f>
        <v>0</v>
      </c>
      <c r="K270" s="275"/>
      <c r="L270" s="274">
        <f t="shared" ref="L270:L299" si="117">IF($D270=0,0,ROUND(K270/$D270*$C270,2))</f>
        <v>0</v>
      </c>
      <c r="M270" s="273"/>
      <c r="N270" s="274">
        <f t="shared" ref="N270:N299" si="118">IF($D270=0,0,ROUND(M270/$D270*$C270,2))</f>
        <v>0</v>
      </c>
      <c r="O270" s="273"/>
      <c r="P270" s="274">
        <f t="shared" ref="P270:P299" si="119">IF($D270=0,0,ROUND(O270/$D270*$C270,2))</f>
        <v>0</v>
      </c>
      <c r="Q270" s="273"/>
      <c r="R270" s="274">
        <f t="shared" ref="R270:R299" si="120">IF($D270=0,0,ROUND(Q270/$D270*$C270,2))</f>
        <v>0</v>
      </c>
      <c r="S270" s="273"/>
      <c r="T270" s="274">
        <f t="shared" ref="T270:T299" si="121">IF($D270=0,0,ROUND(S270/$D270*$C270,2))</f>
        <v>0</v>
      </c>
      <c r="U270" s="273"/>
      <c r="V270" s="274">
        <f t="shared" ref="V270:V299" si="122">IF($D270=0,0,ROUND(U270/$D270*$C270,2))</f>
        <v>0</v>
      </c>
      <c r="W270" s="273"/>
      <c r="X270" s="274">
        <f t="shared" ref="X270:X299" si="123">IF($D270=0,0,ROUND(W270/$D270*$C270,2))</f>
        <v>0</v>
      </c>
      <c r="Y270" s="273"/>
      <c r="Z270" s="274">
        <f t="shared" ref="Z270:Z299" si="124">IF($D270=0,0,ROUND(Y270/$D270*$C270,2))</f>
        <v>0</v>
      </c>
      <c r="AA270" s="251">
        <f t="shared" ref="AA270:AA299" si="125">D270-E270</f>
        <v>0</v>
      </c>
    </row>
    <row r="271" customHeight="1" spans="1:27">
      <c r="A271" s="270">
        <v>2</v>
      </c>
      <c r="B271" s="324"/>
      <c r="C271" s="272"/>
      <c r="D271" s="272"/>
      <c r="E271" s="272">
        <f t="shared" si="113"/>
        <v>0</v>
      </c>
      <c r="F271" s="272">
        <f t="shared" si="114"/>
        <v>0</v>
      </c>
      <c r="G271" s="273"/>
      <c r="H271" s="274">
        <f t="shared" si="115"/>
        <v>0</v>
      </c>
      <c r="I271" s="273"/>
      <c r="J271" s="274">
        <f t="shared" si="116"/>
        <v>0</v>
      </c>
      <c r="K271" s="275"/>
      <c r="L271" s="274">
        <f t="shared" si="117"/>
        <v>0</v>
      </c>
      <c r="M271" s="273"/>
      <c r="N271" s="274">
        <f t="shared" si="118"/>
        <v>0</v>
      </c>
      <c r="O271" s="273"/>
      <c r="P271" s="274">
        <f t="shared" si="119"/>
        <v>0</v>
      </c>
      <c r="Q271" s="273"/>
      <c r="R271" s="274">
        <f t="shared" si="120"/>
        <v>0</v>
      </c>
      <c r="S271" s="273"/>
      <c r="T271" s="274">
        <f t="shared" si="121"/>
        <v>0</v>
      </c>
      <c r="U271" s="273"/>
      <c r="V271" s="274">
        <f t="shared" si="122"/>
        <v>0</v>
      </c>
      <c r="W271" s="273"/>
      <c r="X271" s="274">
        <f t="shared" si="123"/>
        <v>0</v>
      </c>
      <c r="Y271" s="273"/>
      <c r="Z271" s="274">
        <f t="shared" si="124"/>
        <v>0</v>
      </c>
      <c r="AA271" s="251">
        <f t="shared" si="125"/>
        <v>0</v>
      </c>
    </row>
    <row r="272" customHeight="1" spans="1:27">
      <c r="A272" s="270">
        <v>3</v>
      </c>
      <c r="B272" s="324"/>
      <c r="C272" s="272"/>
      <c r="D272" s="272"/>
      <c r="E272" s="272">
        <f t="shared" si="113"/>
        <v>0</v>
      </c>
      <c r="F272" s="272">
        <f t="shared" si="114"/>
        <v>0</v>
      </c>
      <c r="G272" s="273"/>
      <c r="H272" s="274">
        <f t="shared" si="115"/>
        <v>0</v>
      </c>
      <c r="I272" s="273"/>
      <c r="J272" s="274">
        <f t="shared" si="116"/>
        <v>0</v>
      </c>
      <c r="K272" s="275"/>
      <c r="L272" s="274">
        <f t="shared" si="117"/>
        <v>0</v>
      </c>
      <c r="M272" s="273"/>
      <c r="N272" s="274">
        <f t="shared" si="118"/>
        <v>0</v>
      </c>
      <c r="O272" s="273"/>
      <c r="P272" s="274">
        <f t="shared" si="119"/>
        <v>0</v>
      </c>
      <c r="Q272" s="273"/>
      <c r="R272" s="274">
        <f t="shared" si="120"/>
        <v>0</v>
      </c>
      <c r="S272" s="273"/>
      <c r="T272" s="274">
        <f t="shared" si="121"/>
        <v>0</v>
      </c>
      <c r="U272" s="273"/>
      <c r="V272" s="274">
        <f t="shared" si="122"/>
        <v>0</v>
      </c>
      <c r="W272" s="273"/>
      <c r="X272" s="274">
        <f t="shared" si="123"/>
        <v>0</v>
      </c>
      <c r="Y272" s="273"/>
      <c r="Z272" s="274">
        <f t="shared" si="124"/>
        <v>0</v>
      </c>
      <c r="AA272" s="251">
        <f t="shared" si="125"/>
        <v>0</v>
      </c>
    </row>
    <row r="273" customHeight="1" spans="1:27">
      <c r="A273" s="270">
        <v>4</v>
      </c>
      <c r="B273" s="324"/>
      <c r="C273" s="272"/>
      <c r="D273" s="272"/>
      <c r="E273" s="272">
        <f t="shared" si="113"/>
        <v>0</v>
      </c>
      <c r="F273" s="272">
        <f t="shared" si="114"/>
        <v>0</v>
      </c>
      <c r="G273" s="273"/>
      <c r="H273" s="274">
        <f t="shared" si="115"/>
        <v>0</v>
      </c>
      <c r="I273" s="273"/>
      <c r="J273" s="274">
        <f t="shared" si="116"/>
        <v>0</v>
      </c>
      <c r="K273" s="275"/>
      <c r="L273" s="274">
        <f t="shared" si="117"/>
        <v>0</v>
      </c>
      <c r="M273" s="273"/>
      <c r="N273" s="274">
        <f t="shared" si="118"/>
        <v>0</v>
      </c>
      <c r="O273" s="273"/>
      <c r="P273" s="274">
        <f t="shared" si="119"/>
        <v>0</v>
      </c>
      <c r="Q273" s="273"/>
      <c r="R273" s="274">
        <f t="shared" si="120"/>
        <v>0</v>
      </c>
      <c r="S273" s="273"/>
      <c r="T273" s="274">
        <f t="shared" si="121"/>
        <v>0</v>
      </c>
      <c r="U273" s="273"/>
      <c r="V273" s="274">
        <f t="shared" si="122"/>
        <v>0</v>
      </c>
      <c r="W273" s="273"/>
      <c r="X273" s="274">
        <f t="shared" si="123"/>
        <v>0</v>
      </c>
      <c r="Y273" s="273"/>
      <c r="Z273" s="274">
        <f t="shared" si="124"/>
        <v>0</v>
      </c>
      <c r="AA273" s="251">
        <f t="shared" si="125"/>
        <v>0</v>
      </c>
    </row>
    <row r="274" customHeight="1" spans="1:27">
      <c r="A274" s="270">
        <v>5</v>
      </c>
      <c r="B274" s="324"/>
      <c r="C274" s="272"/>
      <c r="D274" s="272"/>
      <c r="E274" s="272">
        <f t="shared" si="113"/>
        <v>0</v>
      </c>
      <c r="F274" s="272">
        <f t="shared" si="114"/>
        <v>0</v>
      </c>
      <c r="G274" s="273"/>
      <c r="H274" s="274">
        <f t="shared" si="115"/>
        <v>0</v>
      </c>
      <c r="I274" s="273"/>
      <c r="J274" s="274">
        <f t="shared" si="116"/>
        <v>0</v>
      </c>
      <c r="K274" s="275"/>
      <c r="L274" s="274">
        <f t="shared" si="117"/>
        <v>0</v>
      </c>
      <c r="M274" s="273"/>
      <c r="N274" s="274">
        <f t="shared" si="118"/>
        <v>0</v>
      </c>
      <c r="O274" s="273"/>
      <c r="P274" s="274">
        <f t="shared" si="119"/>
        <v>0</v>
      </c>
      <c r="Q274" s="273"/>
      <c r="R274" s="274">
        <f t="shared" si="120"/>
        <v>0</v>
      </c>
      <c r="S274" s="273"/>
      <c r="T274" s="274">
        <f t="shared" si="121"/>
        <v>0</v>
      </c>
      <c r="U274" s="273"/>
      <c r="V274" s="274">
        <f t="shared" si="122"/>
        <v>0</v>
      </c>
      <c r="W274" s="273"/>
      <c r="X274" s="274">
        <f t="shared" si="123"/>
        <v>0</v>
      </c>
      <c r="Y274" s="273"/>
      <c r="Z274" s="274">
        <f t="shared" si="124"/>
        <v>0</v>
      </c>
      <c r="AA274" s="251">
        <f t="shared" si="125"/>
        <v>0</v>
      </c>
    </row>
    <row r="275" customHeight="1" spans="1:27">
      <c r="A275" s="270">
        <v>6</v>
      </c>
      <c r="B275" s="324"/>
      <c r="C275" s="274"/>
      <c r="D275" s="274"/>
      <c r="E275" s="272">
        <f t="shared" si="113"/>
        <v>0</v>
      </c>
      <c r="F275" s="272">
        <f t="shared" si="114"/>
        <v>0</v>
      </c>
      <c r="G275" s="273"/>
      <c r="H275" s="274">
        <f t="shared" si="115"/>
        <v>0</v>
      </c>
      <c r="I275" s="273"/>
      <c r="J275" s="274">
        <f t="shared" si="116"/>
        <v>0</v>
      </c>
      <c r="K275" s="275"/>
      <c r="L275" s="274">
        <f t="shared" si="117"/>
        <v>0</v>
      </c>
      <c r="M275" s="273"/>
      <c r="N275" s="274">
        <f t="shared" si="118"/>
        <v>0</v>
      </c>
      <c r="O275" s="273"/>
      <c r="P275" s="274">
        <f t="shared" si="119"/>
        <v>0</v>
      </c>
      <c r="Q275" s="273"/>
      <c r="R275" s="274">
        <f t="shared" si="120"/>
        <v>0</v>
      </c>
      <c r="S275" s="273"/>
      <c r="T275" s="274">
        <f t="shared" si="121"/>
        <v>0</v>
      </c>
      <c r="U275" s="273"/>
      <c r="V275" s="274">
        <f t="shared" si="122"/>
        <v>0</v>
      </c>
      <c r="W275" s="273"/>
      <c r="X275" s="274">
        <f t="shared" si="123"/>
        <v>0</v>
      </c>
      <c r="Y275" s="273"/>
      <c r="Z275" s="274">
        <f t="shared" si="124"/>
        <v>0</v>
      </c>
      <c r="AA275" s="251">
        <f t="shared" si="125"/>
        <v>0</v>
      </c>
    </row>
    <row r="276" customHeight="1" spans="1:27">
      <c r="A276" s="270">
        <v>7</v>
      </c>
      <c r="B276" s="324"/>
      <c r="C276" s="274"/>
      <c r="D276" s="274"/>
      <c r="E276" s="272">
        <f t="shared" si="113"/>
        <v>0</v>
      </c>
      <c r="F276" s="272">
        <f t="shared" si="114"/>
        <v>0</v>
      </c>
      <c r="G276" s="273"/>
      <c r="H276" s="274">
        <f t="shared" si="115"/>
        <v>0</v>
      </c>
      <c r="I276" s="273"/>
      <c r="J276" s="274">
        <f t="shared" si="116"/>
        <v>0</v>
      </c>
      <c r="K276" s="275"/>
      <c r="L276" s="274">
        <f t="shared" si="117"/>
        <v>0</v>
      </c>
      <c r="M276" s="273"/>
      <c r="N276" s="274">
        <f t="shared" si="118"/>
        <v>0</v>
      </c>
      <c r="O276" s="273"/>
      <c r="P276" s="274">
        <f t="shared" si="119"/>
        <v>0</v>
      </c>
      <c r="Q276" s="273"/>
      <c r="R276" s="274">
        <f t="shared" si="120"/>
        <v>0</v>
      </c>
      <c r="S276" s="273"/>
      <c r="T276" s="274">
        <f t="shared" si="121"/>
        <v>0</v>
      </c>
      <c r="U276" s="273"/>
      <c r="V276" s="274">
        <f t="shared" si="122"/>
        <v>0</v>
      </c>
      <c r="W276" s="273"/>
      <c r="X276" s="274">
        <f t="shared" si="123"/>
        <v>0</v>
      </c>
      <c r="Y276" s="273"/>
      <c r="Z276" s="274">
        <f t="shared" si="124"/>
        <v>0</v>
      </c>
      <c r="AA276" s="251">
        <f t="shared" si="125"/>
        <v>0</v>
      </c>
    </row>
    <row r="277" customHeight="1" spans="1:27">
      <c r="A277" s="270">
        <v>8</v>
      </c>
      <c r="B277" s="324"/>
      <c r="C277" s="274"/>
      <c r="D277" s="274"/>
      <c r="E277" s="272">
        <f t="shared" si="113"/>
        <v>0</v>
      </c>
      <c r="F277" s="272">
        <f t="shared" si="114"/>
        <v>0</v>
      </c>
      <c r="G277" s="273"/>
      <c r="H277" s="274">
        <f t="shared" si="115"/>
        <v>0</v>
      </c>
      <c r="I277" s="273"/>
      <c r="J277" s="274">
        <f t="shared" si="116"/>
        <v>0</v>
      </c>
      <c r="K277" s="275"/>
      <c r="L277" s="274">
        <f t="shared" si="117"/>
        <v>0</v>
      </c>
      <c r="M277" s="273"/>
      <c r="N277" s="274">
        <f t="shared" si="118"/>
        <v>0</v>
      </c>
      <c r="O277" s="273"/>
      <c r="P277" s="274">
        <f t="shared" si="119"/>
        <v>0</v>
      </c>
      <c r="Q277" s="273"/>
      <c r="R277" s="274">
        <f t="shared" si="120"/>
        <v>0</v>
      </c>
      <c r="S277" s="273"/>
      <c r="T277" s="274">
        <f t="shared" si="121"/>
        <v>0</v>
      </c>
      <c r="U277" s="273"/>
      <c r="V277" s="274">
        <f t="shared" si="122"/>
        <v>0</v>
      </c>
      <c r="W277" s="273"/>
      <c r="X277" s="274">
        <f t="shared" si="123"/>
        <v>0</v>
      </c>
      <c r="Y277" s="273"/>
      <c r="Z277" s="274">
        <f t="shared" si="124"/>
        <v>0</v>
      </c>
      <c r="AA277" s="251">
        <f t="shared" si="125"/>
        <v>0</v>
      </c>
    </row>
    <row r="278" customHeight="1" spans="1:27">
      <c r="A278" s="270">
        <v>9</v>
      </c>
      <c r="B278" s="324"/>
      <c r="C278" s="274"/>
      <c r="D278" s="274"/>
      <c r="E278" s="272">
        <f t="shared" si="113"/>
        <v>0</v>
      </c>
      <c r="F278" s="272">
        <f t="shared" si="114"/>
        <v>0</v>
      </c>
      <c r="G278" s="273"/>
      <c r="H278" s="274">
        <f t="shared" si="115"/>
        <v>0</v>
      </c>
      <c r="I278" s="273"/>
      <c r="J278" s="274">
        <f t="shared" si="116"/>
        <v>0</v>
      </c>
      <c r="K278" s="275"/>
      <c r="L278" s="274">
        <f t="shared" si="117"/>
        <v>0</v>
      </c>
      <c r="M278" s="273"/>
      <c r="N278" s="274">
        <f t="shared" si="118"/>
        <v>0</v>
      </c>
      <c r="O278" s="273"/>
      <c r="P278" s="274">
        <f t="shared" si="119"/>
        <v>0</v>
      </c>
      <c r="Q278" s="273"/>
      <c r="R278" s="274">
        <f t="shared" si="120"/>
        <v>0</v>
      </c>
      <c r="S278" s="273"/>
      <c r="T278" s="274">
        <f t="shared" si="121"/>
        <v>0</v>
      </c>
      <c r="U278" s="273"/>
      <c r="V278" s="274">
        <f t="shared" si="122"/>
        <v>0</v>
      </c>
      <c r="W278" s="273"/>
      <c r="X278" s="274">
        <f t="shared" si="123"/>
        <v>0</v>
      </c>
      <c r="Y278" s="273"/>
      <c r="Z278" s="274">
        <f t="shared" si="124"/>
        <v>0</v>
      </c>
      <c r="AA278" s="251">
        <f t="shared" si="125"/>
        <v>0</v>
      </c>
    </row>
    <row r="279" customHeight="1" spans="1:27">
      <c r="A279" s="270">
        <v>10</v>
      </c>
      <c r="B279" s="270"/>
      <c r="C279" s="274"/>
      <c r="D279" s="274"/>
      <c r="E279" s="272">
        <f t="shared" si="113"/>
        <v>0</v>
      </c>
      <c r="F279" s="272">
        <f t="shared" si="114"/>
        <v>0</v>
      </c>
      <c r="G279" s="273"/>
      <c r="H279" s="274">
        <f t="shared" si="115"/>
        <v>0</v>
      </c>
      <c r="I279" s="273"/>
      <c r="J279" s="274">
        <f t="shared" si="116"/>
        <v>0</v>
      </c>
      <c r="K279" s="275"/>
      <c r="L279" s="274">
        <f t="shared" si="117"/>
        <v>0</v>
      </c>
      <c r="M279" s="273"/>
      <c r="N279" s="274">
        <f t="shared" si="118"/>
        <v>0</v>
      </c>
      <c r="O279" s="273"/>
      <c r="P279" s="274">
        <f t="shared" si="119"/>
        <v>0</v>
      </c>
      <c r="Q279" s="273"/>
      <c r="R279" s="274">
        <f t="shared" si="120"/>
        <v>0</v>
      </c>
      <c r="S279" s="273"/>
      <c r="T279" s="274">
        <f t="shared" si="121"/>
        <v>0</v>
      </c>
      <c r="U279" s="273"/>
      <c r="V279" s="274">
        <f t="shared" si="122"/>
        <v>0</v>
      </c>
      <c r="W279" s="273"/>
      <c r="X279" s="274">
        <f t="shared" si="123"/>
        <v>0</v>
      </c>
      <c r="Y279" s="273"/>
      <c r="Z279" s="274">
        <f t="shared" si="124"/>
        <v>0</v>
      </c>
      <c r="AA279" s="251">
        <f t="shared" si="125"/>
        <v>0</v>
      </c>
    </row>
    <row r="280" customHeight="1" spans="1:27">
      <c r="A280" s="270">
        <v>11</v>
      </c>
      <c r="B280" s="270"/>
      <c r="C280" s="274"/>
      <c r="D280" s="274"/>
      <c r="E280" s="272">
        <f t="shared" si="113"/>
        <v>0</v>
      </c>
      <c r="F280" s="272">
        <f t="shared" si="114"/>
        <v>0</v>
      </c>
      <c r="G280" s="273"/>
      <c r="H280" s="274">
        <f t="shared" si="115"/>
        <v>0</v>
      </c>
      <c r="I280" s="273"/>
      <c r="J280" s="274">
        <f t="shared" si="116"/>
        <v>0</v>
      </c>
      <c r="K280" s="275"/>
      <c r="L280" s="274">
        <f t="shared" si="117"/>
        <v>0</v>
      </c>
      <c r="M280" s="273"/>
      <c r="N280" s="274">
        <f t="shared" si="118"/>
        <v>0</v>
      </c>
      <c r="O280" s="273"/>
      <c r="P280" s="274">
        <f t="shared" si="119"/>
        <v>0</v>
      </c>
      <c r="Q280" s="273"/>
      <c r="R280" s="274">
        <f t="shared" si="120"/>
        <v>0</v>
      </c>
      <c r="S280" s="273"/>
      <c r="T280" s="274">
        <f t="shared" si="121"/>
        <v>0</v>
      </c>
      <c r="U280" s="273"/>
      <c r="V280" s="274">
        <f t="shared" si="122"/>
        <v>0</v>
      </c>
      <c r="W280" s="273"/>
      <c r="X280" s="274">
        <f t="shared" si="123"/>
        <v>0</v>
      </c>
      <c r="Y280" s="273"/>
      <c r="Z280" s="274">
        <f t="shared" si="124"/>
        <v>0</v>
      </c>
      <c r="AA280" s="251">
        <f t="shared" si="125"/>
        <v>0</v>
      </c>
    </row>
    <row r="281" customHeight="1" spans="1:27">
      <c r="A281" s="270">
        <v>12</v>
      </c>
      <c r="B281" s="270"/>
      <c r="C281" s="274"/>
      <c r="D281" s="274"/>
      <c r="E281" s="272">
        <f t="shared" si="113"/>
        <v>0</v>
      </c>
      <c r="F281" s="272">
        <f t="shared" si="114"/>
        <v>0</v>
      </c>
      <c r="G281" s="273"/>
      <c r="H281" s="274">
        <f t="shared" si="115"/>
        <v>0</v>
      </c>
      <c r="I281" s="273"/>
      <c r="J281" s="274">
        <f t="shared" si="116"/>
        <v>0</v>
      </c>
      <c r="K281" s="275"/>
      <c r="L281" s="274">
        <f t="shared" si="117"/>
        <v>0</v>
      </c>
      <c r="M281" s="273"/>
      <c r="N281" s="274">
        <f t="shared" si="118"/>
        <v>0</v>
      </c>
      <c r="O281" s="273"/>
      <c r="P281" s="274">
        <f t="shared" si="119"/>
        <v>0</v>
      </c>
      <c r="Q281" s="273"/>
      <c r="R281" s="274">
        <f t="shared" si="120"/>
        <v>0</v>
      </c>
      <c r="S281" s="273"/>
      <c r="T281" s="274">
        <f t="shared" si="121"/>
        <v>0</v>
      </c>
      <c r="U281" s="273"/>
      <c r="V281" s="274">
        <f t="shared" si="122"/>
        <v>0</v>
      </c>
      <c r="W281" s="273"/>
      <c r="X281" s="274">
        <f t="shared" si="123"/>
        <v>0</v>
      </c>
      <c r="Y281" s="273"/>
      <c r="Z281" s="274">
        <f t="shared" si="124"/>
        <v>0</v>
      </c>
      <c r="AA281" s="251">
        <f t="shared" si="125"/>
        <v>0</v>
      </c>
    </row>
    <row r="282" customHeight="1" spans="1:27">
      <c r="A282" s="270">
        <v>13</v>
      </c>
      <c r="B282" s="270"/>
      <c r="C282" s="274"/>
      <c r="D282" s="274"/>
      <c r="E282" s="272">
        <f t="shared" si="113"/>
        <v>0</v>
      </c>
      <c r="F282" s="272">
        <f t="shared" si="114"/>
        <v>0</v>
      </c>
      <c r="G282" s="273"/>
      <c r="H282" s="274">
        <f t="shared" si="115"/>
        <v>0</v>
      </c>
      <c r="I282" s="273"/>
      <c r="J282" s="274">
        <f t="shared" si="116"/>
        <v>0</v>
      </c>
      <c r="K282" s="275"/>
      <c r="L282" s="274">
        <f t="shared" si="117"/>
        <v>0</v>
      </c>
      <c r="M282" s="273"/>
      <c r="N282" s="274">
        <f t="shared" si="118"/>
        <v>0</v>
      </c>
      <c r="O282" s="273"/>
      <c r="P282" s="274">
        <f t="shared" si="119"/>
        <v>0</v>
      </c>
      <c r="Q282" s="273"/>
      <c r="R282" s="274">
        <f t="shared" si="120"/>
        <v>0</v>
      </c>
      <c r="S282" s="273"/>
      <c r="T282" s="274">
        <f t="shared" si="121"/>
        <v>0</v>
      </c>
      <c r="U282" s="273"/>
      <c r="V282" s="274">
        <f t="shared" si="122"/>
        <v>0</v>
      </c>
      <c r="W282" s="273"/>
      <c r="X282" s="274">
        <f t="shared" si="123"/>
        <v>0</v>
      </c>
      <c r="Y282" s="273"/>
      <c r="Z282" s="274">
        <f t="shared" si="124"/>
        <v>0</v>
      </c>
      <c r="AA282" s="251">
        <f t="shared" si="125"/>
        <v>0</v>
      </c>
    </row>
    <row r="283" customHeight="1" spans="1:27">
      <c r="A283" s="270">
        <v>14</v>
      </c>
      <c r="B283" s="270"/>
      <c r="C283" s="274"/>
      <c r="D283" s="274"/>
      <c r="E283" s="272">
        <f t="shared" si="113"/>
        <v>0</v>
      </c>
      <c r="F283" s="272">
        <f t="shared" si="114"/>
        <v>0</v>
      </c>
      <c r="G283" s="273"/>
      <c r="H283" s="274">
        <f t="shared" si="115"/>
        <v>0</v>
      </c>
      <c r="I283" s="273"/>
      <c r="J283" s="274">
        <f t="shared" si="116"/>
        <v>0</v>
      </c>
      <c r="K283" s="275"/>
      <c r="L283" s="274">
        <f t="shared" si="117"/>
        <v>0</v>
      </c>
      <c r="M283" s="273"/>
      <c r="N283" s="274">
        <f t="shared" si="118"/>
        <v>0</v>
      </c>
      <c r="O283" s="273"/>
      <c r="P283" s="274">
        <f t="shared" si="119"/>
        <v>0</v>
      </c>
      <c r="Q283" s="273"/>
      <c r="R283" s="274">
        <f t="shared" si="120"/>
        <v>0</v>
      </c>
      <c r="S283" s="273"/>
      <c r="T283" s="274">
        <f t="shared" si="121"/>
        <v>0</v>
      </c>
      <c r="U283" s="273"/>
      <c r="V283" s="274">
        <f t="shared" si="122"/>
        <v>0</v>
      </c>
      <c r="W283" s="273"/>
      <c r="X283" s="274">
        <f t="shared" si="123"/>
        <v>0</v>
      </c>
      <c r="Y283" s="273"/>
      <c r="Z283" s="274">
        <f t="shared" si="124"/>
        <v>0</v>
      </c>
      <c r="AA283" s="251">
        <f t="shared" si="125"/>
        <v>0</v>
      </c>
    </row>
    <row r="284" customHeight="1" spans="1:27">
      <c r="A284" s="270">
        <v>15</v>
      </c>
      <c r="B284" s="270"/>
      <c r="C284" s="274"/>
      <c r="D284" s="274"/>
      <c r="E284" s="272">
        <f t="shared" si="113"/>
        <v>0</v>
      </c>
      <c r="F284" s="272">
        <f t="shared" si="114"/>
        <v>0</v>
      </c>
      <c r="G284" s="273"/>
      <c r="H284" s="274">
        <f t="shared" si="115"/>
        <v>0</v>
      </c>
      <c r="I284" s="273"/>
      <c r="J284" s="274">
        <f t="shared" si="116"/>
        <v>0</v>
      </c>
      <c r="K284" s="275"/>
      <c r="L284" s="274">
        <f t="shared" si="117"/>
        <v>0</v>
      </c>
      <c r="M284" s="273"/>
      <c r="N284" s="274">
        <f t="shared" si="118"/>
        <v>0</v>
      </c>
      <c r="O284" s="273"/>
      <c r="P284" s="274">
        <f t="shared" si="119"/>
        <v>0</v>
      </c>
      <c r="Q284" s="273"/>
      <c r="R284" s="274">
        <f t="shared" si="120"/>
        <v>0</v>
      </c>
      <c r="S284" s="273"/>
      <c r="T284" s="274">
        <f t="shared" si="121"/>
        <v>0</v>
      </c>
      <c r="U284" s="273"/>
      <c r="V284" s="274">
        <f t="shared" si="122"/>
        <v>0</v>
      </c>
      <c r="W284" s="273"/>
      <c r="X284" s="274">
        <f t="shared" si="123"/>
        <v>0</v>
      </c>
      <c r="Y284" s="273"/>
      <c r="Z284" s="274">
        <f t="shared" si="124"/>
        <v>0</v>
      </c>
      <c r="AA284" s="251">
        <f t="shared" si="125"/>
        <v>0</v>
      </c>
    </row>
    <row r="285" customHeight="1" spans="1:27">
      <c r="A285" s="270">
        <v>16</v>
      </c>
      <c r="B285" s="270"/>
      <c r="C285" s="274"/>
      <c r="D285" s="274"/>
      <c r="E285" s="272">
        <f t="shared" si="113"/>
        <v>0</v>
      </c>
      <c r="F285" s="272">
        <f t="shared" si="114"/>
        <v>0</v>
      </c>
      <c r="G285" s="273"/>
      <c r="H285" s="274">
        <f t="shared" si="115"/>
        <v>0</v>
      </c>
      <c r="I285" s="273"/>
      <c r="J285" s="274">
        <f t="shared" si="116"/>
        <v>0</v>
      </c>
      <c r="K285" s="275"/>
      <c r="L285" s="274">
        <f t="shared" si="117"/>
        <v>0</v>
      </c>
      <c r="M285" s="273"/>
      <c r="N285" s="274">
        <f t="shared" si="118"/>
        <v>0</v>
      </c>
      <c r="O285" s="273"/>
      <c r="P285" s="274">
        <f t="shared" si="119"/>
        <v>0</v>
      </c>
      <c r="Q285" s="273"/>
      <c r="R285" s="274">
        <f t="shared" si="120"/>
        <v>0</v>
      </c>
      <c r="S285" s="273"/>
      <c r="T285" s="274">
        <f t="shared" si="121"/>
        <v>0</v>
      </c>
      <c r="U285" s="273"/>
      <c r="V285" s="274">
        <f t="shared" si="122"/>
        <v>0</v>
      </c>
      <c r="W285" s="273"/>
      <c r="X285" s="274">
        <f t="shared" si="123"/>
        <v>0</v>
      </c>
      <c r="Y285" s="273"/>
      <c r="Z285" s="274">
        <f t="shared" si="124"/>
        <v>0</v>
      </c>
      <c r="AA285" s="251">
        <f t="shared" si="125"/>
        <v>0</v>
      </c>
    </row>
    <row r="286" customHeight="1" spans="1:27">
      <c r="A286" s="270">
        <v>17</v>
      </c>
      <c r="B286" s="270"/>
      <c r="C286" s="274"/>
      <c r="D286" s="274"/>
      <c r="E286" s="272">
        <f t="shared" si="113"/>
        <v>0</v>
      </c>
      <c r="F286" s="272">
        <f t="shared" si="114"/>
        <v>0</v>
      </c>
      <c r="G286" s="273"/>
      <c r="H286" s="274">
        <f t="shared" si="115"/>
        <v>0</v>
      </c>
      <c r="I286" s="273"/>
      <c r="J286" s="274">
        <f t="shared" si="116"/>
        <v>0</v>
      </c>
      <c r="K286" s="275"/>
      <c r="L286" s="274">
        <f t="shared" si="117"/>
        <v>0</v>
      </c>
      <c r="M286" s="273"/>
      <c r="N286" s="274">
        <f t="shared" si="118"/>
        <v>0</v>
      </c>
      <c r="O286" s="273"/>
      <c r="P286" s="274">
        <f t="shared" si="119"/>
        <v>0</v>
      </c>
      <c r="Q286" s="273"/>
      <c r="R286" s="274">
        <f t="shared" si="120"/>
        <v>0</v>
      </c>
      <c r="S286" s="273"/>
      <c r="T286" s="274">
        <f t="shared" si="121"/>
        <v>0</v>
      </c>
      <c r="U286" s="273"/>
      <c r="V286" s="274">
        <f t="shared" si="122"/>
        <v>0</v>
      </c>
      <c r="W286" s="273"/>
      <c r="X286" s="274">
        <f t="shared" si="123"/>
        <v>0</v>
      </c>
      <c r="Y286" s="273"/>
      <c r="Z286" s="274">
        <f t="shared" si="124"/>
        <v>0</v>
      </c>
      <c r="AA286" s="251">
        <f t="shared" si="125"/>
        <v>0</v>
      </c>
    </row>
    <row r="287" customHeight="1" spans="1:27">
      <c r="A287" s="270">
        <v>18</v>
      </c>
      <c r="B287" s="270"/>
      <c r="C287" s="274"/>
      <c r="D287" s="274"/>
      <c r="E287" s="272">
        <f t="shared" si="113"/>
        <v>0</v>
      </c>
      <c r="F287" s="272">
        <f t="shared" si="114"/>
        <v>0</v>
      </c>
      <c r="G287" s="273"/>
      <c r="H287" s="274">
        <f t="shared" si="115"/>
        <v>0</v>
      </c>
      <c r="I287" s="273"/>
      <c r="J287" s="274">
        <f t="shared" si="116"/>
        <v>0</v>
      </c>
      <c r="K287" s="275"/>
      <c r="L287" s="274">
        <f t="shared" si="117"/>
        <v>0</v>
      </c>
      <c r="M287" s="273"/>
      <c r="N287" s="274">
        <f t="shared" si="118"/>
        <v>0</v>
      </c>
      <c r="O287" s="273"/>
      <c r="P287" s="274">
        <f t="shared" si="119"/>
        <v>0</v>
      </c>
      <c r="Q287" s="273"/>
      <c r="R287" s="274">
        <f t="shared" si="120"/>
        <v>0</v>
      </c>
      <c r="S287" s="273"/>
      <c r="T287" s="274">
        <f t="shared" si="121"/>
        <v>0</v>
      </c>
      <c r="U287" s="273"/>
      <c r="V287" s="274">
        <f t="shared" si="122"/>
        <v>0</v>
      </c>
      <c r="W287" s="273"/>
      <c r="X287" s="274">
        <f t="shared" si="123"/>
        <v>0</v>
      </c>
      <c r="Y287" s="273"/>
      <c r="Z287" s="274">
        <f t="shared" si="124"/>
        <v>0</v>
      </c>
      <c r="AA287" s="251">
        <f t="shared" si="125"/>
        <v>0</v>
      </c>
    </row>
    <row r="288" customHeight="1" spans="1:27">
      <c r="A288" s="270">
        <v>19</v>
      </c>
      <c r="B288" s="270"/>
      <c r="C288" s="274"/>
      <c r="D288" s="274"/>
      <c r="E288" s="272">
        <f t="shared" si="113"/>
        <v>0</v>
      </c>
      <c r="F288" s="272">
        <f t="shared" si="114"/>
        <v>0</v>
      </c>
      <c r="G288" s="273"/>
      <c r="H288" s="274">
        <f t="shared" si="115"/>
        <v>0</v>
      </c>
      <c r="I288" s="273"/>
      <c r="J288" s="274">
        <f t="shared" si="116"/>
        <v>0</v>
      </c>
      <c r="K288" s="275"/>
      <c r="L288" s="274">
        <f t="shared" si="117"/>
        <v>0</v>
      </c>
      <c r="M288" s="273"/>
      <c r="N288" s="274">
        <f t="shared" si="118"/>
        <v>0</v>
      </c>
      <c r="O288" s="273"/>
      <c r="P288" s="274">
        <f t="shared" si="119"/>
        <v>0</v>
      </c>
      <c r="Q288" s="273"/>
      <c r="R288" s="274">
        <f t="shared" si="120"/>
        <v>0</v>
      </c>
      <c r="S288" s="273"/>
      <c r="T288" s="274">
        <f t="shared" si="121"/>
        <v>0</v>
      </c>
      <c r="U288" s="273"/>
      <c r="V288" s="274">
        <f t="shared" si="122"/>
        <v>0</v>
      </c>
      <c r="W288" s="273"/>
      <c r="X288" s="274">
        <f t="shared" si="123"/>
        <v>0</v>
      </c>
      <c r="Y288" s="273"/>
      <c r="Z288" s="274">
        <f t="shared" si="124"/>
        <v>0</v>
      </c>
      <c r="AA288" s="251">
        <f t="shared" si="125"/>
        <v>0</v>
      </c>
    </row>
    <row r="289" customHeight="1" spans="1:27">
      <c r="A289" s="270">
        <v>20</v>
      </c>
      <c r="B289" s="270"/>
      <c r="C289" s="274"/>
      <c r="D289" s="274"/>
      <c r="E289" s="272">
        <f t="shared" si="113"/>
        <v>0</v>
      </c>
      <c r="F289" s="272">
        <f t="shared" si="114"/>
        <v>0</v>
      </c>
      <c r="G289" s="273"/>
      <c r="H289" s="274">
        <f t="shared" si="115"/>
        <v>0</v>
      </c>
      <c r="I289" s="273"/>
      <c r="J289" s="274">
        <f t="shared" si="116"/>
        <v>0</v>
      </c>
      <c r="K289" s="275"/>
      <c r="L289" s="274">
        <f t="shared" si="117"/>
        <v>0</v>
      </c>
      <c r="M289" s="273"/>
      <c r="N289" s="274">
        <f t="shared" si="118"/>
        <v>0</v>
      </c>
      <c r="O289" s="273"/>
      <c r="P289" s="274">
        <f t="shared" si="119"/>
        <v>0</v>
      </c>
      <c r="Q289" s="273"/>
      <c r="R289" s="274">
        <f t="shared" si="120"/>
        <v>0</v>
      </c>
      <c r="S289" s="273"/>
      <c r="T289" s="274">
        <f t="shared" si="121"/>
        <v>0</v>
      </c>
      <c r="U289" s="273"/>
      <c r="V289" s="274">
        <f t="shared" si="122"/>
        <v>0</v>
      </c>
      <c r="W289" s="273"/>
      <c r="X289" s="274">
        <f t="shared" si="123"/>
        <v>0</v>
      </c>
      <c r="Y289" s="273"/>
      <c r="Z289" s="274">
        <f t="shared" si="124"/>
        <v>0</v>
      </c>
      <c r="AA289" s="251">
        <f t="shared" si="125"/>
        <v>0</v>
      </c>
    </row>
    <row r="290" customHeight="1" spans="1:27">
      <c r="A290" s="270">
        <v>21</v>
      </c>
      <c r="B290" s="270"/>
      <c r="C290" s="274"/>
      <c r="D290" s="274"/>
      <c r="E290" s="272">
        <f t="shared" si="113"/>
        <v>0</v>
      </c>
      <c r="F290" s="272">
        <f t="shared" si="114"/>
        <v>0</v>
      </c>
      <c r="G290" s="273"/>
      <c r="H290" s="274">
        <f t="shared" si="115"/>
        <v>0</v>
      </c>
      <c r="I290" s="273"/>
      <c r="J290" s="274">
        <f t="shared" si="116"/>
        <v>0</v>
      </c>
      <c r="K290" s="275"/>
      <c r="L290" s="274">
        <f t="shared" si="117"/>
        <v>0</v>
      </c>
      <c r="M290" s="273"/>
      <c r="N290" s="274">
        <f t="shared" si="118"/>
        <v>0</v>
      </c>
      <c r="O290" s="273"/>
      <c r="P290" s="274">
        <f t="shared" si="119"/>
        <v>0</v>
      </c>
      <c r="Q290" s="273"/>
      <c r="R290" s="274">
        <f t="shared" si="120"/>
        <v>0</v>
      </c>
      <c r="S290" s="273"/>
      <c r="T290" s="274">
        <f t="shared" si="121"/>
        <v>0</v>
      </c>
      <c r="U290" s="273"/>
      <c r="V290" s="274">
        <f t="shared" si="122"/>
        <v>0</v>
      </c>
      <c r="W290" s="273"/>
      <c r="X290" s="274">
        <f t="shared" si="123"/>
        <v>0</v>
      </c>
      <c r="Y290" s="273"/>
      <c r="Z290" s="274">
        <f t="shared" si="124"/>
        <v>0</v>
      </c>
      <c r="AA290" s="251">
        <f t="shared" si="125"/>
        <v>0</v>
      </c>
    </row>
    <row r="291" customHeight="1" spans="1:27">
      <c r="A291" s="270">
        <v>22</v>
      </c>
      <c r="B291" s="270"/>
      <c r="C291" s="274"/>
      <c r="D291" s="274"/>
      <c r="E291" s="272">
        <f t="shared" si="113"/>
        <v>0</v>
      </c>
      <c r="F291" s="272">
        <f t="shared" si="114"/>
        <v>0</v>
      </c>
      <c r="G291" s="273"/>
      <c r="H291" s="274">
        <f t="shared" si="115"/>
        <v>0</v>
      </c>
      <c r="I291" s="273"/>
      <c r="J291" s="274">
        <f t="shared" si="116"/>
        <v>0</v>
      </c>
      <c r="K291" s="275"/>
      <c r="L291" s="274">
        <f t="shared" si="117"/>
        <v>0</v>
      </c>
      <c r="M291" s="273"/>
      <c r="N291" s="274">
        <f t="shared" si="118"/>
        <v>0</v>
      </c>
      <c r="O291" s="273"/>
      <c r="P291" s="274">
        <f t="shared" si="119"/>
        <v>0</v>
      </c>
      <c r="Q291" s="273"/>
      <c r="R291" s="274">
        <f t="shared" si="120"/>
        <v>0</v>
      </c>
      <c r="S291" s="273"/>
      <c r="T291" s="274">
        <f t="shared" si="121"/>
        <v>0</v>
      </c>
      <c r="U291" s="273"/>
      <c r="V291" s="274">
        <f t="shared" si="122"/>
        <v>0</v>
      </c>
      <c r="W291" s="273"/>
      <c r="X291" s="274">
        <f t="shared" si="123"/>
        <v>0</v>
      </c>
      <c r="Y291" s="273"/>
      <c r="Z291" s="274">
        <f t="shared" si="124"/>
        <v>0</v>
      </c>
      <c r="AA291" s="251">
        <f t="shared" si="125"/>
        <v>0</v>
      </c>
    </row>
    <row r="292" customHeight="1" spans="1:27">
      <c r="A292" s="270">
        <v>23</v>
      </c>
      <c r="B292" s="270"/>
      <c r="C292" s="274"/>
      <c r="D292" s="274"/>
      <c r="E292" s="272">
        <f t="shared" si="113"/>
        <v>0</v>
      </c>
      <c r="F292" s="272">
        <f t="shared" si="114"/>
        <v>0</v>
      </c>
      <c r="G292" s="273"/>
      <c r="H292" s="274">
        <f t="shared" si="115"/>
        <v>0</v>
      </c>
      <c r="I292" s="273"/>
      <c r="J292" s="274">
        <f t="shared" si="116"/>
        <v>0</v>
      </c>
      <c r="K292" s="275"/>
      <c r="L292" s="274">
        <f t="shared" si="117"/>
        <v>0</v>
      </c>
      <c r="M292" s="273"/>
      <c r="N292" s="274">
        <f t="shared" si="118"/>
        <v>0</v>
      </c>
      <c r="O292" s="273"/>
      <c r="P292" s="274">
        <f t="shared" si="119"/>
        <v>0</v>
      </c>
      <c r="Q292" s="273"/>
      <c r="R292" s="274">
        <f t="shared" si="120"/>
        <v>0</v>
      </c>
      <c r="S292" s="273"/>
      <c r="T292" s="274">
        <f t="shared" si="121"/>
        <v>0</v>
      </c>
      <c r="U292" s="273"/>
      <c r="V292" s="274">
        <f t="shared" si="122"/>
        <v>0</v>
      </c>
      <c r="W292" s="273"/>
      <c r="X292" s="274">
        <f t="shared" si="123"/>
        <v>0</v>
      </c>
      <c r="Y292" s="273"/>
      <c r="Z292" s="274">
        <f t="shared" si="124"/>
        <v>0</v>
      </c>
      <c r="AA292" s="251">
        <f t="shared" si="125"/>
        <v>0</v>
      </c>
    </row>
    <row r="293" customHeight="1" spans="1:27">
      <c r="A293" s="270">
        <v>25</v>
      </c>
      <c r="B293" s="270"/>
      <c r="C293" s="274"/>
      <c r="D293" s="274"/>
      <c r="E293" s="272">
        <f t="shared" si="113"/>
        <v>0</v>
      </c>
      <c r="F293" s="272">
        <f t="shared" si="114"/>
        <v>0</v>
      </c>
      <c r="G293" s="273"/>
      <c r="H293" s="274">
        <f t="shared" si="115"/>
        <v>0</v>
      </c>
      <c r="I293" s="273"/>
      <c r="J293" s="274">
        <f t="shared" si="116"/>
        <v>0</v>
      </c>
      <c r="K293" s="275"/>
      <c r="L293" s="274">
        <f t="shared" si="117"/>
        <v>0</v>
      </c>
      <c r="M293" s="273"/>
      <c r="N293" s="274">
        <f t="shared" si="118"/>
        <v>0</v>
      </c>
      <c r="O293" s="273"/>
      <c r="P293" s="274">
        <f t="shared" si="119"/>
        <v>0</v>
      </c>
      <c r="Q293" s="273"/>
      <c r="R293" s="274">
        <f t="shared" si="120"/>
        <v>0</v>
      </c>
      <c r="S293" s="273"/>
      <c r="T293" s="274">
        <f t="shared" si="121"/>
        <v>0</v>
      </c>
      <c r="U293" s="273"/>
      <c r="V293" s="274">
        <f t="shared" si="122"/>
        <v>0</v>
      </c>
      <c r="W293" s="273"/>
      <c r="X293" s="274">
        <f t="shared" si="123"/>
        <v>0</v>
      </c>
      <c r="Y293" s="273"/>
      <c r="Z293" s="274">
        <f t="shared" si="124"/>
        <v>0</v>
      </c>
      <c r="AA293" s="251">
        <f t="shared" si="125"/>
        <v>0</v>
      </c>
    </row>
    <row r="294" customHeight="1" spans="1:27">
      <c r="A294" s="270">
        <v>25</v>
      </c>
      <c r="B294" s="270"/>
      <c r="C294" s="274"/>
      <c r="D294" s="274"/>
      <c r="E294" s="272">
        <f t="shared" si="113"/>
        <v>0</v>
      </c>
      <c r="F294" s="272">
        <f t="shared" si="114"/>
        <v>0</v>
      </c>
      <c r="G294" s="273"/>
      <c r="H294" s="274">
        <f t="shared" si="115"/>
        <v>0</v>
      </c>
      <c r="I294" s="273"/>
      <c r="J294" s="274">
        <f t="shared" si="116"/>
        <v>0</v>
      </c>
      <c r="K294" s="275"/>
      <c r="L294" s="274">
        <f t="shared" si="117"/>
        <v>0</v>
      </c>
      <c r="M294" s="273"/>
      <c r="N294" s="274">
        <f t="shared" si="118"/>
        <v>0</v>
      </c>
      <c r="O294" s="273"/>
      <c r="P294" s="274">
        <f t="shared" si="119"/>
        <v>0</v>
      </c>
      <c r="Q294" s="273"/>
      <c r="R294" s="274">
        <f t="shared" si="120"/>
        <v>0</v>
      </c>
      <c r="S294" s="273"/>
      <c r="T294" s="274">
        <f t="shared" si="121"/>
        <v>0</v>
      </c>
      <c r="U294" s="273"/>
      <c r="V294" s="274">
        <f t="shared" si="122"/>
        <v>0</v>
      </c>
      <c r="W294" s="273"/>
      <c r="X294" s="274">
        <f t="shared" si="123"/>
        <v>0</v>
      </c>
      <c r="Y294" s="273"/>
      <c r="Z294" s="274">
        <f t="shared" si="124"/>
        <v>0</v>
      </c>
      <c r="AA294" s="251">
        <f t="shared" si="125"/>
        <v>0</v>
      </c>
    </row>
    <row r="295" customHeight="1" spans="1:27">
      <c r="A295" s="270">
        <v>26</v>
      </c>
      <c r="B295" s="270"/>
      <c r="C295" s="274"/>
      <c r="D295" s="274"/>
      <c r="E295" s="272">
        <f t="shared" si="113"/>
        <v>0</v>
      </c>
      <c r="F295" s="272">
        <f t="shared" si="114"/>
        <v>0</v>
      </c>
      <c r="G295" s="273"/>
      <c r="H295" s="274">
        <f t="shared" si="115"/>
        <v>0</v>
      </c>
      <c r="I295" s="273"/>
      <c r="J295" s="274">
        <f t="shared" si="116"/>
        <v>0</v>
      </c>
      <c r="K295" s="275"/>
      <c r="L295" s="274">
        <f t="shared" si="117"/>
        <v>0</v>
      </c>
      <c r="M295" s="273"/>
      <c r="N295" s="274">
        <f t="shared" si="118"/>
        <v>0</v>
      </c>
      <c r="O295" s="273"/>
      <c r="P295" s="274">
        <f t="shared" si="119"/>
        <v>0</v>
      </c>
      <c r="Q295" s="273"/>
      <c r="R295" s="274">
        <f t="shared" si="120"/>
        <v>0</v>
      </c>
      <c r="S295" s="273"/>
      <c r="T295" s="274">
        <f t="shared" si="121"/>
        <v>0</v>
      </c>
      <c r="U295" s="273"/>
      <c r="V295" s="274">
        <f t="shared" si="122"/>
        <v>0</v>
      </c>
      <c r="W295" s="273"/>
      <c r="X295" s="274">
        <f t="shared" si="123"/>
        <v>0</v>
      </c>
      <c r="Y295" s="273"/>
      <c r="Z295" s="274">
        <f t="shared" si="124"/>
        <v>0</v>
      </c>
      <c r="AA295" s="251">
        <f t="shared" si="125"/>
        <v>0</v>
      </c>
    </row>
    <row r="296" customHeight="1" spans="1:27">
      <c r="A296" s="270">
        <v>27</v>
      </c>
      <c r="B296" s="270"/>
      <c r="C296" s="274"/>
      <c r="D296" s="274"/>
      <c r="E296" s="272">
        <f t="shared" si="113"/>
        <v>0</v>
      </c>
      <c r="F296" s="272">
        <f t="shared" si="114"/>
        <v>0</v>
      </c>
      <c r="G296" s="273"/>
      <c r="H296" s="274">
        <f t="shared" si="115"/>
        <v>0</v>
      </c>
      <c r="I296" s="273"/>
      <c r="J296" s="274">
        <f t="shared" si="116"/>
        <v>0</v>
      </c>
      <c r="K296" s="275"/>
      <c r="L296" s="274">
        <f t="shared" si="117"/>
        <v>0</v>
      </c>
      <c r="M296" s="273"/>
      <c r="N296" s="274">
        <f t="shared" si="118"/>
        <v>0</v>
      </c>
      <c r="O296" s="273"/>
      <c r="P296" s="274">
        <f t="shared" si="119"/>
        <v>0</v>
      </c>
      <c r="Q296" s="273"/>
      <c r="R296" s="274">
        <f t="shared" si="120"/>
        <v>0</v>
      </c>
      <c r="S296" s="273"/>
      <c r="T296" s="274">
        <f t="shared" si="121"/>
        <v>0</v>
      </c>
      <c r="U296" s="273"/>
      <c r="V296" s="274">
        <f t="shared" si="122"/>
        <v>0</v>
      </c>
      <c r="W296" s="273"/>
      <c r="X296" s="274">
        <f t="shared" si="123"/>
        <v>0</v>
      </c>
      <c r="Y296" s="273"/>
      <c r="Z296" s="274">
        <f t="shared" si="124"/>
        <v>0</v>
      </c>
      <c r="AA296" s="251">
        <f t="shared" si="125"/>
        <v>0</v>
      </c>
    </row>
    <row r="297" customHeight="1" spans="1:27">
      <c r="A297" s="270">
        <v>28</v>
      </c>
      <c r="B297" s="270"/>
      <c r="C297" s="274"/>
      <c r="D297" s="274"/>
      <c r="E297" s="272">
        <f t="shared" si="113"/>
        <v>0</v>
      </c>
      <c r="F297" s="272">
        <f t="shared" si="114"/>
        <v>0</v>
      </c>
      <c r="G297" s="273"/>
      <c r="H297" s="274">
        <f t="shared" si="115"/>
        <v>0</v>
      </c>
      <c r="I297" s="273"/>
      <c r="J297" s="274">
        <f t="shared" si="116"/>
        <v>0</v>
      </c>
      <c r="K297" s="275"/>
      <c r="L297" s="274">
        <f t="shared" si="117"/>
        <v>0</v>
      </c>
      <c r="M297" s="273"/>
      <c r="N297" s="274">
        <f t="shared" si="118"/>
        <v>0</v>
      </c>
      <c r="O297" s="273"/>
      <c r="P297" s="274">
        <f t="shared" si="119"/>
        <v>0</v>
      </c>
      <c r="Q297" s="273"/>
      <c r="R297" s="274">
        <f t="shared" si="120"/>
        <v>0</v>
      </c>
      <c r="S297" s="273"/>
      <c r="T297" s="274">
        <f t="shared" si="121"/>
        <v>0</v>
      </c>
      <c r="U297" s="273"/>
      <c r="V297" s="274">
        <f t="shared" si="122"/>
        <v>0</v>
      </c>
      <c r="W297" s="273"/>
      <c r="X297" s="274">
        <f t="shared" si="123"/>
        <v>0</v>
      </c>
      <c r="Y297" s="273"/>
      <c r="Z297" s="274">
        <f t="shared" si="124"/>
        <v>0</v>
      </c>
      <c r="AA297" s="251">
        <f t="shared" si="125"/>
        <v>0</v>
      </c>
    </row>
    <row r="298" customHeight="1" spans="1:27">
      <c r="A298" s="270">
        <v>29</v>
      </c>
      <c r="B298" s="270"/>
      <c r="C298" s="274"/>
      <c r="D298" s="274"/>
      <c r="E298" s="272">
        <f t="shared" si="113"/>
        <v>0</v>
      </c>
      <c r="F298" s="272">
        <f t="shared" si="114"/>
        <v>0</v>
      </c>
      <c r="G298" s="273"/>
      <c r="H298" s="274">
        <f t="shared" si="115"/>
        <v>0</v>
      </c>
      <c r="I298" s="273"/>
      <c r="J298" s="274">
        <f t="shared" si="116"/>
        <v>0</v>
      </c>
      <c r="K298" s="275"/>
      <c r="L298" s="274">
        <f t="shared" si="117"/>
        <v>0</v>
      </c>
      <c r="M298" s="273"/>
      <c r="N298" s="274">
        <f t="shared" si="118"/>
        <v>0</v>
      </c>
      <c r="O298" s="273"/>
      <c r="P298" s="274">
        <f t="shared" si="119"/>
        <v>0</v>
      </c>
      <c r="Q298" s="273"/>
      <c r="R298" s="274">
        <f t="shared" si="120"/>
        <v>0</v>
      </c>
      <c r="S298" s="273"/>
      <c r="T298" s="274">
        <f t="shared" si="121"/>
        <v>0</v>
      </c>
      <c r="U298" s="273"/>
      <c r="V298" s="274">
        <f t="shared" si="122"/>
        <v>0</v>
      </c>
      <c r="W298" s="273"/>
      <c r="X298" s="274">
        <f t="shared" si="123"/>
        <v>0</v>
      </c>
      <c r="Y298" s="273"/>
      <c r="Z298" s="274">
        <f t="shared" si="124"/>
        <v>0</v>
      </c>
      <c r="AA298" s="251">
        <f t="shared" si="125"/>
        <v>0</v>
      </c>
    </row>
    <row r="299" customHeight="1" spans="1:27">
      <c r="A299" s="270">
        <v>30</v>
      </c>
      <c r="B299" s="270"/>
      <c r="C299" s="274"/>
      <c r="D299" s="274"/>
      <c r="E299" s="272">
        <f t="shared" si="113"/>
        <v>0</v>
      </c>
      <c r="F299" s="272">
        <f t="shared" si="114"/>
        <v>0</v>
      </c>
      <c r="G299" s="273"/>
      <c r="H299" s="274">
        <f t="shared" si="115"/>
        <v>0</v>
      </c>
      <c r="I299" s="273"/>
      <c r="J299" s="274">
        <f t="shared" si="116"/>
        <v>0</v>
      </c>
      <c r="K299" s="275"/>
      <c r="L299" s="274">
        <f t="shared" si="117"/>
        <v>0</v>
      </c>
      <c r="M299" s="273"/>
      <c r="N299" s="274">
        <f t="shared" si="118"/>
        <v>0</v>
      </c>
      <c r="O299" s="273"/>
      <c r="P299" s="274">
        <f t="shared" si="119"/>
        <v>0</v>
      </c>
      <c r="Q299" s="273"/>
      <c r="R299" s="274">
        <f t="shared" si="120"/>
        <v>0</v>
      </c>
      <c r="S299" s="273"/>
      <c r="T299" s="274">
        <f t="shared" si="121"/>
        <v>0</v>
      </c>
      <c r="U299" s="273"/>
      <c r="V299" s="274">
        <f t="shared" si="122"/>
        <v>0</v>
      </c>
      <c r="W299" s="273"/>
      <c r="X299" s="274">
        <f t="shared" si="123"/>
        <v>0</v>
      </c>
      <c r="Y299" s="273"/>
      <c r="Z299" s="274">
        <f t="shared" si="124"/>
        <v>0</v>
      </c>
      <c r="AA299" s="251">
        <f t="shared" si="125"/>
        <v>0</v>
      </c>
    </row>
    <row r="300" customHeight="1" spans="1:27">
      <c r="A300" s="276" t="s">
        <v>22</v>
      </c>
      <c r="B300" s="277"/>
      <c r="C300" s="261">
        <f t="shared" ref="C300:Z300" si="126">SUM(C270:C299)</f>
        <v>0</v>
      </c>
      <c r="D300" s="261">
        <f t="shared" si="126"/>
        <v>0</v>
      </c>
      <c r="E300" s="261">
        <f t="shared" si="126"/>
        <v>0</v>
      </c>
      <c r="F300" s="272">
        <f t="shared" si="126"/>
        <v>0</v>
      </c>
      <c r="G300" s="261">
        <f t="shared" si="126"/>
        <v>0</v>
      </c>
      <c r="H300" s="273">
        <f t="shared" si="126"/>
        <v>0</v>
      </c>
      <c r="I300" s="273">
        <f t="shared" si="126"/>
        <v>0</v>
      </c>
      <c r="J300" s="273">
        <f t="shared" si="126"/>
        <v>0</v>
      </c>
      <c r="K300" s="273">
        <f t="shared" si="126"/>
        <v>0</v>
      </c>
      <c r="L300" s="273">
        <f t="shared" si="126"/>
        <v>0</v>
      </c>
      <c r="M300" s="273">
        <f t="shared" si="126"/>
        <v>0</v>
      </c>
      <c r="N300" s="273">
        <f t="shared" si="126"/>
        <v>0</v>
      </c>
      <c r="O300" s="273">
        <f t="shared" si="126"/>
        <v>0</v>
      </c>
      <c r="P300" s="273">
        <f t="shared" si="126"/>
        <v>0</v>
      </c>
      <c r="Q300" s="273">
        <f t="shared" si="126"/>
        <v>0</v>
      </c>
      <c r="R300" s="273">
        <f t="shared" si="126"/>
        <v>0</v>
      </c>
      <c r="S300" s="273">
        <f t="shared" si="126"/>
        <v>0</v>
      </c>
      <c r="T300" s="273">
        <f t="shared" si="126"/>
        <v>0</v>
      </c>
      <c r="U300" s="273">
        <f t="shared" si="126"/>
        <v>0</v>
      </c>
      <c r="V300" s="273">
        <f t="shared" si="126"/>
        <v>0</v>
      </c>
      <c r="W300" s="273">
        <f t="shared" si="126"/>
        <v>0</v>
      </c>
      <c r="X300" s="273">
        <f t="shared" si="126"/>
        <v>0</v>
      </c>
      <c r="Y300" s="273">
        <f t="shared" si="126"/>
        <v>0</v>
      </c>
      <c r="Z300" s="273">
        <f t="shared" si="126"/>
        <v>0</v>
      </c>
    </row>
    <row r="303" customHeight="1" spans="1:27">
      <c r="B303" s="257" t="s">
        <v>62</v>
      </c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  <c r="Z303" s="258"/>
    </row>
    <row r="305" customHeight="1" spans="1:27">
      <c r="A305" s="259" t="s">
        <v>31</v>
      </c>
      <c r="B305" s="260" t="s">
        <v>32</v>
      </c>
      <c r="C305" s="261" t="s">
        <v>33</v>
      </c>
      <c r="D305" s="261" t="s">
        <v>34</v>
      </c>
      <c r="E305" s="262" t="s">
        <v>35</v>
      </c>
      <c r="F305" s="262" t="s">
        <v>36</v>
      </c>
      <c r="G305" s="263" t="str">
        <f>立项!$A$3</f>
        <v>RD01</v>
      </c>
      <c r="H305" s="264"/>
      <c r="I305" s="264" t="str">
        <f>立项!$A$4</f>
        <v>RD02</v>
      </c>
      <c r="J305" s="264"/>
      <c r="K305" s="264" t="str">
        <f>立项!$A$5</f>
        <v>RD03</v>
      </c>
      <c r="L305" s="264"/>
      <c r="M305" s="264" t="str">
        <f>立项!$A$6</f>
        <v>RD04</v>
      </c>
      <c r="N305" s="264"/>
      <c r="O305" s="264" t="str">
        <f>立项!$A$7</f>
        <v>RD05</v>
      </c>
      <c r="P305" s="264"/>
      <c r="Q305" s="264" t="str">
        <f>立项!$A$8</f>
        <v>RD06</v>
      </c>
      <c r="R305" s="264"/>
      <c r="S305" s="264" t="str">
        <f>立项!$A$9</f>
        <v>RD07</v>
      </c>
      <c r="T305" s="264"/>
      <c r="U305" s="264" t="str">
        <f>立项!$A$10</f>
        <v>RD08</v>
      </c>
      <c r="V305" s="264"/>
      <c r="W305" s="264" t="str">
        <f>立项!$A$11</f>
        <v>RD09</v>
      </c>
      <c r="X305" s="264"/>
      <c r="Y305" s="264" t="str">
        <f>立项!$A$12</f>
        <v>RD10</v>
      </c>
      <c r="Z305" s="264"/>
    </row>
    <row r="306" customHeight="1" spans="1:27">
      <c r="A306" s="265"/>
      <c r="B306" s="260"/>
      <c r="C306" s="261"/>
      <c r="D306" s="261"/>
      <c r="E306" s="262"/>
      <c r="F306" s="262"/>
      <c r="G306" s="267">
        <f>立项!C3</f>
        <v>0</v>
      </c>
      <c r="H306" s="263"/>
      <c r="I306" s="267">
        <f>立项!C4</f>
        <v>0</v>
      </c>
      <c r="J306" s="263"/>
      <c r="K306" s="267">
        <f>立项!C5</f>
        <v>0</v>
      </c>
      <c r="L306" s="263"/>
      <c r="M306" s="267">
        <f>立项!C6</f>
        <v>0</v>
      </c>
      <c r="N306" s="263"/>
      <c r="O306" s="267">
        <f>立项!C7</f>
        <v>0</v>
      </c>
      <c r="P306" s="263"/>
      <c r="Q306" s="267">
        <f>立项!C8</f>
        <v>0</v>
      </c>
      <c r="R306" s="263"/>
      <c r="S306" s="267">
        <f>立项!C9</f>
        <v>0</v>
      </c>
      <c r="T306" s="263"/>
      <c r="U306" s="267">
        <f>立项!C10</f>
        <v>0</v>
      </c>
      <c r="V306" s="263"/>
      <c r="W306" s="267">
        <f>立项!C11</f>
        <v>0</v>
      </c>
      <c r="X306" s="263"/>
      <c r="Y306" s="264">
        <f>立项!C12</f>
        <v>0</v>
      </c>
      <c r="Z306" s="264"/>
    </row>
    <row r="307" customHeight="1" spans="1:27">
      <c r="A307" s="268"/>
      <c r="B307" s="260"/>
      <c r="C307" s="261"/>
      <c r="D307" s="261"/>
      <c r="E307" s="262"/>
      <c r="F307" s="262"/>
      <c r="G307" s="264" t="s">
        <v>39</v>
      </c>
      <c r="H307" s="269" t="s">
        <v>40</v>
      </c>
      <c r="I307" s="264" t="s">
        <v>39</v>
      </c>
      <c r="J307" s="269" t="s">
        <v>40</v>
      </c>
      <c r="K307" s="264" t="s">
        <v>39</v>
      </c>
      <c r="L307" s="269" t="s">
        <v>40</v>
      </c>
      <c r="M307" s="264" t="s">
        <v>39</v>
      </c>
      <c r="N307" s="269" t="s">
        <v>40</v>
      </c>
      <c r="O307" s="264" t="s">
        <v>39</v>
      </c>
      <c r="P307" s="269" t="s">
        <v>40</v>
      </c>
      <c r="Q307" s="264" t="s">
        <v>39</v>
      </c>
      <c r="R307" s="269" t="s">
        <v>40</v>
      </c>
      <c r="S307" s="264" t="s">
        <v>39</v>
      </c>
      <c r="T307" s="269" t="s">
        <v>40</v>
      </c>
      <c r="U307" s="264" t="s">
        <v>39</v>
      </c>
      <c r="V307" s="269" t="s">
        <v>40</v>
      </c>
      <c r="W307" s="264" t="s">
        <v>39</v>
      </c>
      <c r="X307" s="269" t="s">
        <v>40</v>
      </c>
      <c r="Y307" s="264" t="s">
        <v>39</v>
      </c>
      <c r="Z307" s="269" t="s">
        <v>40</v>
      </c>
    </row>
    <row r="308" customHeight="1" spans="1:27">
      <c r="A308" s="270">
        <v>1</v>
      </c>
      <c r="B308" s="324"/>
      <c r="C308" s="272"/>
      <c r="D308" s="272"/>
      <c r="E308" s="272">
        <f t="shared" ref="E308:E337" si="127">G308+I308+K308+M308+O308+Q308+S308+U308+W308+Y308</f>
        <v>0</v>
      </c>
      <c r="F308" s="272">
        <f t="shared" ref="F308:F337" si="128">H308+J308+L308+N308+P308+R308+T308+V308+X308+Z308</f>
        <v>0</v>
      </c>
      <c r="G308" s="273"/>
      <c r="H308" s="274">
        <f t="shared" ref="H308:H337" si="129">IF($D308=0,0,ROUND(G308/$D308*$C308,2))</f>
        <v>0</v>
      </c>
      <c r="I308" s="273"/>
      <c r="J308" s="274">
        <f t="shared" ref="J308:J337" si="130">IF($D308=0,0,ROUND(I308/$D308*$C308,2))</f>
        <v>0</v>
      </c>
      <c r="K308" s="275"/>
      <c r="L308" s="274">
        <f t="shared" ref="L308:L337" si="131">IF($D308=0,0,ROUND(K308/$D308*$C308,2))</f>
        <v>0</v>
      </c>
      <c r="M308" s="273"/>
      <c r="N308" s="274">
        <f t="shared" ref="N308:N337" si="132">IF($D308=0,0,ROUND(M308/$D308*$C308,2))</f>
        <v>0</v>
      </c>
      <c r="O308" s="273"/>
      <c r="P308" s="274">
        <f t="shared" ref="P308:P337" si="133">IF($D308=0,0,ROUND(O308/$D308*$C308,2))</f>
        <v>0</v>
      </c>
      <c r="Q308" s="273"/>
      <c r="R308" s="274">
        <f t="shared" ref="R308:R337" si="134">IF($D308=0,0,ROUND(Q308/$D308*$C308,2))</f>
        <v>0</v>
      </c>
      <c r="S308" s="273"/>
      <c r="T308" s="274">
        <f t="shared" ref="T308:T337" si="135">IF($D308=0,0,ROUND(S308/$D308*$C308,2))</f>
        <v>0</v>
      </c>
      <c r="U308" s="273"/>
      <c r="V308" s="274">
        <f t="shared" ref="V308:V337" si="136">IF($D308=0,0,ROUND(U308/$D308*$C308,2))</f>
        <v>0</v>
      </c>
      <c r="W308" s="273"/>
      <c r="X308" s="274">
        <f t="shared" ref="X308:X337" si="137">IF($D308=0,0,ROUND(W308/$D308*$C308,2))</f>
        <v>0</v>
      </c>
      <c r="Y308" s="273"/>
      <c r="Z308" s="274">
        <f t="shared" ref="Z308:Z337" si="138">IF($D308=0,0,ROUND(Y308/$D308*$C308,2))</f>
        <v>0</v>
      </c>
      <c r="AA308" s="251">
        <f t="shared" ref="AA308:AA337" si="139">D308-E308</f>
        <v>0</v>
      </c>
    </row>
    <row r="309" customHeight="1" spans="1:27">
      <c r="A309" s="270">
        <v>2</v>
      </c>
      <c r="B309" s="324"/>
      <c r="C309" s="272"/>
      <c r="D309" s="272"/>
      <c r="E309" s="272">
        <f t="shared" si="127"/>
        <v>0</v>
      </c>
      <c r="F309" s="272">
        <f t="shared" si="128"/>
        <v>0</v>
      </c>
      <c r="G309" s="273"/>
      <c r="H309" s="274">
        <f t="shared" si="129"/>
        <v>0</v>
      </c>
      <c r="I309" s="273"/>
      <c r="J309" s="274">
        <f t="shared" si="130"/>
        <v>0</v>
      </c>
      <c r="K309" s="275"/>
      <c r="L309" s="274">
        <f t="shared" si="131"/>
        <v>0</v>
      </c>
      <c r="M309" s="273"/>
      <c r="N309" s="274">
        <f t="shared" si="132"/>
        <v>0</v>
      </c>
      <c r="O309" s="273"/>
      <c r="P309" s="274">
        <f t="shared" si="133"/>
        <v>0</v>
      </c>
      <c r="Q309" s="273"/>
      <c r="R309" s="274">
        <f t="shared" si="134"/>
        <v>0</v>
      </c>
      <c r="S309" s="273"/>
      <c r="T309" s="274">
        <f t="shared" si="135"/>
        <v>0</v>
      </c>
      <c r="U309" s="273"/>
      <c r="V309" s="274">
        <f t="shared" si="136"/>
        <v>0</v>
      </c>
      <c r="W309" s="273"/>
      <c r="X309" s="274">
        <f t="shared" si="137"/>
        <v>0</v>
      </c>
      <c r="Y309" s="273"/>
      <c r="Z309" s="274">
        <f t="shared" si="138"/>
        <v>0</v>
      </c>
      <c r="AA309" s="251">
        <f t="shared" si="139"/>
        <v>0</v>
      </c>
    </row>
    <row r="310" customHeight="1" spans="1:27">
      <c r="A310" s="270">
        <v>3</v>
      </c>
      <c r="B310" s="324"/>
      <c r="C310" s="272"/>
      <c r="D310" s="272"/>
      <c r="E310" s="272">
        <f t="shared" si="127"/>
        <v>0</v>
      </c>
      <c r="F310" s="272">
        <f t="shared" si="128"/>
        <v>0</v>
      </c>
      <c r="G310" s="273"/>
      <c r="H310" s="274">
        <f t="shared" si="129"/>
        <v>0</v>
      </c>
      <c r="I310" s="273"/>
      <c r="J310" s="274">
        <f t="shared" si="130"/>
        <v>0</v>
      </c>
      <c r="K310" s="275"/>
      <c r="L310" s="274">
        <f t="shared" si="131"/>
        <v>0</v>
      </c>
      <c r="M310" s="273"/>
      <c r="N310" s="274">
        <f t="shared" si="132"/>
        <v>0</v>
      </c>
      <c r="O310" s="273"/>
      <c r="P310" s="274">
        <f t="shared" si="133"/>
        <v>0</v>
      </c>
      <c r="Q310" s="273"/>
      <c r="R310" s="274">
        <f t="shared" si="134"/>
        <v>0</v>
      </c>
      <c r="S310" s="273"/>
      <c r="T310" s="274">
        <f t="shared" si="135"/>
        <v>0</v>
      </c>
      <c r="U310" s="273"/>
      <c r="V310" s="274">
        <f t="shared" si="136"/>
        <v>0</v>
      </c>
      <c r="W310" s="273"/>
      <c r="X310" s="274">
        <f t="shared" si="137"/>
        <v>0</v>
      </c>
      <c r="Y310" s="273"/>
      <c r="Z310" s="274">
        <f t="shared" si="138"/>
        <v>0</v>
      </c>
      <c r="AA310" s="251">
        <f t="shared" si="139"/>
        <v>0</v>
      </c>
    </row>
    <row r="311" customHeight="1" spans="1:27">
      <c r="A311" s="270">
        <v>4</v>
      </c>
      <c r="B311" s="324"/>
      <c r="C311" s="272"/>
      <c r="D311" s="272"/>
      <c r="E311" s="272">
        <f t="shared" si="127"/>
        <v>0</v>
      </c>
      <c r="F311" s="272">
        <f t="shared" si="128"/>
        <v>0</v>
      </c>
      <c r="G311" s="273"/>
      <c r="H311" s="274">
        <f t="shared" si="129"/>
        <v>0</v>
      </c>
      <c r="I311" s="273"/>
      <c r="J311" s="274">
        <f t="shared" si="130"/>
        <v>0</v>
      </c>
      <c r="K311" s="275"/>
      <c r="L311" s="274">
        <f t="shared" si="131"/>
        <v>0</v>
      </c>
      <c r="M311" s="273"/>
      <c r="N311" s="274">
        <f t="shared" si="132"/>
        <v>0</v>
      </c>
      <c r="O311" s="273"/>
      <c r="P311" s="274">
        <f t="shared" si="133"/>
        <v>0</v>
      </c>
      <c r="Q311" s="273"/>
      <c r="R311" s="274">
        <f t="shared" si="134"/>
        <v>0</v>
      </c>
      <c r="S311" s="273"/>
      <c r="T311" s="274">
        <f t="shared" si="135"/>
        <v>0</v>
      </c>
      <c r="U311" s="273"/>
      <c r="V311" s="274">
        <f t="shared" si="136"/>
        <v>0</v>
      </c>
      <c r="W311" s="273"/>
      <c r="X311" s="274">
        <f t="shared" si="137"/>
        <v>0</v>
      </c>
      <c r="Y311" s="273"/>
      <c r="Z311" s="274">
        <f t="shared" si="138"/>
        <v>0</v>
      </c>
      <c r="AA311" s="251">
        <f t="shared" si="139"/>
        <v>0</v>
      </c>
    </row>
    <row r="312" customHeight="1" spans="1:27">
      <c r="A312" s="270">
        <v>5</v>
      </c>
      <c r="B312" s="324"/>
      <c r="C312" s="272"/>
      <c r="D312" s="272"/>
      <c r="E312" s="272">
        <f t="shared" si="127"/>
        <v>0</v>
      </c>
      <c r="F312" s="272">
        <f t="shared" si="128"/>
        <v>0</v>
      </c>
      <c r="G312" s="273"/>
      <c r="H312" s="274">
        <f t="shared" si="129"/>
        <v>0</v>
      </c>
      <c r="I312" s="273"/>
      <c r="J312" s="274">
        <f t="shared" si="130"/>
        <v>0</v>
      </c>
      <c r="K312" s="275"/>
      <c r="L312" s="274">
        <f t="shared" si="131"/>
        <v>0</v>
      </c>
      <c r="M312" s="273"/>
      <c r="N312" s="274">
        <f t="shared" si="132"/>
        <v>0</v>
      </c>
      <c r="O312" s="273"/>
      <c r="P312" s="274">
        <f t="shared" si="133"/>
        <v>0</v>
      </c>
      <c r="Q312" s="273"/>
      <c r="R312" s="274">
        <f t="shared" si="134"/>
        <v>0</v>
      </c>
      <c r="S312" s="273"/>
      <c r="T312" s="274">
        <f t="shared" si="135"/>
        <v>0</v>
      </c>
      <c r="U312" s="273"/>
      <c r="V312" s="274">
        <f t="shared" si="136"/>
        <v>0</v>
      </c>
      <c r="W312" s="273"/>
      <c r="X312" s="274">
        <f t="shared" si="137"/>
        <v>0</v>
      </c>
      <c r="Y312" s="273"/>
      <c r="Z312" s="274">
        <f t="shared" si="138"/>
        <v>0</v>
      </c>
      <c r="AA312" s="251">
        <f t="shared" si="139"/>
        <v>0</v>
      </c>
    </row>
    <row r="313" customHeight="1" spans="1:27">
      <c r="A313" s="270">
        <v>6</v>
      </c>
      <c r="B313" s="324"/>
      <c r="C313" s="274"/>
      <c r="D313" s="274"/>
      <c r="E313" s="272">
        <f t="shared" si="127"/>
        <v>0</v>
      </c>
      <c r="F313" s="272">
        <f t="shared" si="128"/>
        <v>0</v>
      </c>
      <c r="G313" s="273"/>
      <c r="H313" s="274">
        <f t="shared" si="129"/>
        <v>0</v>
      </c>
      <c r="I313" s="273"/>
      <c r="J313" s="274">
        <f t="shared" si="130"/>
        <v>0</v>
      </c>
      <c r="K313" s="275"/>
      <c r="L313" s="274">
        <f t="shared" si="131"/>
        <v>0</v>
      </c>
      <c r="M313" s="273"/>
      <c r="N313" s="274">
        <f t="shared" si="132"/>
        <v>0</v>
      </c>
      <c r="O313" s="273"/>
      <c r="P313" s="274">
        <f t="shared" si="133"/>
        <v>0</v>
      </c>
      <c r="Q313" s="273"/>
      <c r="R313" s="274">
        <f t="shared" si="134"/>
        <v>0</v>
      </c>
      <c r="S313" s="273"/>
      <c r="T313" s="274">
        <f t="shared" si="135"/>
        <v>0</v>
      </c>
      <c r="U313" s="273"/>
      <c r="V313" s="274">
        <f t="shared" si="136"/>
        <v>0</v>
      </c>
      <c r="W313" s="273"/>
      <c r="X313" s="274">
        <f t="shared" si="137"/>
        <v>0</v>
      </c>
      <c r="Y313" s="273"/>
      <c r="Z313" s="274">
        <f t="shared" si="138"/>
        <v>0</v>
      </c>
      <c r="AA313" s="251">
        <f t="shared" si="139"/>
        <v>0</v>
      </c>
    </row>
    <row r="314" customHeight="1" spans="1:27">
      <c r="A314" s="270">
        <v>7</v>
      </c>
      <c r="B314" s="324"/>
      <c r="C314" s="274"/>
      <c r="D314" s="274"/>
      <c r="E314" s="272">
        <f t="shared" si="127"/>
        <v>0</v>
      </c>
      <c r="F314" s="272">
        <f t="shared" si="128"/>
        <v>0</v>
      </c>
      <c r="G314" s="273"/>
      <c r="H314" s="274">
        <f t="shared" si="129"/>
        <v>0</v>
      </c>
      <c r="I314" s="273"/>
      <c r="J314" s="274">
        <f t="shared" si="130"/>
        <v>0</v>
      </c>
      <c r="K314" s="275"/>
      <c r="L314" s="274">
        <f t="shared" si="131"/>
        <v>0</v>
      </c>
      <c r="M314" s="273"/>
      <c r="N314" s="274">
        <f t="shared" si="132"/>
        <v>0</v>
      </c>
      <c r="O314" s="273"/>
      <c r="P314" s="274">
        <f t="shared" si="133"/>
        <v>0</v>
      </c>
      <c r="Q314" s="273"/>
      <c r="R314" s="274">
        <f t="shared" si="134"/>
        <v>0</v>
      </c>
      <c r="S314" s="273"/>
      <c r="T314" s="274">
        <f t="shared" si="135"/>
        <v>0</v>
      </c>
      <c r="U314" s="273"/>
      <c r="V314" s="274">
        <f t="shared" si="136"/>
        <v>0</v>
      </c>
      <c r="W314" s="273"/>
      <c r="X314" s="274">
        <f t="shared" si="137"/>
        <v>0</v>
      </c>
      <c r="Y314" s="273"/>
      <c r="Z314" s="274">
        <f t="shared" si="138"/>
        <v>0</v>
      </c>
      <c r="AA314" s="251">
        <f t="shared" si="139"/>
        <v>0</v>
      </c>
    </row>
    <row r="315" customHeight="1" spans="1:27">
      <c r="A315" s="270">
        <v>8</v>
      </c>
      <c r="B315" s="324"/>
      <c r="C315" s="274"/>
      <c r="D315" s="274"/>
      <c r="E315" s="272">
        <f t="shared" si="127"/>
        <v>0</v>
      </c>
      <c r="F315" s="272">
        <f t="shared" si="128"/>
        <v>0</v>
      </c>
      <c r="G315" s="273"/>
      <c r="H315" s="274">
        <f t="shared" si="129"/>
        <v>0</v>
      </c>
      <c r="I315" s="273"/>
      <c r="J315" s="274">
        <f t="shared" si="130"/>
        <v>0</v>
      </c>
      <c r="K315" s="275"/>
      <c r="L315" s="274">
        <f t="shared" si="131"/>
        <v>0</v>
      </c>
      <c r="M315" s="273"/>
      <c r="N315" s="274">
        <f t="shared" si="132"/>
        <v>0</v>
      </c>
      <c r="O315" s="273"/>
      <c r="P315" s="274">
        <f t="shared" si="133"/>
        <v>0</v>
      </c>
      <c r="Q315" s="273"/>
      <c r="R315" s="274">
        <f t="shared" si="134"/>
        <v>0</v>
      </c>
      <c r="S315" s="273"/>
      <c r="T315" s="274">
        <f t="shared" si="135"/>
        <v>0</v>
      </c>
      <c r="U315" s="273"/>
      <c r="V315" s="274">
        <f t="shared" si="136"/>
        <v>0</v>
      </c>
      <c r="W315" s="273"/>
      <c r="X315" s="274">
        <f t="shared" si="137"/>
        <v>0</v>
      </c>
      <c r="Y315" s="273"/>
      <c r="Z315" s="274">
        <f t="shared" si="138"/>
        <v>0</v>
      </c>
      <c r="AA315" s="251">
        <f t="shared" si="139"/>
        <v>0</v>
      </c>
    </row>
    <row r="316" customHeight="1" spans="1:27">
      <c r="A316" s="270">
        <v>9</v>
      </c>
      <c r="B316" s="324"/>
      <c r="C316" s="274"/>
      <c r="D316" s="274"/>
      <c r="E316" s="272">
        <f t="shared" si="127"/>
        <v>0</v>
      </c>
      <c r="F316" s="272">
        <f t="shared" si="128"/>
        <v>0</v>
      </c>
      <c r="G316" s="273"/>
      <c r="H316" s="274">
        <f t="shared" si="129"/>
        <v>0</v>
      </c>
      <c r="I316" s="273"/>
      <c r="J316" s="274">
        <f t="shared" si="130"/>
        <v>0</v>
      </c>
      <c r="K316" s="275"/>
      <c r="L316" s="274">
        <f t="shared" si="131"/>
        <v>0</v>
      </c>
      <c r="M316" s="273"/>
      <c r="N316" s="274">
        <f t="shared" si="132"/>
        <v>0</v>
      </c>
      <c r="O316" s="273"/>
      <c r="P316" s="274">
        <f t="shared" si="133"/>
        <v>0</v>
      </c>
      <c r="Q316" s="273"/>
      <c r="R316" s="274">
        <f t="shared" si="134"/>
        <v>0</v>
      </c>
      <c r="S316" s="273"/>
      <c r="T316" s="274">
        <f t="shared" si="135"/>
        <v>0</v>
      </c>
      <c r="U316" s="273"/>
      <c r="V316" s="274">
        <f t="shared" si="136"/>
        <v>0</v>
      </c>
      <c r="W316" s="273"/>
      <c r="X316" s="274">
        <f t="shared" si="137"/>
        <v>0</v>
      </c>
      <c r="Y316" s="273"/>
      <c r="Z316" s="274">
        <f t="shared" si="138"/>
        <v>0</v>
      </c>
      <c r="AA316" s="251">
        <f t="shared" si="139"/>
        <v>0</v>
      </c>
    </row>
    <row r="317" customHeight="1" spans="1:27">
      <c r="A317" s="270">
        <v>10</v>
      </c>
      <c r="B317" s="270"/>
      <c r="C317" s="274"/>
      <c r="D317" s="274"/>
      <c r="E317" s="272">
        <f t="shared" si="127"/>
        <v>0</v>
      </c>
      <c r="F317" s="272">
        <f t="shared" si="128"/>
        <v>0</v>
      </c>
      <c r="G317" s="273"/>
      <c r="H317" s="274">
        <f t="shared" si="129"/>
        <v>0</v>
      </c>
      <c r="I317" s="273"/>
      <c r="J317" s="274">
        <f t="shared" si="130"/>
        <v>0</v>
      </c>
      <c r="K317" s="275"/>
      <c r="L317" s="274">
        <f t="shared" si="131"/>
        <v>0</v>
      </c>
      <c r="M317" s="273"/>
      <c r="N317" s="274">
        <f t="shared" si="132"/>
        <v>0</v>
      </c>
      <c r="O317" s="273"/>
      <c r="P317" s="274">
        <f t="shared" si="133"/>
        <v>0</v>
      </c>
      <c r="Q317" s="273"/>
      <c r="R317" s="274">
        <f t="shared" si="134"/>
        <v>0</v>
      </c>
      <c r="S317" s="273"/>
      <c r="T317" s="274">
        <f t="shared" si="135"/>
        <v>0</v>
      </c>
      <c r="U317" s="273"/>
      <c r="V317" s="274">
        <f t="shared" si="136"/>
        <v>0</v>
      </c>
      <c r="W317" s="273"/>
      <c r="X317" s="274">
        <f t="shared" si="137"/>
        <v>0</v>
      </c>
      <c r="Y317" s="273"/>
      <c r="Z317" s="274">
        <f t="shared" si="138"/>
        <v>0</v>
      </c>
      <c r="AA317" s="251">
        <f t="shared" si="139"/>
        <v>0</v>
      </c>
    </row>
    <row r="318" customHeight="1" spans="1:27">
      <c r="A318" s="270">
        <v>11</v>
      </c>
      <c r="B318" s="270"/>
      <c r="C318" s="274"/>
      <c r="D318" s="274"/>
      <c r="E318" s="272">
        <f t="shared" si="127"/>
        <v>0</v>
      </c>
      <c r="F318" s="272">
        <f t="shared" si="128"/>
        <v>0</v>
      </c>
      <c r="G318" s="273"/>
      <c r="H318" s="274">
        <f t="shared" si="129"/>
        <v>0</v>
      </c>
      <c r="I318" s="273"/>
      <c r="J318" s="274">
        <f t="shared" si="130"/>
        <v>0</v>
      </c>
      <c r="K318" s="275"/>
      <c r="L318" s="274">
        <f t="shared" si="131"/>
        <v>0</v>
      </c>
      <c r="M318" s="273"/>
      <c r="N318" s="274">
        <f t="shared" si="132"/>
        <v>0</v>
      </c>
      <c r="O318" s="273"/>
      <c r="P318" s="274">
        <f t="shared" si="133"/>
        <v>0</v>
      </c>
      <c r="Q318" s="273"/>
      <c r="R318" s="274">
        <f t="shared" si="134"/>
        <v>0</v>
      </c>
      <c r="S318" s="273"/>
      <c r="T318" s="274">
        <f t="shared" si="135"/>
        <v>0</v>
      </c>
      <c r="U318" s="273"/>
      <c r="V318" s="274">
        <f t="shared" si="136"/>
        <v>0</v>
      </c>
      <c r="W318" s="273"/>
      <c r="X318" s="274">
        <f t="shared" si="137"/>
        <v>0</v>
      </c>
      <c r="Y318" s="273"/>
      <c r="Z318" s="274">
        <f t="shared" si="138"/>
        <v>0</v>
      </c>
      <c r="AA318" s="251">
        <f t="shared" si="139"/>
        <v>0</v>
      </c>
    </row>
    <row r="319" customHeight="1" spans="1:27">
      <c r="A319" s="270">
        <v>12</v>
      </c>
      <c r="B319" s="270"/>
      <c r="C319" s="274"/>
      <c r="D319" s="274"/>
      <c r="E319" s="272">
        <f t="shared" si="127"/>
        <v>0</v>
      </c>
      <c r="F319" s="272">
        <f t="shared" si="128"/>
        <v>0</v>
      </c>
      <c r="G319" s="273"/>
      <c r="H319" s="274">
        <f t="shared" si="129"/>
        <v>0</v>
      </c>
      <c r="I319" s="273"/>
      <c r="J319" s="274">
        <f t="shared" si="130"/>
        <v>0</v>
      </c>
      <c r="K319" s="275"/>
      <c r="L319" s="274">
        <f t="shared" si="131"/>
        <v>0</v>
      </c>
      <c r="M319" s="273"/>
      <c r="N319" s="274">
        <f t="shared" si="132"/>
        <v>0</v>
      </c>
      <c r="O319" s="273"/>
      <c r="P319" s="274">
        <f t="shared" si="133"/>
        <v>0</v>
      </c>
      <c r="Q319" s="273"/>
      <c r="R319" s="274">
        <f t="shared" si="134"/>
        <v>0</v>
      </c>
      <c r="S319" s="273"/>
      <c r="T319" s="274">
        <f t="shared" si="135"/>
        <v>0</v>
      </c>
      <c r="U319" s="273"/>
      <c r="V319" s="274">
        <f t="shared" si="136"/>
        <v>0</v>
      </c>
      <c r="W319" s="273"/>
      <c r="X319" s="274">
        <f t="shared" si="137"/>
        <v>0</v>
      </c>
      <c r="Y319" s="273"/>
      <c r="Z319" s="274">
        <f t="shared" si="138"/>
        <v>0</v>
      </c>
      <c r="AA319" s="251">
        <f t="shared" si="139"/>
        <v>0</v>
      </c>
    </row>
    <row r="320" customHeight="1" spans="1:27">
      <c r="A320" s="270">
        <v>13</v>
      </c>
      <c r="B320" s="270"/>
      <c r="C320" s="274"/>
      <c r="D320" s="274"/>
      <c r="E320" s="272">
        <f t="shared" si="127"/>
        <v>0</v>
      </c>
      <c r="F320" s="272">
        <f t="shared" si="128"/>
        <v>0</v>
      </c>
      <c r="G320" s="273"/>
      <c r="H320" s="274">
        <f t="shared" si="129"/>
        <v>0</v>
      </c>
      <c r="I320" s="273"/>
      <c r="J320" s="274">
        <f t="shared" si="130"/>
        <v>0</v>
      </c>
      <c r="K320" s="275"/>
      <c r="L320" s="274">
        <f t="shared" si="131"/>
        <v>0</v>
      </c>
      <c r="M320" s="273"/>
      <c r="N320" s="274">
        <f t="shared" si="132"/>
        <v>0</v>
      </c>
      <c r="O320" s="273"/>
      <c r="P320" s="274">
        <f t="shared" si="133"/>
        <v>0</v>
      </c>
      <c r="Q320" s="273"/>
      <c r="R320" s="274">
        <f t="shared" si="134"/>
        <v>0</v>
      </c>
      <c r="S320" s="273"/>
      <c r="T320" s="274">
        <f t="shared" si="135"/>
        <v>0</v>
      </c>
      <c r="U320" s="273"/>
      <c r="V320" s="274">
        <f t="shared" si="136"/>
        <v>0</v>
      </c>
      <c r="W320" s="273"/>
      <c r="X320" s="274">
        <f t="shared" si="137"/>
        <v>0</v>
      </c>
      <c r="Y320" s="273"/>
      <c r="Z320" s="274">
        <f t="shared" si="138"/>
        <v>0</v>
      </c>
      <c r="AA320" s="251">
        <f t="shared" si="139"/>
        <v>0</v>
      </c>
    </row>
    <row r="321" customHeight="1" spans="1:27">
      <c r="A321" s="270">
        <v>14</v>
      </c>
      <c r="B321" s="270"/>
      <c r="C321" s="274"/>
      <c r="D321" s="274"/>
      <c r="E321" s="272">
        <f t="shared" si="127"/>
        <v>0</v>
      </c>
      <c r="F321" s="272">
        <f t="shared" si="128"/>
        <v>0</v>
      </c>
      <c r="G321" s="273"/>
      <c r="H321" s="274">
        <f t="shared" si="129"/>
        <v>0</v>
      </c>
      <c r="I321" s="273"/>
      <c r="J321" s="274">
        <f t="shared" si="130"/>
        <v>0</v>
      </c>
      <c r="K321" s="275"/>
      <c r="L321" s="274">
        <f t="shared" si="131"/>
        <v>0</v>
      </c>
      <c r="M321" s="273"/>
      <c r="N321" s="274">
        <f t="shared" si="132"/>
        <v>0</v>
      </c>
      <c r="O321" s="273"/>
      <c r="P321" s="274">
        <f t="shared" si="133"/>
        <v>0</v>
      </c>
      <c r="Q321" s="273"/>
      <c r="R321" s="274">
        <f t="shared" si="134"/>
        <v>0</v>
      </c>
      <c r="S321" s="273"/>
      <c r="T321" s="274">
        <f t="shared" si="135"/>
        <v>0</v>
      </c>
      <c r="U321" s="273"/>
      <c r="V321" s="274">
        <f t="shared" si="136"/>
        <v>0</v>
      </c>
      <c r="W321" s="273"/>
      <c r="X321" s="274">
        <f t="shared" si="137"/>
        <v>0</v>
      </c>
      <c r="Y321" s="273"/>
      <c r="Z321" s="274">
        <f t="shared" si="138"/>
        <v>0</v>
      </c>
      <c r="AA321" s="251">
        <f t="shared" si="139"/>
        <v>0</v>
      </c>
    </row>
    <row r="322" customHeight="1" spans="1:27">
      <c r="A322" s="270">
        <v>15</v>
      </c>
      <c r="B322" s="270"/>
      <c r="C322" s="274"/>
      <c r="D322" s="274"/>
      <c r="E322" s="272">
        <f t="shared" si="127"/>
        <v>0</v>
      </c>
      <c r="F322" s="272">
        <f t="shared" si="128"/>
        <v>0</v>
      </c>
      <c r="G322" s="273"/>
      <c r="H322" s="274">
        <f t="shared" si="129"/>
        <v>0</v>
      </c>
      <c r="I322" s="273"/>
      <c r="J322" s="274">
        <f t="shared" si="130"/>
        <v>0</v>
      </c>
      <c r="K322" s="275"/>
      <c r="L322" s="274">
        <f t="shared" si="131"/>
        <v>0</v>
      </c>
      <c r="M322" s="273"/>
      <c r="N322" s="274">
        <f t="shared" si="132"/>
        <v>0</v>
      </c>
      <c r="O322" s="273"/>
      <c r="P322" s="274">
        <f t="shared" si="133"/>
        <v>0</v>
      </c>
      <c r="Q322" s="273"/>
      <c r="R322" s="274">
        <f t="shared" si="134"/>
        <v>0</v>
      </c>
      <c r="S322" s="273"/>
      <c r="T322" s="274">
        <f t="shared" si="135"/>
        <v>0</v>
      </c>
      <c r="U322" s="273"/>
      <c r="V322" s="274">
        <f t="shared" si="136"/>
        <v>0</v>
      </c>
      <c r="W322" s="273"/>
      <c r="X322" s="274">
        <f t="shared" si="137"/>
        <v>0</v>
      </c>
      <c r="Y322" s="273"/>
      <c r="Z322" s="274">
        <f t="shared" si="138"/>
        <v>0</v>
      </c>
      <c r="AA322" s="251">
        <f t="shared" si="139"/>
        <v>0</v>
      </c>
    </row>
    <row r="323" customHeight="1" spans="1:27">
      <c r="A323" s="270">
        <v>16</v>
      </c>
      <c r="B323" s="270"/>
      <c r="C323" s="274"/>
      <c r="D323" s="274"/>
      <c r="E323" s="272">
        <f t="shared" si="127"/>
        <v>0</v>
      </c>
      <c r="F323" s="272">
        <f t="shared" si="128"/>
        <v>0</v>
      </c>
      <c r="G323" s="273"/>
      <c r="H323" s="274">
        <f t="shared" si="129"/>
        <v>0</v>
      </c>
      <c r="I323" s="273"/>
      <c r="J323" s="274">
        <f t="shared" si="130"/>
        <v>0</v>
      </c>
      <c r="K323" s="275"/>
      <c r="L323" s="274">
        <f t="shared" si="131"/>
        <v>0</v>
      </c>
      <c r="M323" s="273"/>
      <c r="N323" s="274">
        <f t="shared" si="132"/>
        <v>0</v>
      </c>
      <c r="O323" s="273"/>
      <c r="P323" s="274">
        <f t="shared" si="133"/>
        <v>0</v>
      </c>
      <c r="Q323" s="273"/>
      <c r="R323" s="274">
        <f t="shared" si="134"/>
        <v>0</v>
      </c>
      <c r="S323" s="273"/>
      <c r="T323" s="274">
        <f t="shared" si="135"/>
        <v>0</v>
      </c>
      <c r="U323" s="273"/>
      <c r="V323" s="274">
        <f t="shared" si="136"/>
        <v>0</v>
      </c>
      <c r="W323" s="273"/>
      <c r="X323" s="274">
        <f t="shared" si="137"/>
        <v>0</v>
      </c>
      <c r="Y323" s="273"/>
      <c r="Z323" s="274">
        <f t="shared" si="138"/>
        <v>0</v>
      </c>
      <c r="AA323" s="251">
        <f t="shared" si="139"/>
        <v>0</v>
      </c>
    </row>
    <row r="324" customHeight="1" spans="1:27">
      <c r="A324" s="270">
        <v>17</v>
      </c>
      <c r="B324" s="270"/>
      <c r="C324" s="274"/>
      <c r="D324" s="274"/>
      <c r="E324" s="272">
        <f t="shared" si="127"/>
        <v>0</v>
      </c>
      <c r="F324" s="272">
        <f t="shared" si="128"/>
        <v>0</v>
      </c>
      <c r="G324" s="273"/>
      <c r="H324" s="274">
        <f t="shared" si="129"/>
        <v>0</v>
      </c>
      <c r="I324" s="273"/>
      <c r="J324" s="274">
        <f t="shared" si="130"/>
        <v>0</v>
      </c>
      <c r="K324" s="275"/>
      <c r="L324" s="274">
        <f t="shared" si="131"/>
        <v>0</v>
      </c>
      <c r="M324" s="273"/>
      <c r="N324" s="274">
        <f t="shared" si="132"/>
        <v>0</v>
      </c>
      <c r="O324" s="273"/>
      <c r="P324" s="274">
        <f t="shared" si="133"/>
        <v>0</v>
      </c>
      <c r="Q324" s="273"/>
      <c r="R324" s="274">
        <f t="shared" si="134"/>
        <v>0</v>
      </c>
      <c r="S324" s="273"/>
      <c r="T324" s="274">
        <f t="shared" si="135"/>
        <v>0</v>
      </c>
      <c r="U324" s="273"/>
      <c r="V324" s="274">
        <f t="shared" si="136"/>
        <v>0</v>
      </c>
      <c r="W324" s="273"/>
      <c r="X324" s="274">
        <f t="shared" si="137"/>
        <v>0</v>
      </c>
      <c r="Y324" s="273"/>
      <c r="Z324" s="274">
        <f t="shared" si="138"/>
        <v>0</v>
      </c>
      <c r="AA324" s="251">
        <f t="shared" si="139"/>
        <v>0</v>
      </c>
    </row>
    <row r="325" customHeight="1" spans="1:27">
      <c r="A325" s="270">
        <v>18</v>
      </c>
      <c r="B325" s="270"/>
      <c r="C325" s="274"/>
      <c r="D325" s="274"/>
      <c r="E325" s="272">
        <f t="shared" si="127"/>
        <v>0</v>
      </c>
      <c r="F325" s="272">
        <f t="shared" si="128"/>
        <v>0</v>
      </c>
      <c r="G325" s="273"/>
      <c r="H325" s="274">
        <f t="shared" si="129"/>
        <v>0</v>
      </c>
      <c r="I325" s="273"/>
      <c r="J325" s="274">
        <f t="shared" si="130"/>
        <v>0</v>
      </c>
      <c r="K325" s="275"/>
      <c r="L325" s="274">
        <f t="shared" si="131"/>
        <v>0</v>
      </c>
      <c r="M325" s="273"/>
      <c r="N325" s="274">
        <f t="shared" si="132"/>
        <v>0</v>
      </c>
      <c r="O325" s="273"/>
      <c r="P325" s="274">
        <f t="shared" si="133"/>
        <v>0</v>
      </c>
      <c r="Q325" s="273"/>
      <c r="R325" s="274">
        <f t="shared" si="134"/>
        <v>0</v>
      </c>
      <c r="S325" s="273"/>
      <c r="T325" s="274">
        <f t="shared" si="135"/>
        <v>0</v>
      </c>
      <c r="U325" s="273"/>
      <c r="V325" s="274">
        <f t="shared" si="136"/>
        <v>0</v>
      </c>
      <c r="W325" s="273"/>
      <c r="X325" s="274">
        <f t="shared" si="137"/>
        <v>0</v>
      </c>
      <c r="Y325" s="273"/>
      <c r="Z325" s="274">
        <f t="shared" si="138"/>
        <v>0</v>
      </c>
      <c r="AA325" s="251">
        <f t="shared" si="139"/>
        <v>0</v>
      </c>
    </row>
    <row r="326" customHeight="1" spans="1:27">
      <c r="A326" s="270">
        <v>19</v>
      </c>
      <c r="B326" s="270"/>
      <c r="C326" s="274"/>
      <c r="D326" s="274"/>
      <c r="E326" s="272">
        <f t="shared" si="127"/>
        <v>0</v>
      </c>
      <c r="F326" s="272">
        <f t="shared" si="128"/>
        <v>0</v>
      </c>
      <c r="G326" s="273"/>
      <c r="H326" s="274">
        <f t="shared" si="129"/>
        <v>0</v>
      </c>
      <c r="I326" s="273"/>
      <c r="J326" s="274">
        <f t="shared" si="130"/>
        <v>0</v>
      </c>
      <c r="K326" s="275"/>
      <c r="L326" s="274">
        <f t="shared" si="131"/>
        <v>0</v>
      </c>
      <c r="M326" s="273"/>
      <c r="N326" s="274">
        <f t="shared" si="132"/>
        <v>0</v>
      </c>
      <c r="O326" s="273"/>
      <c r="P326" s="274">
        <f t="shared" si="133"/>
        <v>0</v>
      </c>
      <c r="Q326" s="273"/>
      <c r="R326" s="274">
        <f t="shared" si="134"/>
        <v>0</v>
      </c>
      <c r="S326" s="273"/>
      <c r="T326" s="274">
        <f t="shared" si="135"/>
        <v>0</v>
      </c>
      <c r="U326" s="273"/>
      <c r="V326" s="274">
        <f t="shared" si="136"/>
        <v>0</v>
      </c>
      <c r="W326" s="273"/>
      <c r="X326" s="274">
        <f t="shared" si="137"/>
        <v>0</v>
      </c>
      <c r="Y326" s="273"/>
      <c r="Z326" s="274">
        <f t="shared" si="138"/>
        <v>0</v>
      </c>
      <c r="AA326" s="251">
        <f t="shared" si="139"/>
        <v>0</v>
      </c>
    </row>
    <row r="327" customHeight="1" spans="1:27">
      <c r="A327" s="270">
        <v>20</v>
      </c>
      <c r="B327" s="270"/>
      <c r="C327" s="274"/>
      <c r="D327" s="274"/>
      <c r="E327" s="272">
        <f t="shared" si="127"/>
        <v>0</v>
      </c>
      <c r="F327" s="272">
        <f t="shared" si="128"/>
        <v>0</v>
      </c>
      <c r="G327" s="273"/>
      <c r="H327" s="274">
        <f t="shared" si="129"/>
        <v>0</v>
      </c>
      <c r="I327" s="273"/>
      <c r="J327" s="274">
        <f t="shared" si="130"/>
        <v>0</v>
      </c>
      <c r="K327" s="275"/>
      <c r="L327" s="274">
        <f t="shared" si="131"/>
        <v>0</v>
      </c>
      <c r="M327" s="273"/>
      <c r="N327" s="274">
        <f t="shared" si="132"/>
        <v>0</v>
      </c>
      <c r="O327" s="273"/>
      <c r="P327" s="274">
        <f t="shared" si="133"/>
        <v>0</v>
      </c>
      <c r="Q327" s="273"/>
      <c r="R327" s="274">
        <f t="shared" si="134"/>
        <v>0</v>
      </c>
      <c r="S327" s="273"/>
      <c r="T327" s="274">
        <f t="shared" si="135"/>
        <v>0</v>
      </c>
      <c r="U327" s="273"/>
      <c r="V327" s="274">
        <f t="shared" si="136"/>
        <v>0</v>
      </c>
      <c r="W327" s="273"/>
      <c r="X327" s="274">
        <f t="shared" si="137"/>
        <v>0</v>
      </c>
      <c r="Y327" s="273"/>
      <c r="Z327" s="274">
        <f t="shared" si="138"/>
        <v>0</v>
      </c>
      <c r="AA327" s="251">
        <f t="shared" si="139"/>
        <v>0</v>
      </c>
    </row>
    <row r="328" customHeight="1" spans="1:27">
      <c r="A328" s="270">
        <v>21</v>
      </c>
      <c r="B328" s="270"/>
      <c r="C328" s="274"/>
      <c r="D328" s="274"/>
      <c r="E328" s="272">
        <f t="shared" si="127"/>
        <v>0</v>
      </c>
      <c r="F328" s="272">
        <f t="shared" si="128"/>
        <v>0</v>
      </c>
      <c r="G328" s="273"/>
      <c r="H328" s="274">
        <f t="shared" si="129"/>
        <v>0</v>
      </c>
      <c r="I328" s="273"/>
      <c r="J328" s="274">
        <f t="shared" si="130"/>
        <v>0</v>
      </c>
      <c r="K328" s="275"/>
      <c r="L328" s="274">
        <f t="shared" si="131"/>
        <v>0</v>
      </c>
      <c r="M328" s="273"/>
      <c r="N328" s="274">
        <f t="shared" si="132"/>
        <v>0</v>
      </c>
      <c r="O328" s="273"/>
      <c r="P328" s="274">
        <f t="shared" si="133"/>
        <v>0</v>
      </c>
      <c r="Q328" s="273"/>
      <c r="R328" s="274">
        <f t="shared" si="134"/>
        <v>0</v>
      </c>
      <c r="S328" s="273"/>
      <c r="T328" s="274">
        <f t="shared" si="135"/>
        <v>0</v>
      </c>
      <c r="U328" s="273"/>
      <c r="V328" s="274">
        <f t="shared" si="136"/>
        <v>0</v>
      </c>
      <c r="W328" s="273"/>
      <c r="X328" s="274">
        <f t="shared" si="137"/>
        <v>0</v>
      </c>
      <c r="Y328" s="273"/>
      <c r="Z328" s="274">
        <f t="shared" si="138"/>
        <v>0</v>
      </c>
      <c r="AA328" s="251">
        <f t="shared" si="139"/>
        <v>0</v>
      </c>
    </row>
    <row r="329" customHeight="1" spans="1:27">
      <c r="A329" s="270">
        <v>22</v>
      </c>
      <c r="B329" s="270"/>
      <c r="C329" s="274"/>
      <c r="D329" s="274"/>
      <c r="E329" s="272">
        <f t="shared" si="127"/>
        <v>0</v>
      </c>
      <c r="F329" s="272">
        <f t="shared" si="128"/>
        <v>0</v>
      </c>
      <c r="G329" s="273"/>
      <c r="H329" s="274">
        <f t="shared" si="129"/>
        <v>0</v>
      </c>
      <c r="I329" s="273"/>
      <c r="J329" s="274">
        <f t="shared" si="130"/>
        <v>0</v>
      </c>
      <c r="K329" s="275"/>
      <c r="L329" s="274">
        <f t="shared" si="131"/>
        <v>0</v>
      </c>
      <c r="M329" s="273"/>
      <c r="N329" s="274">
        <f t="shared" si="132"/>
        <v>0</v>
      </c>
      <c r="O329" s="273"/>
      <c r="P329" s="274">
        <f t="shared" si="133"/>
        <v>0</v>
      </c>
      <c r="Q329" s="273"/>
      <c r="R329" s="274">
        <f t="shared" si="134"/>
        <v>0</v>
      </c>
      <c r="S329" s="273"/>
      <c r="T329" s="274">
        <f t="shared" si="135"/>
        <v>0</v>
      </c>
      <c r="U329" s="273"/>
      <c r="V329" s="274">
        <f t="shared" si="136"/>
        <v>0</v>
      </c>
      <c r="W329" s="273"/>
      <c r="X329" s="274">
        <f t="shared" si="137"/>
        <v>0</v>
      </c>
      <c r="Y329" s="273"/>
      <c r="Z329" s="274">
        <f t="shared" si="138"/>
        <v>0</v>
      </c>
      <c r="AA329" s="251">
        <f t="shared" si="139"/>
        <v>0</v>
      </c>
    </row>
    <row r="330" customHeight="1" spans="1:27">
      <c r="A330" s="270">
        <v>23</v>
      </c>
      <c r="B330" s="270"/>
      <c r="C330" s="274"/>
      <c r="D330" s="274"/>
      <c r="E330" s="272">
        <f t="shared" si="127"/>
        <v>0</v>
      </c>
      <c r="F330" s="272">
        <f t="shared" si="128"/>
        <v>0</v>
      </c>
      <c r="G330" s="273"/>
      <c r="H330" s="274">
        <f t="shared" si="129"/>
        <v>0</v>
      </c>
      <c r="I330" s="273"/>
      <c r="J330" s="274">
        <f t="shared" si="130"/>
        <v>0</v>
      </c>
      <c r="K330" s="275"/>
      <c r="L330" s="274">
        <f t="shared" si="131"/>
        <v>0</v>
      </c>
      <c r="M330" s="273"/>
      <c r="N330" s="274">
        <f t="shared" si="132"/>
        <v>0</v>
      </c>
      <c r="O330" s="273"/>
      <c r="P330" s="274">
        <f t="shared" si="133"/>
        <v>0</v>
      </c>
      <c r="Q330" s="273"/>
      <c r="R330" s="274">
        <f t="shared" si="134"/>
        <v>0</v>
      </c>
      <c r="S330" s="273"/>
      <c r="T330" s="274">
        <f t="shared" si="135"/>
        <v>0</v>
      </c>
      <c r="U330" s="273"/>
      <c r="V330" s="274">
        <f t="shared" si="136"/>
        <v>0</v>
      </c>
      <c r="W330" s="273"/>
      <c r="X330" s="274">
        <f t="shared" si="137"/>
        <v>0</v>
      </c>
      <c r="Y330" s="273"/>
      <c r="Z330" s="274">
        <f t="shared" si="138"/>
        <v>0</v>
      </c>
      <c r="AA330" s="251">
        <f t="shared" si="139"/>
        <v>0</v>
      </c>
    </row>
    <row r="331" customHeight="1" spans="1:27">
      <c r="A331" s="270">
        <v>25</v>
      </c>
      <c r="B331" s="270"/>
      <c r="C331" s="274"/>
      <c r="D331" s="274"/>
      <c r="E331" s="272">
        <f t="shared" si="127"/>
        <v>0</v>
      </c>
      <c r="F331" s="272">
        <f t="shared" si="128"/>
        <v>0</v>
      </c>
      <c r="G331" s="273"/>
      <c r="H331" s="274">
        <f t="shared" si="129"/>
        <v>0</v>
      </c>
      <c r="I331" s="273"/>
      <c r="J331" s="274">
        <f t="shared" si="130"/>
        <v>0</v>
      </c>
      <c r="K331" s="275"/>
      <c r="L331" s="274">
        <f t="shared" si="131"/>
        <v>0</v>
      </c>
      <c r="M331" s="273"/>
      <c r="N331" s="274">
        <f t="shared" si="132"/>
        <v>0</v>
      </c>
      <c r="O331" s="273"/>
      <c r="P331" s="274">
        <f t="shared" si="133"/>
        <v>0</v>
      </c>
      <c r="Q331" s="273"/>
      <c r="R331" s="274">
        <f t="shared" si="134"/>
        <v>0</v>
      </c>
      <c r="S331" s="273"/>
      <c r="T331" s="274">
        <f t="shared" si="135"/>
        <v>0</v>
      </c>
      <c r="U331" s="273"/>
      <c r="V331" s="274">
        <f t="shared" si="136"/>
        <v>0</v>
      </c>
      <c r="W331" s="273"/>
      <c r="X331" s="274">
        <f t="shared" si="137"/>
        <v>0</v>
      </c>
      <c r="Y331" s="273"/>
      <c r="Z331" s="274">
        <f t="shared" si="138"/>
        <v>0</v>
      </c>
      <c r="AA331" s="251">
        <f t="shared" si="139"/>
        <v>0</v>
      </c>
    </row>
    <row r="332" customHeight="1" spans="1:27">
      <c r="A332" s="270">
        <v>25</v>
      </c>
      <c r="B332" s="270"/>
      <c r="C332" s="274"/>
      <c r="D332" s="274"/>
      <c r="E332" s="272">
        <f t="shared" si="127"/>
        <v>0</v>
      </c>
      <c r="F332" s="272">
        <f t="shared" si="128"/>
        <v>0</v>
      </c>
      <c r="G332" s="273"/>
      <c r="H332" s="274">
        <f t="shared" si="129"/>
        <v>0</v>
      </c>
      <c r="I332" s="273"/>
      <c r="J332" s="274">
        <f t="shared" si="130"/>
        <v>0</v>
      </c>
      <c r="K332" s="275"/>
      <c r="L332" s="274">
        <f t="shared" si="131"/>
        <v>0</v>
      </c>
      <c r="M332" s="273"/>
      <c r="N332" s="274">
        <f t="shared" si="132"/>
        <v>0</v>
      </c>
      <c r="O332" s="273"/>
      <c r="P332" s="274">
        <f t="shared" si="133"/>
        <v>0</v>
      </c>
      <c r="Q332" s="273"/>
      <c r="R332" s="274">
        <f t="shared" si="134"/>
        <v>0</v>
      </c>
      <c r="S332" s="273"/>
      <c r="T332" s="274">
        <f t="shared" si="135"/>
        <v>0</v>
      </c>
      <c r="U332" s="273"/>
      <c r="V332" s="274">
        <f t="shared" si="136"/>
        <v>0</v>
      </c>
      <c r="W332" s="273"/>
      <c r="X332" s="274">
        <f t="shared" si="137"/>
        <v>0</v>
      </c>
      <c r="Y332" s="273"/>
      <c r="Z332" s="274">
        <f t="shared" si="138"/>
        <v>0</v>
      </c>
      <c r="AA332" s="251">
        <f t="shared" si="139"/>
        <v>0</v>
      </c>
    </row>
    <row r="333" customHeight="1" spans="1:27">
      <c r="A333" s="270">
        <v>26</v>
      </c>
      <c r="B333" s="270"/>
      <c r="C333" s="274"/>
      <c r="D333" s="274"/>
      <c r="E333" s="272">
        <f t="shared" si="127"/>
        <v>0</v>
      </c>
      <c r="F333" s="272">
        <f t="shared" si="128"/>
        <v>0</v>
      </c>
      <c r="G333" s="273"/>
      <c r="H333" s="274">
        <f t="shared" si="129"/>
        <v>0</v>
      </c>
      <c r="I333" s="273"/>
      <c r="J333" s="274">
        <f t="shared" si="130"/>
        <v>0</v>
      </c>
      <c r="K333" s="275"/>
      <c r="L333" s="274">
        <f t="shared" si="131"/>
        <v>0</v>
      </c>
      <c r="M333" s="273"/>
      <c r="N333" s="274">
        <f t="shared" si="132"/>
        <v>0</v>
      </c>
      <c r="O333" s="273"/>
      <c r="P333" s="274">
        <f t="shared" si="133"/>
        <v>0</v>
      </c>
      <c r="Q333" s="273"/>
      <c r="R333" s="274">
        <f t="shared" si="134"/>
        <v>0</v>
      </c>
      <c r="S333" s="273"/>
      <c r="T333" s="274">
        <f t="shared" si="135"/>
        <v>0</v>
      </c>
      <c r="U333" s="273"/>
      <c r="V333" s="274">
        <f t="shared" si="136"/>
        <v>0</v>
      </c>
      <c r="W333" s="273"/>
      <c r="X333" s="274">
        <f t="shared" si="137"/>
        <v>0</v>
      </c>
      <c r="Y333" s="273"/>
      <c r="Z333" s="274">
        <f t="shared" si="138"/>
        <v>0</v>
      </c>
      <c r="AA333" s="251">
        <f t="shared" si="139"/>
        <v>0</v>
      </c>
    </row>
    <row r="334" customHeight="1" spans="1:27">
      <c r="A334" s="270">
        <v>27</v>
      </c>
      <c r="B334" s="270"/>
      <c r="C334" s="274"/>
      <c r="D334" s="274"/>
      <c r="E334" s="272">
        <f t="shared" si="127"/>
        <v>0</v>
      </c>
      <c r="F334" s="272">
        <f t="shared" si="128"/>
        <v>0</v>
      </c>
      <c r="G334" s="273"/>
      <c r="H334" s="274">
        <f t="shared" si="129"/>
        <v>0</v>
      </c>
      <c r="I334" s="273"/>
      <c r="J334" s="274">
        <f t="shared" si="130"/>
        <v>0</v>
      </c>
      <c r="K334" s="275"/>
      <c r="L334" s="274">
        <f t="shared" si="131"/>
        <v>0</v>
      </c>
      <c r="M334" s="273"/>
      <c r="N334" s="274">
        <f t="shared" si="132"/>
        <v>0</v>
      </c>
      <c r="O334" s="273"/>
      <c r="P334" s="274">
        <f t="shared" si="133"/>
        <v>0</v>
      </c>
      <c r="Q334" s="273"/>
      <c r="R334" s="274">
        <f t="shared" si="134"/>
        <v>0</v>
      </c>
      <c r="S334" s="273"/>
      <c r="T334" s="274">
        <f t="shared" si="135"/>
        <v>0</v>
      </c>
      <c r="U334" s="273"/>
      <c r="V334" s="274">
        <f t="shared" si="136"/>
        <v>0</v>
      </c>
      <c r="W334" s="273"/>
      <c r="X334" s="274">
        <f t="shared" si="137"/>
        <v>0</v>
      </c>
      <c r="Y334" s="273"/>
      <c r="Z334" s="274">
        <f t="shared" si="138"/>
        <v>0</v>
      </c>
      <c r="AA334" s="251">
        <f t="shared" si="139"/>
        <v>0</v>
      </c>
    </row>
    <row r="335" customHeight="1" spans="1:27">
      <c r="A335" s="270">
        <v>28</v>
      </c>
      <c r="B335" s="270"/>
      <c r="C335" s="274"/>
      <c r="D335" s="274"/>
      <c r="E335" s="272">
        <f t="shared" si="127"/>
        <v>0</v>
      </c>
      <c r="F335" s="272">
        <f t="shared" si="128"/>
        <v>0</v>
      </c>
      <c r="G335" s="273"/>
      <c r="H335" s="274">
        <f t="shared" si="129"/>
        <v>0</v>
      </c>
      <c r="I335" s="273"/>
      <c r="J335" s="274">
        <f t="shared" si="130"/>
        <v>0</v>
      </c>
      <c r="K335" s="275"/>
      <c r="L335" s="274">
        <f t="shared" si="131"/>
        <v>0</v>
      </c>
      <c r="M335" s="273"/>
      <c r="N335" s="274">
        <f t="shared" si="132"/>
        <v>0</v>
      </c>
      <c r="O335" s="273"/>
      <c r="P335" s="274">
        <f t="shared" si="133"/>
        <v>0</v>
      </c>
      <c r="Q335" s="273"/>
      <c r="R335" s="274">
        <f t="shared" si="134"/>
        <v>0</v>
      </c>
      <c r="S335" s="273"/>
      <c r="T335" s="274">
        <f t="shared" si="135"/>
        <v>0</v>
      </c>
      <c r="U335" s="273"/>
      <c r="V335" s="274">
        <f t="shared" si="136"/>
        <v>0</v>
      </c>
      <c r="W335" s="273"/>
      <c r="X335" s="274">
        <f t="shared" si="137"/>
        <v>0</v>
      </c>
      <c r="Y335" s="273"/>
      <c r="Z335" s="274">
        <f t="shared" si="138"/>
        <v>0</v>
      </c>
      <c r="AA335" s="251">
        <f t="shared" si="139"/>
        <v>0</v>
      </c>
    </row>
    <row r="336" customHeight="1" spans="1:27">
      <c r="A336" s="270">
        <v>29</v>
      </c>
      <c r="B336" s="270"/>
      <c r="C336" s="274"/>
      <c r="D336" s="274"/>
      <c r="E336" s="272">
        <f t="shared" si="127"/>
        <v>0</v>
      </c>
      <c r="F336" s="272">
        <f t="shared" si="128"/>
        <v>0</v>
      </c>
      <c r="G336" s="273"/>
      <c r="H336" s="274">
        <f t="shared" si="129"/>
        <v>0</v>
      </c>
      <c r="I336" s="273"/>
      <c r="J336" s="274">
        <f t="shared" si="130"/>
        <v>0</v>
      </c>
      <c r="K336" s="275"/>
      <c r="L336" s="274">
        <f t="shared" si="131"/>
        <v>0</v>
      </c>
      <c r="M336" s="273"/>
      <c r="N336" s="274">
        <f t="shared" si="132"/>
        <v>0</v>
      </c>
      <c r="O336" s="273"/>
      <c r="P336" s="274">
        <f t="shared" si="133"/>
        <v>0</v>
      </c>
      <c r="Q336" s="273"/>
      <c r="R336" s="274">
        <f t="shared" si="134"/>
        <v>0</v>
      </c>
      <c r="S336" s="273"/>
      <c r="T336" s="274">
        <f t="shared" si="135"/>
        <v>0</v>
      </c>
      <c r="U336" s="273"/>
      <c r="V336" s="274">
        <f t="shared" si="136"/>
        <v>0</v>
      </c>
      <c r="W336" s="273"/>
      <c r="X336" s="274">
        <f t="shared" si="137"/>
        <v>0</v>
      </c>
      <c r="Y336" s="273"/>
      <c r="Z336" s="274">
        <f t="shared" si="138"/>
        <v>0</v>
      </c>
      <c r="AA336" s="251">
        <f t="shared" si="139"/>
        <v>0</v>
      </c>
    </row>
    <row r="337" customHeight="1" spans="1:27">
      <c r="A337" s="270">
        <v>30</v>
      </c>
      <c r="B337" s="270"/>
      <c r="C337" s="274"/>
      <c r="D337" s="274"/>
      <c r="E337" s="272">
        <f t="shared" si="127"/>
        <v>0</v>
      </c>
      <c r="F337" s="272">
        <f t="shared" si="128"/>
        <v>0</v>
      </c>
      <c r="G337" s="273"/>
      <c r="H337" s="274">
        <f t="shared" si="129"/>
        <v>0</v>
      </c>
      <c r="I337" s="273"/>
      <c r="J337" s="274">
        <f t="shared" si="130"/>
        <v>0</v>
      </c>
      <c r="K337" s="275"/>
      <c r="L337" s="274">
        <f t="shared" si="131"/>
        <v>0</v>
      </c>
      <c r="M337" s="273"/>
      <c r="N337" s="274">
        <f t="shared" si="132"/>
        <v>0</v>
      </c>
      <c r="O337" s="273"/>
      <c r="P337" s="274">
        <f t="shared" si="133"/>
        <v>0</v>
      </c>
      <c r="Q337" s="273"/>
      <c r="R337" s="274">
        <f t="shared" si="134"/>
        <v>0</v>
      </c>
      <c r="S337" s="273"/>
      <c r="T337" s="274">
        <f t="shared" si="135"/>
        <v>0</v>
      </c>
      <c r="U337" s="273"/>
      <c r="V337" s="274">
        <f t="shared" si="136"/>
        <v>0</v>
      </c>
      <c r="W337" s="273"/>
      <c r="X337" s="274">
        <f t="shared" si="137"/>
        <v>0</v>
      </c>
      <c r="Y337" s="273"/>
      <c r="Z337" s="274">
        <f t="shared" si="138"/>
        <v>0</v>
      </c>
      <c r="AA337" s="251">
        <f t="shared" si="139"/>
        <v>0</v>
      </c>
    </row>
    <row r="338" customHeight="1" spans="1:27">
      <c r="A338" s="276" t="s">
        <v>22</v>
      </c>
      <c r="B338" s="277"/>
      <c r="C338" s="261">
        <f t="shared" ref="C338:Z338" si="140">SUM(C308:C337)</f>
        <v>0</v>
      </c>
      <c r="D338" s="261">
        <f t="shared" si="140"/>
        <v>0</v>
      </c>
      <c r="E338" s="261">
        <f t="shared" si="140"/>
        <v>0</v>
      </c>
      <c r="F338" s="272">
        <f t="shared" si="140"/>
        <v>0</v>
      </c>
      <c r="G338" s="261">
        <f t="shared" si="140"/>
        <v>0</v>
      </c>
      <c r="H338" s="273">
        <f t="shared" si="140"/>
        <v>0</v>
      </c>
      <c r="I338" s="273">
        <f t="shared" si="140"/>
        <v>0</v>
      </c>
      <c r="J338" s="273">
        <f t="shared" si="140"/>
        <v>0</v>
      </c>
      <c r="K338" s="273">
        <f t="shared" si="140"/>
        <v>0</v>
      </c>
      <c r="L338" s="273">
        <f t="shared" si="140"/>
        <v>0</v>
      </c>
      <c r="M338" s="273">
        <f t="shared" si="140"/>
        <v>0</v>
      </c>
      <c r="N338" s="273">
        <f t="shared" si="140"/>
        <v>0</v>
      </c>
      <c r="O338" s="273">
        <f t="shared" si="140"/>
        <v>0</v>
      </c>
      <c r="P338" s="273">
        <f t="shared" si="140"/>
        <v>0</v>
      </c>
      <c r="Q338" s="273">
        <f t="shared" si="140"/>
        <v>0</v>
      </c>
      <c r="R338" s="273">
        <f t="shared" si="140"/>
        <v>0</v>
      </c>
      <c r="S338" s="273">
        <f t="shared" si="140"/>
        <v>0</v>
      </c>
      <c r="T338" s="273">
        <f t="shared" si="140"/>
        <v>0</v>
      </c>
      <c r="U338" s="273">
        <f t="shared" si="140"/>
        <v>0</v>
      </c>
      <c r="V338" s="273">
        <f t="shared" si="140"/>
        <v>0</v>
      </c>
      <c r="W338" s="273">
        <f t="shared" si="140"/>
        <v>0</v>
      </c>
      <c r="X338" s="273">
        <f t="shared" si="140"/>
        <v>0</v>
      </c>
      <c r="Y338" s="273">
        <f t="shared" si="140"/>
        <v>0</v>
      </c>
      <c r="Z338" s="273">
        <f t="shared" si="140"/>
        <v>0</v>
      </c>
    </row>
    <row r="341" customHeight="1" spans="1:27">
      <c r="B341" s="257" t="s">
        <v>63</v>
      </c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  <c r="Z341" s="258"/>
    </row>
    <row r="343" customHeight="1" spans="1:27">
      <c r="A343" s="259" t="s">
        <v>31</v>
      </c>
      <c r="B343" s="260" t="s">
        <v>32</v>
      </c>
      <c r="C343" s="261" t="s">
        <v>33</v>
      </c>
      <c r="D343" s="261" t="s">
        <v>34</v>
      </c>
      <c r="E343" s="262" t="s">
        <v>35</v>
      </c>
      <c r="F343" s="262" t="s">
        <v>36</v>
      </c>
      <c r="G343" s="263" t="str">
        <f>立项!$A$3</f>
        <v>RD01</v>
      </c>
      <c r="H343" s="264"/>
      <c r="I343" s="264" t="str">
        <f>立项!$A$4</f>
        <v>RD02</v>
      </c>
      <c r="J343" s="264"/>
      <c r="K343" s="264" t="str">
        <f>立项!$A$5</f>
        <v>RD03</v>
      </c>
      <c r="L343" s="264"/>
      <c r="M343" s="264" t="str">
        <f>立项!$A$6</f>
        <v>RD04</v>
      </c>
      <c r="N343" s="264"/>
      <c r="O343" s="264" t="str">
        <f>立项!$A$7</f>
        <v>RD05</v>
      </c>
      <c r="P343" s="264"/>
      <c r="Q343" s="264" t="str">
        <f>立项!$A$8</f>
        <v>RD06</v>
      </c>
      <c r="R343" s="264"/>
      <c r="S343" s="264" t="str">
        <f>立项!$A$9</f>
        <v>RD07</v>
      </c>
      <c r="T343" s="264"/>
      <c r="U343" s="264" t="str">
        <f>立项!$A$10</f>
        <v>RD08</v>
      </c>
      <c r="V343" s="264"/>
      <c r="W343" s="264" t="str">
        <f>立项!$A$11</f>
        <v>RD09</v>
      </c>
      <c r="X343" s="264"/>
      <c r="Y343" s="264" t="str">
        <f>立项!$A$12</f>
        <v>RD10</v>
      </c>
      <c r="Z343" s="264"/>
    </row>
    <row r="344" customHeight="1" spans="1:27">
      <c r="A344" s="265"/>
      <c r="B344" s="260"/>
      <c r="C344" s="261"/>
      <c r="D344" s="261"/>
      <c r="E344" s="262"/>
      <c r="F344" s="262"/>
      <c r="G344" s="267">
        <f>立项!C3</f>
        <v>0</v>
      </c>
      <c r="H344" s="263"/>
      <c r="I344" s="267">
        <f>立项!C4</f>
        <v>0</v>
      </c>
      <c r="J344" s="263"/>
      <c r="K344" s="267">
        <f>立项!C5</f>
        <v>0</v>
      </c>
      <c r="L344" s="263"/>
      <c r="M344" s="267">
        <f>立项!C6</f>
        <v>0</v>
      </c>
      <c r="N344" s="263"/>
      <c r="O344" s="267">
        <f>立项!C7</f>
        <v>0</v>
      </c>
      <c r="P344" s="263"/>
      <c r="Q344" s="267">
        <f>立项!C8</f>
        <v>0</v>
      </c>
      <c r="R344" s="263"/>
      <c r="S344" s="267">
        <f>立项!C9</f>
        <v>0</v>
      </c>
      <c r="T344" s="263"/>
      <c r="U344" s="267">
        <f>立项!C10</f>
        <v>0</v>
      </c>
      <c r="V344" s="263"/>
      <c r="W344" s="267">
        <f>立项!C11</f>
        <v>0</v>
      </c>
      <c r="X344" s="263"/>
      <c r="Y344" s="264">
        <f>立项!C12</f>
        <v>0</v>
      </c>
      <c r="Z344" s="264"/>
    </row>
    <row r="345" customHeight="1" spans="1:27">
      <c r="A345" s="268"/>
      <c r="B345" s="260"/>
      <c r="C345" s="261"/>
      <c r="D345" s="261"/>
      <c r="E345" s="262"/>
      <c r="F345" s="262"/>
      <c r="G345" s="264" t="s">
        <v>39</v>
      </c>
      <c r="H345" s="269" t="s">
        <v>40</v>
      </c>
      <c r="I345" s="264" t="s">
        <v>39</v>
      </c>
      <c r="J345" s="269" t="s">
        <v>40</v>
      </c>
      <c r="K345" s="264" t="s">
        <v>39</v>
      </c>
      <c r="L345" s="269" t="s">
        <v>40</v>
      </c>
      <c r="M345" s="264" t="s">
        <v>39</v>
      </c>
      <c r="N345" s="269" t="s">
        <v>40</v>
      </c>
      <c r="O345" s="264" t="s">
        <v>39</v>
      </c>
      <c r="P345" s="269" t="s">
        <v>40</v>
      </c>
      <c r="Q345" s="264" t="s">
        <v>39</v>
      </c>
      <c r="R345" s="269" t="s">
        <v>40</v>
      </c>
      <c r="S345" s="264" t="s">
        <v>39</v>
      </c>
      <c r="T345" s="269" t="s">
        <v>40</v>
      </c>
      <c r="U345" s="264" t="s">
        <v>39</v>
      </c>
      <c r="V345" s="269" t="s">
        <v>40</v>
      </c>
      <c r="W345" s="264" t="s">
        <v>39</v>
      </c>
      <c r="X345" s="269" t="s">
        <v>40</v>
      </c>
      <c r="Y345" s="264" t="s">
        <v>39</v>
      </c>
      <c r="Z345" s="269" t="s">
        <v>40</v>
      </c>
    </row>
    <row r="346" customHeight="1" spans="1:27">
      <c r="A346" s="270">
        <v>1</v>
      </c>
      <c r="B346" s="324"/>
      <c r="C346" s="272"/>
      <c r="D346" s="272"/>
      <c r="E346" s="272">
        <f t="shared" ref="E346:E375" si="141">G346+I346+K346+M346+O346+Q346+S346+U346+W346+Y346</f>
        <v>0</v>
      </c>
      <c r="F346" s="272">
        <f t="shared" ref="F346:F375" si="142">H346+J346+L346+N346+P346+R346+T346+V346+X346+Z346</f>
        <v>0</v>
      </c>
      <c r="G346" s="273"/>
      <c r="H346" s="274">
        <f t="shared" ref="H346:H375" si="143">IF($D346=0,0,ROUND(G346/$D346*$C346,2))</f>
        <v>0</v>
      </c>
      <c r="I346" s="273"/>
      <c r="J346" s="274">
        <f t="shared" ref="J346:J375" si="144">IF($D346=0,0,ROUND(I346/$D346*$C346,2))</f>
        <v>0</v>
      </c>
      <c r="K346" s="275"/>
      <c r="L346" s="274">
        <f t="shared" ref="L346:L375" si="145">IF($D346=0,0,ROUND(K346/$D346*$C346,2))</f>
        <v>0</v>
      </c>
      <c r="M346" s="273"/>
      <c r="N346" s="274">
        <f t="shared" ref="N346:N375" si="146">IF($D346=0,0,ROUND(M346/$D346*$C346,2))</f>
        <v>0</v>
      </c>
      <c r="O346" s="273"/>
      <c r="P346" s="274">
        <f t="shared" ref="P346:P375" si="147">IF($D346=0,0,ROUND(O346/$D346*$C346,2))</f>
        <v>0</v>
      </c>
      <c r="Q346" s="273"/>
      <c r="R346" s="274">
        <f t="shared" ref="R346:R375" si="148">IF($D346=0,0,ROUND(Q346/$D346*$C346,2))</f>
        <v>0</v>
      </c>
      <c r="S346" s="273"/>
      <c r="T346" s="274">
        <f t="shared" ref="T346:T375" si="149">IF($D346=0,0,ROUND(S346/$D346*$C346,2))</f>
        <v>0</v>
      </c>
      <c r="U346" s="273"/>
      <c r="V346" s="274">
        <f t="shared" ref="V346:V375" si="150">IF($D346=0,0,ROUND(U346/$D346*$C346,2))</f>
        <v>0</v>
      </c>
      <c r="W346" s="273"/>
      <c r="X346" s="274">
        <f t="shared" ref="X346:X375" si="151">IF($D346=0,0,ROUND(W346/$D346*$C346,2))</f>
        <v>0</v>
      </c>
      <c r="Y346" s="273"/>
      <c r="Z346" s="274">
        <f t="shared" ref="Z346:Z375" si="152">IF($D346=0,0,ROUND(Y346/$D346*$C346,2))</f>
        <v>0</v>
      </c>
      <c r="AA346" s="251">
        <f t="shared" ref="AA346:AA375" si="153">D346-E346</f>
        <v>0</v>
      </c>
    </row>
    <row r="347" customHeight="1" spans="1:27">
      <c r="A347" s="270">
        <v>2</v>
      </c>
      <c r="B347" s="324"/>
      <c r="C347" s="272"/>
      <c r="D347" s="272"/>
      <c r="E347" s="272">
        <f t="shared" si="141"/>
        <v>0</v>
      </c>
      <c r="F347" s="272">
        <f t="shared" si="142"/>
        <v>0</v>
      </c>
      <c r="G347" s="273"/>
      <c r="H347" s="274">
        <f t="shared" si="143"/>
        <v>0</v>
      </c>
      <c r="I347" s="273"/>
      <c r="J347" s="274">
        <f t="shared" si="144"/>
        <v>0</v>
      </c>
      <c r="K347" s="275"/>
      <c r="L347" s="274">
        <f t="shared" si="145"/>
        <v>0</v>
      </c>
      <c r="M347" s="273"/>
      <c r="N347" s="274">
        <f t="shared" si="146"/>
        <v>0</v>
      </c>
      <c r="O347" s="273"/>
      <c r="P347" s="274">
        <f t="shared" si="147"/>
        <v>0</v>
      </c>
      <c r="Q347" s="273"/>
      <c r="R347" s="274">
        <f t="shared" si="148"/>
        <v>0</v>
      </c>
      <c r="S347" s="273"/>
      <c r="T347" s="274">
        <f t="shared" si="149"/>
        <v>0</v>
      </c>
      <c r="U347" s="273"/>
      <c r="V347" s="274">
        <f t="shared" si="150"/>
        <v>0</v>
      </c>
      <c r="W347" s="273"/>
      <c r="X347" s="274">
        <f t="shared" si="151"/>
        <v>0</v>
      </c>
      <c r="Y347" s="273"/>
      <c r="Z347" s="274">
        <f t="shared" si="152"/>
        <v>0</v>
      </c>
      <c r="AA347" s="251">
        <f t="shared" si="153"/>
        <v>0</v>
      </c>
    </row>
    <row r="348" customHeight="1" spans="1:27">
      <c r="A348" s="270">
        <v>3</v>
      </c>
      <c r="B348" s="324"/>
      <c r="C348" s="272"/>
      <c r="D348" s="272"/>
      <c r="E348" s="272">
        <f t="shared" si="141"/>
        <v>0</v>
      </c>
      <c r="F348" s="272">
        <f t="shared" si="142"/>
        <v>0</v>
      </c>
      <c r="G348" s="273"/>
      <c r="H348" s="274">
        <f t="shared" si="143"/>
        <v>0</v>
      </c>
      <c r="I348" s="273"/>
      <c r="J348" s="274">
        <f t="shared" si="144"/>
        <v>0</v>
      </c>
      <c r="K348" s="275"/>
      <c r="L348" s="274">
        <f t="shared" si="145"/>
        <v>0</v>
      </c>
      <c r="M348" s="273"/>
      <c r="N348" s="274">
        <f t="shared" si="146"/>
        <v>0</v>
      </c>
      <c r="O348" s="273"/>
      <c r="P348" s="274">
        <f t="shared" si="147"/>
        <v>0</v>
      </c>
      <c r="Q348" s="273"/>
      <c r="R348" s="274">
        <f t="shared" si="148"/>
        <v>0</v>
      </c>
      <c r="S348" s="273"/>
      <c r="T348" s="274">
        <f t="shared" si="149"/>
        <v>0</v>
      </c>
      <c r="U348" s="273"/>
      <c r="V348" s="274">
        <f t="shared" si="150"/>
        <v>0</v>
      </c>
      <c r="W348" s="273"/>
      <c r="X348" s="274">
        <f t="shared" si="151"/>
        <v>0</v>
      </c>
      <c r="Y348" s="273"/>
      <c r="Z348" s="274">
        <f t="shared" si="152"/>
        <v>0</v>
      </c>
      <c r="AA348" s="251">
        <f t="shared" si="153"/>
        <v>0</v>
      </c>
    </row>
    <row r="349" customHeight="1" spans="1:27">
      <c r="A349" s="270">
        <v>4</v>
      </c>
      <c r="B349" s="324"/>
      <c r="C349" s="272"/>
      <c r="D349" s="272"/>
      <c r="E349" s="272">
        <f t="shared" si="141"/>
        <v>0</v>
      </c>
      <c r="F349" s="272">
        <f t="shared" si="142"/>
        <v>0</v>
      </c>
      <c r="G349" s="273"/>
      <c r="H349" s="274">
        <f t="shared" si="143"/>
        <v>0</v>
      </c>
      <c r="I349" s="273"/>
      <c r="J349" s="274">
        <f t="shared" si="144"/>
        <v>0</v>
      </c>
      <c r="K349" s="275"/>
      <c r="L349" s="274">
        <f t="shared" si="145"/>
        <v>0</v>
      </c>
      <c r="M349" s="273"/>
      <c r="N349" s="274">
        <f t="shared" si="146"/>
        <v>0</v>
      </c>
      <c r="O349" s="273"/>
      <c r="P349" s="274">
        <f t="shared" si="147"/>
        <v>0</v>
      </c>
      <c r="Q349" s="273"/>
      <c r="R349" s="274">
        <f t="shared" si="148"/>
        <v>0</v>
      </c>
      <c r="S349" s="273"/>
      <c r="T349" s="274">
        <f t="shared" si="149"/>
        <v>0</v>
      </c>
      <c r="U349" s="273"/>
      <c r="V349" s="274">
        <f t="shared" si="150"/>
        <v>0</v>
      </c>
      <c r="W349" s="273"/>
      <c r="X349" s="274">
        <f t="shared" si="151"/>
        <v>0</v>
      </c>
      <c r="Y349" s="273"/>
      <c r="Z349" s="274">
        <f t="shared" si="152"/>
        <v>0</v>
      </c>
      <c r="AA349" s="251">
        <f t="shared" si="153"/>
        <v>0</v>
      </c>
    </row>
    <row r="350" customHeight="1" spans="1:27">
      <c r="A350" s="270">
        <v>5</v>
      </c>
      <c r="B350" s="324"/>
      <c r="C350" s="272"/>
      <c r="D350" s="272"/>
      <c r="E350" s="272">
        <f t="shared" si="141"/>
        <v>0</v>
      </c>
      <c r="F350" s="272">
        <f t="shared" si="142"/>
        <v>0</v>
      </c>
      <c r="G350" s="273"/>
      <c r="H350" s="274">
        <f t="shared" si="143"/>
        <v>0</v>
      </c>
      <c r="I350" s="273"/>
      <c r="J350" s="274">
        <f t="shared" si="144"/>
        <v>0</v>
      </c>
      <c r="K350" s="275"/>
      <c r="L350" s="274">
        <f t="shared" si="145"/>
        <v>0</v>
      </c>
      <c r="M350" s="273"/>
      <c r="N350" s="274">
        <f t="shared" si="146"/>
        <v>0</v>
      </c>
      <c r="O350" s="273"/>
      <c r="P350" s="274">
        <f t="shared" si="147"/>
        <v>0</v>
      </c>
      <c r="Q350" s="273"/>
      <c r="R350" s="274">
        <f t="shared" si="148"/>
        <v>0</v>
      </c>
      <c r="S350" s="273"/>
      <c r="T350" s="274">
        <f t="shared" si="149"/>
        <v>0</v>
      </c>
      <c r="U350" s="273"/>
      <c r="V350" s="274">
        <f t="shared" si="150"/>
        <v>0</v>
      </c>
      <c r="W350" s="273"/>
      <c r="X350" s="274">
        <f t="shared" si="151"/>
        <v>0</v>
      </c>
      <c r="Y350" s="273"/>
      <c r="Z350" s="274">
        <f t="shared" si="152"/>
        <v>0</v>
      </c>
      <c r="AA350" s="251">
        <f t="shared" si="153"/>
        <v>0</v>
      </c>
    </row>
    <row r="351" customHeight="1" spans="1:27">
      <c r="A351" s="270">
        <v>6</v>
      </c>
      <c r="B351" s="324"/>
      <c r="C351" s="274"/>
      <c r="D351" s="274"/>
      <c r="E351" s="272">
        <f t="shared" si="141"/>
        <v>0</v>
      </c>
      <c r="F351" s="272">
        <f t="shared" si="142"/>
        <v>0</v>
      </c>
      <c r="G351" s="273"/>
      <c r="H351" s="274">
        <f t="shared" si="143"/>
        <v>0</v>
      </c>
      <c r="I351" s="273"/>
      <c r="J351" s="274">
        <f t="shared" si="144"/>
        <v>0</v>
      </c>
      <c r="K351" s="275"/>
      <c r="L351" s="274">
        <f t="shared" si="145"/>
        <v>0</v>
      </c>
      <c r="M351" s="273"/>
      <c r="N351" s="274">
        <f t="shared" si="146"/>
        <v>0</v>
      </c>
      <c r="O351" s="273"/>
      <c r="P351" s="274">
        <f t="shared" si="147"/>
        <v>0</v>
      </c>
      <c r="Q351" s="273"/>
      <c r="R351" s="274">
        <f t="shared" si="148"/>
        <v>0</v>
      </c>
      <c r="S351" s="273"/>
      <c r="T351" s="274">
        <f t="shared" si="149"/>
        <v>0</v>
      </c>
      <c r="U351" s="273"/>
      <c r="V351" s="274">
        <f t="shared" si="150"/>
        <v>0</v>
      </c>
      <c r="W351" s="273"/>
      <c r="X351" s="274">
        <f t="shared" si="151"/>
        <v>0</v>
      </c>
      <c r="Y351" s="273"/>
      <c r="Z351" s="274">
        <f t="shared" si="152"/>
        <v>0</v>
      </c>
      <c r="AA351" s="251">
        <f t="shared" si="153"/>
        <v>0</v>
      </c>
    </row>
    <row r="352" customHeight="1" spans="1:27">
      <c r="A352" s="270">
        <v>7</v>
      </c>
      <c r="B352" s="324"/>
      <c r="C352" s="274"/>
      <c r="D352" s="274"/>
      <c r="E352" s="272">
        <f t="shared" si="141"/>
        <v>0</v>
      </c>
      <c r="F352" s="272">
        <f t="shared" si="142"/>
        <v>0</v>
      </c>
      <c r="G352" s="273"/>
      <c r="H352" s="274">
        <f t="shared" si="143"/>
        <v>0</v>
      </c>
      <c r="I352" s="273"/>
      <c r="J352" s="274">
        <f t="shared" si="144"/>
        <v>0</v>
      </c>
      <c r="K352" s="275"/>
      <c r="L352" s="274">
        <f t="shared" si="145"/>
        <v>0</v>
      </c>
      <c r="M352" s="273"/>
      <c r="N352" s="274">
        <f t="shared" si="146"/>
        <v>0</v>
      </c>
      <c r="O352" s="273"/>
      <c r="P352" s="274">
        <f t="shared" si="147"/>
        <v>0</v>
      </c>
      <c r="Q352" s="273"/>
      <c r="R352" s="274">
        <f t="shared" si="148"/>
        <v>0</v>
      </c>
      <c r="S352" s="273"/>
      <c r="T352" s="274">
        <f t="shared" si="149"/>
        <v>0</v>
      </c>
      <c r="U352" s="273"/>
      <c r="V352" s="274">
        <f t="shared" si="150"/>
        <v>0</v>
      </c>
      <c r="W352" s="273"/>
      <c r="X352" s="274">
        <f t="shared" si="151"/>
        <v>0</v>
      </c>
      <c r="Y352" s="273"/>
      <c r="Z352" s="274">
        <f t="shared" si="152"/>
        <v>0</v>
      </c>
      <c r="AA352" s="251">
        <f t="shared" si="153"/>
        <v>0</v>
      </c>
    </row>
    <row r="353" customHeight="1" spans="1:27">
      <c r="A353" s="270">
        <v>8</v>
      </c>
      <c r="B353" s="324"/>
      <c r="C353" s="274"/>
      <c r="D353" s="274"/>
      <c r="E353" s="272">
        <f t="shared" si="141"/>
        <v>0</v>
      </c>
      <c r="F353" s="272">
        <f t="shared" si="142"/>
        <v>0</v>
      </c>
      <c r="G353" s="273"/>
      <c r="H353" s="274">
        <f t="shared" si="143"/>
        <v>0</v>
      </c>
      <c r="I353" s="273"/>
      <c r="J353" s="274">
        <f t="shared" si="144"/>
        <v>0</v>
      </c>
      <c r="K353" s="275"/>
      <c r="L353" s="274">
        <f t="shared" si="145"/>
        <v>0</v>
      </c>
      <c r="M353" s="273"/>
      <c r="N353" s="274">
        <f t="shared" si="146"/>
        <v>0</v>
      </c>
      <c r="O353" s="273"/>
      <c r="P353" s="274">
        <f t="shared" si="147"/>
        <v>0</v>
      </c>
      <c r="Q353" s="273"/>
      <c r="R353" s="274">
        <f t="shared" si="148"/>
        <v>0</v>
      </c>
      <c r="S353" s="273"/>
      <c r="T353" s="274">
        <f t="shared" si="149"/>
        <v>0</v>
      </c>
      <c r="U353" s="273"/>
      <c r="V353" s="274">
        <f t="shared" si="150"/>
        <v>0</v>
      </c>
      <c r="W353" s="273"/>
      <c r="X353" s="274">
        <f t="shared" si="151"/>
        <v>0</v>
      </c>
      <c r="Y353" s="273"/>
      <c r="Z353" s="274">
        <f t="shared" si="152"/>
        <v>0</v>
      </c>
      <c r="AA353" s="251">
        <f t="shared" si="153"/>
        <v>0</v>
      </c>
    </row>
    <row r="354" customHeight="1" spans="1:27">
      <c r="A354" s="270">
        <v>9</v>
      </c>
      <c r="B354" s="324"/>
      <c r="C354" s="274"/>
      <c r="D354" s="274"/>
      <c r="E354" s="272">
        <f t="shared" si="141"/>
        <v>0</v>
      </c>
      <c r="F354" s="272">
        <f t="shared" si="142"/>
        <v>0</v>
      </c>
      <c r="G354" s="273"/>
      <c r="H354" s="274">
        <f t="shared" si="143"/>
        <v>0</v>
      </c>
      <c r="I354" s="273"/>
      <c r="J354" s="274">
        <f t="shared" si="144"/>
        <v>0</v>
      </c>
      <c r="K354" s="275"/>
      <c r="L354" s="274">
        <f t="shared" si="145"/>
        <v>0</v>
      </c>
      <c r="M354" s="273"/>
      <c r="N354" s="274">
        <f t="shared" si="146"/>
        <v>0</v>
      </c>
      <c r="O354" s="273"/>
      <c r="P354" s="274">
        <f t="shared" si="147"/>
        <v>0</v>
      </c>
      <c r="Q354" s="273"/>
      <c r="R354" s="274">
        <f t="shared" si="148"/>
        <v>0</v>
      </c>
      <c r="S354" s="273"/>
      <c r="T354" s="274">
        <f t="shared" si="149"/>
        <v>0</v>
      </c>
      <c r="U354" s="273"/>
      <c r="V354" s="274">
        <f t="shared" si="150"/>
        <v>0</v>
      </c>
      <c r="W354" s="273"/>
      <c r="X354" s="274">
        <f t="shared" si="151"/>
        <v>0</v>
      </c>
      <c r="Y354" s="273"/>
      <c r="Z354" s="274">
        <f t="shared" si="152"/>
        <v>0</v>
      </c>
      <c r="AA354" s="251">
        <f t="shared" si="153"/>
        <v>0</v>
      </c>
    </row>
    <row r="355" customHeight="1" spans="1:27">
      <c r="A355" s="270">
        <v>10</v>
      </c>
      <c r="B355" s="270"/>
      <c r="C355" s="274"/>
      <c r="D355" s="274"/>
      <c r="E355" s="272">
        <f t="shared" si="141"/>
        <v>0</v>
      </c>
      <c r="F355" s="272">
        <f t="shared" si="142"/>
        <v>0</v>
      </c>
      <c r="G355" s="273"/>
      <c r="H355" s="274">
        <f t="shared" si="143"/>
        <v>0</v>
      </c>
      <c r="I355" s="273"/>
      <c r="J355" s="274">
        <f t="shared" si="144"/>
        <v>0</v>
      </c>
      <c r="K355" s="275"/>
      <c r="L355" s="274">
        <f t="shared" si="145"/>
        <v>0</v>
      </c>
      <c r="M355" s="273"/>
      <c r="N355" s="274">
        <f t="shared" si="146"/>
        <v>0</v>
      </c>
      <c r="O355" s="273"/>
      <c r="P355" s="274">
        <f t="shared" si="147"/>
        <v>0</v>
      </c>
      <c r="Q355" s="273"/>
      <c r="R355" s="274">
        <f t="shared" si="148"/>
        <v>0</v>
      </c>
      <c r="S355" s="273"/>
      <c r="T355" s="274">
        <f t="shared" si="149"/>
        <v>0</v>
      </c>
      <c r="U355" s="273"/>
      <c r="V355" s="274">
        <f t="shared" si="150"/>
        <v>0</v>
      </c>
      <c r="W355" s="273"/>
      <c r="X355" s="274">
        <f t="shared" si="151"/>
        <v>0</v>
      </c>
      <c r="Y355" s="273"/>
      <c r="Z355" s="274">
        <f t="shared" si="152"/>
        <v>0</v>
      </c>
      <c r="AA355" s="251">
        <f t="shared" si="153"/>
        <v>0</v>
      </c>
    </row>
    <row r="356" customHeight="1" spans="1:27">
      <c r="A356" s="270">
        <v>11</v>
      </c>
      <c r="B356" s="270"/>
      <c r="C356" s="274"/>
      <c r="D356" s="274"/>
      <c r="E356" s="272">
        <f t="shared" si="141"/>
        <v>0</v>
      </c>
      <c r="F356" s="272">
        <f t="shared" si="142"/>
        <v>0</v>
      </c>
      <c r="G356" s="273"/>
      <c r="H356" s="274">
        <f t="shared" si="143"/>
        <v>0</v>
      </c>
      <c r="I356" s="273"/>
      <c r="J356" s="274">
        <f t="shared" si="144"/>
        <v>0</v>
      </c>
      <c r="K356" s="275"/>
      <c r="L356" s="274">
        <f t="shared" si="145"/>
        <v>0</v>
      </c>
      <c r="M356" s="273"/>
      <c r="N356" s="274">
        <f t="shared" si="146"/>
        <v>0</v>
      </c>
      <c r="O356" s="273"/>
      <c r="P356" s="274">
        <f t="shared" si="147"/>
        <v>0</v>
      </c>
      <c r="Q356" s="273"/>
      <c r="R356" s="274">
        <f t="shared" si="148"/>
        <v>0</v>
      </c>
      <c r="S356" s="273"/>
      <c r="T356" s="274">
        <f t="shared" si="149"/>
        <v>0</v>
      </c>
      <c r="U356" s="273"/>
      <c r="V356" s="274">
        <f t="shared" si="150"/>
        <v>0</v>
      </c>
      <c r="W356" s="273"/>
      <c r="X356" s="274">
        <f t="shared" si="151"/>
        <v>0</v>
      </c>
      <c r="Y356" s="273"/>
      <c r="Z356" s="274">
        <f t="shared" si="152"/>
        <v>0</v>
      </c>
      <c r="AA356" s="251">
        <f t="shared" si="153"/>
        <v>0</v>
      </c>
    </row>
    <row r="357" customHeight="1" spans="1:27">
      <c r="A357" s="270">
        <v>12</v>
      </c>
      <c r="B357" s="270"/>
      <c r="C357" s="274"/>
      <c r="D357" s="274"/>
      <c r="E357" s="272">
        <f t="shared" si="141"/>
        <v>0</v>
      </c>
      <c r="F357" s="272">
        <f t="shared" si="142"/>
        <v>0</v>
      </c>
      <c r="G357" s="273"/>
      <c r="H357" s="274">
        <f t="shared" si="143"/>
        <v>0</v>
      </c>
      <c r="I357" s="273"/>
      <c r="J357" s="274">
        <f t="shared" si="144"/>
        <v>0</v>
      </c>
      <c r="K357" s="275"/>
      <c r="L357" s="274">
        <f t="shared" si="145"/>
        <v>0</v>
      </c>
      <c r="M357" s="273"/>
      <c r="N357" s="274">
        <f t="shared" si="146"/>
        <v>0</v>
      </c>
      <c r="O357" s="273"/>
      <c r="P357" s="274">
        <f t="shared" si="147"/>
        <v>0</v>
      </c>
      <c r="Q357" s="273"/>
      <c r="R357" s="274">
        <f t="shared" si="148"/>
        <v>0</v>
      </c>
      <c r="S357" s="273"/>
      <c r="T357" s="274">
        <f t="shared" si="149"/>
        <v>0</v>
      </c>
      <c r="U357" s="273"/>
      <c r="V357" s="274">
        <f t="shared" si="150"/>
        <v>0</v>
      </c>
      <c r="W357" s="273"/>
      <c r="X357" s="274">
        <f t="shared" si="151"/>
        <v>0</v>
      </c>
      <c r="Y357" s="273"/>
      <c r="Z357" s="274">
        <f t="shared" si="152"/>
        <v>0</v>
      </c>
      <c r="AA357" s="251">
        <f t="shared" si="153"/>
        <v>0</v>
      </c>
    </row>
    <row r="358" customHeight="1" spans="1:27">
      <c r="A358" s="270">
        <v>13</v>
      </c>
      <c r="B358" s="270"/>
      <c r="C358" s="274"/>
      <c r="D358" s="274"/>
      <c r="E358" s="272">
        <f t="shared" si="141"/>
        <v>0</v>
      </c>
      <c r="F358" s="272">
        <f t="shared" si="142"/>
        <v>0</v>
      </c>
      <c r="G358" s="273"/>
      <c r="H358" s="274">
        <f t="shared" si="143"/>
        <v>0</v>
      </c>
      <c r="I358" s="273"/>
      <c r="J358" s="274">
        <f t="shared" si="144"/>
        <v>0</v>
      </c>
      <c r="K358" s="275"/>
      <c r="L358" s="274">
        <f t="shared" si="145"/>
        <v>0</v>
      </c>
      <c r="M358" s="273"/>
      <c r="N358" s="274">
        <f t="shared" si="146"/>
        <v>0</v>
      </c>
      <c r="O358" s="273"/>
      <c r="P358" s="274">
        <f t="shared" si="147"/>
        <v>0</v>
      </c>
      <c r="Q358" s="273"/>
      <c r="R358" s="274">
        <f t="shared" si="148"/>
        <v>0</v>
      </c>
      <c r="S358" s="273"/>
      <c r="T358" s="274">
        <f t="shared" si="149"/>
        <v>0</v>
      </c>
      <c r="U358" s="273"/>
      <c r="V358" s="274">
        <f t="shared" si="150"/>
        <v>0</v>
      </c>
      <c r="W358" s="273"/>
      <c r="X358" s="274">
        <f t="shared" si="151"/>
        <v>0</v>
      </c>
      <c r="Y358" s="273"/>
      <c r="Z358" s="274">
        <f t="shared" si="152"/>
        <v>0</v>
      </c>
      <c r="AA358" s="251">
        <f t="shared" si="153"/>
        <v>0</v>
      </c>
    </row>
    <row r="359" customHeight="1" spans="1:27">
      <c r="A359" s="270">
        <v>14</v>
      </c>
      <c r="B359" s="270"/>
      <c r="C359" s="274"/>
      <c r="D359" s="274"/>
      <c r="E359" s="272">
        <f t="shared" si="141"/>
        <v>0</v>
      </c>
      <c r="F359" s="272">
        <f t="shared" si="142"/>
        <v>0</v>
      </c>
      <c r="G359" s="273"/>
      <c r="H359" s="274">
        <f t="shared" si="143"/>
        <v>0</v>
      </c>
      <c r="I359" s="273"/>
      <c r="J359" s="274">
        <f t="shared" si="144"/>
        <v>0</v>
      </c>
      <c r="K359" s="275"/>
      <c r="L359" s="274">
        <f t="shared" si="145"/>
        <v>0</v>
      </c>
      <c r="M359" s="273"/>
      <c r="N359" s="274">
        <f t="shared" si="146"/>
        <v>0</v>
      </c>
      <c r="O359" s="273"/>
      <c r="P359" s="274">
        <f t="shared" si="147"/>
        <v>0</v>
      </c>
      <c r="Q359" s="273"/>
      <c r="R359" s="274">
        <f t="shared" si="148"/>
        <v>0</v>
      </c>
      <c r="S359" s="273"/>
      <c r="T359" s="274">
        <f t="shared" si="149"/>
        <v>0</v>
      </c>
      <c r="U359" s="273"/>
      <c r="V359" s="274">
        <f t="shared" si="150"/>
        <v>0</v>
      </c>
      <c r="W359" s="273"/>
      <c r="X359" s="274">
        <f t="shared" si="151"/>
        <v>0</v>
      </c>
      <c r="Y359" s="273"/>
      <c r="Z359" s="274">
        <f t="shared" si="152"/>
        <v>0</v>
      </c>
      <c r="AA359" s="251">
        <f t="shared" si="153"/>
        <v>0</v>
      </c>
    </row>
    <row r="360" customHeight="1" spans="1:27">
      <c r="A360" s="270">
        <v>15</v>
      </c>
      <c r="B360" s="270"/>
      <c r="C360" s="274"/>
      <c r="D360" s="274"/>
      <c r="E360" s="272">
        <f t="shared" si="141"/>
        <v>0</v>
      </c>
      <c r="F360" s="272">
        <f t="shared" si="142"/>
        <v>0</v>
      </c>
      <c r="G360" s="273"/>
      <c r="H360" s="274">
        <f t="shared" si="143"/>
        <v>0</v>
      </c>
      <c r="I360" s="273"/>
      <c r="J360" s="274">
        <f t="shared" si="144"/>
        <v>0</v>
      </c>
      <c r="K360" s="275"/>
      <c r="L360" s="274">
        <f t="shared" si="145"/>
        <v>0</v>
      </c>
      <c r="M360" s="273"/>
      <c r="N360" s="274">
        <f t="shared" si="146"/>
        <v>0</v>
      </c>
      <c r="O360" s="273"/>
      <c r="P360" s="274">
        <f t="shared" si="147"/>
        <v>0</v>
      </c>
      <c r="Q360" s="273"/>
      <c r="R360" s="274">
        <f t="shared" si="148"/>
        <v>0</v>
      </c>
      <c r="S360" s="273"/>
      <c r="T360" s="274">
        <f t="shared" si="149"/>
        <v>0</v>
      </c>
      <c r="U360" s="273"/>
      <c r="V360" s="274">
        <f t="shared" si="150"/>
        <v>0</v>
      </c>
      <c r="W360" s="273"/>
      <c r="X360" s="274">
        <f t="shared" si="151"/>
        <v>0</v>
      </c>
      <c r="Y360" s="273"/>
      <c r="Z360" s="274">
        <f t="shared" si="152"/>
        <v>0</v>
      </c>
      <c r="AA360" s="251">
        <f t="shared" si="153"/>
        <v>0</v>
      </c>
    </row>
    <row r="361" customHeight="1" spans="1:27">
      <c r="A361" s="270">
        <v>16</v>
      </c>
      <c r="B361" s="270"/>
      <c r="C361" s="274"/>
      <c r="D361" s="274"/>
      <c r="E361" s="272">
        <f t="shared" si="141"/>
        <v>0</v>
      </c>
      <c r="F361" s="272">
        <f t="shared" si="142"/>
        <v>0</v>
      </c>
      <c r="G361" s="273"/>
      <c r="H361" s="274">
        <f t="shared" si="143"/>
        <v>0</v>
      </c>
      <c r="I361" s="273"/>
      <c r="J361" s="274">
        <f t="shared" si="144"/>
        <v>0</v>
      </c>
      <c r="K361" s="275"/>
      <c r="L361" s="274">
        <f t="shared" si="145"/>
        <v>0</v>
      </c>
      <c r="M361" s="273"/>
      <c r="N361" s="274">
        <f t="shared" si="146"/>
        <v>0</v>
      </c>
      <c r="O361" s="273"/>
      <c r="P361" s="274">
        <f t="shared" si="147"/>
        <v>0</v>
      </c>
      <c r="Q361" s="273"/>
      <c r="R361" s="274">
        <f t="shared" si="148"/>
        <v>0</v>
      </c>
      <c r="S361" s="273"/>
      <c r="T361" s="274">
        <f t="shared" si="149"/>
        <v>0</v>
      </c>
      <c r="U361" s="273"/>
      <c r="V361" s="274">
        <f t="shared" si="150"/>
        <v>0</v>
      </c>
      <c r="W361" s="273"/>
      <c r="X361" s="274">
        <f t="shared" si="151"/>
        <v>0</v>
      </c>
      <c r="Y361" s="273"/>
      <c r="Z361" s="274">
        <f t="shared" si="152"/>
        <v>0</v>
      </c>
      <c r="AA361" s="251">
        <f t="shared" si="153"/>
        <v>0</v>
      </c>
    </row>
    <row r="362" customHeight="1" spans="1:27">
      <c r="A362" s="270">
        <v>17</v>
      </c>
      <c r="B362" s="270"/>
      <c r="C362" s="274"/>
      <c r="D362" s="274"/>
      <c r="E362" s="272">
        <f t="shared" si="141"/>
        <v>0</v>
      </c>
      <c r="F362" s="272">
        <f t="shared" si="142"/>
        <v>0</v>
      </c>
      <c r="G362" s="273"/>
      <c r="H362" s="274">
        <f t="shared" si="143"/>
        <v>0</v>
      </c>
      <c r="I362" s="273"/>
      <c r="J362" s="274">
        <f t="shared" si="144"/>
        <v>0</v>
      </c>
      <c r="K362" s="275"/>
      <c r="L362" s="274">
        <f t="shared" si="145"/>
        <v>0</v>
      </c>
      <c r="M362" s="273"/>
      <c r="N362" s="274">
        <f t="shared" si="146"/>
        <v>0</v>
      </c>
      <c r="O362" s="273"/>
      <c r="P362" s="274">
        <f t="shared" si="147"/>
        <v>0</v>
      </c>
      <c r="Q362" s="273"/>
      <c r="R362" s="274">
        <f t="shared" si="148"/>
        <v>0</v>
      </c>
      <c r="S362" s="273"/>
      <c r="T362" s="274">
        <f t="shared" si="149"/>
        <v>0</v>
      </c>
      <c r="U362" s="273"/>
      <c r="V362" s="274">
        <f t="shared" si="150"/>
        <v>0</v>
      </c>
      <c r="W362" s="273"/>
      <c r="X362" s="274">
        <f t="shared" si="151"/>
        <v>0</v>
      </c>
      <c r="Y362" s="273"/>
      <c r="Z362" s="274">
        <f t="shared" si="152"/>
        <v>0</v>
      </c>
      <c r="AA362" s="251">
        <f t="shared" si="153"/>
        <v>0</v>
      </c>
    </row>
    <row r="363" customHeight="1" spans="1:27">
      <c r="A363" s="270">
        <v>18</v>
      </c>
      <c r="B363" s="270"/>
      <c r="C363" s="274"/>
      <c r="D363" s="274"/>
      <c r="E363" s="272">
        <f t="shared" si="141"/>
        <v>0</v>
      </c>
      <c r="F363" s="272">
        <f t="shared" si="142"/>
        <v>0</v>
      </c>
      <c r="G363" s="273"/>
      <c r="H363" s="274">
        <f t="shared" si="143"/>
        <v>0</v>
      </c>
      <c r="I363" s="273"/>
      <c r="J363" s="274">
        <f t="shared" si="144"/>
        <v>0</v>
      </c>
      <c r="K363" s="275"/>
      <c r="L363" s="274">
        <f t="shared" si="145"/>
        <v>0</v>
      </c>
      <c r="M363" s="273"/>
      <c r="N363" s="274">
        <f t="shared" si="146"/>
        <v>0</v>
      </c>
      <c r="O363" s="273"/>
      <c r="P363" s="274">
        <f t="shared" si="147"/>
        <v>0</v>
      </c>
      <c r="Q363" s="273"/>
      <c r="R363" s="274">
        <f t="shared" si="148"/>
        <v>0</v>
      </c>
      <c r="S363" s="273"/>
      <c r="T363" s="274">
        <f t="shared" si="149"/>
        <v>0</v>
      </c>
      <c r="U363" s="273"/>
      <c r="V363" s="274">
        <f t="shared" si="150"/>
        <v>0</v>
      </c>
      <c r="W363" s="273"/>
      <c r="X363" s="274">
        <f t="shared" si="151"/>
        <v>0</v>
      </c>
      <c r="Y363" s="273"/>
      <c r="Z363" s="274">
        <f t="shared" si="152"/>
        <v>0</v>
      </c>
      <c r="AA363" s="251">
        <f t="shared" si="153"/>
        <v>0</v>
      </c>
    </row>
    <row r="364" customHeight="1" spans="1:27">
      <c r="A364" s="270">
        <v>19</v>
      </c>
      <c r="B364" s="270"/>
      <c r="C364" s="274"/>
      <c r="D364" s="274"/>
      <c r="E364" s="272">
        <f t="shared" si="141"/>
        <v>0</v>
      </c>
      <c r="F364" s="272">
        <f t="shared" si="142"/>
        <v>0</v>
      </c>
      <c r="G364" s="273"/>
      <c r="H364" s="274">
        <f t="shared" si="143"/>
        <v>0</v>
      </c>
      <c r="I364" s="273"/>
      <c r="J364" s="274">
        <f t="shared" si="144"/>
        <v>0</v>
      </c>
      <c r="K364" s="275"/>
      <c r="L364" s="274">
        <f t="shared" si="145"/>
        <v>0</v>
      </c>
      <c r="M364" s="273"/>
      <c r="N364" s="274">
        <f t="shared" si="146"/>
        <v>0</v>
      </c>
      <c r="O364" s="273"/>
      <c r="P364" s="274">
        <f t="shared" si="147"/>
        <v>0</v>
      </c>
      <c r="Q364" s="273"/>
      <c r="R364" s="274">
        <f t="shared" si="148"/>
        <v>0</v>
      </c>
      <c r="S364" s="273"/>
      <c r="T364" s="274">
        <f t="shared" si="149"/>
        <v>0</v>
      </c>
      <c r="U364" s="273"/>
      <c r="V364" s="274">
        <f t="shared" si="150"/>
        <v>0</v>
      </c>
      <c r="W364" s="273"/>
      <c r="X364" s="274">
        <f t="shared" si="151"/>
        <v>0</v>
      </c>
      <c r="Y364" s="273"/>
      <c r="Z364" s="274">
        <f t="shared" si="152"/>
        <v>0</v>
      </c>
      <c r="AA364" s="251">
        <f t="shared" si="153"/>
        <v>0</v>
      </c>
    </row>
    <row r="365" customHeight="1" spans="1:27">
      <c r="A365" s="270">
        <v>20</v>
      </c>
      <c r="B365" s="270"/>
      <c r="C365" s="274"/>
      <c r="D365" s="274"/>
      <c r="E365" s="272">
        <f t="shared" si="141"/>
        <v>0</v>
      </c>
      <c r="F365" s="272">
        <f t="shared" si="142"/>
        <v>0</v>
      </c>
      <c r="G365" s="273"/>
      <c r="H365" s="274">
        <f t="shared" si="143"/>
        <v>0</v>
      </c>
      <c r="I365" s="273"/>
      <c r="J365" s="274">
        <f t="shared" si="144"/>
        <v>0</v>
      </c>
      <c r="K365" s="275"/>
      <c r="L365" s="274">
        <f t="shared" si="145"/>
        <v>0</v>
      </c>
      <c r="M365" s="273"/>
      <c r="N365" s="274">
        <f t="shared" si="146"/>
        <v>0</v>
      </c>
      <c r="O365" s="273"/>
      <c r="P365" s="274">
        <f t="shared" si="147"/>
        <v>0</v>
      </c>
      <c r="Q365" s="273"/>
      <c r="R365" s="274">
        <f t="shared" si="148"/>
        <v>0</v>
      </c>
      <c r="S365" s="273"/>
      <c r="T365" s="274">
        <f t="shared" si="149"/>
        <v>0</v>
      </c>
      <c r="U365" s="273"/>
      <c r="V365" s="274">
        <f t="shared" si="150"/>
        <v>0</v>
      </c>
      <c r="W365" s="273"/>
      <c r="X365" s="274">
        <f t="shared" si="151"/>
        <v>0</v>
      </c>
      <c r="Y365" s="273"/>
      <c r="Z365" s="274">
        <f t="shared" si="152"/>
        <v>0</v>
      </c>
      <c r="AA365" s="251">
        <f t="shared" si="153"/>
        <v>0</v>
      </c>
    </row>
    <row r="366" customHeight="1" spans="1:27">
      <c r="A366" s="270">
        <v>21</v>
      </c>
      <c r="B366" s="270"/>
      <c r="C366" s="274"/>
      <c r="D366" s="274"/>
      <c r="E366" s="272">
        <f t="shared" si="141"/>
        <v>0</v>
      </c>
      <c r="F366" s="272">
        <f t="shared" si="142"/>
        <v>0</v>
      </c>
      <c r="G366" s="273"/>
      <c r="H366" s="274">
        <f t="shared" si="143"/>
        <v>0</v>
      </c>
      <c r="I366" s="273"/>
      <c r="J366" s="274">
        <f t="shared" si="144"/>
        <v>0</v>
      </c>
      <c r="K366" s="275"/>
      <c r="L366" s="274">
        <f t="shared" si="145"/>
        <v>0</v>
      </c>
      <c r="M366" s="273"/>
      <c r="N366" s="274">
        <f t="shared" si="146"/>
        <v>0</v>
      </c>
      <c r="O366" s="273"/>
      <c r="P366" s="274">
        <f t="shared" si="147"/>
        <v>0</v>
      </c>
      <c r="Q366" s="273"/>
      <c r="R366" s="274">
        <f t="shared" si="148"/>
        <v>0</v>
      </c>
      <c r="S366" s="273"/>
      <c r="T366" s="274">
        <f t="shared" si="149"/>
        <v>0</v>
      </c>
      <c r="U366" s="273"/>
      <c r="V366" s="274">
        <f t="shared" si="150"/>
        <v>0</v>
      </c>
      <c r="W366" s="273"/>
      <c r="X366" s="274">
        <f t="shared" si="151"/>
        <v>0</v>
      </c>
      <c r="Y366" s="273"/>
      <c r="Z366" s="274">
        <f t="shared" si="152"/>
        <v>0</v>
      </c>
      <c r="AA366" s="251">
        <f t="shared" si="153"/>
        <v>0</v>
      </c>
    </row>
    <row r="367" customHeight="1" spans="1:27">
      <c r="A367" s="270">
        <v>22</v>
      </c>
      <c r="B367" s="270"/>
      <c r="C367" s="274"/>
      <c r="D367" s="274"/>
      <c r="E367" s="272">
        <f t="shared" si="141"/>
        <v>0</v>
      </c>
      <c r="F367" s="272">
        <f t="shared" si="142"/>
        <v>0</v>
      </c>
      <c r="G367" s="273"/>
      <c r="H367" s="274">
        <f t="shared" si="143"/>
        <v>0</v>
      </c>
      <c r="I367" s="273"/>
      <c r="J367" s="274">
        <f t="shared" si="144"/>
        <v>0</v>
      </c>
      <c r="K367" s="275"/>
      <c r="L367" s="274">
        <f t="shared" si="145"/>
        <v>0</v>
      </c>
      <c r="M367" s="273"/>
      <c r="N367" s="274">
        <f t="shared" si="146"/>
        <v>0</v>
      </c>
      <c r="O367" s="273"/>
      <c r="P367" s="274">
        <f t="shared" si="147"/>
        <v>0</v>
      </c>
      <c r="Q367" s="273"/>
      <c r="R367" s="274">
        <f t="shared" si="148"/>
        <v>0</v>
      </c>
      <c r="S367" s="273"/>
      <c r="T367" s="274">
        <f t="shared" si="149"/>
        <v>0</v>
      </c>
      <c r="U367" s="273"/>
      <c r="V367" s="274">
        <f t="shared" si="150"/>
        <v>0</v>
      </c>
      <c r="W367" s="273"/>
      <c r="X367" s="274">
        <f t="shared" si="151"/>
        <v>0</v>
      </c>
      <c r="Y367" s="273"/>
      <c r="Z367" s="274">
        <f t="shared" si="152"/>
        <v>0</v>
      </c>
      <c r="AA367" s="251">
        <f t="shared" si="153"/>
        <v>0</v>
      </c>
    </row>
    <row r="368" customHeight="1" spans="1:27">
      <c r="A368" s="270">
        <v>23</v>
      </c>
      <c r="B368" s="270"/>
      <c r="C368" s="274"/>
      <c r="D368" s="274"/>
      <c r="E368" s="272">
        <f t="shared" si="141"/>
        <v>0</v>
      </c>
      <c r="F368" s="272">
        <f t="shared" si="142"/>
        <v>0</v>
      </c>
      <c r="G368" s="273"/>
      <c r="H368" s="274">
        <f t="shared" si="143"/>
        <v>0</v>
      </c>
      <c r="I368" s="273"/>
      <c r="J368" s="274">
        <f t="shared" si="144"/>
        <v>0</v>
      </c>
      <c r="K368" s="275"/>
      <c r="L368" s="274">
        <f t="shared" si="145"/>
        <v>0</v>
      </c>
      <c r="M368" s="273"/>
      <c r="N368" s="274">
        <f t="shared" si="146"/>
        <v>0</v>
      </c>
      <c r="O368" s="273"/>
      <c r="P368" s="274">
        <f t="shared" si="147"/>
        <v>0</v>
      </c>
      <c r="Q368" s="273"/>
      <c r="R368" s="274">
        <f t="shared" si="148"/>
        <v>0</v>
      </c>
      <c r="S368" s="273"/>
      <c r="T368" s="274">
        <f t="shared" si="149"/>
        <v>0</v>
      </c>
      <c r="U368" s="273"/>
      <c r="V368" s="274">
        <f t="shared" si="150"/>
        <v>0</v>
      </c>
      <c r="W368" s="273"/>
      <c r="X368" s="274">
        <f t="shared" si="151"/>
        <v>0</v>
      </c>
      <c r="Y368" s="273"/>
      <c r="Z368" s="274">
        <f t="shared" si="152"/>
        <v>0</v>
      </c>
      <c r="AA368" s="251">
        <f t="shared" si="153"/>
        <v>0</v>
      </c>
    </row>
    <row r="369" customHeight="1" spans="1:27">
      <c r="A369" s="270">
        <v>25</v>
      </c>
      <c r="B369" s="270"/>
      <c r="C369" s="274"/>
      <c r="D369" s="274"/>
      <c r="E369" s="272">
        <f t="shared" si="141"/>
        <v>0</v>
      </c>
      <c r="F369" s="272">
        <f t="shared" si="142"/>
        <v>0</v>
      </c>
      <c r="G369" s="273"/>
      <c r="H369" s="274">
        <f t="shared" si="143"/>
        <v>0</v>
      </c>
      <c r="I369" s="273"/>
      <c r="J369" s="274">
        <f t="shared" si="144"/>
        <v>0</v>
      </c>
      <c r="K369" s="275"/>
      <c r="L369" s="274">
        <f t="shared" si="145"/>
        <v>0</v>
      </c>
      <c r="M369" s="273"/>
      <c r="N369" s="274">
        <f t="shared" si="146"/>
        <v>0</v>
      </c>
      <c r="O369" s="273"/>
      <c r="P369" s="274">
        <f t="shared" si="147"/>
        <v>0</v>
      </c>
      <c r="Q369" s="273"/>
      <c r="R369" s="274">
        <f t="shared" si="148"/>
        <v>0</v>
      </c>
      <c r="S369" s="273"/>
      <c r="T369" s="274">
        <f t="shared" si="149"/>
        <v>0</v>
      </c>
      <c r="U369" s="273"/>
      <c r="V369" s="274">
        <f t="shared" si="150"/>
        <v>0</v>
      </c>
      <c r="W369" s="273"/>
      <c r="X369" s="274">
        <f t="shared" si="151"/>
        <v>0</v>
      </c>
      <c r="Y369" s="273"/>
      <c r="Z369" s="274">
        <f t="shared" si="152"/>
        <v>0</v>
      </c>
      <c r="AA369" s="251">
        <f t="shared" si="153"/>
        <v>0</v>
      </c>
    </row>
    <row r="370" customHeight="1" spans="1:27">
      <c r="A370" s="270">
        <v>25</v>
      </c>
      <c r="B370" s="270"/>
      <c r="C370" s="274"/>
      <c r="D370" s="274"/>
      <c r="E370" s="272">
        <f t="shared" si="141"/>
        <v>0</v>
      </c>
      <c r="F370" s="272">
        <f t="shared" si="142"/>
        <v>0</v>
      </c>
      <c r="G370" s="273"/>
      <c r="H370" s="274">
        <f t="shared" si="143"/>
        <v>0</v>
      </c>
      <c r="I370" s="273"/>
      <c r="J370" s="274">
        <f t="shared" si="144"/>
        <v>0</v>
      </c>
      <c r="K370" s="275"/>
      <c r="L370" s="274">
        <f t="shared" si="145"/>
        <v>0</v>
      </c>
      <c r="M370" s="273"/>
      <c r="N370" s="274">
        <f t="shared" si="146"/>
        <v>0</v>
      </c>
      <c r="O370" s="273"/>
      <c r="P370" s="274">
        <f t="shared" si="147"/>
        <v>0</v>
      </c>
      <c r="Q370" s="273"/>
      <c r="R370" s="274">
        <f t="shared" si="148"/>
        <v>0</v>
      </c>
      <c r="S370" s="273"/>
      <c r="T370" s="274">
        <f t="shared" si="149"/>
        <v>0</v>
      </c>
      <c r="U370" s="273"/>
      <c r="V370" s="274">
        <f t="shared" si="150"/>
        <v>0</v>
      </c>
      <c r="W370" s="273"/>
      <c r="X370" s="274">
        <f t="shared" si="151"/>
        <v>0</v>
      </c>
      <c r="Y370" s="273"/>
      <c r="Z370" s="274">
        <f t="shared" si="152"/>
        <v>0</v>
      </c>
      <c r="AA370" s="251">
        <f t="shared" si="153"/>
        <v>0</v>
      </c>
    </row>
    <row r="371" customHeight="1" spans="1:27">
      <c r="A371" s="270">
        <v>26</v>
      </c>
      <c r="B371" s="270"/>
      <c r="C371" s="274"/>
      <c r="D371" s="274"/>
      <c r="E371" s="272">
        <f t="shared" si="141"/>
        <v>0</v>
      </c>
      <c r="F371" s="272">
        <f t="shared" si="142"/>
        <v>0</v>
      </c>
      <c r="G371" s="273"/>
      <c r="H371" s="274">
        <f t="shared" si="143"/>
        <v>0</v>
      </c>
      <c r="I371" s="273"/>
      <c r="J371" s="274">
        <f t="shared" si="144"/>
        <v>0</v>
      </c>
      <c r="K371" s="275"/>
      <c r="L371" s="274">
        <f t="shared" si="145"/>
        <v>0</v>
      </c>
      <c r="M371" s="273"/>
      <c r="N371" s="274">
        <f t="shared" si="146"/>
        <v>0</v>
      </c>
      <c r="O371" s="273"/>
      <c r="P371" s="274">
        <f t="shared" si="147"/>
        <v>0</v>
      </c>
      <c r="Q371" s="273"/>
      <c r="R371" s="274">
        <f t="shared" si="148"/>
        <v>0</v>
      </c>
      <c r="S371" s="273"/>
      <c r="T371" s="274">
        <f t="shared" si="149"/>
        <v>0</v>
      </c>
      <c r="U371" s="273"/>
      <c r="V371" s="274">
        <f t="shared" si="150"/>
        <v>0</v>
      </c>
      <c r="W371" s="273"/>
      <c r="X371" s="274">
        <f t="shared" si="151"/>
        <v>0</v>
      </c>
      <c r="Y371" s="273"/>
      <c r="Z371" s="274">
        <f t="shared" si="152"/>
        <v>0</v>
      </c>
      <c r="AA371" s="251">
        <f t="shared" si="153"/>
        <v>0</v>
      </c>
    </row>
    <row r="372" customHeight="1" spans="1:27">
      <c r="A372" s="270">
        <v>27</v>
      </c>
      <c r="B372" s="270"/>
      <c r="C372" s="274"/>
      <c r="D372" s="274"/>
      <c r="E372" s="272">
        <f t="shared" si="141"/>
        <v>0</v>
      </c>
      <c r="F372" s="272">
        <f t="shared" si="142"/>
        <v>0</v>
      </c>
      <c r="G372" s="273"/>
      <c r="H372" s="274">
        <f t="shared" si="143"/>
        <v>0</v>
      </c>
      <c r="I372" s="273"/>
      <c r="J372" s="274">
        <f t="shared" si="144"/>
        <v>0</v>
      </c>
      <c r="K372" s="275"/>
      <c r="L372" s="274">
        <f t="shared" si="145"/>
        <v>0</v>
      </c>
      <c r="M372" s="273"/>
      <c r="N372" s="274">
        <f t="shared" si="146"/>
        <v>0</v>
      </c>
      <c r="O372" s="273"/>
      <c r="P372" s="274">
        <f t="shared" si="147"/>
        <v>0</v>
      </c>
      <c r="Q372" s="273"/>
      <c r="R372" s="274">
        <f t="shared" si="148"/>
        <v>0</v>
      </c>
      <c r="S372" s="273"/>
      <c r="T372" s="274">
        <f t="shared" si="149"/>
        <v>0</v>
      </c>
      <c r="U372" s="273"/>
      <c r="V372" s="274">
        <f t="shared" si="150"/>
        <v>0</v>
      </c>
      <c r="W372" s="273"/>
      <c r="X372" s="274">
        <f t="shared" si="151"/>
        <v>0</v>
      </c>
      <c r="Y372" s="273"/>
      <c r="Z372" s="274">
        <f t="shared" si="152"/>
        <v>0</v>
      </c>
      <c r="AA372" s="251">
        <f t="shared" si="153"/>
        <v>0</v>
      </c>
    </row>
    <row r="373" customHeight="1" spans="1:27">
      <c r="A373" s="270">
        <v>28</v>
      </c>
      <c r="B373" s="270"/>
      <c r="C373" s="274"/>
      <c r="D373" s="274"/>
      <c r="E373" s="272">
        <f t="shared" si="141"/>
        <v>0</v>
      </c>
      <c r="F373" s="272">
        <f t="shared" si="142"/>
        <v>0</v>
      </c>
      <c r="G373" s="273"/>
      <c r="H373" s="274">
        <f t="shared" si="143"/>
        <v>0</v>
      </c>
      <c r="I373" s="273"/>
      <c r="J373" s="274">
        <f t="shared" si="144"/>
        <v>0</v>
      </c>
      <c r="K373" s="275"/>
      <c r="L373" s="274">
        <f t="shared" si="145"/>
        <v>0</v>
      </c>
      <c r="M373" s="273"/>
      <c r="N373" s="274">
        <f t="shared" si="146"/>
        <v>0</v>
      </c>
      <c r="O373" s="273"/>
      <c r="P373" s="274">
        <f t="shared" si="147"/>
        <v>0</v>
      </c>
      <c r="Q373" s="273"/>
      <c r="R373" s="274">
        <f t="shared" si="148"/>
        <v>0</v>
      </c>
      <c r="S373" s="273"/>
      <c r="T373" s="274">
        <f t="shared" si="149"/>
        <v>0</v>
      </c>
      <c r="U373" s="273"/>
      <c r="V373" s="274">
        <f t="shared" si="150"/>
        <v>0</v>
      </c>
      <c r="W373" s="273"/>
      <c r="X373" s="274">
        <f t="shared" si="151"/>
        <v>0</v>
      </c>
      <c r="Y373" s="273"/>
      <c r="Z373" s="274">
        <f t="shared" si="152"/>
        <v>0</v>
      </c>
      <c r="AA373" s="251">
        <f t="shared" si="153"/>
        <v>0</v>
      </c>
    </row>
    <row r="374" customHeight="1" spans="1:27">
      <c r="A374" s="270">
        <v>29</v>
      </c>
      <c r="B374" s="270"/>
      <c r="C374" s="274"/>
      <c r="D374" s="274"/>
      <c r="E374" s="272">
        <f t="shared" si="141"/>
        <v>0</v>
      </c>
      <c r="F374" s="272">
        <f t="shared" si="142"/>
        <v>0</v>
      </c>
      <c r="G374" s="273"/>
      <c r="H374" s="274">
        <f t="shared" si="143"/>
        <v>0</v>
      </c>
      <c r="I374" s="273"/>
      <c r="J374" s="274">
        <f t="shared" si="144"/>
        <v>0</v>
      </c>
      <c r="K374" s="275"/>
      <c r="L374" s="274">
        <f t="shared" si="145"/>
        <v>0</v>
      </c>
      <c r="M374" s="273"/>
      <c r="N374" s="274">
        <f t="shared" si="146"/>
        <v>0</v>
      </c>
      <c r="O374" s="273"/>
      <c r="P374" s="274">
        <f t="shared" si="147"/>
        <v>0</v>
      </c>
      <c r="Q374" s="273"/>
      <c r="R374" s="274">
        <f t="shared" si="148"/>
        <v>0</v>
      </c>
      <c r="S374" s="273"/>
      <c r="T374" s="274">
        <f t="shared" si="149"/>
        <v>0</v>
      </c>
      <c r="U374" s="273"/>
      <c r="V374" s="274">
        <f t="shared" si="150"/>
        <v>0</v>
      </c>
      <c r="W374" s="273"/>
      <c r="X374" s="274">
        <f t="shared" si="151"/>
        <v>0</v>
      </c>
      <c r="Y374" s="273"/>
      <c r="Z374" s="274">
        <f t="shared" si="152"/>
        <v>0</v>
      </c>
      <c r="AA374" s="251">
        <f t="shared" si="153"/>
        <v>0</v>
      </c>
    </row>
    <row r="375" customHeight="1" spans="1:27">
      <c r="A375" s="270">
        <v>30</v>
      </c>
      <c r="B375" s="270"/>
      <c r="C375" s="274"/>
      <c r="D375" s="274"/>
      <c r="E375" s="272">
        <f t="shared" si="141"/>
        <v>0</v>
      </c>
      <c r="F375" s="272">
        <f t="shared" si="142"/>
        <v>0</v>
      </c>
      <c r="G375" s="273"/>
      <c r="H375" s="274">
        <f t="shared" si="143"/>
        <v>0</v>
      </c>
      <c r="I375" s="273"/>
      <c r="J375" s="274">
        <f t="shared" si="144"/>
        <v>0</v>
      </c>
      <c r="K375" s="275"/>
      <c r="L375" s="274">
        <f t="shared" si="145"/>
        <v>0</v>
      </c>
      <c r="M375" s="273"/>
      <c r="N375" s="274">
        <f t="shared" si="146"/>
        <v>0</v>
      </c>
      <c r="O375" s="273"/>
      <c r="P375" s="274">
        <f t="shared" si="147"/>
        <v>0</v>
      </c>
      <c r="Q375" s="273"/>
      <c r="R375" s="274">
        <f t="shared" si="148"/>
        <v>0</v>
      </c>
      <c r="S375" s="273"/>
      <c r="T375" s="274">
        <f t="shared" si="149"/>
        <v>0</v>
      </c>
      <c r="U375" s="273"/>
      <c r="V375" s="274">
        <f t="shared" si="150"/>
        <v>0</v>
      </c>
      <c r="W375" s="273"/>
      <c r="X375" s="274">
        <f t="shared" si="151"/>
        <v>0</v>
      </c>
      <c r="Y375" s="273"/>
      <c r="Z375" s="274">
        <f t="shared" si="152"/>
        <v>0</v>
      </c>
      <c r="AA375" s="251">
        <f t="shared" si="153"/>
        <v>0</v>
      </c>
    </row>
    <row r="376" customHeight="1" spans="1:27">
      <c r="A376" s="276" t="s">
        <v>22</v>
      </c>
      <c r="B376" s="277"/>
      <c r="C376" s="261">
        <f t="shared" ref="C376:Z376" si="154">SUM(C346:C375)</f>
        <v>0</v>
      </c>
      <c r="D376" s="261">
        <f t="shared" si="154"/>
        <v>0</v>
      </c>
      <c r="E376" s="261">
        <f t="shared" si="154"/>
        <v>0</v>
      </c>
      <c r="F376" s="272">
        <f t="shared" si="154"/>
        <v>0</v>
      </c>
      <c r="G376" s="261">
        <f t="shared" si="154"/>
        <v>0</v>
      </c>
      <c r="H376" s="273">
        <f t="shared" si="154"/>
        <v>0</v>
      </c>
      <c r="I376" s="273">
        <f t="shared" si="154"/>
        <v>0</v>
      </c>
      <c r="J376" s="273">
        <f t="shared" si="154"/>
        <v>0</v>
      </c>
      <c r="K376" s="273">
        <f t="shared" si="154"/>
        <v>0</v>
      </c>
      <c r="L376" s="273">
        <f t="shared" si="154"/>
        <v>0</v>
      </c>
      <c r="M376" s="273">
        <f t="shared" si="154"/>
        <v>0</v>
      </c>
      <c r="N376" s="273">
        <f t="shared" si="154"/>
        <v>0</v>
      </c>
      <c r="O376" s="273">
        <f t="shared" si="154"/>
        <v>0</v>
      </c>
      <c r="P376" s="273">
        <f t="shared" si="154"/>
        <v>0</v>
      </c>
      <c r="Q376" s="273">
        <f t="shared" si="154"/>
        <v>0</v>
      </c>
      <c r="R376" s="273">
        <f t="shared" si="154"/>
        <v>0</v>
      </c>
      <c r="S376" s="273">
        <f t="shared" si="154"/>
        <v>0</v>
      </c>
      <c r="T376" s="273">
        <f t="shared" si="154"/>
        <v>0</v>
      </c>
      <c r="U376" s="273">
        <f t="shared" si="154"/>
        <v>0</v>
      </c>
      <c r="V376" s="273">
        <f t="shared" si="154"/>
        <v>0</v>
      </c>
      <c r="W376" s="273">
        <f t="shared" si="154"/>
        <v>0</v>
      </c>
      <c r="X376" s="273">
        <f t="shared" si="154"/>
        <v>0</v>
      </c>
      <c r="Y376" s="273">
        <f t="shared" si="154"/>
        <v>0</v>
      </c>
      <c r="Z376" s="273">
        <f t="shared" si="154"/>
        <v>0</v>
      </c>
    </row>
    <row r="379" customHeight="1" spans="1:27">
      <c r="B379" s="257" t="s">
        <v>64</v>
      </c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  <c r="Z379" s="258"/>
    </row>
    <row r="381" customHeight="1" spans="1:27">
      <c r="A381" s="259" t="s">
        <v>31</v>
      </c>
      <c r="B381" s="260" t="s">
        <v>32</v>
      </c>
      <c r="C381" s="261" t="s">
        <v>33</v>
      </c>
      <c r="D381" s="261" t="s">
        <v>34</v>
      </c>
      <c r="E381" s="262" t="s">
        <v>35</v>
      </c>
      <c r="F381" s="262" t="s">
        <v>36</v>
      </c>
      <c r="G381" s="263" t="str">
        <f>立项!$A$3</f>
        <v>RD01</v>
      </c>
      <c r="H381" s="264"/>
      <c r="I381" s="264" t="str">
        <f>立项!$A$4</f>
        <v>RD02</v>
      </c>
      <c r="J381" s="264"/>
      <c r="K381" s="264" t="str">
        <f>立项!$A$5</f>
        <v>RD03</v>
      </c>
      <c r="L381" s="264"/>
      <c r="M381" s="264" t="str">
        <f>立项!$A$6</f>
        <v>RD04</v>
      </c>
      <c r="N381" s="264"/>
      <c r="O381" s="264" t="str">
        <f>立项!$A$7</f>
        <v>RD05</v>
      </c>
      <c r="P381" s="264"/>
      <c r="Q381" s="264" t="str">
        <f>立项!$A$8</f>
        <v>RD06</v>
      </c>
      <c r="R381" s="264"/>
      <c r="S381" s="264" t="str">
        <f>立项!$A$9</f>
        <v>RD07</v>
      </c>
      <c r="T381" s="264"/>
      <c r="U381" s="264" t="str">
        <f>立项!$A$10</f>
        <v>RD08</v>
      </c>
      <c r="V381" s="264"/>
      <c r="W381" s="264" t="str">
        <f>立项!$A$11</f>
        <v>RD09</v>
      </c>
      <c r="X381" s="264"/>
      <c r="Y381" s="264" t="str">
        <f>立项!$A$12</f>
        <v>RD10</v>
      </c>
      <c r="Z381" s="264"/>
    </row>
    <row r="382" customHeight="1" spans="1:27">
      <c r="A382" s="265"/>
      <c r="B382" s="260"/>
      <c r="C382" s="261"/>
      <c r="D382" s="261"/>
      <c r="E382" s="262"/>
      <c r="F382" s="262"/>
      <c r="G382" s="267">
        <f>立项!C3</f>
        <v>0</v>
      </c>
      <c r="H382" s="263"/>
      <c r="I382" s="267">
        <f>立项!C4</f>
        <v>0</v>
      </c>
      <c r="J382" s="263"/>
      <c r="K382" s="267">
        <f>立项!C5</f>
        <v>0</v>
      </c>
      <c r="L382" s="263"/>
      <c r="M382" s="267">
        <f>立项!C6</f>
        <v>0</v>
      </c>
      <c r="N382" s="263"/>
      <c r="O382" s="267">
        <f>立项!C7</f>
        <v>0</v>
      </c>
      <c r="P382" s="263"/>
      <c r="Q382" s="267">
        <f>立项!C8</f>
        <v>0</v>
      </c>
      <c r="R382" s="263"/>
      <c r="S382" s="267">
        <f>立项!C9</f>
        <v>0</v>
      </c>
      <c r="T382" s="263"/>
      <c r="U382" s="267">
        <f>立项!C10</f>
        <v>0</v>
      </c>
      <c r="V382" s="263"/>
      <c r="W382" s="267">
        <f>立项!C11</f>
        <v>0</v>
      </c>
      <c r="X382" s="263"/>
      <c r="Y382" s="264">
        <f>立项!C12</f>
        <v>0</v>
      </c>
      <c r="Z382" s="264"/>
    </row>
    <row r="383" customHeight="1" spans="1:27">
      <c r="A383" s="268"/>
      <c r="B383" s="260"/>
      <c r="C383" s="261"/>
      <c r="D383" s="261"/>
      <c r="E383" s="262"/>
      <c r="F383" s="262"/>
      <c r="G383" s="264" t="s">
        <v>39</v>
      </c>
      <c r="H383" s="269" t="s">
        <v>40</v>
      </c>
      <c r="I383" s="264" t="s">
        <v>39</v>
      </c>
      <c r="J383" s="269" t="s">
        <v>40</v>
      </c>
      <c r="K383" s="264" t="s">
        <v>39</v>
      </c>
      <c r="L383" s="269" t="s">
        <v>40</v>
      </c>
      <c r="M383" s="264" t="s">
        <v>39</v>
      </c>
      <c r="N383" s="269" t="s">
        <v>40</v>
      </c>
      <c r="O383" s="264" t="s">
        <v>39</v>
      </c>
      <c r="P383" s="269" t="s">
        <v>40</v>
      </c>
      <c r="Q383" s="264" t="s">
        <v>39</v>
      </c>
      <c r="R383" s="269" t="s">
        <v>40</v>
      </c>
      <c r="S383" s="264" t="s">
        <v>39</v>
      </c>
      <c r="T383" s="269" t="s">
        <v>40</v>
      </c>
      <c r="U383" s="264" t="s">
        <v>39</v>
      </c>
      <c r="V383" s="269" t="s">
        <v>40</v>
      </c>
      <c r="W383" s="264" t="s">
        <v>39</v>
      </c>
      <c r="X383" s="269" t="s">
        <v>40</v>
      </c>
      <c r="Y383" s="264" t="s">
        <v>39</v>
      </c>
      <c r="Z383" s="269" t="s">
        <v>40</v>
      </c>
    </row>
    <row r="384" customHeight="1" spans="1:27">
      <c r="A384" s="270">
        <v>1</v>
      </c>
      <c r="B384" s="324"/>
      <c r="C384" s="272"/>
      <c r="D384" s="272"/>
      <c r="E384" s="272">
        <f t="shared" ref="E384:E413" si="155">G384+I384+K384+M384+O384+Q384+S384+U384+W384+Y384</f>
        <v>0</v>
      </c>
      <c r="F384" s="272">
        <f t="shared" ref="F384:F413" si="156">H384+J384+L384+N384+P384+R384+T384+V384+X384+Z384</f>
        <v>0</v>
      </c>
      <c r="G384" s="273"/>
      <c r="H384" s="274">
        <f t="shared" ref="H384:H413" si="157">IF($D384=0,0,ROUND(G384/$D384*$C384,2))</f>
        <v>0</v>
      </c>
      <c r="I384" s="273"/>
      <c r="J384" s="274">
        <f t="shared" ref="J384:J413" si="158">IF($D384=0,0,ROUND(I384/$D384*$C384,2))</f>
        <v>0</v>
      </c>
      <c r="K384" s="275"/>
      <c r="L384" s="274">
        <f t="shared" ref="L384:L413" si="159">IF($D384=0,0,ROUND(K384/$D384*$C384,2))</f>
        <v>0</v>
      </c>
      <c r="M384" s="273"/>
      <c r="N384" s="274">
        <f t="shared" ref="N384:N413" si="160">IF($D384=0,0,ROUND(M384/$D384*$C384,2))</f>
        <v>0</v>
      </c>
      <c r="O384" s="273"/>
      <c r="P384" s="274">
        <f t="shared" ref="P384:P413" si="161">IF($D384=0,0,ROUND(O384/$D384*$C384,2))</f>
        <v>0</v>
      </c>
      <c r="Q384" s="273"/>
      <c r="R384" s="274">
        <f t="shared" ref="R384:R413" si="162">IF($D384=0,0,ROUND(Q384/$D384*$C384,2))</f>
        <v>0</v>
      </c>
      <c r="S384" s="273"/>
      <c r="T384" s="274">
        <f t="shared" ref="T384:T413" si="163">IF($D384=0,0,ROUND(S384/$D384*$C384,2))</f>
        <v>0</v>
      </c>
      <c r="U384" s="273"/>
      <c r="V384" s="274">
        <f t="shared" ref="V384:V413" si="164">IF($D384=0,0,ROUND(U384/$D384*$C384,2))</f>
        <v>0</v>
      </c>
      <c r="W384" s="273"/>
      <c r="X384" s="274">
        <f t="shared" ref="X384:X413" si="165">IF($D384=0,0,ROUND(W384/$D384*$C384,2))</f>
        <v>0</v>
      </c>
      <c r="Y384" s="273"/>
      <c r="Z384" s="274">
        <f t="shared" ref="Z384:Z413" si="166">IF($D384=0,0,ROUND(Y384/$D384*$C384,2))</f>
        <v>0</v>
      </c>
      <c r="AA384" s="251">
        <f t="shared" ref="AA384:AA413" si="167">D384-E384</f>
        <v>0</v>
      </c>
    </row>
    <row r="385" customHeight="1" spans="1:27">
      <c r="A385" s="270">
        <v>2</v>
      </c>
      <c r="B385" s="324"/>
      <c r="C385" s="272"/>
      <c r="D385" s="272"/>
      <c r="E385" s="272">
        <f t="shared" si="155"/>
        <v>0</v>
      </c>
      <c r="F385" s="272">
        <f t="shared" si="156"/>
        <v>0</v>
      </c>
      <c r="G385" s="273"/>
      <c r="H385" s="274">
        <f t="shared" si="157"/>
        <v>0</v>
      </c>
      <c r="I385" s="273"/>
      <c r="J385" s="274">
        <f t="shared" si="158"/>
        <v>0</v>
      </c>
      <c r="K385" s="275"/>
      <c r="L385" s="274">
        <f t="shared" si="159"/>
        <v>0</v>
      </c>
      <c r="M385" s="273"/>
      <c r="N385" s="274">
        <f t="shared" si="160"/>
        <v>0</v>
      </c>
      <c r="O385" s="273"/>
      <c r="P385" s="274">
        <f t="shared" si="161"/>
        <v>0</v>
      </c>
      <c r="Q385" s="273"/>
      <c r="R385" s="274">
        <f t="shared" si="162"/>
        <v>0</v>
      </c>
      <c r="S385" s="273"/>
      <c r="T385" s="274">
        <f t="shared" si="163"/>
        <v>0</v>
      </c>
      <c r="U385" s="273"/>
      <c r="V385" s="274">
        <f t="shared" si="164"/>
        <v>0</v>
      </c>
      <c r="W385" s="273"/>
      <c r="X385" s="274">
        <f t="shared" si="165"/>
        <v>0</v>
      </c>
      <c r="Y385" s="273"/>
      <c r="Z385" s="274">
        <f t="shared" si="166"/>
        <v>0</v>
      </c>
      <c r="AA385" s="251">
        <f t="shared" si="167"/>
        <v>0</v>
      </c>
    </row>
    <row r="386" customHeight="1" spans="1:27">
      <c r="A386" s="270">
        <v>3</v>
      </c>
      <c r="B386" s="324"/>
      <c r="C386" s="272"/>
      <c r="D386" s="272"/>
      <c r="E386" s="272">
        <f t="shared" si="155"/>
        <v>0</v>
      </c>
      <c r="F386" s="272">
        <f t="shared" si="156"/>
        <v>0</v>
      </c>
      <c r="G386" s="273"/>
      <c r="H386" s="274">
        <f t="shared" si="157"/>
        <v>0</v>
      </c>
      <c r="I386" s="273"/>
      <c r="J386" s="274">
        <f t="shared" si="158"/>
        <v>0</v>
      </c>
      <c r="K386" s="275"/>
      <c r="L386" s="274">
        <f t="shared" si="159"/>
        <v>0</v>
      </c>
      <c r="M386" s="273"/>
      <c r="N386" s="274">
        <f t="shared" si="160"/>
        <v>0</v>
      </c>
      <c r="O386" s="273"/>
      <c r="P386" s="274">
        <f t="shared" si="161"/>
        <v>0</v>
      </c>
      <c r="Q386" s="273"/>
      <c r="R386" s="274">
        <f t="shared" si="162"/>
        <v>0</v>
      </c>
      <c r="S386" s="273"/>
      <c r="T386" s="274">
        <f t="shared" si="163"/>
        <v>0</v>
      </c>
      <c r="U386" s="273"/>
      <c r="V386" s="274">
        <f t="shared" si="164"/>
        <v>0</v>
      </c>
      <c r="W386" s="273"/>
      <c r="X386" s="274">
        <f t="shared" si="165"/>
        <v>0</v>
      </c>
      <c r="Y386" s="273"/>
      <c r="Z386" s="274">
        <f t="shared" si="166"/>
        <v>0</v>
      </c>
      <c r="AA386" s="251">
        <f t="shared" si="167"/>
        <v>0</v>
      </c>
    </row>
    <row r="387" customHeight="1" spans="1:27">
      <c r="A387" s="270">
        <v>4</v>
      </c>
      <c r="B387" s="324"/>
      <c r="C387" s="272"/>
      <c r="D387" s="272"/>
      <c r="E387" s="272">
        <f t="shared" si="155"/>
        <v>0</v>
      </c>
      <c r="F387" s="272">
        <f t="shared" si="156"/>
        <v>0</v>
      </c>
      <c r="G387" s="273"/>
      <c r="H387" s="274">
        <f t="shared" si="157"/>
        <v>0</v>
      </c>
      <c r="I387" s="273"/>
      <c r="J387" s="274">
        <f t="shared" si="158"/>
        <v>0</v>
      </c>
      <c r="K387" s="275"/>
      <c r="L387" s="274">
        <f t="shared" si="159"/>
        <v>0</v>
      </c>
      <c r="M387" s="273"/>
      <c r="N387" s="274">
        <f t="shared" si="160"/>
        <v>0</v>
      </c>
      <c r="O387" s="273"/>
      <c r="P387" s="274">
        <f t="shared" si="161"/>
        <v>0</v>
      </c>
      <c r="Q387" s="273"/>
      <c r="R387" s="274">
        <f t="shared" si="162"/>
        <v>0</v>
      </c>
      <c r="S387" s="273"/>
      <c r="T387" s="274">
        <f t="shared" si="163"/>
        <v>0</v>
      </c>
      <c r="U387" s="273"/>
      <c r="V387" s="274">
        <f t="shared" si="164"/>
        <v>0</v>
      </c>
      <c r="W387" s="273"/>
      <c r="X387" s="274">
        <f t="shared" si="165"/>
        <v>0</v>
      </c>
      <c r="Y387" s="273"/>
      <c r="Z387" s="274">
        <f t="shared" si="166"/>
        <v>0</v>
      </c>
      <c r="AA387" s="251">
        <f t="shared" si="167"/>
        <v>0</v>
      </c>
    </row>
    <row r="388" customHeight="1" spans="1:27">
      <c r="A388" s="270">
        <v>5</v>
      </c>
      <c r="B388" s="324"/>
      <c r="C388" s="272"/>
      <c r="D388" s="272"/>
      <c r="E388" s="272">
        <f t="shared" si="155"/>
        <v>0</v>
      </c>
      <c r="F388" s="272">
        <f t="shared" si="156"/>
        <v>0</v>
      </c>
      <c r="G388" s="273"/>
      <c r="H388" s="274">
        <f t="shared" si="157"/>
        <v>0</v>
      </c>
      <c r="I388" s="273"/>
      <c r="J388" s="274">
        <f t="shared" si="158"/>
        <v>0</v>
      </c>
      <c r="K388" s="275"/>
      <c r="L388" s="274">
        <f t="shared" si="159"/>
        <v>0</v>
      </c>
      <c r="M388" s="273"/>
      <c r="N388" s="274">
        <f t="shared" si="160"/>
        <v>0</v>
      </c>
      <c r="O388" s="273"/>
      <c r="P388" s="274">
        <f t="shared" si="161"/>
        <v>0</v>
      </c>
      <c r="Q388" s="273"/>
      <c r="R388" s="274">
        <f t="shared" si="162"/>
        <v>0</v>
      </c>
      <c r="S388" s="273"/>
      <c r="T388" s="274">
        <f t="shared" si="163"/>
        <v>0</v>
      </c>
      <c r="U388" s="273"/>
      <c r="V388" s="274">
        <f t="shared" si="164"/>
        <v>0</v>
      </c>
      <c r="W388" s="273"/>
      <c r="X388" s="274">
        <f t="shared" si="165"/>
        <v>0</v>
      </c>
      <c r="Y388" s="273"/>
      <c r="Z388" s="274">
        <f t="shared" si="166"/>
        <v>0</v>
      </c>
      <c r="AA388" s="251">
        <f t="shared" si="167"/>
        <v>0</v>
      </c>
    </row>
    <row r="389" customHeight="1" spans="1:27">
      <c r="A389" s="270">
        <v>6</v>
      </c>
      <c r="B389" s="324"/>
      <c r="C389" s="274"/>
      <c r="D389" s="274"/>
      <c r="E389" s="272">
        <f t="shared" si="155"/>
        <v>0</v>
      </c>
      <c r="F389" s="272">
        <f t="shared" si="156"/>
        <v>0</v>
      </c>
      <c r="G389" s="273"/>
      <c r="H389" s="274">
        <f t="shared" si="157"/>
        <v>0</v>
      </c>
      <c r="I389" s="273"/>
      <c r="J389" s="274">
        <f t="shared" si="158"/>
        <v>0</v>
      </c>
      <c r="K389" s="275"/>
      <c r="L389" s="274">
        <f t="shared" si="159"/>
        <v>0</v>
      </c>
      <c r="M389" s="273"/>
      <c r="N389" s="274">
        <f t="shared" si="160"/>
        <v>0</v>
      </c>
      <c r="O389" s="273"/>
      <c r="P389" s="274">
        <f t="shared" si="161"/>
        <v>0</v>
      </c>
      <c r="Q389" s="273"/>
      <c r="R389" s="274">
        <f t="shared" si="162"/>
        <v>0</v>
      </c>
      <c r="S389" s="273"/>
      <c r="T389" s="274">
        <f t="shared" si="163"/>
        <v>0</v>
      </c>
      <c r="U389" s="273"/>
      <c r="V389" s="274">
        <f t="shared" si="164"/>
        <v>0</v>
      </c>
      <c r="W389" s="273"/>
      <c r="X389" s="274">
        <f t="shared" si="165"/>
        <v>0</v>
      </c>
      <c r="Y389" s="273"/>
      <c r="Z389" s="274">
        <f t="shared" si="166"/>
        <v>0</v>
      </c>
      <c r="AA389" s="251">
        <f t="shared" si="167"/>
        <v>0</v>
      </c>
    </row>
    <row r="390" customHeight="1" spans="1:27">
      <c r="A390" s="270">
        <v>7</v>
      </c>
      <c r="B390" s="324"/>
      <c r="C390" s="274"/>
      <c r="D390" s="274"/>
      <c r="E390" s="272">
        <f t="shared" si="155"/>
        <v>0</v>
      </c>
      <c r="F390" s="272">
        <f t="shared" si="156"/>
        <v>0</v>
      </c>
      <c r="G390" s="273"/>
      <c r="H390" s="274">
        <f t="shared" si="157"/>
        <v>0</v>
      </c>
      <c r="I390" s="273"/>
      <c r="J390" s="274">
        <f t="shared" si="158"/>
        <v>0</v>
      </c>
      <c r="K390" s="275"/>
      <c r="L390" s="274">
        <f t="shared" si="159"/>
        <v>0</v>
      </c>
      <c r="M390" s="273"/>
      <c r="N390" s="274">
        <f t="shared" si="160"/>
        <v>0</v>
      </c>
      <c r="O390" s="273"/>
      <c r="P390" s="274">
        <f t="shared" si="161"/>
        <v>0</v>
      </c>
      <c r="Q390" s="273"/>
      <c r="R390" s="274">
        <f t="shared" si="162"/>
        <v>0</v>
      </c>
      <c r="S390" s="273"/>
      <c r="T390" s="274">
        <f t="shared" si="163"/>
        <v>0</v>
      </c>
      <c r="U390" s="273"/>
      <c r="V390" s="274">
        <f t="shared" si="164"/>
        <v>0</v>
      </c>
      <c r="W390" s="273"/>
      <c r="X390" s="274">
        <f t="shared" si="165"/>
        <v>0</v>
      </c>
      <c r="Y390" s="273"/>
      <c r="Z390" s="274">
        <f t="shared" si="166"/>
        <v>0</v>
      </c>
      <c r="AA390" s="251">
        <f t="shared" si="167"/>
        <v>0</v>
      </c>
    </row>
    <row r="391" customHeight="1" spans="1:27">
      <c r="A391" s="270">
        <v>8</v>
      </c>
      <c r="B391" s="324"/>
      <c r="C391" s="274"/>
      <c r="D391" s="274"/>
      <c r="E391" s="272">
        <f t="shared" si="155"/>
        <v>0</v>
      </c>
      <c r="F391" s="272">
        <f t="shared" si="156"/>
        <v>0</v>
      </c>
      <c r="G391" s="273"/>
      <c r="H391" s="274">
        <f t="shared" si="157"/>
        <v>0</v>
      </c>
      <c r="I391" s="273"/>
      <c r="J391" s="274">
        <f t="shared" si="158"/>
        <v>0</v>
      </c>
      <c r="K391" s="275"/>
      <c r="L391" s="274">
        <f t="shared" si="159"/>
        <v>0</v>
      </c>
      <c r="M391" s="273"/>
      <c r="N391" s="274">
        <f t="shared" si="160"/>
        <v>0</v>
      </c>
      <c r="O391" s="273"/>
      <c r="P391" s="274">
        <f t="shared" si="161"/>
        <v>0</v>
      </c>
      <c r="Q391" s="273"/>
      <c r="R391" s="274">
        <f t="shared" si="162"/>
        <v>0</v>
      </c>
      <c r="S391" s="273"/>
      <c r="T391" s="274">
        <f t="shared" si="163"/>
        <v>0</v>
      </c>
      <c r="U391" s="273"/>
      <c r="V391" s="274">
        <f t="shared" si="164"/>
        <v>0</v>
      </c>
      <c r="W391" s="273"/>
      <c r="X391" s="274">
        <f t="shared" si="165"/>
        <v>0</v>
      </c>
      <c r="Y391" s="273"/>
      <c r="Z391" s="274">
        <f t="shared" si="166"/>
        <v>0</v>
      </c>
      <c r="AA391" s="251">
        <f t="shared" si="167"/>
        <v>0</v>
      </c>
    </row>
    <row r="392" customHeight="1" spans="1:27">
      <c r="A392" s="270">
        <v>9</v>
      </c>
      <c r="B392" s="324"/>
      <c r="C392" s="274"/>
      <c r="D392" s="274"/>
      <c r="E392" s="272">
        <f t="shared" si="155"/>
        <v>0</v>
      </c>
      <c r="F392" s="272">
        <f t="shared" si="156"/>
        <v>0</v>
      </c>
      <c r="G392" s="273"/>
      <c r="H392" s="274">
        <f t="shared" si="157"/>
        <v>0</v>
      </c>
      <c r="I392" s="273"/>
      <c r="J392" s="274">
        <f t="shared" si="158"/>
        <v>0</v>
      </c>
      <c r="K392" s="275"/>
      <c r="L392" s="274">
        <f t="shared" si="159"/>
        <v>0</v>
      </c>
      <c r="M392" s="273"/>
      <c r="N392" s="274">
        <f t="shared" si="160"/>
        <v>0</v>
      </c>
      <c r="O392" s="273"/>
      <c r="P392" s="274">
        <f t="shared" si="161"/>
        <v>0</v>
      </c>
      <c r="Q392" s="273"/>
      <c r="R392" s="274">
        <f t="shared" si="162"/>
        <v>0</v>
      </c>
      <c r="S392" s="273"/>
      <c r="T392" s="274">
        <f t="shared" si="163"/>
        <v>0</v>
      </c>
      <c r="U392" s="273"/>
      <c r="V392" s="274">
        <f t="shared" si="164"/>
        <v>0</v>
      </c>
      <c r="W392" s="273"/>
      <c r="X392" s="274">
        <f t="shared" si="165"/>
        <v>0</v>
      </c>
      <c r="Y392" s="273"/>
      <c r="Z392" s="274">
        <f t="shared" si="166"/>
        <v>0</v>
      </c>
      <c r="AA392" s="251">
        <f t="shared" si="167"/>
        <v>0</v>
      </c>
    </row>
    <row r="393" customHeight="1" spans="1:27">
      <c r="A393" s="270">
        <v>10</v>
      </c>
      <c r="B393" s="270"/>
      <c r="C393" s="274"/>
      <c r="D393" s="274"/>
      <c r="E393" s="272">
        <f t="shared" si="155"/>
        <v>0</v>
      </c>
      <c r="F393" s="272">
        <f t="shared" si="156"/>
        <v>0</v>
      </c>
      <c r="G393" s="273"/>
      <c r="H393" s="274">
        <f t="shared" si="157"/>
        <v>0</v>
      </c>
      <c r="I393" s="273"/>
      <c r="J393" s="274">
        <f t="shared" si="158"/>
        <v>0</v>
      </c>
      <c r="K393" s="275"/>
      <c r="L393" s="274">
        <f t="shared" si="159"/>
        <v>0</v>
      </c>
      <c r="M393" s="273"/>
      <c r="N393" s="274">
        <f t="shared" si="160"/>
        <v>0</v>
      </c>
      <c r="O393" s="273"/>
      <c r="P393" s="274">
        <f t="shared" si="161"/>
        <v>0</v>
      </c>
      <c r="Q393" s="273"/>
      <c r="R393" s="274">
        <f t="shared" si="162"/>
        <v>0</v>
      </c>
      <c r="S393" s="273"/>
      <c r="T393" s="274">
        <f t="shared" si="163"/>
        <v>0</v>
      </c>
      <c r="U393" s="273"/>
      <c r="V393" s="274">
        <f t="shared" si="164"/>
        <v>0</v>
      </c>
      <c r="W393" s="273"/>
      <c r="X393" s="274">
        <f t="shared" si="165"/>
        <v>0</v>
      </c>
      <c r="Y393" s="273"/>
      <c r="Z393" s="274">
        <f t="shared" si="166"/>
        <v>0</v>
      </c>
      <c r="AA393" s="251">
        <f t="shared" si="167"/>
        <v>0</v>
      </c>
    </row>
    <row r="394" customHeight="1" spans="1:27">
      <c r="A394" s="270">
        <v>11</v>
      </c>
      <c r="B394" s="270"/>
      <c r="C394" s="274"/>
      <c r="D394" s="274"/>
      <c r="E394" s="272">
        <f t="shared" si="155"/>
        <v>0</v>
      </c>
      <c r="F394" s="272">
        <f t="shared" si="156"/>
        <v>0</v>
      </c>
      <c r="G394" s="273"/>
      <c r="H394" s="274">
        <f t="shared" si="157"/>
        <v>0</v>
      </c>
      <c r="I394" s="273"/>
      <c r="J394" s="274">
        <f t="shared" si="158"/>
        <v>0</v>
      </c>
      <c r="K394" s="275"/>
      <c r="L394" s="274">
        <f t="shared" si="159"/>
        <v>0</v>
      </c>
      <c r="M394" s="273"/>
      <c r="N394" s="274">
        <f t="shared" si="160"/>
        <v>0</v>
      </c>
      <c r="O394" s="273"/>
      <c r="P394" s="274">
        <f t="shared" si="161"/>
        <v>0</v>
      </c>
      <c r="Q394" s="273"/>
      <c r="R394" s="274">
        <f t="shared" si="162"/>
        <v>0</v>
      </c>
      <c r="S394" s="273"/>
      <c r="T394" s="274">
        <f t="shared" si="163"/>
        <v>0</v>
      </c>
      <c r="U394" s="273"/>
      <c r="V394" s="274">
        <f t="shared" si="164"/>
        <v>0</v>
      </c>
      <c r="W394" s="273"/>
      <c r="X394" s="274">
        <f t="shared" si="165"/>
        <v>0</v>
      </c>
      <c r="Y394" s="273"/>
      <c r="Z394" s="274">
        <f t="shared" si="166"/>
        <v>0</v>
      </c>
      <c r="AA394" s="251">
        <f t="shared" si="167"/>
        <v>0</v>
      </c>
    </row>
    <row r="395" customHeight="1" spans="1:27">
      <c r="A395" s="270">
        <v>12</v>
      </c>
      <c r="B395" s="270"/>
      <c r="C395" s="274"/>
      <c r="D395" s="274"/>
      <c r="E395" s="272">
        <f t="shared" si="155"/>
        <v>0</v>
      </c>
      <c r="F395" s="272">
        <f t="shared" si="156"/>
        <v>0</v>
      </c>
      <c r="G395" s="273"/>
      <c r="H395" s="274">
        <f t="shared" si="157"/>
        <v>0</v>
      </c>
      <c r="I395" s="273"/>
      <c r="J395" s="274">
        <f t="shared" si="158"/>
        <v>0</v>
      </c>
      <c r="K395" s="275"/>
      <c r="L395" s="274">
        <f t="shared" si="159"/>
        <v>0</v>
      </c>
      <c r="M395" s="273"/>
      <c r="N395" s="274">
        <f t="shared" si="160"/>
        <v>0</v>
      </c>
      <c r="O395" s="273"/>
      <c r="P395" s="274">
        <f t="shared" si="161"/>
        <v>0</v>
      </c>
      <c r="Q395" s="273"/>
      <c r="R395" s="274">
        <f t="shared" si="162"/>
        <v>0</v>
      </c>
      <c r="S395" s="273"/>
      <c r="T395" s="274">
        <f t="shared" si="163"/>
        <v>0</v>
      </c>
      <c r="U395" s="273"/>
      <c r="V395" s="274">
        <f t="shared" si="164"/>
        <v>0</v>
      </c>
      <c r="W395" s="273"/>
      <c r="X395" s="274">
        <f t="shared" si="165"/>
        <v>0</v>
      </c>
      <c r="Y395" s="273"/>
      <c r="Z395" s="274">
        <f t="shared" si="166"/>
        <v>0</v>
      </c>
      <c r="AA395" s="251">
        <f t="shared" si="167"/>
        <v>0</v>
      </c>
    </row>
    <row r="396" customHeight="1" spans="1:27">
      <c r="A396" s="270">
        <v>13</v>
      </c>
      <c r="B396" s="270"/>
      <c r="C396" s="274"/>
      <c r="D396" s="274"/>
      <c r="E396" s="272">
        <f t="shared" si="155"/>
        <v>0</v>
      </c>
      <c r="F396" s="272">
        <f t="shared" si="156"/>
        <v>0</v>
      </c>
      <c r="G396" s="273"/>
      <c r="H396" s="274">
        <f t="shared" si="157"/>
        <v>0</v>
      </c>
      <c r="I396" s="273"/>
      <c r="J396" s="274">
        <f t="shared" si="158"/>
        <v>0</v>
      </c>
      <c r="K396" s="275"/>
      <c r="L396" s="274">
        <f t="shared" si="159"/>
        <v>0</v>
      </c>
      <c r="M396" s="273"/>
      <c r="N396" s="274">
        <f t="shared" si="160"/>
        <v>0</v>
      </c>
      <c r="O396" s="273"/>
      <c r="P396" s="274">
        <f t="shared" si="161"/>
        <v>0</v>
      </c>
      <c r="Q396" s="273"/>
      <c r="R396" s="274">
        <f t="shared" si="162"/>
        <v>0</v>
      </c>
      <c r="S396" s="273"/>
      <c r="T396" s="274">
        <f t="shared" si="163"/>
        <v>0</v>
      </c>
      <c r="U396" s="273"/>
      <c r="V396" s="274">
        <f t="shared" si="164"/>
        <v>0</v>
      </c>
      <c r="W396" s="273"/>
      <c r="X396" s="274">
        <f t="shared" si="165"/>
        <v>0</v>
      </c>
      <c r="Y396" s="273"/>
      <c r="Z396" s="274">
        <f t="shared" si="166"/>
        <v>0</v>
      </c>
      <c r="AA396" s="251">
        <f t="shared" si="167"/>
        <v>0</v>
      </c>
    </row>
    <row r="397" customHeight="1" spans="1:27">
      <c r="A397" s="270">
        <v>14</v>
      </c>
      <c r="B397" s="270"/>
      <c r="C397" s="274"/>
      <c r="D397" s="274"/>
      <c r="E397" s="272">
        <f t="shared" si="155"/>
        <v>0</v>
      </c>
      <c r="F397" s="272">
        <f t="shared" si="156"/>
        <v>0</v>
      </c>
      <c r="G397" s="273"/>
      <c r="H397" s="274">
        <f t="shared" si="157"/>
        <v>0</v>
      </c>
      <c r="I397" s="273"/>
      <c r="J397" s="274">
        <f t="shared" si="158"/>
        <v>0</v>
      </c>
      <c r="K397" s="275"/>
      <c r="L397" s="274">
        <f t="shared" si="159"/>
        <v>0</v>
      </c>
      <c r="M397" s="273"/>
      <c r="N397" s="274">
        <f t="shared" si="160"/>
        <v>0</v>
      </c>
      <c r="O397" s="273"/>
      <c r="P397" s="274">
        <f t="shared" si="161"/>
        <v>0</v>
      </c>
      <c r="Q397" s="273"/>
      <c r="R397" s="274">
        <f t="shared" si="162"/>
        <v>0</v>
      </c>
      <c r="S397" s="273"/>
      <c r="T397" s="274">
        <f t="shared" si="163"/>
        <v>0</v>
      </c>
      <c r="U397" s="273"/>
      <c r="V397" s="274">
        <f t="shared" si="164"/>
        <v>0</v>
      </c>
      <c r="W397" s="273"/>
      <c r="X397" s="274">
        <f t="shared" si="165"/>
        <v>0</v>
      </c>
      <c r="Y397" s="273"/>
      <c r="Z397" s="274">
        <f t="shared" si="166"/>
        <v>0</v>
      </c>
      <c r="AA397" s="251">
        <f t="shared" si="167"/>
        <v>0</v>
      </c>
    </row>
    <row r="398" customHeight="1" spans="1:27">
      <c r="A398" s="270">
        <v>15</v>
      </c>
      <c r="B398" s="270"/>
      <c r="C398" s="274"/>
      <c r="D398" s="274"/>
      <c r="E398" s="272">
        <f t="shared" si="155"/>
        <v>0</v>
      </c>
      <c r="F398" s="272">
        <f t="shared" si="156"/>
        <v>0</v>
      </c>
      <c r="G398" s="273"/>
      <c r="H398" s="274">
        <f t="shared" si="157"/>
        <v>0</v>
      </c>
      <c r="I398" s="273"/>
      <c r="J398" s="274">
        <f t="shared" si="158"/>
        <v>0</v>
      </c>
      <c r="K398" s="275"/>
      <c r="L398" s="274">
        <f t="shared" si="159"/>
        <v>0</v>
      </c>
      <c r="M398" s="273"/>
      <c r="N398" s="274">
        <f t="shared" si="160"/>
        <v>0</v>
      </c>
      <c r="O398" s="273"/>
      <c r="P398" s="274">
        <f t="shared" si="161"/>
        <v>0</v>
      </c>
      <c r="Q398" s="273"/>
      <c r="R398" s="274">
        <f t="shared" si="162"/>
        <v>0</v>
      </c>
      <c r="S398" s="273"/>
      <c r="T398" s="274">
        <f t="shared" si="163"/>
        <v>0</v>
      </c>
      <c r="U398" s="273"/>
      <c r="V398" s="274">
        <f t="shared" si="164"/>
        <v>0</v>
      </c>
      <c r="W398" s="273"/>
      <c r="X398" s="274">
        <f t="shared" si="165"/>
        <v>0</v>
      </c>
      <c r="Y398" s="273"/>
      <c r="Z398" s="274">
        <f t="shared" si="166"/>
        <v>0</v>
      </c>
      <c r="AA398" s="251">
        <f t="shared" si="167"/>
        <v>0</v>
      </c>
    </row>
    <row r="399" customHeight="1" spans="1:27">
      <c r="A399" s="270">
        <v>16</v>
      </c>
      <c r="B399" s="270"/>
      <c r="C399" s="274"/>
      <c r="D399" s="274"/>
      <c r="E399" s="272">
        <f t="shared" si="155"/>
        <v>0</v>
      </c>
      <c r="F399" s="272">
        <f t="shared" si="156"/>
        <v>0</v>
      </c>
      <c r="G399" s="273"/>
      <c r="H399" s="274">
        <f t="shared" si="157"/>
        <v>0</v>
      </c>
      <c r="I399" s="273"/>
      <c r="J399" s="274">
        <f t="shared" si="158"/>
        <v>0</v>
      </c>
      <c r="K399" s="275"/>
      <c r="L399" s="274">
        <f t="shared" si="159"/>
        <v>0</v>
      </c>
      <c r="M399" s="273"/>
      <c r="N399" s="274">
        <f t="shared" si="160"/>
        <v>0</v>
      </c>
      <c r="O399" s="273"/>
      <c r="P399" s="274">
        <f t="shared" si="161"/>
        <v>0</v>
      </c>
      <c r="Q399" s="273"/>
      <c r="R399" s="274">
        <f t="shared" si="162"/>
        <v>0</v>
      </c>
      <c r="S399" s="273"/>
      <c r="T399" s="274">
        <f t="shared" si="163"/>
        <v>0</v>
      </c>
      <c r="U399" s="273"/>
      <c r="V399" s="274">
        <f t="shared" si="164"/>
        <v>0</v>
      </c>
      <c r="W399" s="273"/>
      <c r="X399" s="274">
        <f t="shared" si="165"/>
        <v>0</v>
      </c>
      <c r="Y399" s="273"/>
      <c r="Z399" s="274">
        <f t="shared" si="166"/>
        <v>0</v>
      </c>
      <c r="AA399" s="251">
        <f t="shared" si="167"/>
        <v>0</v>
      </c>
    </row>
    <row r="400" customHeight="1" spans="1:27">
      <c r="A400" s="270">
        <v>17</v>
      </c>
      <c r="B400" s="270"/>
      <c r="C400" s="274"/>
      <c r="D400" s="274"/>
      <c r="E400" s="272">
        <f t="shared" si="155"/>
        <v>0</v>
      </c>
      <c r="F400" s="272">
        <f t="shared" si="156"/>
        <v>0</v>
      </c>
      <c r="G400" s="273"/>
      <c r="H400" s="274">
        <f t="shared" si="157"/>
        <v>0</v>
      </c>
      <c r="I400" s="273"/>
      <c r="J400" s="274">
        <f t="shared" si="158"/>
        <v>0</v>
      </c>
      <c r="K400" s="275"/>
      <c r="L400" s="274">
        <f t="shared" si="159"/>
        <v>0</v>
      </c>
      <c r="M400" s="273"/>
      <c r="N400" s="274">
        <f t="shared" si="160"/>
        <v>0</v>
      </c>
      <c r="O400" s="273"/>
      <c r="P400" s="274">
        <f t="shared" si="161"/>
        <v>0</v>
      </c>
      <c r="Q400" s="273"/>
      <c r="R400" s="274">
        <f t="shared" si="162"/>
        <v>0</v>
      </c>
      <c r="S400" s="273"/>
      <c r="T400" s="274">
        <f t="shared" si="163"/>
        <v>0</v>
      </c>
      <c r="U400" s="273"/>
      <c r="V400" s="274">
        <f t="shared" si="164"/>
        <v>0</v>
      </c>
      <c r="W400" s="273"/>
      <c r="X400" s="274">
        <f t="shared" si="165"/>
        <v>0</v>
      </c>
      <c r="Y400" s="273"/>
      <c r="Z400" s="274">
        <f t="shared" si="166"/>
        <v>0</v>
      </c>
      <c r="AA400" s="251">
        <f t="shared" si="167"/>
        <v>0</v>
      </c>
    </row>
    <row r="401" customHeight="1" spans="1:27">
      <c r="A401" s="270">
        <v>18</v>
      </c>
      <c r="B401" s="270"/>
      <c r="C401" s="274"/>
      <c r="D401" s="274"/>
      <c r="E401" s="272">
        <f t="shared" si="155"/>
        <v>0</v>
      </c>
      <c r="F401" s="272">
        <f t="shared" si="156"/>
        <v>0</v>
      </c>
      <c r="G401" s="273"/>
      <c r="H401" s="274">
        <f t="shared" si="157"/>
        <v>0</v>
      </c>
      <c r="I401" s="273"/>
      <c r="J401" s="274">
        <f t="shared" si="158"/>
        <v>0</v>
      </c>
      <c r="K401" s="275"/>
      <c r="L401" s="274">
        <f t="shared" si="159"/>
        <v>0</v>
      </c>
      <c r="M401" s="273"/>
      <c r="N401" s="274">
        <f t="shared" si="160"/>
        <v>0</v>
      </c>
      <c r="O401" s="273"/>
      <c r="P401" s="274">
        <f t="shared" si="161"/>
        <v>0</v>
      </c>
      <c r="Q401" s="273"/>
      <c r="R401" s="274">
        <f t="shared" si="162"/>
        <v>0</v>
      </c>
      <c r="S401" s="273"/>
      <c r="T401" s="274">
        <f t="shared" si="163"/>
        <v>0</v>
      </c>
      <c r="U401" s="273"/>
      <c r="V401" s="274">
        <f t="shared" si="164"/>
        <v>0</v>
      </c>
      <c r="W401" s="273"/>
      <c r="X401" s="274">
        <f t="shared" si="165"/>
        <v>0</v>
      </c>
      <c r="Y401" s="273"/>
      <c r="Z401" s="274">
        <f t="shared" si="166"/>
        <v>0</v>
      </c>
      <c r="AA401" s="251">
        <f t="shared" si="167"/>
        <v>0</v>
      </c>
    </row>
    <row r="402" customHeight="1" spans="1:27">
      <c r="A402" s="270">
        <v>19</v>
      </c>
      <c r="B402" s="270"/>
      <c r="C402" s="274"/>
      <c r="D402" s="274"/>
      <c r="E402" s="272">
        <f t="shared" si="155"/>
        <v>0</v>
      </c>
      <c r="F402" s="272">
        <f t="shared" si="156"/>
        <v>0</v>
      </c>
      <c r="G402" s="273"/>
      <c r="H402" s="274">
        <f t="shared" si="157"/>
        <v>0</v>
      </c>
      <c r="I402" s="273"/>
      <c r="J402" s="274">
        <f t="shared" si="158"/>
        <v>0</v>
      </c>
      <c r="K402" s="275"/>
      <c r="L402" s="274">
        <f t="shared" si="159"/>
        <v>0</v>
      </c>
      <c r="M402" s="273"/>
      <c r="N402" s="274">
        <f t="shared" si="160"/>
        <v>0</v>
      </c>
      <c r="O402" s="273"/>
      <c r="P402" s="274">
        <f t="shared" si="161"/>
        <v>0</v>
      </c>
      <c r="Q402" s="273"/>
      <c r="R402" s="274">
        <f t="shared" si="162"/>
        <v>0</v>
      </c>
      <c r="S402" s="273"/>
      <c r="T402" s="274">
        <f t="shared" si="163"/>
        <v>0</v>
      </c>
      <c r="U402" s="273"/>
      <c r="V402" s="274">
        <f t="shared" si="164"/>
        <v>0</v>
      </c>
      <c r="W402" s="273"/>
      <c r="X402" s="274">
        <f t="shared" si="165"/>
        <v>0</v>
      </c>
      <c r="Y402" s="273"/>
      <c r="Z402" s="274">
        <f t="shared" si="166"/>
        <v>0</v>
      </c>
      <c r="AA402" s="251">
        <f t="shared" si="167"/>
        <v>0</v>
      </c>
    </row>
    <row r="403" customHeight="1" spans="1:27">
      <c r="A403" s="270">
        <v>20</v>
      </c>
      <c r="B403" s="270"/>
      <c r="C403" s="274"/>
      <c r="D403" s="274"/>
      <c r="E403" s="272">
        <f t="shared" si="155"/>
        <v>0</v>
      </c>
      <c r="F403" s="272">
        <f t="shared" si="156"/>
        <v>0</v>
      </c>
      <c r="G403" s="273"/>
      <c r="H403" s="274">
        <f t="shared" si="157"/>
        <v>0</v>
      </c>
      <c r="I403" s="273"/>
      <c r="J403" s="274">
        <f t="shared" si="158"/>
        <v>0</v>
      </c>
      <c r="K403" s="275"/>
      <c r="L403" s="274">
        <f t="shared" si="159"/>
        <v>0</v>
      </c>
      <c r="M403" s="273"/>
      <c r="N403" s="274">
        <f t="shared" si="160"/>
        <v>0</v>
      </c>
      <c r="O403" s="273"/>
      <c r="P403" s="274">
        <f t="shared" si="161"/>
        <v>0</v>
      </c>
      <c r="Q403" s="273"/>
      <c r="R403" s="274">
        <f t="shared" si="162"/>
        <v>0</v>
      </c>
      <c r="S403" s="273"/>
      <c r="T403" s="274">
        <f t="shared" si="163"/>
        <v>0</v>
      </c>
      <c r="U403" s="273"/>
      <c r="V403" s="274">
        <f t="shared" si="164"/>
        <v>0</v>
      </c>
      <c r="W403" s="273"/>
      <c r="X403" s="274">
        <f t="shared" si="165"/>
        <v>0</v>
      </c>
      <c r="Y403" s="273"/>
      <c r="Z403" s="274">
        <f t="shared" si="166"/>
        <v>0</v>
      </c>
      <c r="AA403" s="251">
        <f t="shared" si="167"/>
        <v>0</v>
      </c>
    </row>
    <row r="404" customHeight="1" spans="1:27">
      <c r="A404" s="270">
        <v>21</v>
      </c>
      <c r="B404" s="270"/>
      <c r="C404" s="274"/>
      <c r="D404" s="274"/>
      <c r="E404" s="272">
        <f t="shared" si="155"/>
        <v>0</v>
      </c>
      <c r="F404" s="272">
        <f t="shared" si="156"/>
        <v>0</v>
      </c>
      <c r="G404" s="273"/>
      <c r="H404" s="274">
        <f t="shared" si="157"/>
        <v>0</v>
      </c>
      <c r="I404" s="273"/>
      <c r="J404" s="274">
        <f t="shared" si="158"/>
        <v>0</v>
      </c>
      <c r="K404" s="275"/>
      <c r="L404" s="274">
        <f t="shared" si="159"/>
        <v>0</v>
      </c>
      <c r="M404" s="273"/>
      <c r="N404" s="274">
        <f t="shared" si="160"/>
        <v>0</v>
      </c>
      <c r="O404" s="273"/>
      <c r="P404" s="274">
        <f t="shared" si="161"/>
        <v>0</v>
      </c>
      <c r="Q404" s="273"/>
      <c r="R404" s="274">
        <f t="shared" si="162"/>
        <v>0</v>
      </c>
      <c r="S404" s="273"/>
      <c r="T404" s="274">
        <f t="shared" si="163"/>
        <v>0</v>
      </c>
      <c r="U404" s="273"/>
      <c r="V404" s="274">
        <f t="shared" si="164"/>
        <v>0</v>
      </c>
      <c r="W404" s="273"/>
      <c r="X404" s="274">
        <f t="shared" si="165"/>
        <v>0</v>
      </c>
      <c r="Y404" s="273"/>
      <c r="Z404" s="274">
        <f t="shared" si="166"/>
        <v>0</v>
      </c>
      <c r="AA404" s="251">
        <f t="shared" si="167"/>
        <v>0</v>
      </c>
    </row>
    <row r="405" customHeight="1" spans="1:27">
      <c r="A405" s="270">
        <v>22</v>
      </c>
      <c r="B405" s="270"/>
      <c r="C405" s="274"/>
      <c r="D405" s="274"/>
      <c r="E405" s="272">
        <f t="shared" si="155"/>
        <v>0</v>
      </c>
      <c r="F405" s="272">
        <f t="shared" si="156"/>
        <v>0</v>
      </c>
      <c r="G405" s="273"/>
      <c r="H405" s="274">
        <f t="shared" si="157"/>
        <v>0</v>
      </c>
      <c r="I405" s="273"/>
      <c r="J405" s="274">
        <f t="shared" si="158"/>
        <v>0</v>
      </c>
      <c r="K405" s="275"/>
      <c r="L405" s="274">
        <f t="shared" si="159"/>
        <v>0</v>
      </c>
      <c r="M405" s="273"/>
      <c r="N405" s="274">
        <f t="shared" si="160"/>
        <v>0</v>
      </c>
      <c r="O405" s="273"/>
      <c r="P405" s="274">
        <f t="shared" si="161"/>
        <v>0</v>
      </c>
      <c r="Q405" s="273"/>
      <c r="R405" s="274">
        <f t="shared" si="162"/>
        <v>0</v>
      </c>
      <c r="S405" s="273"/>
      <c r="T405" s="274">
        <f t="shared" si="163"/>
        <v>0</v>
      </c>
      <c r="U405" s="273"/>
      <c r="V405" s="274">
        <f t="shared" si="164"/>
        <v>0</v>
      </c>
      <c r="W405" s="273"/>
      <c r="X405" s="274">
        <f t="shared" si="165"/>
        <v>0</v>
      </c>
      <c r="Y405" s="273"/>
      <c r="Z405" s="274">
        <f t="shared" si="166"/>
        <v>0</v>
      </c>
      <c r="AA405" s="251">
        <f t="shared" si="167"/>
        <v>0</v>
      </c>
    </row>
    <row r="406" customHeight="1" spans="1:27">
      <c r="A406" s="270">
        <v>23</v>
      </c>
      <c r="B406" s="270"/>
      <c r="C406" s="274"/>
      <c r="D406" s="274"/>
      <c r="E406" s="272">
        <f t="shared" si="155"/>
        <v>0</v>
      </c>
      <c r="F406" s="272">
        <f t="shared" si="156"/>
        <v>0</v>
      </c>
      <c r="G406" s="273"/>
      <c r="H406" s="274">
        <f t="shared" si="157"/>
        <v>0</v>
      </c>
      <c r="I406" s="273"/>
      <c r="J406" s="274">
        <f t="shared" si="158"/>
        <v>0</v>
      </c>
      <c r="K406" s="275"/>
      <c r="L406" s="274">
        <f t="shared" si="159"/>
        <v>0</v>
      </c>
      <c r="M406" s="273"/>
      <c r="N406" s="274">
        <f t="shared" si="160"/>
        <v>0</v>
      </c>
      <c r="O406" s="273"/>
      <c r="P406" s="274">
        <f t="shared" si="161"/>
        <v>0</v>
      </c>
      <c r="Q406" s="273"/>
      <c r="R406" s="274">
        <f t="shared" si="162"/>
        <v>0</v>
      </c>
      <c r="S406" s="273"/>
      <c r="T406" s="274">
        <f t="shared" si="163"/>
        <v>0</v>
      </c>
      <c r="U406" s="273"/>
      <c r="V406" s="274">
        <f t="shared" si="164"/>
        <v>0</v>
      </c>
      <c r="W406" s="273"/>
      <c r="X406" s="274">
        <f t="shared" si="165"/>
        <v>0</v>
      </c>
      <c r="Y406" s="273"/>
      <c r="Z406" s="274">
        <f t="shared" si="166"/>
        <v>0</v>
      </c>
      <c r="AA406" s="251">
        <f t="shared" si="167"/>
        <v>0</v>
      </c>
    </row>
    <row r="407" customHeight="1" spans="1:27">
      <c r="A407" s="270">
        <v>25</v>
      </c>
      <c r="B407" s="270"/>
      <c r="C407" s="274"/>
      <c r="D407" s="274"/>
      <c r="E407" s="272">
        <f t="shared" si="155"/>
        <v>0</v>
      </c>
      <c r="F407" s="272">
        <f t="shared" si="156"/>
        <v>0</v>
      </c>
      <c r="G407" s="273"/>
      <c r="H407" s="274">
        <f t="shared" si="157"/>
        <v>0</v>
      </c>
      <c r="I407" s="273"/>
      <c r="J407" s="274">
        <f t="shared" si="158"/>
        <v>0</v>
      </c>
      <c r="K407" s="275"/>
      <c r="L407" s="274">
        <f t="shared" si="159"/>
        <v>0</v>
      </c>
      <c r="M407" s="273"/>
      <c r="N407" s="274">
        <f t="shared" si="160"/>
        <v>0</v>
      </c>
      <c r="O407" s="273"/>
      <c r="P407" s="274">
        <f t="shared" si="161"/>
        <v>0</v>
      </c>
      <c r="Q407" s="273"/>
      <c r="R407" s="274">
        <f t="shared" si="162"/>
        <v>0</v>
      </c>
      <c r="S407" s="273"/>
      <c r="T407" s="274">
        <f t="shared" si="163"/>
        <v>0</v>
      </c>
      <c r="U407" s="273"/>
      <c r="V407" s="274">
        <f t="shared" si="164"/>
        <v>0</v>
      </c>
      <c r="W407" s="273"/>
      <c r="X407" s="274">
        <f t="shared" si="165"/>
        <v>0</v>
      </c>
      <c r="Y407" s="273"/>
      <c r="Z407" s="274">
        <f t="shared" si="166"/>
        <v>0</v>
      </c>
      <c r="AA407" s="251">
        <f t="shared" si="167"/>
        <v>0</v>
      </c>
    </row>
    <row r="408" customHeight="1" spans="1:27">
      <c r="A408" s="270">
        <v>25</v>
      </c>
      <c r="B408" s="270"/>
      <c r="C408" s="274"/>
      <c r="D408" s="274"/>
      <c r="E408" s="272">
        <f t="shared" si="155"/>
        <v>0</v>
      </c>
      <c r="F408" s="272">
        <f t="shared" si="156"/>
        <v>0</v>
      </c>
      <c r="G408" s="273"/>
      <c r="H408" s="274">
        <f t="shared" si="157"/>
        <v>0</v>
      </c>
      <c r="I408" s="273"/>
      <c r="J408" s="274">
        <f t="shared" si="158"/>
        <v>0</v>
      </c>
      <c r="K408" s="275"/>
      <c r="L408" s="274">
        <f t="shared" si="159"/>
        <v>0</v>
      </c>
      <c r="M408" s="273"/>
      <c r="N408" s="274">
        <f t="shared" si="160"/>
        <v>0</v>
      </c>
      <c r="O408" s="273"/>
      <c r="P408" s="274">
        <f t="shared" si="161"/>
        <v>0</v>
      </c>
      <c r="Q408" s="273"/>
      <c r="R408" s="274">
        <f t="shared" si="162"/>
        <v>0</v>
      </c>
      <c r="S408" s="273"/>
      <c r="T408" s="274">
        <f t="shared" si="163"/>
        <v>0</v>
      </c>
      <c r="U408" s="273"/>
      <c r="V408" s="274">
        <f t="shared" si="164"/>
        <v>0</v>
      </c>
      <c r="W408" s="273"/>
      <c r="X408" s="274">
        <f t="shared" si="165"/>
        <v>0</v>
      </c>
      <c r="Y408" s="273"/>
      <c r="Z408" s="274">
        <f t="shared" si="166"/>
        <v>0</v>
      </c>
      <c r="AA408" s="251">
        <f t="shared" si="167"/>
        <v>0</v>
      </c>
    </row>
    <row r="409" customHeight="1" spans="1:27">
      <c r="A409" s="270">
        <v>26</v>
      </c>
      <c r="B409" s="270"/>
      <c r="C409" s="274"/>
      <c r="D409" s="274"/>
      <c r="E409" s="272">
        <f t="shared" si="155"/>
        <v>0</v>
      </c>
      <c r="F409" s="272">
        <f t="shared" si="156"/>
        <v>0</v>
      </c>
      <c r="G409" s="273"/>
      <c r="H409" s="274">
        <f t="shared" si="157"/>
        <v>0</v>
      </c>
      <c r="I409" s="273"/>
      <c r="J409" s="274">
        <f t="shared" si="158"/>
        <v>0</v>
      </c>
      <c r="K409" s="275"/>
      <c r="L409" s="274">
        <f t="shared" si="159"/>
        <v>0</v>
      </c>
      <c r="M409" s="273"/>
      <c r="N409" s="274">
        <f t="shared" si="160"/>
        <v>0</v>
      </c>
      <c r="O409" s="273"/>
      <c r="P409" s="274">
        <f t="shared" si="161"/>
        <v>0</v>
      </c>
      <c r="Q409" s="273"/>
      <c r="R409" s="274">
        <f t="shared" si="162"/>
        <v>0</v>
      </c>
      <c r="S409" s="273"/>
      <c r="T409" s="274">
        <f t="shared" si="163"/>
        <v>0</v>
      </c>
      <c r="U409" s="273"/>
      <c r="V409" s="274">
        <f t="shared" si="164"/>
        <v>0</v>
      </c>
      <c r="W409" s="273"/>
      <c r="X409" s="274">
        <f t="shared" si="165"/>
        <v>0</v>
      </c>
      <c r="Y409" s="273"/>
      <c r="Z409" s="274">
        <f t="shared" si="166"/>
        <v>0</v>
      </c>
      <c r="AA409" s="251">
        <f t="shared" si="167"/>
        <v>0</v>
      </c>
    </row>
    <row r="410" customHeight="1" spans="1:27">
      <c r="A410" s="270">
        <v>27</v>
      </c>
      <c r="B410" s="270"/>
      <c r="C410" s="274"/>
      <c r="D410" s="274"/>
      <c r="E410" s="272">
        <f t="shared" si="155"/>
        <v>0</v>
      </c>
      <c r="F410" s="272">
        <f t="shared" si="156"/>
        <v>0</v>
      </c>
      <c r="G410" s="273"/>
      <c r="H410" s="274">
        <f t="shared" si="157"/>
        <v>0</v>
      </c>
      <c r="I410" s="273"/>
      <c r="J410" s="274">
        <f t="shared" si="158"/>
        <v>0</v>
      </c>
      <c r="K410" s="275"/>
      <c r="L410" s="274">
        <f t="shared" si="159"/>
        <v>0</v>
      </c>
      <c r="M410" s="273"/>
      <c r="N410" s="274">
        <f t="shared" si="160"/>
        <v>0</v>
      </c>
      <c r="O410" s="273"/>
      <c r="P410" s="274">
        <f t="shared" si="161"/>
        <v>0</v>
      </c>
      <c r="Q410" s="273"/>
      <c r="R410" s="274">
        <f t="shared" si="162"/>
        <v>0</v>
      </c>
      <c r="S410" s="273"/>
      <c r="T410" s="274">
        <f t="shared" si="163"/>
        <v>0</v>
      </c>
      <c r="U410" s="273"/>
      <c r="V410" s="274">
        <f t="shared" si="164"/>
        <v>0</v>
      </c>
      <c r="W410" s="273"/>
      <c r="X410" s="274">
        <f t="shared" si="165"/>
        <v>0</v>
      </c>
      <c r="Y410" s="273"/>
      <c r="Z410" s="274">
        <f t="shared" si="166"/>
        <v>0</v>
      </c>
      <c r="AA410" s="251">
        <f t="shared" si="167"/>
        <v>0</v>
      </c>
    </row>
    <row r="411" customHeight="1" spans="1:27">
      <c r="A411" s="270">
        <v>28</v>
      </c>
      <c r="B411" s="270"/>
      <c r="C411" s="274"/>
      <c r="D411" s="274"/>
      <c r="E411" s="272">
        <f t="shared" si="155"/>
        <v>0</v>
      </c>
      <c r="F411" s="272">
        <f t="shared" si="156"/>
        <v>0</v>
      </c>
      <c r="G411" s="273"/>
      <c r="H411" s="274">
        <f t="shared" si="157"/>
        <v>0</v>
      </c>
      <c r="I411" s="273"/>
      <c r="J411" s="274">
        <f t="shared" si="158"/>
        <v>0</v>
      </c>
      <c r="K411" s="275"/>
      <c r="L411" s="274">
        <f t="shared" si="159"/>
        <v>0</v>
      </c>
      <c r="M411" s="273"/>
      <c r="N411" s="274">
        <f t="shared" si="160"/>
        <v>0</v>
      </c>
      <c r="O411" s="273"/>
      <c r="P411" s="274">
        <f t="shared" si="161"/>
        <v>0</v>
      </c>
      <c r="Q411" s="273"/>
      <c r="R411" s="274">
        <f t="shared" si="162"/>
        <v>0</v>
      </c>
      <c r="S411" s="273"/>
      <c r="T411" s="274">
        <f t="shared" si="163"/>
        <v>0</v>
      </c>
      <c r="U411" s="273"/>
      <c r="V411" s="274">
        <f t="shared" si="164"/>
        <v>0</v>
      </c>
      <c r="W411" s="273"/>
      <c r="X411" s="274">
        <f t="shared" si="165"/>
        <v>0</v>
      </c>
      <c r="Y411" s="273"/>
      <c r="Z411" s="274">
        <f t="shared" si="166"/>
        <v>0</v>
      </c>
      <c r="AA411" s="251">
        <f t="shared" si="167"/>
        <v>0</v>
      </c>
    </row>
    <row r="412" customHeight="1" spans="1:27">
      <c r="A412" s="270">
        <v>29</v>
      </c>
      <c r="B412" s="270"/>
      <c r="C412" s="274"/>
      <c r="D412" s="274"/>
      <c r="E412" s="272">
        <f t="shared" si="155"/>
        <v>0</v>
      </c>
      <c r="F412" s="272">
        <f t="shared" si="156"/>
        <v>0</v>
      </c>
      <c r="G412" s="273"/>
      <c r="H412" s="274">
        <f t="shared" si="157"/>
        <v>0</v>
      </c>
      <c r="I412" s="273"/>
      <c r="J412" s="274">
        <f t="shared" si="158"/>
        <v>0</v>
      </c>
      <c r="K412" s="275"/>
      <c r="L412" s="274">
        <f t="shared" si="159"/>
        <v>0</v>
      </c>
      <c r="M412" s="273"/>
      <c r="N412" s="274">
        <f t="shared" si="160"/>
        <v>0</v>
      </c>
      <c r="O412" s="273"/>
      <c r="P412" s="274">
        <f t="shared" si="161"/>
        <v>0</v>
      </c>
      <c r="Q412" s="273"/>
      <c r="R412" s="274">
        <f t="shared" si="162"/>
        <v>0</v>
      </c>
      <c r="S412" s="273"/>
      <c r="T412" s="274">
        <f t="shared" si="163"/>
        <v>0</v>
      </c>
      <c r="U412" s="273"/>
      <c r="V412" s="274">
        <f t="shared" si="164"/>
        <v>0</v>
      </c>
      <c r="W412" s="273"/>
      <c r="X412" s="274">
        <f t="shared" si="165"/>
        <v>0</v>
      </c>
      <c r="Y412" s="273"/>
      <c r="Z412" s="274">
        <f t="shared" si="166"/>
        <v>0</v>
      </c>
      <c r="AA412" s="251">
        <f t="shared" si="167"/>
        <v>0</v>
      </c>
    </row>
    <row r="413" customHeight="1" spans="1:27">
      <c r="A413" s="270">
        <v>30</v>
      </c>
      <c r="B413" s="270"/>
      <c r="C413" s="274"/>
      <c r="D413" s="274"/>
      <c r="E413" s="272">
        <f t="shared" si="155"/>
        <v>0</v>
      </c>
      <c r="F413" s="272">
        <f t="shared" si="156"/>
        <v>0</v>
      </c>
      <c r="G413" s="273"/>
      <c r="H413" s="274">
        <f t="shared" si="157"/>
        <v>0</v>
      </c>
      <c r="I413" s="273"/>
      <c r="J413" s="274">
        <f t="shared" si="158"/>
        <v>0</v>
      </c>
      <c r="K413" s="275"/>
      <c r="L413" s="274">
        <f t="shared" si="159"/>
        <v>0</v>
      </c>
      <c r="M413" s="273"/>
      <c r="N413" s="274">
        <f t="shared" si="160"/>
        <v>0</v>
      </c>
      <c r="O413" s="273"/>
      <c r="P413" s="274">
        <f t="shared" si="161"/>
        <v>0</v>
      </c>
      <c r="Q413" s="273"/>
      <c r="R413" s="274">
        <f t="shared" si="162"/>
        <v>0</v>
      </c>
      <c r="S413" s="273"/>
      <c r="T413" s="274">
        <f t="shared" si="163"/>
        <v>0</v>
      </c>
      <c r="U413" s="273"/>
      <c r="V413" s="274">
        <f t="shared" si="164"/>
        <v>0</v>
      </c>
      <c r="W413" s="273"/>
      <c r="X413" s="274">
        <f t="shared" si="165"/>
        <v>0</v>
      </c>
      <c r="Y413" s="273"/>
      <c r="Z413" s="274">
        <f t="shared" si="166"/>
        <v>0</v>
      </c>
      <c r="AA413" s="251">
        <f t="shared" si="167"/>
        <v>0</v>
      </c>
    </row>
    <row r="414" customHeight="1" spans="1:27">
      <c r="A414" s="276" t="s">
        <v>22</v>
      </c>
      <c r="B414" s="277"/>
      <c r="C414" s="261">
        <f t="shared" ref="C414:Z414" si="168">SUM(C384:C413)</f>
        <v>0</v>
      </c>
      <c r="D414" s="261">
        <f t="shared" si="168"/>
        <v>0</v>
      </c>
      <c r="E414" s="261">
        <f t="shared" si="168"/>
        <v>0</v>
      </c>
      <c r="F414" s="272">
        <f t="shared" si="168"/>
        <v>0</v>
      </c>
      <c r="G414" s="261">
        <f t="shared" si="168"/>
        <v>0</v>
      </c>
      <c r="H414" s="273">
        <f t="shared" si="168"/>
        <v>0</v>
      </c>
      <c r="I414" s="273">
        <f t="shared" si="168"/>
        <v>0</v>
      </c>
      <c r="J414" s="273">
        <f t="shared" si="168"/>
        <v>0</v>
      </c>
      <c r="K414" s="273">
        <f t="shared" si="168"/>
        <v>0</v>
      </c>
      <c r="L414" s="273">
        <f t="shared" si="168"/>
        <v>0</v>
      </c>
      <c r="M414" s="273">
        <f t="shared" si="168"/>
        <v>0</v>
      </c>
      <c r="N414" s="273">
        <f t="shared" si="168"/>
        <v>0</v>
      </c>
      <c r="O414" s="273">
        <f t="shared" si="168"/>
        <v>0</v>
      </c>
      <c r="P414" s="273">
        <f t="shared" si="168"/>
        <v>0</v>
      </c>
      <c r="Q414" s="273">
        <f t="shared" si="168"/>
        <v>0</v>
      </c>
      <c r="R414" s="273">
        <f t="shared" si="168"/>
        <v>0</v>
      </c>
      <c r="S414" s="273">
        <f t="shared" si="168"/>
        <v>0</v>
      </c>
      <c r="T414" s="273">
        <f t="shared" si="168"/>
        <v>0</v>
      </c>
      <c r="U414" s="273">
        <f t="shared" si="168"/>
        <v>0</v>
      </c>
      <c r="V414" s="273">
        <f t="shared" si="168"/>
        <v>0</v>
      </c>
      <c r="W414" s="273">
        <f t="shared" si="168"/>
        <v>0</v>
      </c>
      <c r="X414" s="273">
        <f t="shared" si="168"/>
        <v>0</v>
      </c>
      <c r="Y414" s="273">
        <f t="shared" si="168"/>
        <v>0</v>
      </c>
      <c r="Z414" s="273">
        <f t="shared" si="168"/>
        <v>0</v>
      </c>
    </row>
    <row r="415" customHeight="1" spans="1:27">
      <c r="B415" s="280"/>
      <c r="C415" s="281"/>
      <c r="D415" s="281"/>
      <c r="E415" s="281"/>
      <c r="F415" s="281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 customHeight="1" spans="1:27">
      <c r="B416" s="280"/>
      <c r="C416" s="281"/>
      <c r="D416" s="281"/>
      <c r="E416" s="281"/>
      <c r="F416" s="281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8" customHeight="1" spans="1:27">
      <c r="B418" s="257" t="s">
        <v>65</v>
      </c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  <c r="Z418" s="258"/>
    </row>
    <row r="420" customHeight="1" spans="1:27">
      <c r="A420" s="259" t="s">
        <v>31</v>
      </c>
      <c r="B420" s="260" t="s">
        <v>32</v>
      </c>
      <c r="C420" s="261" t="s">
        <v>33</v>
      </c>
      <c r="D420" s="261" t="s">
        <v>34</v>
      </c>
      <c r="E420" s="262" t="s">
        <v>35</v>
      </c>
      <c r="F420" s="262" t="s">
        <v>36</v>
      </c>
      <c r="G420" s="263" t="str">
        <f>立项!$A$3</f>
        <v>RD01</v>
      </c>
      <c r="H420" s="264"/>
      <c r="I420" s="264" t="str">
        <f>立项!$A$4</f>
        <v>RD02</v>
      </c>
      <c r="J420" s="264"/>
      <c r="K420" s="264" t="str">
        <f>立项!$A$5</f>
        <v>RD03</v>
      </c>
      <c r="L420" s="264"/>
      <c r="M420" s="264" t="str">
        <f>立项!$A$6</f>
        <v>RD04</v>
      </c>
      <c r="N420" s="264"/>
      <c r="O420" s="264" t="str">
        <f>立项!$A$7</f>
        <v>RD05</v>
      </c>
      <c r="P420" s="264"/>
      <c r="Q420" s="264" t="str">
        <f>立项!$A$8</f>
        <v>RD06</v>
      </c>
      <c r="R420" s="264"/>
      <c r="S420" s="264" t="str">
        <f>立项!$A$9</f>
        <v>RD07</v>
      </c>
      <c r="T420" s="264"/>
      <c r="U420" s="264" t="str">
        <f>立项!$A$10</f>
        <v>RD08</v>
      </c>
      <c r="V420" s="264"/>
      <c r="W420" s="264" t="str">
        <f>立项!$A$11</f>
        <v>RD09</v>
      </c>
      <c r="X420" s="264"/>
      <c r="Y420" s="264" t="str">
        <f>立项!$A$12</f>
        <v>RD10</v>
      </c>
      <c r="Z420" s="264"/>
    </row>
    <row r="421" customHeight="1" spans="1:27">
      <c r="A421" s="265"/>
      <c r="B421" s="260"/>
      <c r="C421" s="261"/>
      <c r="D421" s="261"/>
      <c r="E421" s="262"/>
      <c r="F421" s="262"/>
      <c r="G421" s="267">
        <f>立项!C3</f>
        <v>0</v>
      </c>
      <c r="H421" s="263"/>
      <c r="I421" s="267">
        <f>立项!C4</f>
        <v>0</v>
      </c>
      <c r="J421" s="263"/>
      <c r="K421" s="267">
        <f>立项!C5</f>
        <v>0</v>
      </c>
      <c r="L421" s="263"/>
      <c r="M421" s="267">
        <f>立项!C6</f>
        <v>0</v>
      </c>
      <c r="N421" s="263"/>
      <c r="O421" s="267">
        <f>立项!C7</f>
        <v>0</v>
      </c>
      <c r="P421" s="263"/>
      <c r="Q421" s="267">
        <f>立项!C8</f>
        <v>0</v>
      </c>
      <c r="R421" s="263"/>
      <c r="S421" s="267">
        <f>立项!C9</f>
        <v>0</v>
      </c>
      <c r="T421" s="263"/>
      <c r="U421" s="267">
        <f>立项!C10</f>
        <v>0</v>
      </c>
      <c r="V421" s="263"/>
      <c r="W421" s="267">
        <f>立项!C11</f>
        <v>0</v>
      </c>
      <c r="X421" s="263"/>
      <c r="Y421" s="264">
        <f>立项!C12</f>
        <v>0</v>
      </c>
      <c r="Z421" s="264"/>
    </row>
    <row r="422" customHeight="1" spans="1:27">
      <c r="A422" s="268"/>
      <c r="B422" s="260"/>
      <c r="C422" s="261"/>
      <c r="D422" s="261"/>
      <c r="E422" s="262"/>
      <c r="F422" s="262"/>
      <c r="G422" s="264" t="s">
        <v>39</v>
      </c>
      <c r="H422" s="269" t="s">
        <v>40</v>
      </c>
      <c r="I422" s="264" t="s">
        <v>39</v>
      </c>
      <c r="J422" s="269" t="s">
        <v>40</v>
      </c>
      <c r="K422" s="264" t="s">
        <v>39</v>
      </c>
      <c r="L422" s="269" t="s">
        <v>40</v>
      </c>
      <c r="M422" s="264" t="s">
        <v>39</v>
      </c>
      <c r="N422" s="269" t="s">
        <v>40</v>
      </c>
      <c r="O422" s="264" t="s">
        <v>39</v>
      </c>
      <c r="P422" s="269" t="s">
        <v>40</v>
      </c>
      <c r="Q422" s="264" t="s">
        <v>39</v>
      </c>
      <c r="R422" s="269" t="s">
        <v>40</v>
      </c>
      <c r="S422" s="264" t="s">
        <v>39</v>
      </c>
      <c r="T422" s="269" t="s">
        <v>40</v>
      </c>
      <c r="U422" s="264" t="s">
        <v>39</v>
      </c>
      <c r="V422" s="269" t="s">
        <v>40</v>
      </c>
      <c r="W422" s="264" t="s">
        <v>39</v>
      </c>
      <c r="X422" s="269" t="s">
        <v>40</v>
      </c>
      <c r="Y422" s="264" t="s">
        <v>39</v>
      </c>
      <c r="Z422" s="269" t="s">
        <v>40</v>
      </c>
    </row>
    <row r="423" customHeight="1" spans="1:27">
      <c r="A423" s="270">
        <v>1</v>
      </c>
      <c r="B423" s="324"/>
      <c r="C423" s="272"/>
      <c r="D423" s="272"/>
      <c r="E423" s="272">
        <f t="shared" ref="E423:E452" si="169">G423+I423+K423+M423+O423+Q423+S423+U423+W423+Y423</f>
        <v>0</v>
      </c>
      <c r="F423" s="272">
        <f t="shared" ref="F423:F452" si="170">H423+J423+L423+N423+P423+R423+T423+V423+X423+Z423</f>
        <v>0</v>
      </c>
      <c r="G423" s="273"/>
      <c r="H423" s="274">
        <f t="shared" ref="H423:H452" si="171">IF($D423=0,0,ROUND(G423/$D423*$C423,2))</f>
        <v>0</v>
      </c>
      <c r="I423" s="273"/>
      <c r="J423" s="274">
        <f t="shared" ref="J423:J452" si="172">IF($D423=0,0,ROUND(I423/$D423*$C423,2))</f>
        <v>0</v>
      </c>
      <c r="K423" s="275"/>
      <c r="L423" s="274">
        <f t="shared" ref="L423:L452" si="173">IF($D423=0,0,ROUND(K423/$D423*$C423,2))</f>
        <v>0</v>
      </c>
      <c r="M423" s="273"/>
      <c r="N423" s="274">
        <f t="shared" ref="N423:N452" si="174">IF($D423=0,0,ROUND(M423/$D423*$C423,2))</f>
        <v>0</v>
      </c>
      <c r="O423" s="273"/>
      <c r="P423" s="274">
        <f t="shared" ref="P423:P452" si="175">IF($D423=0,0,ROUND(O423/$D423*$C423,2))</f>
        <v>0</v>
      </c>
      <c r="Q423" s="273"/>
      <c r="R423" s="274">
        <f t="shared" ref="R423:R452" si="176">IF($D423=0,0,ROUND(Q423/$D423*$C423,2))</f>
        <v>0</v>
      </c>
      <c r="S423" s="273"/>
      <c r="T423" s="274">
        <f t="shared" ref="T423:T452" si="177">IF($D423=0,0,ROUND(S423/$D423*$C423,2))</f>
        <v>0</v>
      </c>
      <c r="U423" s="273"/>
      <c r="V423" s="274">
        <f t="shared" ref="V423:V452" si="178">IF($D423=0,0,ROUND(U423/$D423*$C423,2))</f>
        <v>0</v>
      </c>
      <c r="W423" s="273"/>
      <c r="X423" s="274">
        <f t="shared" ref="X423:X452" si="179">IF($D423=0,0,ROUND(W423/$D423*$C423,2))</f>
        <v>0</v>
      </c>
      <c r="Y423" s="273"/>
      <c r="Z423" s="274">
        <f t="shared" ref="Z423:Z452" si="180">IF($D423=0,0,ROUND(Y423/$D423*$C423,2))</f>
        <v>0</v>
      </c>
      <c r="AA423" s="251">
        <f t="shared" ref="AA423:AA452" si="181">D423-E423</f>
        <v>0</v>
      </c>
    </row>
    <row r="424" customHeight="1" spans="1:27">
      <c r="A424" s="270">
        <v>2</v>
      </c>
      <c r="B424" s="324"/>
      <c r="C424" s="272"/>
      <c r="D424" s="272"/>
      <c r="E424" s="272">
        <f t="shared" si="169"/>
        <v>0</v>
      </c>
      <c r="F424" s="272">
        <f t="shared" si="170"/>
        <v>0</v>
      </c>
      <c r="G424" s="273"/>
      <c r="H424" s="274">
        <f t="shared" si="171"/>
        <v>0</v>
      </c>
      <c r="I424" s="273"/>
      <c r="J424" s="274">
        <f t="shared" si="172"/>
        <v>0</v>
      </c>
      <c r="K424" s="275"/>
      <c r="L424" s="274">
        <f t="shared" si="173"/>
        <v>0</v>
      </c>
      <c r="M424" s="273"/>
      <c r="N424" s="274">
        <f t="shared" si="174"/>
        <v>0</v>
      </c>
      <c r="O424" s="273"/>
      <c r="P424" s="274">
        <f t="shared" si="175"/>
        <v>0</v>
      </c>
      <c r="Q424" s="273"/>
      <c r="R424" s="274">
        <f t="shared" si="176"/>
        <v>0</v>
      </c>
      <c r="S424" s="273"/>
      <c r="T424" s="274">
        <f t="shared" si="177"/>
        <v>0</v>
      </c>
      <c r="U424" s="273"/>
      <c r="V424" s="274">
        <f t="shared" si="178"/>
        <v>0</v>
      </c>
      <c r="W424" s="273"/>
      <c r="X424" s="274">
        <f t="shared" si="179"/>
        <v>0</v>
      </c>
      <c r="Y424" s="273"/>
      <c r="Z424" s="274">
        <f t="shared" si="180"/>
        <v>0</v>
      </c>
      <c r="AA424" s="251">
        <f t="shared" si="181"/>
        <v>0</v>
      </c>
    </row>
    <row r="425" customHeight="1" spans="1:27">
      <c r="A425" s="270">
        <v>3</v>
      </c>
      <c r="B425" s="324"/>
      <c r="C425" s="272"/>
      <c r="D425" s="272"/>
      <c r="E425" s="272">
        <f t="shared" si="169"/>
        <v>0</v>
      </c>
      <c r="F425" s="272">
        <f t="shared" si="170"/>
        <v>0</v>
      </c>
      <c r="G425" s="273"/>
      <c r="H425" s="274">
        <f t="shared" si="171"/>
        <v>0</v>
      </c>
      <c r="I425" s="273"/>
      <c r="J425" s="274">
        <f t="shared" si="172"/>
        <v>0</v>
      </c>
      <c r="K425" s="275"/>
      <c r="L425" s="274">
        <f t="shared" si="173"/>
        <v>0</v>
      </c>
      <c r="M425" s="273"/>
      <c r="N425" s="274">
        <f t="shared" si="174"/>
        <v>0</v>
      </c>
      <c r="O425" s="273"/>
      <c r="P425" s="274">
        <f t="shared" si="175"/>
        <v>0</v>
      </c>
      <c r="Q425" s="273"/>
      <c r="R425" s="274">
        <f t="shared" si="176"/>
        <v>0</v>
      </c>
      <c r="S425" s="273"/>
      <c r="T425" s="274">
        <f t="shared" si="177"/>
        <v>0</v>
      </c>
      <c r="U425" s="273"/>
      <c r="V425" s="274">
        <f t="shared" si="178"/>
        <v>0</v>
      </c>
      <c r="W425" s="273"/>
      <c r="X425" s="274">
        <f t="shared" si="179"/>
        <v>0</v>
      </c>
      <c r="Y425" s="273"/>
      <c r="Z425" s="274">
        <f t="shared" si="180"/>
        <v>0</v>
      </c>
      <c r="AA425" s="251">
        <f t="shared" si="181"/>
        <v>0</v>
      </c>
    </row>
    <row r="426" customHeight="1" spans="1:27">
      <c r="A426" s="270">
        <v>4</v>
      </c>
      <c r="B426" s="324"/>
      <c r="C426" s="272"/>
      <c r="D426" s="272"/>
      <c r="E426" s="272">
        <f t="shared" si="169"/>
        <v>0</v>
      </c>
      <c r="F426" s="272">
        <f t="shared" si="170"/>
        <v>0</v>
      </c>
      <c r="G426" s="273"/>
      <c r="H426" s="274">
        <f t="shared" si="171"/>
        <v>0</v>
      </c>
      <c r="I426" s="273"/>
      <c r="J426" s="274">
        <f t="shared" si="172"/>
        <v>0</v>
      </c>
      <c r="K426" s="275"/>
      <c r="L426" s="274">
        <f t="shared" si="173"/>
        <v>0</v>
      </c>
      <c r="M426" s="273"/>
      <c r="N426" s="274">
        <f t="shared" si="174"/>
        <v>0</v>
      </c>
      <c r="O426" s="273"/>
      <c r="P426" s="274">
        <f t="shared" si="175"/>
        <v>0</v>
      </c>
      <c r="Q426" s="273"/>
      <c r="R426" s="274">
        <f t="shared" si="176"/>
        <v>0</v>
      </c>
      <c r="S426" s="273"/>
      <c r="T426" s="274">
        <f t="shared" si="177"/>
        <v>0</v>
      </c>
      <c r="U426" s="273"/>
      <c r="V426" s="274">
        <f t="shared" si="178"/>
        <v>0</v>
      </c>
      <c r="W426" s="273"/>
      <c r="X426" s="274">
        <f t="shared" si="179"/>
        <v>0</v>
      </c>
      <c r="Y426" s="273"/>
      <c r="Z426" s="274">
        <f t="shared" si="180"/>
        <v>0</v>
      </c>
      <c r="AA426" s="251">
        <f t="shared" si="181"/>
        <v>0</v>
      </c>
    </row>
    <row r="427" customHeight="1" spans="1:27">
      <c r="A427" s="270">
        <v>5</v>
      </c>
      <c r="B427" s="324"/>
      <c r="C427" s="272"/>
      <c r="D427" s="272"/>
      <c r="E427" s="272">
        <f t="shared" si="169"/>
        <v>0</v>
      </c>
      <c r="F427" s="272">
        <f t="shared" si="170"/>
        <v>0</v>
      </c>
      <c r="G427" s="273"/>
      <c r="H427" s="274">
        <f t="shared" si="171"/>
        <v>0</v>
      </c>
      <c r="I427" s="273"/>
      <c r="J427" s="274">
        <f t="shared" si="172"/>
        <v>0</v>
      </c>
      <c r="K427" s="275"/>
      <c r="L427" s="274">
        <f t="shared" si="173"/>
        <v>0</v>
      </c>
      <c r="M427" s="273"/>
      <c r="N427" s="274">
        <f t="shared" si="174"/>
        <v>0</v>
      </c>
      <c r="O427" s="273"/>
      <c r="P427" s="274">
        <f t="shared" si="175"/>
        <v>0</v>
      </c>
      <c r="Q427" s="273"/>
      <c r="R427" s="274">
        <f t="shared" si="176"/>
        <v>0</v>
      </c>
      <c r="S427" s="273"/>
      <c r="T427" s="274">
        <f t="shared" si="177"/>
        <v>0</v>
      </c>
      <c r="U427" s="273"/>
      <c r="V427" s="274">
        <f t="shared" si="178"/>
        <v>0</v>
      </c>
      <c r="W427" s="273"/>
      <c r="X427" s="274">
        <f t="shared" si="179"/>
        <v>0</v>
      </c>
      <c r="Y427" s="273"/>
      <c r="Z427" s="274">
        <f t="shared" si="180"/>
        <v>0</v>
      </c>
      <c r="AA427" s="251">
        <f t="shared" si="181"/>
        <v>0</v>
      </c>
    </row>
    <row r="428" customHeight="1" spans="1:27">
      <c r="A428" s="270">
        <v>6</v>
      </c>
      <c r="B428" s="324"/>
      <c r="C428" s="274"/>
      <c r="D428" s="274"/>
      <c r="E428" s="272">
        <f t="shared" si="169"/>
        <v>0</v>
      </c>
      <c r="F428" s="272">
        <f t="shared" si="170"/>
        <v>0</v>
      </c>
      <c r="G428" s="273"/>
      <c r="H428" s="274">
        <f t="shared" si="171"/>
        <v>0</v>
      </c>
      <c r="I428" s="273"/>
      <c r="J428" s="274">
        <f t="shared" si="172"/>
        <v>0</v>
      </c>
      <c r="K428" s="275"/>
      <c r="L428" s="274">
        <f t="shared" si="173"/>
        <v>0</v>
      </c>
      <c r="M428" s="273"/>
      <c r="N428" s="274">
        <f t="shared" si="174"/>
        <v>0</v>
      </c>
      <c r="O428" s="273"/>
      <c r="P428" s="274">
        <f t="shared" si="175"/>
        <v>0</v>
      </c>
      <c r="Q428" s="273"/>
      <c r="R428" s="274">
        <f t="shared" si="176"/>
        <v>0</v>
      </c>
      <c r="S428" s="273"/>
      <c r="T428" s="274">
        <f t="shared" si="177"/>
        <v>0</v>
      </c>
      <c r="U428" s="273"/>
      <c r="V428" s="274">
        <f t="shared" si="178"/>
        <v>0</v>
      </c>
      <c r="W428" s="273"/>
      <c r="X428" s="274">
        <f t="shared" si="179"/>
        <v>0</v>
      </c>
      <c r="Y428" s="273"/>
      <c r="Z428" s="274">
        <f t="shared" si="180"/>
        <v>0</v>
      </c>
      <c r="AA428" s="251">
        <f t="shared" si="181"/>
        <v>0</v>
      </c>
    </row>
    <row r="429" customHeight="1" spans="1:27">
      <c r="A429" s="270">
        <v>7</v>
      </c>
      <c r="B429" s="324"/>
      <c r="C429" s="274"/>
      <c r="D429" s="274"/>
      <c r="E429" s="272">
        <f t="shared" si="169"/>
        <v>0</v>
      </c>
      <c r="F429" s="272">
        <f t="shared" si="170"/>
        <v>0</v>
      </c>
      <c r="G429" s="273"/>
      <c r="H429" s="274">
        <f t="shared" si="171"/>
        <v>0</v>
      </c>
      <c r="I429" s="273"/>
      <c r="J429" s="274">
        <f t="shared" si="172"/>
        <v>0</v>
      </c>
      <c r="K429" s="275"/>
      <c r="L429" s="274">
        <f t="shared" si="173"/>
        <v>0</v>
      </c>
      <c r="M429" s="273"/>
      <c r="N429" s="274">
        <f t="shared" si="174"/>
        <v>0</v>
      </c>
      <c r="O429" s="273"/>
      <c r="P429" s="274">
        <f t="shared" si="175"/>
        <v>0</v>
      </c>
      <c r="Q429" s="273"/>
      <c r="R429" s="274">
        <f t="shared" si="176"/>
        <v>0</v>
      </c>
      <c r="S429" s="273"/>
      <c r="T429" s="274">
        <f t="shared" si="177"/>
        <v>0</v>
      </c>
      <c r="U429" s="273"/>
      <c r="V429" s="274">
        <f t="shared" si="178"/>
        <v>0</v>
      </c>
      <c r="W429" s="273"/>
      <c r="X429" s="274">
        <f t="shared" si="179"/>
        <v>0</v>
      </c>
      <c r="Y429" s="273"/>
      <c r="Z429" s="274">
        <f t="shared" si="180"/>
        <v>0</v>
      </c>
      <c r="AA429" s="251">
        <f t="shared" si="181"/>
        <v>0</v>
      </c>
    </row>
    <row r="430" customHeight="1" spans="1:27">
      <c r="A430" s="270">
        <v>8</v>
      </c>
      <c r="B430" s="324"/>
      <c r="C430" s="274"/>
      <c r="D430" s="274"/>
      <c r="E430" s="272">
        <f t="shared" si="169"/>
        <v>0</v>
      </c>
      <c r="F430" s="272">
        <f t="shared" si="170"/>
        <v>0</v>
      </c>
      <c r="G430" s="273"/>
      <c r="H430" s="274">
        <f t="shared" si="171"/>
        <v>0</v>
      </c>
      <c r="I430" s="273"/>
      <c r="J430" s="274">
        <f t="shared" si="172"/>
        <v>0</v>
      </c>
      <c r="K430" s="275"/>
      <c r="L430" s="274">
        <f t="shared" si="173"/>
        <v>0</v>
      </c>
      <c r="M430" s="273"/>
      <c r="N430" s="274">
        <f t="shared" si="174"/>
        <v>0</v>
      </c>
      <c r="O430" s="273"/>
      <c r="P430" s="274">
        <f t="shared" si="175"/>
        <v>0</v>
      </c>
      <c r="Q430" s="273"/>
      <c r="R430" s="274">
        <f t="shared" si="176"/>
        <v>0</v>
      </c>
      <c r="S430" s="273"/>
      <c r="T430" s="274">
        <f t="shared" si="177"/>
        <v>0</v>
      </c>
      <c r="U430" s="273"/>
      <c r="V430" s="274">
        <f t="shared" si="178"/>
        <v>0</v>
      </c>
      <c r="W430" s="273"/>
      <c r="X430" s="274">
        <f t="shared" si="179"/>
        <v>0</v>
      </c>
      <c r="Y430" s="273"/>
      <c r="Z430" s="274">
        <f t="shared" si="180"/>
        <v>0</v>
      </c>
      <c r="AA430" s="251">
        <f t="shared" si="181"/>
        <v>0</v>
      </c>
    </row>
    <row r="431" customHeight="1" spans="1:27">
      <c r="A431" s="270">
        <v>9</v>
      </c>
      <c r="B431" s="324"/>
      <c r="C431" s="274"/>
      <c r="D431" s="274"/>
      <c r="E431" s="272">
        <f t="shared" si="169"/>
        <v>0</v>
      </c>
      <c r="F431" s="272">
        <f t="shared" si="170"/>
        <v>0</v>
      </c>
      <c r="G431" s="273"/>
      <c r="H431" s="274">
        <f t="shared" si="171"/>
        <v>0</v>
      </c>
      <c r="I431" s="273"/>
      <c r="J431" s="274">
        <f t="shared" si="172"/>
        <v>0</v>
      </c>
      <c r="K431" s="275"/>
      <c r="L431" s="274">
        <f t="shared" si="173"/>
        <v>0</v>
      </c>
      <c r="M431" s="273"/>
      <c r="N431" s="274">
        <f t="shared" si="174"/>
        <v>0</v>
      </c>
      <c r="O431" s="273"/>
      <c r="P431" s="274">
        <f t="shared" si="175"/>
        <v>0</v>
      </c>
      <c r="Q431" s="273"/>
      <c r="R431" s="274">
        <f t="shared" si="176"/>
        <v>0</v>
      </c>
      <c r="S431" s="273"/>
      <c r="T431" s="274">
        <f t="shared" si="177"/>
        <v>0</v>
      </c>
      <c r="U431" s="273"/>
      <c r="V431" s="274">
        <f t="shared" si="178"/>
        <v>0</v>
      </c>
      <c r="W431" s="273"/>
      <c r="X431" s="274">
        <f t="shared" si="179"/>
        <v>0</v>
      </c>
      <c r="Y431" s="273"/>
      <c r="Z431" s="274">
        <f t="shared" si="180"/>
        <v>0</v>
      </c>
      <c r="AA431" s="251">
        <f t="shared" si="181"/>
        <v>0</v>
      </c>
    </row>
    <row r="432" customHeight="1" spans="1:27">
      <c r="A432" s="270">
        <v>10</v>
      </c>
      <c r="B432" s="270"/>
      <c r="C432" s="274"/>
      <c r="D432" s="274"/>
      <c r="E432" s="272">
        <f t="shared" si="169"/>
        <v>0</v>
      </c>
      <c r="F432" s="272">
        <f t="shared" si="170"/>
        <v>0</v>
      </c>
      <c r="G432" s="273"/>
      <c r="H432" s="274">
        <f t="shared" si="171"/>
        <v>0</v>
      </c>
      <c r="I432" s="273"/>
      <c r="J432" s="274">
        <f t="shared" si="172"/>
        <v>0</v>
      </c>
      <c r="K432" s="275"/>
      <c r="L432" s="274">
        <f t="shared" si="173"/>
        <v>0</v>
      </c>
      <c r="M432" s="273"/>
      <c r="N432" s="274">
        <f t="shared" si="174"/>
        <v>0</v>
      </c>
      <c r="O432" s="273"/>
      <c r="P432" s="274">
        <f t="shared" si="175"/>
        <v>0</v>
      </c>
      <c r="Q432" s="273"/>
      <c r="R432" s="274">
        <f t="shared" si="176"/>
        <v>0</v>
      </c>
      <c r="S432" s="273"/>
      <c r="T432" s="274">
        <f t="shared" si="177"/>
        <v>0</v>
      </c>
      <c r="U432" s="273"/>
      <c r="V432" s="274">
        <f t="shared" si="178"/>
        <v>0</v>
      </c>
      <c r="W432" s="273"/>
      <c r="X432" s="274">
        <f t="shared" si="179"/>
        <v>0</v>
      </c>
      <c r="Y432" s="273"/>
      <c r="Z432" s="274">
        <f t="shared" si="180"/>
        <v>0</v>
      </c>
      <c r="AA432" s="251">
        <f t="shared" si="181"/>
        <v>0</v>
      </c>
    </row>
    <row r="433" customHeight="1" spans="1:27">
      <c r="A433" s="270">
        <v>11</v>
      </c>
      <c r="B433" s="270"/>
      <c r="C433" s="274"/>
      <c r="D433" s="274"/>
      <c r="E433" s="272">
        <f t="shared" si="169"/>
        <v>0</v>
      </c>
      <c r="F433" s="272">
        <f t="shared" si="170"/>
        <v>0</v>
      </c>
      <c r="G433" s="273"/>
      <c r="H433" s="274">
        <f t="shared" si="171"/>
        <v>0</v>
      </c>
      <c r="I433" s="273"/>
      <c r="J433" s="274">
        <f t="shared" si="172"/>
        <v>0</v>
      </c>
      <c r="K433" s="275"/>
      <c r="L433" s="274">
        <f t="shared" si="173"/>
        <v>0</v>
      </c>
      <c r="M433" s="273"/>
      <c r="N433" s="274">
        <f t="shared" si="174"/>
        <v>0</v>
      </c>
      <c r="O433" s="273"/>
      <c r="P433" s="274">
        <f t="shared" si="175"/>
        <v>0</v>
      </c>
      <c r="Q433" s="273"/>
      <c r="R433" s="274">
        <f t="shared" si="176"/>
        <v>0</v>
      </c>
      <c r="S433" s="273"/>
      <c r="T433" s="274">
        <f t="shared" si="177"/>
        <v>0</v>
      </c>
      <c r="U433" s="273"/>
      <c r="V433" s="274">
        <f t="shared" si="178"/>
        <v>0</v>
      </c>
      <c r="W433" s="273"/>
      <c r="X433" s="274">
        <f t="shared" si="179"/>
        <v>0</v>
      </c>
      <c r="Y433" s="273"/>
      <c r="Z433" s="274">
        <f t="shared" si="180"/>
        <v>0</v>
      </c>
      <c r="AA433" s="251">
        <f t="shared" si="181"/>
        <v>0</v>
      </c>
    </row>
    <row r="434" customHeight="1" spans="1:27">
      <c r="A434" s="270">
        <v>12</v>
      </c>
      <c r="B434" s="270"/>
      <c r="C434" s="274"/>
      <c r="D434" s="274"/>
      <c r="E434" s="272">
        <f t="shared" si="169"/>
        <v>0</v>
      </c>
      <c r="F434" s="272">
        <f t="shared" si="170"/>
        <v>0</v>
      </c>
      <c r="G434" s="273"/>
      <c r="H434" s="274">
        <f t="shared" si="171"/>
        <v>0</v>
      </c>
      <c r="I434" s="273"/>
      <c r="J434" s="274">
        <f t="shared" si="172"/>
        <v>0</v>
      </c>
      <c r="K434" s="275"/>
      <c r="L434" s="274">
        <f t="shared" si="173"/>
        <v>0</v>
      </c>
      <c r="M434" s="273"/>
      <c r="N434" s="274">
        <f t="shared" si="174"/>
        <v>0</v>
      </c>
      <c r="O434" s="273"/>
      <c r="P434" s="274">
        <f t="shared" si="175"/>
        <v>0</v>
      </c>
      <c r="Q434" s="273"/>
      <c r="R434" s="274">
        <f t="shared" si="176"/>
        <v>0</v>
      </c>
      <c r="S434" s="273"/>
      <c r="T434" s="274">
        <f t="shared" si="177"/>
        <v>0</v>
      </c>
      <c r="U434" s="273"/>
      <c r="V434" s="274">
        <f t="shared" si="178"/>
        <v>0</v>
      </c>
      <c r="W434" s="273"/>
      <c r="X434" s="274">
        <f t="shared" si="179"/>
        <v>0</v>
      </c>
      <c r="Y434" s="273"/>
      <c r="Z434" s="274">
        <f t="shared" si="180"/>
        <v>0</v>
      </c>
      <c r="AA434" s="251">
        <f t="shared" si="181"/>
        <v>0</v>
      </c>
    </row>
    <row r="435" customHeight="1" spans="1:27">
      <c r="A435" s="270">
        <v>13</v>
      </c>
      <c r="B435" s="270"/>
      <c r="C435" s="274"/>
      <c r="D435" s="274"/>
      <c r="E435" s="272">
        <f t="shared" si="169"/>
        <v>0</v>
      </c>
      <c r="F435" s="272">
        <f t="shared" si="170"/>
        <v>0</v>
      </c>
      <c r="G435" s="273"/>
      <c r="H435" s="274">
        <f t="shared" si="171"/>
        <v>0</v>
      </c>
      <c r="I435" s="273"/>
      <c r="J435" s="274">
        <f t="shared" si="172"/>
        <v>0</v>
      </c>
      <c r="K435" s="275"/>
      <c r="L435" s="274">
        <f t="shared" si="173"/>
        <v>0</v>
      </c>
      <c r="M435" s="273"/>
      <c r="N435" s="274">
        <f t="shared" si="174"/>
        <v>0</v>
      </c>
      <c r="O435" s="273"/>
      <c r="P435" s="274">
        <f t="shared" si="175"/>
        <v>0</v>
      </c>
      <c r="Q435" s="273"/>
      <c r="R435" s="274">
        <f t="shared" si="176"/>
        <v>0</v>
      </c>
      <c r="S435" s="273"/>
      <c r="T435" s="274">
        <f t="shared" si="177"/>
        <v>0</v>
      </c>
      <c r="U435" s="273"/>
      <c r="V435" s="274">
        <f t="shared" si="178"/>
        <v>0</v>
      </c>
      <c r="W435" s="273"/>
      <c r="X435" s="274">
        <f t="shared" si="179"/>
        <v>0</v>
      </c>
      <c r="Y435" s="273"/>
      <c r="Z435" s="274">
        <f t="shared" si="180"/>
        <v>0</v>
      </c>
      <c r="AA435" s="251">
        <f t="shared" si="181"/>
        <v>0</v>
      </c>
    </row>
    <row r="436" customHeight="1" spans="1:27">
      <c r="A436" s="270">
        <v>14</v>
      </c>
      <c r="B436" s="270"/>
      <c r="C436" s="274"/>
      <c r="D436" s="274"/>
      <c r="E436" s="272">
        <f t="shared" si="169"/>
        <v>0</v>
      </c>
      <c r="F436" s="272">
        <f t="shared" si="170"/>
        <v>0</v>
      </c>
      <c r="G436" s="273"/>
      <c r="H436" s="274">
        <f t="shared" si="171"/>
        <v>0</v>
      </c>
      <c r="I436" s="273"/>
      <c r="J436" s="274">
        <f t="shared" si="172"/>
        <v>0</v>
      </c>
      <c r="K436" s="275"/>
      <c r="L436" s="274">
        <f t="shared" si="173"/>
        <v>0</v>
      </c>
      <c r="M436" s="273"/>
      <c r="N436" s="274">
        <f t="shared" si="174"/>
        <v>0</v>
      </c>
      <c r="O436" s="273"/>
      <c r="P436" s="274">
        <f t="shared" si="175"/>
        <v>0</v>
      </c>
      <c r="Q436" s="273"/>
      <c r="R436" s="274">
        <f t="shared" si="176"/>
        <v>0</v>
      </c>
      <c r="S436" s="273"/>
      <c r="T436" s="274">
        <f t="shared" si="177"/>
        <v>0</v>
      </c>
      <c r="U436" s="273"/>
      <c r="V436" s="274">
        <f t="shared" si="178"/>
        <v>0</v>
      </c>
      <c r="W436" s="273"/>
      <c r="X436" s="274">
        <f t="shared" si="179"/>
        <v>0</v>
      </c>
      <c r="Y436" s="273"/>
      <c r="Z436" s="274">
        <f t="shared" si="180"/>
        <v>0</v>
      </c>
      <c r="AA436" s="251">
        <f t="shared" si="181"/>
        <v>0</v>
      </c>
    </row>
    <row r="437" customHeight="1" spans="1:27">
      <c r="A437" s="270">
        <v>15</v>
      </c>
      <c r="B437" s="270"/>
      <c r="C437" s="274"/>
      <c r="D437" s="274"/>
      <c r="E437" s="272">
        <f t="shared" si="169"/>
        <v>0</v>
      </c>
      <c r="F437" s="272">
        <f t="shared" si="170"/>
        <v>0</v>
      </c>
      <c r="G437" s="273"/>
      <c r="H437" s="274">
        <f t="shared" si="171"/>
        <v>0</v>
      </c>
      <c r="I437" s="273"/>
      <c r="J437" s="274">
        <f t="shared" si="172"/>
        <v>0</v>
      </c>
      <c r="K437" s="275"/>
      <c r="L437" s="274">
        <f t="shared" si="173"/>
        <v>0</v>
      </c>
      <c r="M437" s="273"/>
      <c r="N437" s="274">
        <f t="shared" si="174"/>
        <v>0</v>
      </c>
      <c r="O437" s="273"/>
      <c r="P437" s="274">
        <f t="shared" si="175"/>
        <v>0</v>
      </c>
      <c r="Q437" s="273"/>
      <c r="R437" s="274">
        <f t="shared" si="176"/>
        <v>0</v>
      </c>
      <c r="S437" s="273"/>
      <c r="T437" s="274">
        <f t="shared" si="177"/>
        <v>0</v>
      </c>
      <c r="U437" s="273"/>
      <c r="V437" s="274">
        <f t="shared" si="178"/>
        <v>0</v>
      </c>
      <c r="W437" s="273"/>
      <c r="X437" s="274">
        <f t="shared" si="179"/>
        <v>0</v>
      </c>
      <c r="Y437" s="273"/>
      <c r="Z437" s="274">
        <f t="shared" si="180"/>
        <v>0</v>
      </c>
      <c r="AA437" s="251">
        <f t="shared" si="181"/>
        <v>0</v>
      </c>
    </row>
    <row r="438" customHeight="1" spans="1:27">
      <c r="A438" s="270">
        <v>16</v>
      </c>
      <c r="B438" s="270"/>
      <c r="C438" s="274"/>
      <c r="D438" s="274"/>
      <c r="E438" s="272">
        <f t="shared" si="169"/>
        <v>0</v>
      </c>
      <c r="F438" s="272">
        <f t="shared" si="170"/>
        <v>0</v>
      </c>
      <c r="G438" s="273"/>
      <c r="H438" s="274">
        <f t="shared" si="171"/>
        <v>0</v>
      </c>
      <c r="I438" s="273"/>
      <c r="J438" s="274">
        <f t="shared" si="172"/>
        <v>0</v>
      </c>
      <c r="K438" s="275"/>
      <c r="L438" s="274">
        <f t="shared" si="173"/>
        <v>0</v>
      </c>
      <c r="M438" s="273"/>
      <c r="N438" s="274">
        <f t="shared" si="174"/>
        <v>0</v>
      </c>
      <c r="O438" s="273"/>
      <c r="P438" s="274">
        <f t="shared" si="175"/>
        <v>0</v>
      </c>
      <c r="Q438" s="273"/>
      <c r="R438" s="274">
        <f t="shared" si="176"/>
        <v>0</v>
      </c>
      <c r="S438" s="273"/>
      <c r="T438" s="274">
        <f t="shared" si="177"/>
        <v>0</v>
      </c>
      <c r="U438" s="273"/>
      <c r="V438" s="274">
        <f t="shared" si="178"/>
        <v>0</v>
      </c>
      <c r="W438" s="273"/>
      <c r="X438" s="274">
        <f t="shared" si="179"/>
        <v>0</v>
      </c>
      <c r="Y438" s="273"/>
      <c r="Z438" s="274">
        <f t="shared" si="180"/>
        <v>0</v>
      </c>
      <c r="AA438" s="251">
        <f t="shared" si="181"/>
        <v>0</v>
      </c>
    </row>
    <row r="439" customHeight="1" spans="1:27">
      <c r="A439" s="270">
        <v>17</v>
      </c>
      <c r="B439" s="270"/>
      <c r="C439" s="274"/>
      <c r="D439" s="274"/>
      <c r="E439" s="272">
        <f t="shared" si="169"/>
        <v>0</v>
      </c>
      <c r="F439" s="272">
        <f t="shared" si="170"/>
        <v>0</v>
      </c>
      <c r="G439" s="273"/>
      <c r="H439" s="274">
        <f t="shared" si="171"/>
        <v>0</v>
      </c>
      <c r="I439" s="273"/>
      <c r="J439" s="274">
        <f t="shared" si="172"/>
        <v>0</v>
      </c>
      <c r="K439" s="275"/>
      <c r="L439" s="274">
        <f t="shared" si="173"/>
        <v>0</v>
      </c>
      <c r="M439" s="273"/>
      <c r="N439" s="274">
        <f t="shared" si="174"/>
        <v>0</v>
      </c>
      <c r="O439" s="273"/>
      <c r="P439" s="274">
        <f t="shared" si="175"/>
        <v>0</v>
      </c>
      <c r="Q439" s="273"/>
      <c r="R439" s="274">
        <f t="shared" si="176"/>
        <v>0</v>
      </c>
      <c r="S439" s="273"/>
      <c r="T439" s="274">
        <f t="shared" si="177"/>
        <v>0</v>
      </c>
      <c r="U439" s="273"/>
      <c r="V439" s="274">
        <f t="shared" si="178"/>
        <v>0</v>
      </c>
      <c r="W439" s="273"/>
      <c r="X439" s="274">
        <f t="shared" si="179"/>
        <v>0</v>
      </c>
      <c r="Y439" s="273"/>
      <c r="Z439" s="274">
        <f t="shared" si="180"/>
        <v>0</v>
      </c>
      <c r="AA439" s="251">
        <f t="shared" si="181"/>
        <v>0</v>
      </c>
    </row>
    <row r="440" customHeight="1" spans="1:27">
      <c r="A440" s="270">
        <v>18</v>
      </c>
      <c r="B440" s="270"/>
      <c r="C440" s="274"/>
      <c r="D440" s="274"/>
      <c r="E440" s="272">
        <f t="shared" si="169"/>
        <v>0</v>
      </c>
      <c r="F440" s="272">
        <f t="shared" si="170"/>
        <v>0</v>
      </c>
      <c r="G440" s="273"/>
      <c r="H440" s="274">
        <f t="shared" si="171"/>
        <v>0</v>
      </c>
      <c r="I440" s="273"/>
      <c r="J440" s="274">
        <f t="shared" si="172"/>
        <v>0</v>
      </c>
      <c r="K440" s="275"/>
      <c r="L440" s="274">
        <f t="shared" si="173"/>
        <v>0</v>
      </c>
      <c r="M440" s="273"/>
      <c r="N440" s="274">
        <f t="shared" si="174"/>
        <v>0</v>
      </c>
      <c r="O440" s="273"/>
      <c r="P440" s="274">
        <f t="shared" si="175"/>
        <v>0</v>
      </c>
      <c r="Q440" s="273"/>
      <c r="R440" s="274">
        <f t="shared" si="176"/>
        <v>0</v>
      </c>
      <c r="S440" s="273"/>
      <c r="T440" s="274">
        <f t="shared" si="177"/>
        <v>0</v>
      </c>
      <c r="U440" s="273"/>
      <c r="V440" s="274">
        <f t="shared" si="178"/>
        <v>0</v>
      </c>
      <c r="W440" s="273"/>
      <c r="X440" s="274">
        <f t="shared" si="179"/>
        <v>0</v>
      </c>
      <c r="Y440" s="273"/>
      <c r="Z440" s="274">
        <f t="shared" si="180"/>
        <v>0</v>
      </c>
      <c r="AA440" s="251">
        <f t="shared" si="181"/>
        <v>0</v>
      </c>
    </row>
    <row r="441" customHeight="1" spans="1:27">
      <c r="A441" s="270">
        <v>19</v>
      </c>
      <c r="B441" s="270"/>
      <c r="C441" s="274"/>
      <c r="D441" s="274"/>
      <c r="E441" s="272">
        <f t="shared" si="169"/>
        <v>0</v>
      </c>
      <c r="F441" s="272">
        <f t="shared" si="170"/>
        <v>0</v>
      </c>
      <c r="G441" s="273"/>
      <c r="H441" s="274">
        <f t="shared" si="171"/>
        <v>0</v>
      </c>
      <c r="I441" s="273"/>
      <c r="J441" s="274">
        <f t="shared" si="172"/>
        <v>0</v>
      </c>
      <c r="K441" s="275"/>
      <c r="L441" s="274">
        <f t="shared" si="173"/>
        <v>0</v>
      </c>
      <c r="M441" s="273"/>
      <c r="N441" s="274">
        <f t="shared" si="174"/>
        <v>0</v>
      </c>
      <c r="O441" s="273"/>
      <c r="P441" s="274">
        <f t="shared" si="175"/>
        <v>0</v>
      </c>
      <c r="Q441" s="273"/>
      <c r="R441" s="274">
        <f t="shared" si="176"/>
        <v>0</v>
      </c>
      <c r="S441" s="273"/>
      <c r="T441" s="274">
        <f t="shared" si="177"/>
        <v>0</v>
      </c>
      <c r="U441" s="273"/>
      <c r="V441" s="274">
        <f t="shared" si="178"/>
        <v>0</v>
      </c>
      <c r="W441" s="273"/>
      <c r="X441" s="274">
        <f t="shared" si="179"/>
        <v>0</v>
      </c>
      <c r="Y441" s="273"/>
      <c r="Z441" s="274">
        <f t="shared" si="180"/>
        <v>0</v>
      </c>
      <c r="AA441" s="251">
        <f t="shared" si="181"/>
        <v>0</v>
      </c>
    </row>
    <row r="442" customHeight="1" spans="1:27">
      <c r="A442" s="270">
        <v>20</v>
      </c>
      <c r="B442" s="270"/>
      <c r="C442" s="274"/>
      <c r="D442" s="274"/>
      <c r="E442" s="272">
        <f t="shared" si="169"/>
        <v>0</v>
      </c>
      <c r="F442" s="272">
        <f t="shared" si="170"/>
        <v>0</v>
      </c>
      <c r="G442" s="273"/>
      <c r="H442" s="274">
        <f t="shared" si="171"/>
        <v>0</v>
      </c>
      <c r="I442" s="273"/>
      <c r="J442" s="274">
        <f t="shared" si="172"/>
        <v>0</v>
      </c>
      <c r="K442" s="275"/>
      <c r="L442" s="274">
        <f t="shared" si="173"/>
        <v>0</v>
      </c>
      <c r="M442" s="273"/>
      <c r="N442" s="274">
        <f t="shared" si="174"/>
        <v>0</v>
      </c>
      <c r="O442" s="273"/>
      <c r="P442" s="274">
        <f t="shared" si="175"/>
        <v>0</v>
      </c>
      <c r="Q442" s="273"/>
      <c r="R442" s="274">
        <f t="shared" si="176"/>
        <v>0</v>
      </c>
      <c r="S442" s="273"/>
      <c r="T442" s="274">
        <f t="shared" si="177"/>
        <v>0</v>
      </c>
      <c r="U442" s="273"/>
      <c r="V442" s="274">
        <f t="shared" si="178"/>
        <v>0</v>
      </c>
      <c r="W442" s="273"/>
      <c r="X442" s="274">
        <f t="shared" si="179"/>
        <v>0</v>
      </c>
      <c r="Y442" s="273"/>
      <c r="Z442" s="274">
        <f t="shared" si="180"/>
        <v>0</v>
      </c>
      <c r="AA442" s="251">
        <f t="shared" si="181"/>
        <v>0</v>
      </c>
    </row>
    <row r="443" customHeight="1" spans="1:27">
      <c r="A443" s="270">
        <v>21</v>
      </c>
      <c r="B443" s="270"/>
      <c r="C443" s="274"/>
      <c r="D443" s="274"/>
      <c r="E443" s="272">
        <f t="shared" si="169"/>
        <v>0</v>
      </c>
      <c r="F443" s="272">
        <f t="shared" si="170"/>
        <v>0</v>
      </c>
      <c r="G443" s="273"/>
      <c r="H443" s="274">
        <f t="shared" si="171"/>
        <v>0</v>
      </c>
      <c r="I443" s="273"/>
      <c r="J443" s="274">
        <f t="shared" si="172"/>
        <v>0</v>
      </c>
      <c r="K443" s="275"/>
      <c r="L443" s="274">
        <f t="shared" si="173"/>
        <v>0</v>
      </c>
      <c r="M443" s="273"/>
      <c r="N443" s="274">
        <f t="shared" si="174"/>
        <v>0</v>
      </c>
      <c r="O443" s="273"/>
      <c r="P443" s="274">
        <f t="shared" si="175"/>
        <v>0</v>
      </c>
      <c r="Q443" s="273"/>
      <c r="R443" s="274">
        <f t="shared" si="176"/>
        <v>0</v>
      </c>
      <c r="S443" s="273"/>
      <c r="T443" s="274">
        <f t="shared" si="177"/>
        <v>0</v>
      </c>
      <c r="U443" s="273"/>
      <c r="V443" s="274">
        <f t="shared" si="178"/>
        <v>0</v>
      </c>
      <c r="W443" s="273"/>
      <c r="X443" s="274">
        <f t="shared" si="179"/>
        <v>0</v>
      </c>
      <c r="Y443" s="273"/>
      <c r="Z443" s="274">
        <f t="shared" si="180"/>
        <v>0</v>
      </c>
      <c r="AA443" s="251">
        <f t="shared" si="181"/>
        <v>0</v>
      </c>
    </row>
    <row r="444" customHeight="1" spans="1:27">
      <c r="A444" s="270">
        <v>22</v>
      </c>
      <c r="B444" s="270"/>
      <c r="C444" s="274"/>
      <c r="D444" s="274"/>
      <c r="E444" s="272">
        <f t="shared" si="169"/>
        <v>0</v>
      </c>
      <c r="F444" s="272">
        <f t="shared" si="170"/>
        <v>0</v>
      </c>
      <c r="G444" s="273"/>
      <c r="H444" s="274">
        <f t="shared" si="171"/>
        <v>0</v>
      </c>
      <c r="I444" s="273"/>
      <c r="J444" s="274">
        <f t="shared" si="172"/>
        <v>0</v>
      </c>
      <c r="K444" s="275"/>
      <c r="L444" s="274">
        <f t="shared" si="173"/>
        <v>0</v>
      </c>
      <c r="M444" s="273"/>
      <c r="N444" s="274">
        <f t="shared" si="174"/>
        <v>0</v>
      </c>
      <c r="O444" s="273"/>
      <c r="P444" s="274">
        <f t="shared" si="175"/>
        <v>0</v>
      </c>
      <c r="Q444" s="273"/>
      <c r="R444" s="274">
        <f t="shared" si="176"/>
        <v>0</v>
      </c>
      <c r="S444" s="273"/>
      <c r="T444" s="274">
        <f t="shared" si="177"/>
        <v>0</v>
      </c>
      <c r="U444" s="273"/>
      <c r="V444" s="274">
        <f t="shared" si="178"/>
        <v>0</v>
      </c>
      <c r="W444" s="273"/>
      <c r="X444" s="274">
        <f t="shared" si="179"/>
        <v>0</v>
      </c>
      <c r="Y444" s="273"/>
      <c r="Z444" s="274">
        <f t="shared" si="180"/>
        <v>0</v>
      </c>
      <c r="AA444" s="251">
        <f t="shared" si="181"/>
        <v>0</v>
      </c>
    </row>
    <row r="445" customHeight="1" spans="1:27">
      <c r="A445" s="270">
        <v>23</v>
      </c>
      <c r="B445" s="270"/>
      <c r="C445" s="274"/>
      <c r="D445" s="274"/>
      <c r="E445" s="272">
        <f t="shared" si="169"/>
        <v>0</v>
      </c>
      <c r="F445" s="272">
        <f t="shared" si="170"/>
        <v>0</v>
      </c>
      <c r="G445" s="273"/>
      <c r="H445" s="274">
        <f t="shared" si="171"/>
        <v>0</v>
      </c>
      <c r="I445" s="273"/>
      <c r="J445" s="274">
        <f t="shared" si="172"/>
        <v>0</v>
      </c>
      <c r="K445" s="275"/>
      <c r="L445" s="274">
        <f t="shared" si="173"/>
        <v>0</v>
      </c>
      <c r="M445" s="273"/>
      <c r="N445" s="274">
        <f t="shared" si="174"/>
        <v>0</v>
      </c>
      <c r="O445" s="273"/>
      <c r="P445" s="274">
        <f t="shared" si="175"/>
        <v>0</v>
      </c>
      <c r="Q445" s="273"/>
      <c r="R445" s="274">
        <f t="shared" si="176"/>
        <v>0</v>
      </c>
      <c r="S445" s="273"/>
      <c r="T445" s="274">
        <f t="shared" si="177"/>
        <v>0</v>
      </c>
      <c r="U445" s="273"/>
      <c r="V445" s="274">
        <f t="shared" si="178"/>
        <v>0</v>
      </c>
      <c r="W445" s="273"/>
      <c r="X445" s="274">
        <f t="shared" si="179"/>
        <v>0</v>
      </c>
      <c r="Y445" s="273"/>
      <c r="Z445" s="274">
        <f t="shared" si="180"/>
        <v>0</v>
      </c>
      <c r="AA445" s="251">
        <f t="shared" si="181"/>
        <v>0</v>
      </c>
    </row>
    <row r="446" customHeight="1" spans="1:27">
      <c r="A446" s="270">
        <v>25</v>
      </c>
      <c r="B446" s="270"/>
      <c r="C446" s="274"/>
      <c r="D446" s="274"/>
      <c r="E446" s="272">
        <f t="shared" si="169"/>
        <v>0</v>
      </c>
      <c r="F446" s="272">
        <f t="shared" si="170"/>
        <v>0</v>
      </c>
      <c r="G446" s="273"/>
      <c r="H446" s="274">
        <f t="shared" si="171"/>
        <v>0</v>
      </c>
      <c r="I446" s="273"/>
      <c r="J446" s="274">
        <f t="shared" si="172"/>
        <v>0</v>
      </c>
      <c r="K446" s="275"/>
      <c r="L446" s="274">
        <f t="shared" si="173"/>
        <v>0</v>
      </c>
      <c r="M446" s="273"/>
      <c r="N446" s="274">
        <f t="shared" si="174"/>
        <v>0</v>
      </c>
      <c r="O446" s="273"/>
      <c r="P446" s="274">
        <f t="shared" si="175"/>
        <v>0</v>
      </c>
      <c r="Q446" s="273"/>
      <c r="R446" s="274">
        <f t="shared" si="176"/>
        <v>0</v>
      </c>
      <c r="S446" s="273"/>
      <c r="T446" s="274">
        <f t="shared" si="177"/>
        <v>0</v>
      </c>
      <c r="U446" s="273"/>
      <c r="V446" s="274">
        <f t="shared" si="178"/>
        <v>0</v>
      </c>
      <c r="W446" s="273"/>
      <c r="X446" s="274">
        <f t="shared" si="179"/>
        <v>0</v>
      </c>
      <c r="Y446" s="273"/>
      <c r="Z446" s="274">
        <f t="shared" si="180"/>
        <v>0</v>
      </c>
      <c r="AA446" s="251">
        <f t="shared" si="181"/>
        <v>0</v>
      </c>
    </row>
    <row r="447" customHeight="1" spans="1:27">
      <c r="A447" s="270">
        <v>25</v>
      </c>
      <c r="B447" s="270"/>
      <c r="C447" s="274"/>
      <c r="D447" s="274"/>
      <c r="E447" s="272">
        <f t="shared" si="169"/>
        <v>0</v>
      </c>
      <c r="F447" s="272">
        <f t="shared" si="170"/>
        <v>0</v>
      </c>
      <c r="G447" s="273"/>
      <c r="H447" s="274">
        <f t="shared" si="171"/>
        <v>0</v>
      </c>
      <c r="I447" s="273"/>
      <c r="J447" s="274">
        <f t="shared" si="172"/>
        <v>0</v>
      </c>
      <c r="K447" s="275"/>
      <c r="L447" s="274">
        <f t="shared" si="173"/>
        <v>0</v>
      </c>
      <c r="M447" s="273"/>
      <c r="N447" s="274">
        <f t="shared" si="174"/>
        <v>0</v>
      </c>
      <c r="O447" s="273"/>
      <c r="P447" s="274">
        <f t="shared" si="175"/>
        <v>0</v>
      </c>
      <c r="Q447" s="273"/>
      <c r="R447" s="274">
        <f t="shared" si="176"/>
        <v>0</v>
      </c>
      <c r="S447" s="273"/>
      <c r="T447" s="274">
        <f t="shared" si="177"/>
        <v>0</v>
      </c>
      <c r="U447" s="273"/>
      <c r="V447" s="274">
        <f t="shared" si="178"/>
        <v>0</v>
      </c>
      <c r="W447" s="273"/>
      <c r="X447" s="274">
        <f t="shared" si="179"/>
        <v>0</v>
      </c>
      <c r="Y447" s="273"/>
      <c r="Z447" s="274">
        <f t="shared" si="180"/>
        <v>0</v>
      </c>
      <c r="AA447" s="251">
        <f t="shared" si="181"/>
        <v>0</v>
      </c>
    </row>
    <row r="448" customHeight="1" spans="1:27">
      <c r="A448" s="270">
        <v>26</v>
      </c>
      <c r="B448" s="270"/>
      <c r="C448" s="274"/>
      <c r="D448" s="274"/>
      <c r="E448" s="272">
        <f t="shared" si="169"/>
        <v>0</v>
      </c>
      <c r="F448" s="272">
        <f t="shared" si="170"/>
        <v>0</v>
      </c>
      <c r="G448" s="273"/>
      <c r="H448" s="274">
        <f t="shared" si="171"/>
        <v>0</v>
      </c>
      <c r="I448" s="273"/>
      <c r="J448" s="274">
        <f t="shared" si="172"/>
        <v>0</v>
      </c>
      <c r="K448" s="275"/>
      <c r="L448" s="274">
        <f t="shared" si="173"/>
        <v>0</v>
      </c>
      <c r="M448" s="273"/>
      <c r="N448" s="274">
        <f t="shared" si="174"/>
        <v>0</v>
      </c>
      <c r="O448" s="273"/>
      <c r="P448" s="274">
        <f t="shared" si="175"/>
        <v>0</v>
      </c>
      <c r="Q448" s="273"/>
      <c r="R448" s="274">
        <f t="shared" si="176"/>
        <v>0</v>
      </c>
      <c r="S448" s="273"/>
      <c r="T448" s="274">
        <f t="shared" si="177"/>
        <v>0</v>
      </c>
      <c r="U448" s="273"/>
      <c r="V448" s="274">
        <f t="shared" si="178"/>
        <v>0</v>
      </c>
      <c r="W448" s="273"/>
      <c r="X448" s="274">
        <f t="shared" si="179"/>
        <v>0</v>
      </c>
      <c r="Y448" s="273"/>
      <c r="Z448" s="274">
        <f t="shared" si="180"/>
        <v>0</v>
      </c>
      <c r="AA448" s="251">
        <f t="shared" si="181"/>
        <v>0</v>
      </c>
    </row>
    <row r="449" customHeight="1" spans="1:27">
      <c r="A449" s="270">
        <v>27</v>
      </c>
      <c r="B449" s="270"/>
      <c r="C449" s="274"/>
      <c r="D449" s="274"/>
      <c r="E449" s="272">
        <f t="shared" si="169"/>
        <v>0</v>
      </c>
      <c r="F449" s="272">
        <f t="shared" si="170"/>
        <v>0</v>
      </c>
      <c r="G449" s="273"/>
      <c r="H449" s="274">
        <f t="shared" si="171"/>
        <v>0</v>
      </c>
      <c r="I449" s="273"/>
      <c r="J449" s="274">
        <f t="shared" si="172"/>
        <v>0</v>
      </c>
      <c r="K449" s="275"/>
      <c r="L449" s="274">
        <f t="shared" si="173"/>
        <v>0</v>
      </c>
      <c r="M449" s="273"/>
      <c r="N449" s="274">
        <f t="shared" si="174"/>
        <v>0</v>
      </c>
      <c r="O449" s="273"/>
      <c r="P449" s="274">
        <f t="shared" si="175"/>
        <v>0</v>
      </c>
      <c r="Q449" s="273"/>
      <c r="R449" s="274">
        <f t="shared" si="176"/>
        <v>0</v>
      </c>
      <c r="S449" s="273"/>
      <c r="T449" s="274">
        <f t="shared" si="177"/>
        <v>0</v>
      </c>
      <c r="U449" s="273"/>
      <c r="V449" s="274">
        <f t="shared" si="178"/>
        <v>0</v>
      </c>
      <c r="W449" s="273"/>
      <c r="X449" s="274">
        <f t="shared" si="179"/>
        <v>0</v>
      </c>
      <c r="Y449" s="273"/>
      <c r="Z449" s="274">
        <f t="shared" si="180"/>
        <v>0</v>
      </c>
      <c r="AA449" s="251">
        <f t="shared" si="181"/>
        <v>0</v>
      </c>
    </row>
    <row r="450" customHeight="1" spans="1:27">
      <c r="A450" s="270">
        <v>28</v>
      </c>
      <c r="B450" s="270"/>
      <c r="C450" s="274"/>
      <c r="D450" s="274"/>
      <c r="E450" s="272">
        <f t="shared" si="169"/>
        <v>0</v>
      </c>
      <c r="F450" s="272">
        <f t="shared" si="170"/>
        <v>0</v>
      </c>
      <c r="G450" s="273"/>
      <c r="H450" s="274">
        <f t="shared" si="171"/>
        <v>0</v>
      </c>
      <c r="I450" s="273"/>
      <c r="J450" s="274">
        <f t="shared" si="172"/>
        <v>0</v>
      </c>
      <c r="K450" s="275"/>
      <c r="L450" s="274">
        <f t="shared" si="173"/>
        <v>0</v>
      </c>
      <c r="M450" s="273"/>
      <c r="N450" s="274">
        <f t="shared" si="174"/>
        <v>0</v>
      </c>
      <c r="O450" s="273"/>
      <c r="P450" s="274">
        <f t="shared" si="175"/>
        <v>0</v>
      </c>
      <c r="Q450" s="273"/>
      <c r="R450" s="274">
        <f t="shared" si="176"/>
        <v>0</v>
      </c>
      <c r="S450" s="273"/>
      <c r="T450" s="274">
        <f t="shared" si="177"/>
        <v>0</v>
      </c>
      <c r="U450" s="273"/>
      <c r="V450" s="274">
        <f t="shared" si="178"/>
        <v>0</v>
      </c>
      <c r="W450" s="273"/>
      <c r="X450" s="274">
        <f t="shared" si="179"/>
        <v>0</v>
      </c>
      <c r="Y450" s="273"/>
      <c r="Z450" s="274">
        <f t="shared" si="180"/>
        <v>0</v>
      </c>
      <c r="AA450" s="251">
        <f t="shared" si="181"/>
        <v>0</v>
      </c>
    </row>
    <row r="451" customHeight="1" spans="1:27">
      <c r="A451" s="270">
        <v>29</v>
      </c>
      <c r="B451" s="270"/>
      <c r="C451" s="274"/>
      <c r="D451" s="274"/>
      <c r="E451" s="272">
        <f t="shared" si="169"/>
        <v>0</v>
      </c>
      <c r="F451" s="272">
        <f t="shared" si="170"/>
        <v>0</v>
      </c>
      <c r="G451" s="273"/>
      <c r="H451" s="274">
        <f t="shared" si="171"/>
        <v>0</v>
      </c>
      <c r="I451" s="273"/>
      <c r="J451" s="274">
        <f t="shared" si="172"/>
        <v>0</v>
      </c>
      <c r="K451" s="275"/>
      <c r="L451" s="274">
        <f t="shared" si="173"/>
        <v>0</v>
      </c>
      <c r="M451" s="273"/>
      <c r="N451" s="274">
        <f t="shared" si="174"/>
        <v>0</v>
      </c>
      <c r="O451" s="273"/>
      <c r="P451" s="274">
        <f t="shared" si="175"/>
        <v>0</v>
      </c>
      <c r="Q451" s="273"/>
      <c r="R451" s="274">
        <f t="shared" si="176"/>
        <v>0</v>
      </c>
      <c r="S451" s="273"/>
      <c r="T451" s="274">
        <f t="shared" si="177"/>
        <v>0</v>
      </c>
      <c r="U451" s="273"/>
      <c r="V451" s="274">
        <f t="shared" si="178"/>
        <v>0</v>
      </c>
      <c r="W451" s="273"/>
      <c r="X451" s="274">
        <f t="shared" si="179"/>
        <v>0</v>
      </c>
      <c r="Y451" s="273"/>
      <c r="Z451" s="274">
        <f t="shared" si="180"/>
        <v>0</v>
      </c>
      <c r="AA451" s="251">
        <f t="shared" si="181"/>
        <v>0</v>
      </c>
    </row>
    <row r="452" customHeight="1" spans="1:27">
      <c r="A452" s="270">
        <v>30</v>
      </c>
      <c r="B452" s="270"/>
      <c r="C452" s="274"/>
      <c r="D452" s="274"/>
      <c r="E452" s="272">
        <f t="shared" si="169"/>
        <v>0</v>
      </c>
      <c r="F452" s="272">
        <f t="shared" si="170"/>
        <v>0</v>
      </c>
      <c r="G452" s="273"/>
      <c r="H452" s="274">
        <f t="shared" si="171"/>
        <v>0</v>
      </c>
      <c r="I452" s="273"/>
      <c r="J452" s="274">
        <f t="shared" si="172"/>
        <v>0</v>
      </c>
      <c r="K452" s="275"/>
      <c r="L452" s="274">
        <f t="shared" si="173"/>
        <v>0</v>
      </c>
      <c r="M452" s="273"/>
      <c r="N452" s="274">
        <f t="shared" si="174"/>
        <v>0</v>
      </c>
      <c r="O452" s="273"/>
      <c r="P452" s="274">
        <f t="shared" si="175"/>
        <v>0</v>
      </c>
      <c r="Q452" s="273"/>
      <c r="R452" s="274">
        <f t="shared" si="176"/>
        <v>0</v>
      </c>
      <c r="S452" s="273"/>
      <c r="T452" s="274">
        <f t="shared" si="177"/>
        <v>0</v>
      </c>
      <c r="U452" s="273"/>
      <c r="V452" s="274">
        <f t="shared" si="178"/>
        <v>0</v>
      </c>
      <c r="W452" s="273"/>
      <c r="X452" s="274">
        <f t="shared" si="179"/>
        <v>0</v>
      </c>
      <c r="Y452" s="273"/>
      <c r="Z452" s="274">
        <f t="shared" si="180"/>
        <v>0</v>
      </c>
      <c r="AA452" s="251">
        <f t="shared" si="181"/>
        <v>0</v>
      </c>
    </row>
    <row r="453" customHeight="1" spans="1:27">
      <c r="A453" s="276" t="s">
        <v>22</v>
      </c>
      <c r="B453" s="277"/>
      <c r="C453" s="261">
        <f t="shared" ref="C453:Z453" si="182">SUM(C423:C452)</f>
        <v>0</v>
      </c>
      <c r="D453" s="261">
        <f t="shared" si="182"/>
        <v>0</v>
      </c>
      <c r="E453" s="261">
        <f t="shared" si="182"/>
        <v>0</v>
      </c>
      <c r="F453" s="272">
        <f t="shared" si="182"/>
        <v>0</v>
      </c>
      <c r="G453" s="261">
        <f t="shared" si="182"/>
        <v>0</v>
      </c>
      <c r="H453" s="273">
        <f t="shared" si="182"/>
        <v>0</v>
      </c>
      <c r="I453" s="273">
        <f t="shared" si="182"/>
        <v>0</v>
      </c>
      <c r="J453" s="273">
        <f t="shared" si="182"/>
        <v>0</v>
      </c>
      <c r="K453" s="273">
        <f t="shared" si="182"/>
        <v>0</v>
      </c>
      <c r="L453" s="273">
        <f t="shared" si="182"/>
        <v>0</v>
      </c>
      <c r="M453" s="273">
        <f t="shared" si="182"/>
        <v>0</v>
      </c>
      <c r="N453" s="273">
        <f t="shared" si="182"/>
        <v>0</v>
      </c>
      <c r="O453" s="273">
        <f t="shared" si="182"/>
        <v>0</v>
      </c>
      <c r="P453" s="273">
        <f t="shared" si="182"/>
        <v>0</v>
      </c>
      <c r="Q453" s="273">
        <f t="shared" si="182"/>
        <v>0</v>
      </c>
      <c r="R453" s="273">
        <f t="shared" si="182"/>
        <v>0</v>
      </c>
      <c r="S453" s="273">
        <f t="shared" si="182"/>
        <v>0</v>
      </c>
      <c r="T453" s="273">
        <f t="shared" si="182"/>
        <v>0</v>
      </c>
      <c r="U453" s="273">
        <f t="shared" si="182"/>
        <v>0</v>
      </c>
      <c r="V453" s="273">
        <f t="shared" si="182"/>
        <v>0</v>
      </c>
      <c r="W453" s="273">
        <f t="shared" si="182"/>
        <v>0</v>
      </c>
      <c r="X453" s="273">
        <f t="shared" si="182"/>
        <v>0</v>
      </c>
      <c r="Y453" s="273">
        <f t="shared" si="182"/>
        <v>0</v>
      </c>
      <c r="Z453" s="273">
        <f t="shared" si="182"/>
        <v>0</v>
      </c>
    </row>
    <row r="458" customHeight="1" spans="1:27">
      <c r="B458" s="284"/>
      <c r="C458" s="283"/>
      <c r="D458" s="258" t="s">
        <v>66</v>
      </c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  <c r="Z458" s="258"/>
    </row>
    <row r="459" customHeight="1" spans="1:27">
      <c r="C459" s="283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  <c r="Z459" s="258"/>
    </row>
    <row r="460" customHeight="1" spans="1:27">
      <c r="D460" s="285" t="s">
        <v>67</v>
      </c>
      <c r="E460" s="262" t="s">
        <v>35</v>
      </c>
      <c r="F460" s="262" t="s">
        <v>36</v>
      </c>
      <c r="G460" s="263" t="str">
        <f>立项!$A$3</f>
        <v>RD01</v>
      </c>
      <c r="H460" s="264"/>
      <c r="I460" s="264" t="str">
        <f>立项!$A$4</f>
        <v>RD02</v>
      </c>
      <c r="J460" s="264"/>
      <c r="K460" s="264" t="str">
        <f>立项!$A$5</f>
        <v>RD03</v>
      </c>
      <c r="L460" s="264"/>
      <c r="M460" s="264" t="str">
        <f>立项!$A$6</f>
        <v>RD04</v>
      </c>
      <c r="N460" s="264"/>
      <c r="O460" s="264" t="str">
        <f>立项!$A$7</f>
        <v>RD05</v>
      </c>
      <c r="P460" s="264"/>
      <c r="Q460" s="264" t="str">
        <f>立项!$A$8</f>
        <v>RD06</v>
      </c>
      <c r="R460" s="264"/>
      <c r="S460" s="264" t="str">
        <f>立项!$A$9</f>
        <v>RD07</v>
      </c>
      <c r="T460" s="264"/>
      <c r="U460" s="264" t="str">
        <f>立项!$A$10</f>
        <v>RD08</v>
      </c>
      <c r="V460" s="264"/>
      <c r="W460" s="264" t="str">
        <f>立项!$A$11</f>
        <v>RD09</v>
      </c>
      <c r="X460" s="264"/>
      <c r="Y460" s="264" t="str">
        <f>立项!$A$12</f>
        <v>RD10</v>
      </c>
      <c r="Z460" s="264"/>
    </row>
    <row r="461" customHeight="1" spans="1:27">
      <c r="D461" s="286"/>
      <c r="E461" s="262"/>
      <c r="F461" s="262"/>
      <c r="G461" s="267">
        <f>立项!C3</f>
        <v>0</v>
      </c>
      <c r="H461" s="263"/>
      <c r="I461" s="267">
        <f>立项!C4</f>
        <v>0</v>
      </c>
      <c r="J461" s="263"/>
      <c r="K461" s="267">
        <f>立项!C5</f>
        <v>0</v>
      </c>
      <c r="L461" s="263"/>
      <c r="M461" s="267">
        <f>立项!C6</f>
        <v>0</v>
      </c>
      <c r="N461" s="263"/>
      <c r="O461" s="267">
        <f>立项!C7</f>
        <v>0</v>
      </c>
      <c r="P461" s="263"/>
      <c r="Q461" s="267">
        <f>立项!C8</f>
        <v>0</v>
      </c>
      <c r="R461" s="263"/>
      <c r="S461" s="267">
        <f>立项!C9</f>
        <v>0</v>
      </c>
      <c r="T461" s="263"/>
      <c r="U461" s="267">
        <f>立项!C10</f>
        <v>0</v>
      </c>
      <c r="V461" s="263"/>
      <c r="W461" s="267">
        <f>立项!C11</f>
        <v>0</v>
      </c>
      <c r="X461" s="263"/>
      <c r="Y461" s="264">
        <f>立项!C12</f>
        <v>0</v>
      </c>
      <c r="Z461" s="264"/>
    </row>
    <row r="462" customHeight="1" spans="1:27">
      <c r="D462" s="287"/>
      <c r="E462" s="262"/>
      <c r="F462" s="262"/>
      <c r="G462" s="262" t="s">
        <v>39</v>
      </c>
      <c r="H462" s="258" t="s">
        <v>40</v>
      </c>
      <c r="I462" s="264" t="s">
        <v>39</v>
      </c>
      <c r="J462" s="258" t="s">
        <v>40</v>
      </c>
      <c r="K462" s="264" t="s">
        <v>39</v>
      </c>
      <c r="L462" s="258" t="s">
        <v>40</v>
      </c>
      <c r="M462" s="264" t="s">
        <v>39</v>
      </c>
      <c r="N462" s="258" t="s">
        <v>40</v>
      </c>
      <c r="O462" s="264" t="s">
        <v>39</v>
      </c>
      <c r="P462" s="269" t="s">
        <v>40</v>
      </c>
      <c r="Q462" s="264" t="s">
        <v>39</v>
      </c>
      <c r="R462" s="269" t="s">
        <v>40</v>
      </c>
      <c r="S462" s="264" t="s">
        <v>39</v>
      </c>
      <c r="T462" s="269" t="s">
        <v>40</v>
      </c>
      <c r="U462" s="264" t="s">
        <v>39</v>
      </c>
      <c r="V462" s="269" t="s">
        <v>40</v>
      </c>
      <c r="W462" s="264" t="s">
        <v>39</v>
      </c>
      <c r="X462" s="269" t="s">
        <v>40</v>
      </c>
      <c r="Y462" s="264" t="s">
        <v>39</v>
      </c>
      <c r="Z462" s="269" t="s">
        <v>40</v>
      </c>
    </row>
    <row r="463" customHeight="1" spans="1:27">
      <c r="D463" s="289">
        <v>1</v>
      </c>
      <c r="E463" s="269">
        <f>E36</f>
        <v>0</v>
      </c>
      <c r="F463" s="269">
        <f>F36</f>
        <v>0</v>
      </c>
      <c r="G463" s="261">
        <f>G36</f>
        <v>0</v>
      </c>
      <c r="H463" s="261">
        <f t="shared" ref="G463:M463" si="183">H36</f>
        <v>0</v>
      </c>
      <c r="I463" s="261">
        <f t="shared" si="183"/>
        <v>0</v>
      </c>
      <c r="J463" s="261">
        <f t="shared" si="183"/>
        <v>0</v>
      </c>
      <c r="K463" s="261">
        <f t="shared" si="183"/>
        <v>0</v>
      </c>
      <c r="L463" s="261">
        <f t="shared" si="183"/>
        <v>0</v>
      </c>
      <c r="M463" s="261">
        <f t="shared" si="183"/>
        <v>0</v>
      </c>
      <c r="N463" s="261">
        <f t="shared" ref="N463:T463" si="184">N36</f>
        <v>0</v>
      </c>
      <c r="O463" s="261">
        <f t="shared" si="184"/>
        <v>0</v>
      </c>
      <c r="P463" s="261">
        <f t="shared" si="184"/>
        <v>0</v>
      </c>
      <c r="Q463" s="261">
        <f t="shared" si="184"/>
        <v>0</v>
      </c>
      <c r="R463" s="261">
        <f t="shared" si="184"/>
        <v>0</v>
      </c>
      <c r="S463" s="261">
        <f t="shared" si="184"/>
        <v>0</v>
      </c>
      <c r="T463" s="261">
        <f t="shared" si="184"/>
        <v>0</v>
      </c>
      <c r="U463" s="261">
        <f t="shared" ref="U463:Z463" si="185">U36</f>
        <v>0</v>
      </c>
      <c r="V463" s="261">
        <f t="shared" si="185"/>
        <v>0</v>
      </c>
      <c r="W463" s="261">
        <f t="shared" si="185"/>
        <v>0</v>
      </c>
      <c r="X463" s="261">
        <f t="shared" si="185"/>
        <v>0</v>
      </c>
      <c r="Y463" s="261">
        <f t="shared" si="185"/>
        <v>0</v>
      </c>
      <c r="Z463" s="261">
        <f t="shared" si="185"/>
        <v>0</v>
      </c>
    </row>
    <row r="464" customHeight="1" spans="1:27">
      <c r="D464" s="289">
        <v>2</v>
      </c>
      <c r="E464" s="269">
        <f>E73</f>
        <v>0</v>
      </c>
      <c r="F464" s="269">
        <f>F73</f>
        <v>0</v>
      </c>
      <c r="G464" s="261">
        <f>G73</f>
        <v>0</v>
      </c>
      <c r="H464" s="261">
        <f t="shared" ref="H464:T464" si="186">H73</f>
        <v>0</v>
      </c>
      <c r="I464" s="261">
        <f t="shared" si="186"/>
        <v>0</v>
      </c>
      <c r="J464" s="261">
        <f t="shared" si="186"/>
        <v>0</v>
      </c>
      <c r="K464" s="261">
        <f t="shared" si="186"/>
        <v>0</v>
      </c>
      <c r="L464" s="261">
        <f t="shared" si="186"/>
        <v>0</v>
      </c>
      <c r="M464" s="261">
        <f t="shared" si="186"/>
        <v>0</v>
      </c>
      <c r="N464" s="261">
        <f t="shared" si="186"/>
        <v>0</v>
      </c>
      <c r="O464" s="261">
        <f t="shared" si="186"/>
        <v>0</v>
      </c>
      <c r="P464" s="261">
        <f t="shared" si="186"/>
        <v>0</v>
      </c>
      <c r="Q464" s="261">
        <f t="shared" si="186"/>
        <v>0</v>
      </c>
      <c r="R464" s="261">
        <f t="shared" si="186"/>
        <v>0</v>
      </c>
      <c r="S464" s="261">
        <f t="shared" si="186"/>
        <v>0</v>
      </c>
      <c r="T464" s="261">
        <f t="shared" si="186"/>
        <v>0</v>
      </c>
      <c r="U464" s="261">
        <f t="shared" ref="U464:Z464" si="187">U73</f>
        <v>0</v>
      </c>
      <c r="V464" s="261">
        <f t="shared" si="187"/>
        <v>0</v>
      </c>
      <c r="W464" s="261">
        <f t="shared" si="187"/>
        <v>0</v>
      </c>
      <c r="X464" s="261">
        <f t="shared" si="187"/>
        <v>0</v>
      </c>
      <c r="Y464" s="261">
        <f t="shared" si="187"/>
        <v>0</v>
      </c>
      <c r="Z464" s="261">
        <f t="shared" si="187"/>
        <v>0</v>
      </c>
    </row>
    <row r="465" customHeight="1" spans="2:26">
      <c r="D465" s="289">
        <v>3</v>
      </c>
      <c r="E465" s="269">
        <f>E111</f>
        <v>0</v>
      </c>
      <c r="F465" s="269">
        <f>F111</f>
        <v>0</v>
      </c>
      <c r="G465" s="261">
        <f>G111</f>
        <v>0</v>
      </c>
      <c r="H465" s="261">
        <f t="shared" ref="H465:T465" si="188">H111</f>
        <v>0</v>
      </c>
      <c r="I465" s="261">
        <f t="shared" si="188"/>
        <v>0</v>
      </c>
      <c r="J465" s="261">
        <f t="shared" si="188"/>
        <v>0</v>
      </c>
      <c r="K465" s="261">
        <f t="shared" si="188"/>
        <v>0</v>
      </c>
      <c r="L465" s="261">
        <f t="shared" si="188"/>
        <v>0</v>
      </c>
      <c r="M465" s="261">
        <f t="shared" si="188"/>
        <v>0</v>
      </c>
      <c r="N465" s="261">
        <f t="shared" si="188"/>
        <v>0</v>
      </c>
      <c r="O465" s="261">
        <f t="shared" si="188"/>
        <v>0</v>
      </c>
      <c r="P465" s="261">
        <f t="shared" si="188"/>
        <v>0</v>
      </c>
      <c r="Q465" s="261">
        <f t="shared" si="188"/>
        <v>0</v>
      </c>
      <c r="R465" s="261">
        <f t="shared" si="188"/>
        <v>0</v>
      </c>
      <c r="S465" s="261">
        <f t="shared" si="188"/>
        <v>0</v>
      </c>
      <c r="T465" s="261">
        <f t="shared" si="188"/>
        <v>0</v>
      </c>
      <c r="U465" s="261">
        <f t="shared" ref="U465:Z465" si="189">U111</f>
        <v>0</v>
      </c>
      <c r="V465" s="261">
        <f t="shared" si="189"/>
        <v>0</v>
      </c>
      <c r="W465" s="261">
        <f t="shared" si="189"/>
        <v>0</v>
      </c>
      <c r="X465" s="261">
        <f t="shared" si="189"/>
        <v>0</v>
      </c>
      <c r="Y465" s="261">
        <f t="shared" si="189"/>
        <v>0</v>
      </c>
      <c r="Z465" s="261">
        <f t="shared" si="189"/>
        <v>0</v>
      </c>
    </row>
    <row r="466" customHeight="1" spans="2:26">
      <c r="D466" s="289">
        <v>4</v>
      </c>
      <c r="E466" s="269">
        <f>E149</f>
        <v>0</v>
      </c>
      <c r="F466" s="269">
        <f>F149</f>
        <v>0</v>
      </c>
      <c r="G466" s="261">
        <f>G149</f>
        <v>0</v>
      </c>
      <c r="H466" s="261">
        <f t="shared" ref="H466:T466" si="190">H149</f>
        <v>0</v>
      </c>
      <c r="I466" s="261">
        <f t="shared" si="190"/>
        <v>0</v>
      </c>
      <c r="J466" s="261">
        <f t="shared" si="190"/>
        <v>0</v>
      </c>
      <c r="K466" s="261">
        <f t="shared" si="190"/>
        <v>0</v>
      </c>
      <c r="L466" s="261">
        <f t="shared" si="190"/>
        <v>0</v>
      </c>
      <c r="M466" s="261">
        <f t="shared" si="190"/>
        <v>0</v>
      </c>
      <c r="N466" s="261">
        <f t="shared" si="190"/>
        <v>0</v>
      </c>
      <c r="O466" s="261">
        <f t="shared" si="190"/>
        <v>0</v>
      </c>
      <c r="P466" s="261">
        <f t="shared" si="190"/>
        <v>0</v>
      </c>
      <c r="Q466" s="261">
        <f t="shared" si="190"/>
        <v>0</v>
      </c>
      <c r="R466" s="261">
        <f t="shared" si="190"/>
        <v>0</v>
      </c>
      <c r="S466" s="261">
        <f t="shared" si="190"/>
        <v>0</v>
      </c>
      <c r="T466" s="261">
        <f t="shared" si="190"/>
        <v>0</v>
      </c>
      <c r="U466" s="261">
        <f t="shared" ref="U466:Z466" si="191">U149</f>
        <v>0</v>
      </c>
      <c r="V466" s="261">
        <f t="shared" si="191"/>
        <v>0</v>
      </c>
      <c r="W466" s="261">
        <f t="shared" si="191"/>
        <v>0</v>
      </c>
      <c r="X466" s="261">
        <f t="shared" si="191"/>
        <v>0</v>
      </c>
      <c r="Y466" s="261">
        <f t="shared" si="191"/>
        <v>0</v>
      </c>
      <c r="Z466" s="261">
        <f t="shared" si="191"/>
        <v>0</v>
      </c>
    </row>
    <row r="467" customHeight="1" spans="2:26">
      <c r="D467" s="289">
        <v>5</v>
      </c>
      <c r="E467" s="269">
        <f>E187</f>
        <v>0</v>
      </c>
      <c r="F467" s="269">
        <f>F187</f>
        <v>0</v>
      </c>
      <c r="G467" s="261">
        <f>G187</f>
        <v>0</v>
      </c>
      <c r="H467" s="261">
        <f t="shared" ref="H467:T467" si="192">H187</f>
        <v>0</v>
      </c>
      <c r="I467" s="261">
        <f t="shared" si="192"/>
        <v>0</v>
      </c>
      <c r="J467" s="261">
        <f t="shared" si="192"/>
        <v>0</v>
      </c>
      <c r="K467" s="261">
        <f t="shared" si="192"/>
        <v>0</v>
      </c>
      <c r="L467" s="261">
        <f t="shared" si="192"/>
        <v>0</v>
      </c>
      <c r="M467" s="261">
        <f t="shared" si="192"/>
        <v>0</v>
      </c>
      <c r="N467" s="261">
        <f t="shared" si="192"/>
        <v>0</v>
      </c>
      <c r="O467" s="261">
        <f t="shared" si="192"/>
        <v>0</v>
      </c>
      <c r="P467" s="261">
        <f t="shared" si="192"/>
        <v>0</v>
      </c>
      <c r="Q467" s="261">
        <f t="shared" si="192"/>
        <v>0</v>
      </c>
      <c r="R467" s="261">
        <f t="shared" si="192"/>
        <v>0</v>
      </c>
      <c r="S467" s="261">
        <f t="shared" si="192"/>
        <v>0</v>
      </c>
      <c r="T467" s="261">
        <f t="shared" si="192"/>
        <v>0</v>
      </c>
      <c r="U467" s="261">
        <f t="shared" ref="U467:Z467" si="193">U187</f>
        <v>0</v>
      </c>
      <c r="V467" s="261">
        <f t="shared" si="193"/>
        <v>0</v>
      </c>
      <c r="W467" s="261">
        <f t="shared" si="193"/>
        <v>0</v>
      </c>
      <c r="X467" s="261">
        <f t="shared" si="193"/>
        <v>0</v>
      </c>
      <c r="Y467" s="261">
        <f t="shared" si="193"/>
        <v>0</v>
      </c>
      <c r="Z467" s="261">
        <f t="shared" si="193"/>
        <v>0</v>
      </c>
    </row>
    <row r="468" customHeight="1" spans="2:26">
      <c r="D468" s="289">
        <v>6</v>
      </c>
      <c r="E468" s="269">
        <f t="shared" ref="E468:Z468" si="194">E224</f>
        <v>0</v>
      </c>
      <c r="F468" s="269">
        <f t="shared" si="194"/>
        <v>0</v>
      </c>
      <c r="G468" s="261">
        <f t="shared" si="194"/>
        <v>0</v>
      </c>
      <c r="H468" s="261">
        <f t="shared" si="194"/>
        <v>0</v>
      </c>
      <c r="I468" s="261">
        <f t="shared" si="194"/>
        <v>0</v>
      </c>
      <c r="J468" s="261">
        <f t="shared" si="194"/>
        <v>0</v>
      </c>
      <c r="K468" s="261">
        <f t="shared" si="194"/>
        <v>0</v>
      </c>
      <c r="L468" s="261">
        <f t="shared" si="194"/>
        <v>0</v>
      </c>
      <c r="M468" s="261">
        <f t="shared" si="194"/>
        <v>0</v>
      </c>
      <c r="N468" s="261">
        <f t="shared" si="194"/>
        <v>0</v>
      </c>
      <c r="O468" s="261">
        <f t="shared" si="194"/>
        <v>0</v>
      </c>
      <c r="P468" s="261">
        <f t="shared" si="194"/>
        <v>0</v>
      </c>
      <c r="Q468" s="261">
        <f t="shared" si="194"/>
        <v>0</v>
      </c>
      <c r="R468" s="261">
        <f t="shared" si="194"/>
        <v>0</v>
      </c>
      <c r="S468" s="261">
        <f t="shared" si="194"/>
        <v>0</v>
      </c>
      <c r="T468" s="261">
        <f t="shared" si="194"/>
        <v>0</v>
      </c>
      <c r="U468" s="261">
        <f t="shared" si="194"/>
        <v>0</v>
      </c>
      <c r="V468" s="261">
        <f t="shared" si="194"/>
        <v>0</v>
      </c>
      <c r="W468" s="261">
        <f t="shared" si="194"/>
        <v>0</v>
      </c>
      <c r="X468" s="261">
        <f t="shared" si="194"/>
        <v>0</v>
      </c>
      <c r="Y468" s="261">
        <f t="shared" si="194"/>
        <v>0</v>
      </c>
      <c r="Z468" s="261">
        <f t="shared" si="194"/>
        <v>0</v>
      </c>
    </row>
    <row r="469" customHeight="1" spans="2:26">
      <c r="D469" s="289">
        <v>7</v>
      </c>
      <c r="E469" s="269">
        <f>E262</f>
        <v>0</v>
      </c>
      <c r="F469" s="269">
        <f>F262</f>
        <v>0</v>
      </c>
      <c r="G469" s="261">
        <f>G262</f>
        <v>0</v>
      </c>
      <c r="H469" s="261">
        <f t="shared" ref="H469:T469" si="195">H262</f>
        <v>0</v>
      </c>
      <c r="I469" s="261">
        <f t="shared" si="195"/>
        <v>0</v>
      </c>
      <c r="J469" s="261">
        <f t="shared" si="195"/>
        <v>0</v>
      </c>
      <c r="K469" s="261">
        <f t="shared" si="195"/>
        <v>0</v>
      </c>
      <c r="L469" s="261">
        <f t="shared" si="195"/>
        <v>0</v>
      </c>
      <c r="M469" s="261">
        <f t="shared" si="195"/>
        <v>0</v>
      </c>
      <c r="N469" s="261">
        <f t="shared" si="195"/>
        <v>0</v>
      </c>
      <c r="O469" s="261">
        <f t="shared" si="195"/>
        <v>0</v>
      </c>
      <c r="P469" s="261">
        <f t="shared" si="195"/>
        <v>0</v>
      </c>
      <c r="Q469" s="261">
        <f t="shared" si="195"/>
        <v>0</v>
      </c>
      <c r="R469" s="261">
        <f t="shared" si="195"/>
        <v>0</v>
      </c>
      <c r="S469" s="261">
        <f t="shared" si="195"/>
        <v>0</v>
      </c>
      <c r="T469" s="261">
        <f t="shared" si="195"/>
        <v>0</v>
      </c>
      <c r="U469" s="261">
        <f t="shared" ref="U469:Z469" si="196">U262</f>
        <v>0</v>
      </c>
      <c r="V469" s="261">
        <f t="shared" si="196"/>
        <v>0</v>
      </c>
      <c r="W469" s="261">
        <f t="shared" si="196"/>
        <v>0</v>
      </c>
      <c r="X469" s="261">
        <f t="shared" si="196"/>
        <v>0</v>
      </c>
      <c r="Y469" s="261">
        <f t="shared" si="196"/>
        <v>0</v>
      </c>
      <c r="Z469" s="261">
        <f t="shared" si="196"/>
        <v>0</v>
      </c>
    </row>
    <row r="470" customHeight="1" spans="2:26">
      <c r="D470" s="289">
        <v>8</v>
      </c>
      <c r="E470" s="269">
        <f>E300</f>
        <v>0</v>
      </c>
      <c r="F470" s="269">
        <f>F300</f>
        <v>0</v>
      </c>
      <c r="G470" s="261">
        <f>G300</f>
        <v>0</v>
      </c>
      <c r="H470" s="261">
        <f t="shared" ref="H470:T470" si="197">H300</f>
        <v>0</v>
      </c>
      <c r="I470" s="261">
        <f t="shared" si="197"/>
        <v>0</v>
      </c>
      <c r="J470" s="261">
        <f t="shared" si="197"/>
        <v>0</v>
      </c>
      <c r="K470" s="261">
        <f t="shared" si="197"/>
        <v>0</v>
      </c>
      <c r="L470" s="261">
        <f t="shared" si="197"/>
        <v>0</v>
      </c>
      <c r="M470" s="261">
        <f t="shared" si="197"/>
        <v>0</v>
      </c>
      <c r="N470" s="261">
        <f t="shared" si="197"/>
        <v>0</v>
      </c>
      <c r="O470" s="261">
        <f t="shared" si="197"/>
        <v>0</v>
      </c>
      <c r="P470" s="261">
        <f t="shared" si="197"/>
        <v>0</v>
      </c>
      <c r="Q470" s="261">
        <f t="shared" si="197"/>
        <v>0</v>
      </c>
      <c r="R470" s="261">
        <f t="shared" si="197"/>
        <v>0</v>
      </c>
      <c r="S470" s="261">
        <f t="shared" si="197"/>
        <v>0</v>
      </c>
      <c r="T470" s="261">
        <f t="shared" si="197"/>
        <v>0</v>
      </c>
      <c r="U470" s="261">
        <f t="shared" ref="U470:Z470" si="198">U300</f>
        <v>0</v>
      </c>
      <c r="V470" s="261">
        <f t="shared" si="198"/>
        <v>0</v>
      </c>
      <c r="W470" s="261">
        <f t="shared" si="198"/>
        <v>0</v>
      </c>
      <c r="X470" s="261">
        <f t="shared" si="198"/>
        <v>0</v>
      </c>
      <c r="Y470" s="261">
        <f t="shared" si="198"/>
        <v>0</v>
      </c>
      <c r="Z470" s="261">
        <f t="shared" si="198"/>
        <v>0</v>
      </c>
    </row>
    <row r="471" customHeight="1" spans="2:26">
      <c r="D471" s="289">
        <v>9</v>
      </c>
      <c r="E471" s="269">
        <f>E338</f>
        <v>0</v>
      </c>
      <c r="F471" s="269">
        <f>F338</f>
        <v>0</v>
      </c>
      <c r="G471" s="261">
        <f>G338</f>
        <v>0</v>
      </c>
      <c r="H471" s="261">
        <f t="shared" ref="H471:T471" si="199">H338</f>
        <v>0</v>
      </c>
      <c r="I471" s="261">
        <f t="shared" si="199"/>
        <v>0</v>
      </c>
      <c r="J471" s="261">
        <f t="shared" si="199"/>
        <v>0</v>
      </c>
      <c r="K471" s="261">
        <f t="shared" si="199"/>
        <v>0</v>
      </c>
      <c r="L471" s="261">
        <f t="shared" si="199"/>
        <v>0</v>
      </c>
      <c r="M471" s="261">
        <f t="shared" si="199"/>
        <v>0</v>
      </c>
      <c r="N471" s="261">
        <f t="shared" si="199"/>
        <v>0</v>
      </c>
      <c r="O471" s="261">
        <f t="shared" si="199"/>
        <v>0</v>
      </c>
      <c r="P471" s="261">
        <f t="shared" si="199"/>
        <v>0</v>
      </c>
      <c r="Q471" s="261">
        <f t="shared" si="199"/>
        <v>0</v>
      </c>
      <c r="R471" s="261">
        <f t="shared" si="199"/>
        <v>0</v>
      </c>
      <c r="S471" s="261">
        <f t="shared" si="199"/>
        <v>0</v>
      </c>
      <c r="T471" s="261">
        <f t="shared" si="199"/>
        <v>0</v>
      </c>
      <c r="U471" s="261">
        <f t="shared" ref="U471:Z471" si="200">U338</f>
        <v>0</v>
      </c>
      <c r="V471" s="261">
        <f t="shared" si="200"/>
        <v>0</v>
      </c>
      <c r="W471" s="261">
        <f t="shared" si="200"/>
        <v>0</v>
      </c>
      <c r="X471" s="261">
        <f t="shared" si="200"/>
        <v>0</v>
      </c>
      <c r="Y471" s="261">
        <f t="shared" si="200"/>
        <v>0</v>
      </c>
      <c r="Z471" s="261">
        <f t="shared" si="200"/>
        <v>0</v>
      </c>
    </row>
    <row r="472" customHeight="1" spans="2:26">
      <c r="D472" s="289">
        <v>10</v>
      </c>
      <c r="E472" s="269">
        <f>E376</f>
        <v>0</v>
      </c>
      <c r="F472" s="269">
        <f>F376</f>
        <v>0</v>
      </c>
      <c r="G472" s="261">
        <f>G376</f>
        <v>0</v>
      </c>
      <c r="H472" s="261">
        <f t="shared" ref="H472:T472" si="201">H376</f>
        <v>0</v>
      </c>
      <c r="I472" s="261">
        <f t="shared" si="201"/>
        <v>0</v>
      </c>
      <c r="J472" s="261">
        <f t="shared" si="201"/>
        <v>0</v>
      </c>
      <c r="K472" s="261">
        <f t="shared" si="201"/>
        <v>0</v>
      </c>
      <c r="L472" s="261">
        <f t="shared" si="201"/>
        <v>0</v>
      </c>
      <c r="M472" s="261">
        <f t="shared" si="201"/>
        <v>0</v>
      </c>
      <c r="N472" s="261">
        <f t="shared" si="201"/>
        <v>0</v>
      </c>
      <c r="O472" s="261">
        <f t="shared" si="201"/>
        <v>0</v>
      </c>
      <c r="P472" s="261">
        <f t="shared" si="201"/>
        <v>0</v>
      </c>
      <c r="Q472" s="261">
        <f t="shared" si="201"/>
        <v>0</v>
      </c>
      <c r="R472" s="261">
        <f t="shared" si="201"/>
        <v>0</v>
      </c>
      <c r="S472" s="261">
        <f t="shared" si="201"/>
        <v>0</v>
      </c>
      <c r="T472" s="261">
        <f t="shared" si="201"/>
        <v>0</v>
      </c>
      <c r="U472" s="261">
        <f t="shared" ref="U472:Z472" si="202">U376</f>
        <v>0</v>
      </c>
      <c r="V472" s="261">
        <f t="shared" si="202"/>
        <v>0</v>
      </c>
      <c r="W472" s="261">
        <f t="shared" si="202"/>
        <v>0</v>
      </c>
      <c r="X472" s="261">
        <f t="shared" si="202"/>
        <v>0</v>
      </c>
      <c r="Y472" s="261">
        <f t="shared" si="202"/>
        <v>0</v>
      </c>
      <c r="Z472" s="261">
        <f t="shared" si="202"/>
        <v>0</v>
      </c>
    </row>
    <row r="473" customHeight="1" spans="2:26">
      <c r="D473" s="289">
        <v>11</v>
      </c>
      <c r="E473" s="269">
        <f>E414</f>
        <v>0</v>
      </c>
      <c r="F473" s="269">
        <f>F414</f>
        <v>0</v>
      </c>
      <c r="G473" s="261">
        <f>G414</f>
        <v>0</v>
      </c>
      <c r="H473" s="261">
        <f t="shared" ref="H473:T473" si="203">H414</f>
        <v>0</v>
      </c>
      <c r="I473" s="261">
        <f t="shared" si="203"/>
        <v>0</v>
      </c>
      <c r="J473" s="261">
        <f t="shared" si="203"/>
        <v>0</v>
      </c>
      <c r="K473" s="261">
        <f t="shared" si="203"/>
        <v>0</v>
      </c>
      <c r="L473" s="261">
        <f t="shared" si="203"/>
        <v>0</v>
      </c>
      <c r="M473" s="261">
        <f t="shared" si="203"/>
        <v>0</v>
      </c>
      <c r="N473" s="261">
        <f t="shared" si="203"/>
        <v>0</v>
      </c>
      <c r="O473" s="261">
        <f t="shared" si="203"/>
        <v>0</v>
      </c>
      <c r="P473" s="261">
        <f t="shared" si="203"/>
        <v>0</v>
      </c>
      <c r="Q473" s="261">
        <f t="shared" si="203"/>
        <v>0</v>
      </c>
      <c r="R473" s="261">
        <f t="shared" si="203"/>
        <v>0</v>
      </c>
      <c r="S473" s="261">
        <f t="shared" si="203"/>
        <v>0</v>
      </c>
      <c r="T473" s="261">
        <f t="shared" si="203"/>
        <v>0</v>
      </c>
      <c r="U473" s="261">
        <f t="shared" ref="U473:Z473" si="204">U414</f>
        <v>0</v>
      </c>
      <c r="V473" s="261">
        <f t="shared" si="204"/>
        <v>0</v>
      </c>
      <c r="W473" s="261">
        <f t="shared" si="204"/>
        <v>0</v>
      </c>
      <c r="X473" s="261">
        <f t="shared" si="204"/>
        <v>0</v>
      </c>
      <c r="Y473" s="261">
        <f t="shared" si="204"/>
        <v>0</v>
      </c>
      <c r="Z473" s="261">
        <f t="shared" si="204"/>
        <v>0</v>
      </c>
    </row>
    <row r="474" customHeight="1" spans="2:26">
      <c r="D474" s="289">
        <v>12</v>
      </c>
      <c r="E474" s="269">
        <f>E453</f>
        <v>0</v>
      </c>
      <c r="F474" s="269">
        <f>F453</f>
        <v>0</v>
      </c>
      <c r="G474" s="261">
        <f>G453</f>
        <v>0</v>
      </c>
      <c r="H474" s="261">
        <f>H453</f>
        <v>0</v>
      </c>
      <c r="I474" s="261">
        <f t="shared" ref="H474:T474" si="205">I453</f>
        <v>0</v>
      </c>
      <c r="J474" s="261">
        <f t="shared" si="205"/>
        <v>0</v>
      </c>
      <c r="K474" s="261">
        <f t="shared" si="205"/>
        <v>0</v>
      </c>
      <c r="L474" s="261">
        <f t="shared" si="205"/>
        <v>0</v>
      </c>
      <c r="M474" s="261">
        <f t="shared" si="205"/>
        <v>0</v>
      </c>
      <c r="N474" s="261">
        <f t="shared" si="205"/>
        <v>0</v>
      </c>
      <c r="O474" s="261">
        <f t="shared" si="205"/>
        <v>0</v>
      </c>
      <c r="P474" s="261">
        <f t="shared" si="205"/>
        <v>0</v>
      </c>
      <c r="Q474" s="261">
        <f t="shared" si="205"/>
        <v>0</v>
      </c>
      <c r="R474" s="261">
        <f t="shared" si="205"/>
        <v>0</v>
      </c>
      <c r="S474" s="261">
        <f t="shared" si="205"/>
        <v>0</v>
      </c>
      <c r="T474" s="261">
        <f t="shared" si="205"/>
        <v>0</v>
      </c>
      <c r="U474" s="261">
        <f t="shared" ref="U474:Z474" si="206">U453</f>
        <v>0</v>
      </c>
      <c r="V474" s="261">
        <f t="shared" si="206"/>
        <v>0</v>
      </c>
      <c r="W474" s="261">
        <f t="shared" si="206"/>
        <v>0</v>
      </c>
      <c r="X474" s="261">
        <f t="shared" si="206"/>
        <v>0</v>
      </c>
      <c r="Y474" s="261">
        <f t="shared" si="206"/>
        <v>0</v>
      </c>
      <c r="Z474" s="261">
        <f t="shared" si="206"/>
        <v>0</v>
      </c>
    </row>
    <row r="475" customHeight="1" spans="2:26">
      <c r="D475" s="269" t="s">
        <v>22</v>
      </c>
      <c r="E475" s="269">
        <f>SUM(E463:E474)</f>
        <v>0</v>
      </c>
      <c r="F475" s="269">
        <f>SUM(F463:F474)</f>
        <v>0</v>
      </c>
      <c r="G475" s="291">
        <f>SUM(G463:G474)</f>
        <v>0</v>
      </c>
      <c r="H475" s="291">
        <f>SUM(H463:H474)</f>
        <v>0</v>
      </c>
      <c r="I475" s="291">
        <f t="shared" ref="H475:Z475" si="207">SUM(I463:I474)</f>
        <v>0</v>
      </c>
      <c r="J475" s="291">
        <f t="shared" si="207"/>
        <v>0</v>
      </c>
      <c r="K475" s="291">
        <f t="shared" si="207"/>
        <v>0</v>
      </c>
      <c r="L475" s="291">
        <f t="shared" si="207"/>
        <v>0</v>
      </c>
      <c r="M475" s="291">
        <f t="shared" si="207"/>
        <v>0</v>
      </c>
      <c r="N475" s="291">
        <f t="shared" si="207"/>
        <v>0</v>
      </c>
      <c r="O475" s="291">
        <f t="shared" si="207"/>
        <v>0</v>
      </c>
      <c r="P475" s="291">
        <f t="shared" si="207"/>
        <v>0</v>
      </c>
      <c r="Q475" s="291">
        <f t="shared" si="207"/>
        <v>0</v>
      </c>
      <c r="R475" s="291">
        <f t="shared" si="207"/>
        <v>0</v>
      </c>
      <c r="S475" s="291">
        <f t="shared" si="207"/>
        <v>0</v>
      </c>
      <c r="T475" s="291">
        <f t="shared" si="207"/>
        <v>0</v>
      </c>
      <c r="U475" s="291">
        <f t="shared" ref="U475:Z475" si="208">SUM(U463:U474)</f>
        <v>0</v>
      </c>
      <c r="V475" s="291">
        <f t="shared" si="208"/>
        <v>0</v>
      </c>
      <c r="W475" s="291">
        <f t="shared" si="208"/>
        <v>0</v>
      </c>
      <c r="X475" s="291">
        <f t="shared" si="208"/>
        <v>0</v>
      </c>
      <c r="Y475" s="291">
        <f t="shared" si="208"/>
        <v>0</v>
      </c>
      <c r="Z475" s="291">
        <f t="shared" si="208"/>
        <v>0</v>
      </c>
    </row>
    <row r="476" customHeight="1" spans="2:26">
      <c r="B476" s="280"/>
      <c r="C476" s="293"/>
      <c r="D476" s="293"/>
      <c r="E476" s="293"/>
      <c r="F476" s="29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93"/>
      <c r="U476" s="293"/>
      <c r="V476" s="293"/>
      <c r="W476" s="293"/>
      <c r="X476" s="293"/>
      <c r="Y476" s="293"/>
      <c r="Z476" s="293"/>
    </row>
    <row r="477" customHeight="1" spans="2:26">
      <c r="B477" s="280"/>
      <c r="C477" s="293"/>
      <c r="D477" s="293"/>
      <c r="E477" s="293"/>
      <c r="F477" s="29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93"/>
      <c r="U477" s="293"/>
      <c r="V477" s="293"/>
      <c r="W477" s="293"/>
      <c r="X477" s="293"/>
      <c r="Y477" s="293"/>
      <c r="Z477" s="293"/>
    </row>
    <row r="480" customHeight="1" spans="2:26">
      <c r="B480" s="280"/>
      <c r="C480" s="293"/>
      <c r="D480" s="293"/>
      <c r="E480" s="293"/>
      <c r="F480" s="293"/>
      <c r="G480" s="293"/>
      <c r="H480" s="293"/>
      <c r="I480" s="293"/>
      <c r="J480" s="293"/>
      <c r="K480" s="28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</row>
  </sheetData>
  <mergeCells count="362">
    <mergeCell ref="B1:Z1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36:B36"/>
    <mergeCell ref="B38:Z38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73:B73"/>
    <mergeCell ref="B76:Z76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111:B111"/>
    <mergeCell ref="B114:Z114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149:B149"/>
    <mergeCell ref="B152:Z152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187:B187"/>
    <mergeCell ref="B189:Z189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224:B224"/>
    <mergeCell ref="B227:Z227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262:B262"/>
    <mergeCell ref="B265:Z265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300:B300"/>
    <mergeCell ref="B303:Z303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338:B338"/>
    <mergeCell ref="B341:Z341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376:B376"/>
    <mergeCell ref="B379:Z379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414:B414"/>
    <mergeCell ref="B418:Z418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453:B453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3:A5"/>
    <mergeCell ref="A40:A42"/>
    <mergeCell ref="A78:A80"/>
    <mergeCell ref="A116:A118"/>
    <mergeCell ref="A154:A156"/>
    <mergeCell ref="A191:A193"/>
    <mergeCell ref="A229:A231"/>
    <mergeCell ref="A267:A269"/>
    <mergeCell ref="A305:A307"/>
    <mergeCell ref="A343:A345"/>
    <mergeCell ref="A381:A383"/>
    <mergeCell ref="A420:A422"/>
    <mergeCell ref="B3:B5"/>
    <mergeCell ref="B40:B42"/>
    <mergeCell ref="B78:B80"/>
    <mergeCell ref="B116:B118"/>
    <mergeCell ref="B154:B156"/>
    <mergeCell ref="B191:B193"/>
    <mergeCell ref="B229:B231"/>
    <mergeCell ref="B267:B269"/>
    <mergeCell ref="B305:B307"/>
    <mergeCell ref="B343:B345"/>
    <mergeCell ref="B381:B383"/>
    <mergeCell ref="B420:B422"/>
    <mergeCell ref="C3:C5"/>
    <mergeCell ref="C40:C42"/>
    <mergeCell ref="C78:C80"/>
    <mergeCell ref="C116:C118"/>
    <mergeCell ref="C154:C156"/>
    <mergeCell ref="C191:C193"/>
    <mergeCell ref="C229:C231"/>
    <mergeCell ref="C267:C269"/>
    <mergeCell ref="C305:C307"/>
    <mergeCell ref="C343:C345"/>
    <mergeCell ref="C381:C383"/>
    <mergeCell ref="C420:C422"/>
    <mergeCell ref="D3:D5"/>
    <mergeCell ref="D40:D42"/>
    <mergeCell ref="D78:D80"/>
    <mergeCell ref="D116:D118"/>
    <mergeCell ref="D154:D156"/>
    <mergeCell ref="D191:D193"/>
    <mergeCell ref="D229:D231"/>
    <mergeCell ref="D267:D269"/>
    <mergeCell ref="D305:D307"/>
    <mergeCell ref="D343:D345"/>
    <mergeCell ref="D381:D383"/>
    <mergeCell ref="D420:D422"/>
    <mergeCell ref="D460:D462"/>
    <mergeCell ref="E3:E5"/>
    <mergeCell ref="E40:E42"/>
    <mergeCell ref="E78:E80"/>
    <mergeCell ref="E116:E118"/>
    <mergeCell ref="E154:E156"/>
    <mergeCell ref="E191:E193"/>
    <mergeCell ref="E229:E231"/>
    <mergeCell ref="E267:E269"/>
    <mergeCell ref="E305:E307"/>
    <mergeCell ref="E343:E345"/>
    <mergeCell ref="E381:E383"/>
    <mergeCell ref="E420:E422"/>
    <mergeCell ref="E460:E462"/>
    <mergeCell ref="F3:F5"/>
    <mergeCell ref="F40:F42"/>
    <mergeCell ref="F78:F80"/>
    <mergeCell ref="F116:F118"/>
    <mergeCell ref="F154:F156"/>
    <mergeCell ref="F191:F193"/>
    <mergeCell ref="F229:F231"/>
    <mergeCell ref="F267:F269"/>
    <mergeCell ref="F305:F307"/>
    <mergeCell ref="F343:F345"/>
    <mergeCell ref="F381:F383"/>
    <mergeCell ref="F420:F422"/>
    <mergeCell ref="F460:F462"/>
    <mergeCell ref="AA3:AA5"/>
    <mergeCell ref="AB3:AO4"/>
    <mergeCell ref="D458:Z459"/>
  </mergeCells>
  <pageMargins left="0.354166666666667" right="0.393055555555556" top="0.75" bottom="0.75" header="0.3" footer="0.3"/>
  <pageSetup paperSize="9" scale="62" fitToHeight="0" orientation="landscape" horizontalDpi="200" verticalDpi="300"/>
  <headerFooter/>
  <rowBreaks count="12" manualBreakCount="12">
    <brk id="36" max="25" man="1"/>
    <brk id="73" max="25" man="1"/>
    <brk id="111" max="25" man="1"/>
    <brk id="149" max="25" man="1"/>
    <brk id="187" max="25" man="1"/>
    <brk id="224" max="25" man="1"/>
    <brk id="262" max="25" man="1"/>
    <brk id="300" max="25" man="1"/>
    <brk id="338" max="25" man="1"/>
    <brk id="376" max="25" man="1"/>
    <brk id="414" max="25" man="1"/>
    <brk id="453" max="2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0"/>
  <sheetViews>
    <sheetView view="pageBreakPreview" zoomScaleNormal="100" topLeftCell="A67" workbookViewId="0">
      <selection activeCell="Q19" sqref="Q19"/>
    </sheetView>
  </sheetViews>
  <sheetFormatPr defaultColWidth="9" defaultRowHeight="14.4"/>
  <cols>
    <col min="1" max="2" width="9" style="305"/>
    <col min="3" max="11" width="4.37962962962963" style="305" customWidth="1"/>
    <col min="12" max="30" width="5.37962962962963" style="305" customWidth="1"/>
    <col min="31" max="34" width="8.37962962962963" style="305" customWidth="1"/>
    <col min="35" max="16384" width="9" style="305"/>
  </cols>
  <sheetData>
    <row r="1" ht="17.4" spans="1:35">
      <c r="A1" s="306" t="s">
        <v>68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</row>
    <row r="2" ht="15.6" spans="1:35">
      <c r="A2" s="308">
        <v>45658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</row>
    <row r="3" ht="15.6" spans="1:35">
      <c r="A3" s="310" t="s">
        <v>69</v>
      </c>
      <c r="B3" s="310" t="s">
        <v>70</v>
      </c>
      <c r="C3" s="310" t="s">
        <v>71</v>
      </c>
      <c r="D3" s="310" t="s">
        <v>72</v>
      </c>
      <c r="E3" s="310" t="s">
        <v>73</v>
      </c>
      <c r="F3" s="310" t="s">
        <v>74</v>
      </c>
      <c r="G3" s="310" t="s">
        <v>75</v>
      </c>
      <c r="H3" s="310" t="s">
        <v>76</v>
      </c>
      <c r="I3" s="310" t="s">
        <v>77</v>
      </c>
      <c r="J3" s="310" t="s">
        <v>78</v>
      </c>
      <c r="K3" s="310" t="s">
        <v>79</v>
      </c>
      <c r="L3" s="310" t="s">
        <v>80</v>
      </c>
      <c r="M3" s="310" t="s">
        <v>81</v>
      </c>
      <c r="N3" s="310" t="s">
        <v>82</v>
      </c>
      <c r="O3" s="310" t="s">
        <v>83</v>
      </c>
      <c r="P3" s="310" t="s">
        <v>84</v>
      </c>
      <c r="Q3" s="310" t="s">
        <v>85</v>
      </c>
      <c r="R3" s="310" t="s">
        <v>86</v>
      </c>
      <c r="S3" s="310" t="s">
        <v>87</v>
      </c>
      <c r="T3" s="310" t="s">
        <v>88</v>
      </c>
      <c r="U3" s="310" t="s">
        <v>89</v>
      </c>
      <c r="V3" s="310" t="s">
        <v>90</v>
      </c>
      <c r="W3" s="310" t="s">
        <v>91</v>
      </c>
      <c r="X3" s="310" t="s">
        <v>92</v>
      </c>
      <c r="Y3" s="310" t="s">
        <v>93</v>
      </c>
      <c r="Z3" s="310" t="s">
        <v>94</v>
      </c>
      <c r="AA3" s="310" t="s">
        <v>94</v>
      </c>
      <c r="AB3" s="310" t="s">
        <v>95</v>
      </c>
      <c r="AC3" s="310" t="s">
        <v>96</v>
      </c>
      <c r="AD3" s="310" t="s">
        <v>97</v>
      </c>
      <c r="AE3" s="310" t="s">
        <v>98</v>
      </c>
      <c r="AF3" s="310" t="s">
        <v>99</v>
      </c>
      <c r="AG3" s="310" t="s">
        <v>100</v>
      </c>
      <c r="AH3" s="310" t="s">
        <v>101</v>
      </c>
      <c r="AI3" s="305">
        <v>22</v>
      </c>
    </row>
    <row r="4" ht="15.6" spans="1:35">
      <c r="A4" s="311"/>
      <c r="B4" s="310" t="s">
        <v>12</v>
      </c>
      <c r="C4" s="312"/>
      <c r="D4" s="312" t="s">
        <v>102</v>
      </c>
      <c r="E4" s="312" t="s">
        <v>102</v>
      </c>
      <c r="F4" s="312"/>
      <c r="G4" s="312"/>
      <c r="H4" s="312"/>
      <c r="I4" s="312"/>
      <c r="J4" s="312" t="s">
        <v>102</v>
      </c>
      <c r="K4" s="312" t="s">
        <v>102</v>
      </c>
      <c r="L4" s="312" t="s">
        <v>102</v>
      </c>
      <c r="M4" s="312"/>
      <c r="N4" s="312"/>
      <c r="O4" s="312"/>
      <c r="P4" s="312"/>
      <c r="Q4" s="312" t="s">
        <v>102</v>
      </c>
      <c r="R4" s="312" t="s">
        <v>102</v>
      </c>
      <c r="S4" s="312" t="s">
        <v>102</v>
      </c>
      <c r="T4" s="312"/>
      <c r="U4" s="312"/>
      <c r="V4" s="312"/>
      <c r="W4" s="312"/>
      <c r="X4" s="312" t="s">
        <v>102</v>
      </c>
      <c r="Y4" s="312" t="s">
        <v>102</v>
      </c>
      <c r="Z4" s="312" t="s">
        <v>102</v>
      </c>
      <c r="AA4" s="312"/>
      <c r="AB4" s="312"/>
      <c r="AC4" s="312"/>
      <c r="AD4" s="312"/>
      <c r="AE4" s="312" t="s">
        <v>102</v>
      </c>
      <c r="AF4" s="312" t="s">
        <v>102</v>
      </c>
      <c r="AG4" s="312" t="s">
        <v>102</v>
      </c>
      <c r="AH4" s="313">
        <f>COUNTIF(C4:AG4,"√")</f>
        <v>14</v>
      </c>
    </row>
    <row r="5" ht="15.6" spans="1:35">
      <c r="A5" s="314"/>
      <c r="B5" s="310" t="s">
        <v>13</v>
      </c>
      <c r="C5" s="312"/>
      <c r="D5" s="312"/>
      <c r="E5" s="312"/>
      <c r="F5" s="312" t="s">
        <v>102</v>
      </c>
      <c r="G5" s="312" t="s">
        <v>102</v>
      </c>
      <c r="H5" s="312" t="s">
        <v>102</v>
      </c>
      <c r="I5" s="312"/>
      <c r="J5" s="312"/>
      <c r="K5" s="312"/>
      <c r="L5" s="312"/>
      <c r="M5" s="312" t="s">
        <v>102</v>
      </c>
      <c r="N5" s="312" t="s">
        <v>102</v>
      </c>
      <c r="O5" s="312" t="s">
        <v>102</v>
      </c>
      <c r="P5" s="312"/>
      <c r="Q5" s="312"/>
      <c r="R5" s="312"/>
      <c r="S5" s="312"/>
      <c r="T5" s="312" t="s">
        <v>102</v>
      </c>
      <c r="U5" s="312" t="s">
        <v>102</v>
      </c>
      <c r="V5" s="312" t="s">
        <v>102</v>
      </c>
      <c r="W5" s="312"/>
      <c r="X5" s="312"/>
      <c r="Y5" s="312"/>
      <c r="Z5" s="312"/>
      <c r="AA5" s="312" t="s">
        <v>102</v>
      </c>
      <c r="AB5" s="312" t="s">
        <v>102</v>
      </c>
      <c r="AC5" s="312" t="s">
        <v>102</v>
      </c>
      <c r="AD5" s="312"/>
      <c r="AE5" s="310"/>
      <c r="AF5" s="312"/>
      <c r="AG5" s="310"/>
      <c r="AH5" s="313">
        <f>COUNTIF(C5:AG5,"√")</f>
        <v>12</v>
      </c>
    </row>
    <row r="6" ht="15.6" spans="1:35">
      <c r="A6" s="314"/>
      <c r="B6" s="310" t="s">
        <v>14</v>
      </c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0"/>
      <c r="Y6" s="312"/>
      <c r="Z6" s="312"/>
      <c r="AA6" s="310"/>
      <c r="AB6" s="312"/>
      <c r="AC6" s="312"/>
      <c r="AD6" s="312"/>
      <c r="AE6" s="312"/>
      <c r="AF6" s="312"/>
      <c r="AG6" s="310"/>
      <c r="AH6" s="313">
        <f t="shared" ref="AH6:AH23" si="0">COUNTIF(C6:AG6,"√")</f>
        <v>0</v>
      </c>
    </row>
    <row r="7" ht="15.6" spans="1:35">
      <c r="A7" s="314"/>
      <c r="B7" s="310" t="s">
        <v>15</v>
      </c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0"/>
      <c r="Y7" s="312"/>
      <c r="Z7" s="312"/>
      <c r="AA7" s="310"/>
      <c r="AB7" s="312"/>
      <c r="AC7" s="312"/>
      <c r="AD7" s="312"/>
      <c r="AE7" s="312"/>
      <c r="AF7" s="312"/>
      <c r="AG7" s="310"/>
      <c r="AH7" s="313">
        <f t="shared" si="0"/>
        <v>0</v>
      </c>
    </row>
    <row r="8" ht="15.6" spans="1:35">
      <c r="A8" s="314"/>
      <c r="B8" s="310" t="s">
        <v>16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  <c r="AB8" s="310"/>
      <c r="AC8" s="310"/>
      <c r="AD8" s="310"/>
      <c r="AE8" s="310"/>
      <c r="AF8" s="310"/>
      <c r="AG8" s="310"/>
      <c r="AH8" s="313">
        <f t="shared" si="0"/>
        <v>0</v>
      </c>
    </row>
    <row r="9" ht="15.6" spans="1:35">
      <c r="A9" s="310"/>
      <c r="B9" s="310" t="s">
        <v>12</v>
      </c>
      <c r="C9" s="312"/>
      <c r="D9" s="312" t="s">
        <v>102</v>
      </c>
      <c r="E9" s="312" t="s">
        <v>102</v>
      </c>
      <c r="F9" s="312" t="s">
        <v>102</v>
      </c>
      <c r="G9" s="312" t="s">
        <v>102</v>
      </c>
      <c r="H9" s="312" t="s">
        <v>102</v>
      </c>
      <c r="I9" s="312"/>
      <c r="J9" s="312" t="s">
        <v>102</v>
      </c>
      <c r="K9" s="312" t="s">
        <v>102</v>
      </c>
      <c r="L9" s="312" t="s">
        <v>102</v>
      </c>
      <c r="M9" s="312" t="s">
        <v>102</v>
      </c>
      <c r="N9" s="312" t="s">
        <v>102</v>
      </c>
      <c r="O9" s="312" t="s">
        <v>102</v>
      </c>
      <c r="P9" s="312"/>
      <c r="Q9" s="312" t="s">
        <v>102</v>
      </c>
      <c r="R9" s="312" t="s">
        <v>102</v>
      </c>
      <c r="S9" s="312" t="s">
        <v>102</v>
      </c>
      <c r="T9" s="312" t="s">
        <v>102</v>
      </c>
      <c r="U9" s="312" t="s">
        <v>102</v>
      </c>
      <c r="V9" s="312" t="s">
        <v>102</v>
      </c>
      <c r="W9" s="312"/>
      <c r="X9" s="312" t="s">
        <v>102</v>
      </c>
      <c r="Y9" s="312" t="s">
        <v>102</v>
      </c>
      <c r="Z9" s="312" t="s">
        <v>102</v>
      </c>
      <c r="AA9" s="312" t="s">
        <v>102</v>
      </c>
      <c r="AB9" s="312" t="s">
        <v>102</v>
      </c>
      <c r="AC9" s="312" t="s">
        <v>102</v>
      </c>
      <c r="AD9" s="312"/>
      <c r="AE9" s="312" t="s">
        <v>102</v>
      </c>
      <c r="AF9" s="312" t="s">
        <v>102</v>
      </c>
      <c r="AG9" s="312" t="s">
        <v>102</v>
      </c>
      <c r="AH9" s="313">
        <f t="shared" si="0"/>
        <v>26</v>
      </c>
    </row>
    <row r="10" ht="15.6" spans="1:35">
      <c r="A10" s="310"/>
      <c r="B10" s="310" t="s">
        <v>13</v>
      </c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0"/>
      <c r="Y10" s="312"/>
      <c r="Z10" s="312"/>
      <c r="AA10" s="310"/>
      <c r="AB10" s="312"/>
      <c r="AC10" s="312"/>
      <c r="AD10" s="312"/>
      <c r="AE10" s="312"/>
      <c r="AF10" s="312"/>
      <c r="AG10" s="310"/>
      <c r="AH10" s="313">
        <f t="shared" si="0"/>
        <v>0</v>
      </c>
    </row>
    <row r="11" ht="15.6" spans="1:35">
      <c r="A11" s="310"/>
      <c r="B11" s="310" t="s">
        <v>14</v>
      </c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0"/>
      <c r="Y11" s="312"/>
      <c r="Z11" s="312"/>
      <c r="AA11" s="310"/>
      <c r="AB11" s="312"/>
      <c r="AC11" s="312"/>
      <c r="AD11" s="312"/>
      <c r="AE11" s="312"/>
      <c r="AF11" s="312"/>
      <c r="AG11" s="310"/>
      <c r="AH11" s="313">
        <f t="shared" si="0"/>
        <v>0</v>
      </c>
    </row>
    <row r="12" ht="15.6" spans="1:35">
      <c r="A12" s="310"/>
      <c r="B12" s="310" t="s">
        <v>15</v>
      </c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0"/>
      <c r="Y12" s="312"/>
      <c r="Z12" s="312"/>
      <c r="AA12" s="310"/>
      <c r="AB12" s="312"/>
      <c r="AC12" s="312"/>
      <c r="AD12" s="312"/>
      <c r="AE12" s="312"/>
      <c r="AF12" s="312"/>
      <c r="AG12" s="310"/>
      <c r="AH12" s="313">
        <f t="shared" si="0"/>
        <v>0</v>
      </c>
    </row>
    <row r="13" ht="15.6" spans="1:35">
      <c r="A13" s="310"/>
      <c r="B13" s="310" t="s">
        <v>16</v>
      </c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3">
        <f t="shared" si="0"/>
        <v>0</v>
      </c>
    </row>
    <row r="14" ht="15.6" spans="1:35">
      <c r="A14" s="311"/>
      <c r="B14" s="310" t="s">
        <v>12</v>
      </c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0"/>
      <c r="AB14" s="312"/>
      <c r="AC14" s="312"/>
      <c r="AD14" s="312"/>
      <c r="AE14" s="312"/>
      <c r="AF14" s="312"/>
      <c r="AG14" s="312"/>
      <c r="AH14" s="313">
        <f t="shared" si="0"/>
        <v>0</v>
      </c>
    </row>
    <row r="15" ht="15.6" spans="1:35">
      <c r="A15" s="314"/>
      <c r="B15" s="310" t="s">
        <v>13</v>
      </c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0"/>
      <c r="Y15" s="312"/>
      <c r="Z15" s="312"/>
      <c r="AA15" s="310"/>
      <c r="AB15" s="312"/>
      <c r="AC15" s="312"/>
      <c r="AD15" s="312"/>
      <c r="AE15" s="312"/>
      <c r="AF15" s="312"/>
      <c r="AG15" s="310"/>
      <c r="AH15" s="313">
        <f t="shared" si="0"/>
        <v>0</v>
      </c>
    </row>
    <row r="16" ht="15.6" spans="1:35">
      <c r="A16" s="314"/>
      <c r="B16" s="310" t="s">
        <v>14</v>
      </c>
      <c r="C16" s="312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0"/>
      <c r="Y16" s="312"/>
      <c r="Z16" s="312"/>
      <c r="AA16" s="310"/>
      <c r="AB16" s="312"/>
      <c r="AC16" s="312"/>
      <c r="AD16" s="312"/>
      <c r="AE16" s="312"/>
      <c r="AF16" s="312"/>
      <c r="AG16" s="310"/>
      <c r="AH16" s="313">
        <f t="shared" si="0"/>
        <v>0</v>
      </c>
    </row>
    <row r="17" ht="15.6" spans="1:35">
      <c r="A17" s="314"/>
      <c r="B17" s="310" t="s">
        <v>15</v>
      </c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0"/>
      <c r="Y17" s="312"/>
      <c r="Z17" s="312"/>
      <c r="AA17" s="310"/>
      <c r="AB17" s="312"/>
      <c r="AC17" s="312"/>
      <c r="AD17" s="312"/>
      <c r="AE17" s="312"/>
      <c r="AF17" s="312"/>
      <c r="AG17" s="310"/>
      <c r="AH17" s="313">
        <f t="shared" si="0"/>
        <v>0</v>
      </c>
    </row>
    <row r="18" ht="15.6" spans="1:35">
      <c r="A18" s="314"/>
      <c r="B18" s="310" t="s">
        <v>16</v>
      </c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0"/>
      <c r="Y18" s="312"/>
      <c r="Z18" s="312"/>
      <c r="AA18" s="310"/>
      <c r="AB18" s="312"/>
      <c r="AC18" s="312"/>
      <c r="AD18" s="312"/>
      <c r="AE18" s="312"/>
      <c r="AF18" s="312"/>
      <c r="AG18" s="310"/>
      <c r="AH18" s="313">
        <f t="shared" si="0"/>
        <v>0</v>
      </c>
    </row>
    <row r="19" ht="15.6" spans="1:35">
      <c r="A19" s="311"/>
      <c r="B19" s="310" t="s">
        <v>12</v>
      </c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0"/>
      <c r="AB19" s="312"/>
      <c r="AC19" s="312"/>
      <c r="AD19" s="312"/>
      <c r="AE19" s="312"/>
      <c r="AF19" s="312"/>
      <c r="AG19" s="312"/>
      <c r="AH19" s="313">
        <f t="shared" si="0"/>
        <v>0</v>
      </c>
    </row>
    <row r="20" ht="15.6" spans="1:35">
      <c r="A20" s="314"/>
      <c r="B20" s="310" t="s">
        <v>13</v>
      </c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0"/>
      <c r="Y20" s="312"/>
      <c r="Z20" s="312"/>
      <c r="AA20" s="310"/>
      <c r="AB20" s="312"/>
      <c r="AC20" s="312"/>
      <c r="AD20" s="312"/>
      <c r="AE20" s="312"/>
      <c r="AF20" s="312"/>
      <c r="AG20" s="310"/>
      <c r="AH20" s="313">
        <f t="shared" si="0"/>
        <v>0</v>
      </c>
    </row>
    <row r="21" ht="15.6" spans="1:35">
      <c r="A21" s="314"/>
      <c r="B21" s="310" t="s">
        <v>14</v>
      </c>
      <c r="C21" s="312"/>
      <c r="D21" s="312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0"/>
      <c r="Y21" s="312"/>
      <c r="Z21" s="312"/>
      <c r="AA21" s="310"/>
      <c r="AB21" s="312"/>
      <c r="AC21" s="312"/>
      <c r="AD21" s="310"/>
      <c r="AE21" s="312"/>
      <c r="AF21" s="312"/>
      <c r="AG21" s="310"/>
      <c r="AH21" s="313">
        <f t="shared" si="0"/>
        <v>0</v>
      </c>
    </row>
    <row r="22" ht="15.6" spans="1:35">
      <c r="A22" s="314"/>
      <c r="B22" s="310" t="s">
        <v>15</v>
      </c>
      <c r="C22" s="312"/>
      <c r="D22" s="312"/>
      <c r="E22" s="312"/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0"/>
      <c r="Y22" s="312"/>
      <c r="Z22" s="312"/>
      <c r="AA22" s="310"/>
      <c r="AB22" s="312"/>
      <c r="AC22" s="312"/>
      <c r="AD22" s="310"/>
      <c r="AE22" s="312"/>
      <c r="AF22" s="312"/>
      <c r="AG22" s="310"/>
      <c r="AH22" s="313">
        <f t="shared" si="0"/>
        <v>0</v>
      </c>
    </row>
    <row r="23" ht="15.6" spans="1:35">
      <c r="A23" s="314"/>
      <c r="B23" s="310" t="s">
        <v>16</v>
      </c>
      <c r="C23" s="312"/>
      <c r="D23" s="312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0"/>
      <c r="Y23" s="312"/>
      <c r="Z23" s="312"/>
      <c r="AA23" s="310"/>
      <c r="AB23" s="312"/>
      <c r="AC23" s="312"/>
      <c r="AD23" s="312"/>
      <c r="AE23" s="312"/>
      <c r="AF23" s="312"/>
      <c r="AG23" s="310"/>
      <c r="AH23" s="313">
        <f t="shared" si="0"/>
        <v>0</v>
      </c>
    </row>
    <row r="24" ht="15.6" spans="1:35">
      <c r="A24" s="315" t="s">
        <v>103</v>
      </c>
      <c r="B24" s="316"/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7"/>
    </row>
    <row r="27" ht="17.4" spans="1:35">
      <c r="A27" s="306" t="s">
        <v>68</v>
      </c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</row>
    <row r="28" ht="15.6" spans="1:35">
      <c r="A28" s="308">
        <v>45689</v>
      </c>
      <c r="B28" s="309"/>
      <c r="C28" s="309"/>
      <c r="D28" s="309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</row>
    <row r="29" ht="15.6" spans="1:35">
      <c r="A29" s="310" t="s">
        <v>69</v>
      </c>
      <c r="B29" s="310" t="s">
        <v>70</v>
      </c>
      <c r="C29" s="310" t="s">
        <v>71</v>
      </c>
      <c r="D29" s="310" t="s">
        <v>72</v>
      </c>
      <c r="E29" s="310" t="s">
        <v>73</v>
      </c>
      <c r="F29" s="310" t="s">
        <v>74</v>
      </c>
      <c r="G29" s="310" t="s">
        <v>75</v>
      </c>
      <c r="H29" s="310" t="s">
        <v>76</v>
      </c>
      <c r="I29" s="310" t="s">
        <v>77</v>
      </c>
      <c r="J29" s="310" t="s">
        <v>78</v>
      </c>
      <c r="K29" s="310" t="s">
        <v>79</v>
      </c>
      <c r="L29" s="310" t="s">
        <v>80</v>
      </c>
      <c r="M29" s="310" t="s">
        <v>81</v>
      </c>
      <c r="N29" s="310" t="s">
        <v>82</v>
      </c>
      <c r="O29" s="310" t="s">
        <v>83</v>
      </c>
      <c r="P29" s="310" t="s">
        <v>84</v>
      </c>
      <c r="Q29" s="310" t="s">
        <v>85</v>
      </c>
      <c r="R29" s="310" t="s">
        <v>86</v>
      </c>
      <c r="S29" s="310" t="s">
        <v>87</v>
      </c>
      <c r="T29" s="310" t="s">
        <v>88</v>
      </c>
      <c r="U29" s="310" t="s">
        <v>89</v>
      </c>
      <c r="V29" s="310" t="s">
        <v>90</v>
      </c>
      <c r="W29" s="310" t="s">
        <v>91</v>
      </c>
      <c r="X29" s="310" t="s">
        <v>92</v>
      </c>
      <c r="Y29" s="310" t="s">
        <v>93</v>
      </c>
      <c r="Z29" s="310" t="s">
        <v>94</v>
      </c>
      <c r="AA29" s="310" t="s">
        <v>94</v>
      </c>
      <c r="AB29" s="310" t="s">
        <v>95</v>
      </c>
      <c r="AC29" s="310" t="s">
        <v>96</v>
      </c>
      <c r="AD29" s="310" t="s">
        <v>97</v>
      </c>
      <c r="AE29" s="318"/>
      <c r="AF29" s="310" t="s">
        <v>101</v>
      </c>
      <c r="AI29" s="305">
        <v>18</v>
      </c>
    </row>
    <row r="30" ht="15.6" spans="1:35">
      <c r="A30" s="311"/>
      <c r="B30" s="310" t="s">
        <v>12</v>
      </c>
      <c r="C30" s="312" t="s">
        <v>102</v>
      </c>
      <c r="D30" s="312" t="s">
        <v>102</v>
      </c>
      <c r="E30" s="312"/>
      <c r="F30" s="312"/>
      <c r="G30" s="312"/>
      <c r="H30" s="312"/>
      <c r="I30" s="312" t="s">
        <v>102</v>
      </c>
      <c r="J30" s="312" t="s">
        <v>102</v>
      </c>
      <c r="K30" s="312" t="s">
        <v>102</v>
      </c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 t="s">
        <v>102</v>
      </c>
      <c r="W30" s="312" t="s">
        <v>102</v>
      </c>
      <c r="X30" s="312"/>
      <c r="Y30" s="312"/>
      <c r="Z30" s="312"/>
      <c r="AA30" s="310"/>
      <c r="AB30" s="312" t="s">
        <v>102</v>
      </c>
      <c r="AC30" s="312" t="s">
        <v>102</v>
      </c>
      <c r="AD30" s="312"/>
      <c r="AE30" s="318"/>
      <c r="AF30" s="313">
        <f>COUNTIF(C30:AE30,"√")</f>
        <v>9</v>
      </c>
    </row>
    <row r="31" ht="15.6" spans="1:35">
      <c r="A31" s="314"/>
      <c r="B31" s="310" t="s">
        <v>13</v>
      </c>
      <c r="C31" s="310"/>
      <c r="D31" s="312"/>
      <c r="E31" s="312"/>
      <c r="F31" s="312" t="s">
        <v>102</v>
      </c>
      <c r="G31" s="312" t="s">
        <v>102</v>
      </c>
      <c r="H31" s="312" t="s">
        <v>102</v>
      </c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 t="s">
        <v>102</v>
      </c>
      <c r="U31" s="312" t="s">
        <v>102</v>
      </c>
      <c r="V31" s="312"/>
      <c r="W31" s="312"/>
      <c r="X31" s="312" t="s">
        <v>102</v>
      </c>
      <c r="Y31" s="312" t="s">
        <v>102</v>
      </c>
      <c r="Z31" s="312" t="s">
        <v>102</v>
      </c>
      <c r="AA31" s="312"/>
      <c r="AB31" s="312"/>
      <c r="AC31" s="312"/>
      <c r="AD31" s="312" t="s">
        <v>102</v>
      </c>
      <c r="AE31" s="312"/>
      <c r="AF31" s="313">
        <f t="shared" ref="AF31:AF49" si="1">COUNTIF(C31:AE31,"√")</f>
        <v>9</v>
      </c>
    </row>
    <row r="32" ht="15.6" spans="1:35">
      <c r="A32" s="314"/>
      <c r="B32" s="310" t="s">
        <v>14</v>
      </c>
      <c r="C32" s="310"/>
      <c r="D32" s="312"/>
      <c r="E32" s="312"/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0"/>
      <c r="Y32" s="312"/>
      <c r="Z32" s="312"/>
      <c r="AA32" s="310"/>
      <c r="AB32" s="312"/>
      <c r="AC32" s="312"/>
      <c r="AD32" s="312"/>
      <c r="AE32" s="318"/>
      <c r="AF32" s="313">
        <f t="shared" si="1"/>
        <v>0</v>
      </c>
    </row>
    <row r="33" ht="15.6" spans="1:32">
      <c r="A33" s="314"/>
      <c r="B33" s="310" t="s">
        <v>15</v>
      </c>
      <c r="C33" s="310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0"/>
      <c r="Y33" s="312"/>
      <c r="Z33" s="312"/>
      <c r="AA33" s="310"/>
      <c r="AB33" s="312"/>
      <c r="AC33" s="312"/>
      <c r="AD33" s="312"/>
      <c r="AE33" s="318"/>
      <c r="AF33" s="313">
        <f t="shared" si="1"/>
        <v>0</v>
      </c>
    </row>
    <row r="34" ht="15.6" spans="1:32">
      <c r="A34" s="314"/>
      <c r="B34" s="310" t="s">
        <v>16</v>
      </c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8"/>
      <c r="AF34" s="313">
        <f t="shared" si="1"/>
        <v>0</v>
      </c>
    </row>
    <row r="35" ht="15.6" spans="1:32">
      <c r="A35" s="310"/>
      <c r="B35" s="310" t="s">
        <v>12</v>
      </c>
      <c r="C35" s="312" t="s">
        <v>102</v>
      </c>
      <c r="D35" s="312" t="s">
        <v>102</v>
      </c>
      <c r="E35" s="312"/>
      <c r="F35" s="312" t="s">
        <v>102</v>
      </c>
      <c r="G35" s="312" t="s">
        <v>102</v>
      </c>
      <c r="H35" s="312" t="s">
        <v>102</v>
      </c>
      <c r="I35" s="312" t="s">
        <v>102</v>
      </c>
      <c r="J35" s="312" t="s">
        <v>102</v>
      </c>
      <c r="K35" s="312" t="s">
        <v>102</v>
      </c>
      <c r="L35" s="312"/>
      <c r="M35" s="312"/>
      <c r="N35" s="312"/>
      <c r="O35" s="312"/>
      <c r="P35" s="312"/>
      <c r="Q35" s="312"/>
      <c r="R35" s="312"/>
      <c r="S35" s="312"/>
      <c r="T35" s="312" t="s">
        <v>102</v>
      </c>
      <c r="U35" s="312" t="s">
        <v>102</v>
      </c>
      <c r="V35" s="312" t="s">
        <v>102</v>
      </c>
      <c r="W35" s="312" t="s">
        <v>102</v>
      </c>
      <c r="X35" s="312" t="s">
        <v>102</v>
      </c>
      <c r="Y35" s="312" t="s">
        <v>102</v>
      </c>
      <c r="Z35" s="312" t="s">
        <v>102</v>
      </c>
      <c r="AA35" s="312"/>
      <c r="AB35" s="312" t="s">
        <v>102</v>
      </c>
      <c r="AC35" s="312" t="s">
        <v>102</v>
      </c>
      <c r="AD35" s="312" t="s">
        <v>102</v>
      </c>
      <c r="AE35" s="312"/>
      <c r="AF35" s="313">
        <f t="shared" si="1"/>
        <v>18</v>
      </c>
    </row>
    <row r="36" ht="15.6" spans="1:32">
      <c r="A36" s="310"/>
      <c r="B36" s="310" t="s">
        <v>13</v>
      </c>
      <c r="C36" s="310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0"/>
      <c r="Y36" s="312"/>
      <c r="Z36" s="312"/>
      <c r="AA36" s="312"/>
      <c r="AB36" s="312"/>
      <c r="AC36" s="312"/>
      <c r="AD36" s="312"/>
      <c r="AE36" s="318"/>
      <c r="AF36" s="313">
        <f t="shared" si="1"/>
        <v>0</v>
      </c>
    </row>
    <row r="37" ht="15.6" spans="1:32">
      <c r="A37" s="310"/>
      <c r="B37" s="310" t="s">
        <v>14</v>
      </c>
      <c r="C37" s="319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0"/>
      <c r="Y37" s="312"/>
      <c r="Z37" s="312"/>
      <c r="AA37" s="310"/>
      <c r="AB37" s="312"/>
      <c r="AC37" s="312"/>
      <c r="AD37" s="312"/>
      <c r="AE37" s="318"/>
      <c r="AF37" s="313">
        <f t="shared" si="1"/>
        <v>0</v>
      </c>
    </row>
    <row r="38" ht="15.6" spans="1:32">
      <c r="A38" s="310"/>
      <c r="B38" s="310" t="s">
        <v>15</v>
      </c>
      <c r="C38" s="319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0"/>
      <c r="Y38" s="312"/>
      <c r="Z38" s="312"/>
      <c r="AA38" s="310"/>
      <c r="AB38" s="312"/>
      <c r="AC38" s="312"/>
      <c r="AD38" s="312"/>
      <c r="AE38" s="318"/>
      <c r="AF38" s="313">
        <f t="shared" si="1"/>
        <v>0</v>
      </c>
    </row>
    <row r="39" ht="15.6" spans="1:32">
      <c r="A39" s="310"/>
      <c r="B39" s="310" t="s">
        <v>16</v>
      </c>
      <c r="C39" s="319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8"/>
      <c r="AF39" s="313">
        <f t="shared" si="1"/>
        <v>0</v>
      </c>
    </row>
    <row r="40" ht="15.6" spans="1:32">
      <c r="A40" s="311"/>
      <c r="B40" s="310" t="s">
        <v>12</v>
      </c>
      <c r="C40" s="319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0"/>
      <c r="Y40" s="312"/>
      <c r="Z40" s="312"/>
      <c r="AA40" s="310"/>
      <c r="AB40" s="312"/>
      <c r="AC40" s="312"/>
      <c r="AD40" s="312"/>
      <c r="AE40" s="318"/>
      <c r="AF40" s="313">
        <f t="shared" si="1"/>
        <v>0</v>
      </c>
    </row>
    <row r="41" ht="15.6" spans="1:32">
      <c r="A41" s="314"/>
      <c r="B41" s="310" t="s">
        <v>13</v>
      </c>
      <c r="C41" s="319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0"/>
      <c r="Y41" s="312"/>
      <c r="Z41" s="312"/>
      <c r="AA41" s="310"/>
      <c r="AB41" s="312"/>
      <c r="AC41" s="312"/>
      <c r="AD41" s="312"/>
      <c r="AE41" s="318"/>
      <c r="AF41" s="313">
        <f t="shared" si="1"/>
        <v>0</v>
      </c>
    </row>
    <row r="42" ht="15.6" spans="1:32">
      <c r="A42" s="314"/>
      <c r="B42" s="310" t="s">
        <v>14</v>
      </c>
      <c r="C42" s="319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0"/>
      <c r="Y42" s="312"/>
      <c r="Z42" s="312"/>
      <c r="AA42" s="310"/>
      <c r="AB42" s="312"/>
      <c r="AC42" s="312"/>
      <c r="AD42" s="312"/>
      <c r="AE42" s="318"/>
      <c r="AF42" s="313">
        <f t="shared" si="1"/>
        <v>0</v>
      </c>
    </row>
    <row r="43" ht="15.6" spans="1:32">
      <c r="A43" s="314"/>
      <c r="B43" s="310" t="s">
        <v>15</v>
      </c>
      <c r="C43" s="319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0"/>
      <c r="Y43" s="312"/>
      <c r="Z43" s="312"/>
      <c r="AA43" s="310"/>
      <c r="AB43" s="312"/>
      <c r="AC43" s="312"/>
      <c r="AD43" s="312"/>
      <c r="AE43" s="318"/>
      <c r="AF43" s="313">
        <f t="shared" si="1"/>
        <v>0</v>
      </c>
    </row>
    <row r="44" ht="15.6" spans="1:32">
      <c r="A44" s="314"/>
      <c r="B44" s="310" t="s">
        <v>16</v>
      </c>
      <c r="C44" s="319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8"/>
      <c r="AF44" s="313">
        <f t="shared" si="1"/>
        <v>0</v>
      </c>
    </row>
    <row r="45" ht="15.6" spans="1:32">
      <c r="A45" s="311"/>
      <c r="B45" s="310" t="s">
        <v>12</v>
      </c>
      <c r="C45" s="319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0"/>
      <c r="Y45" s="312"/>
      <c r="Z45" s="312"/>
      <c r="AA45" s="310"/>
      <c r="AB45" s="312"/>
      <c r="AC45" s="312"/>
      <c r="AD45" s="310"/>
      <c r="AE45" s="318"/>
      <c r="AF45" s="313">
        <f t="shared" si="1"/>
        <v>0</v>
      </c>
    </row>
    <row r="46" ht="15.6" spans="1:32">
      <c r="A46" s="314"/>
      <c r="B46" s="310" t="s">
        <v>13</v>
      </c>
      <c r="C46" s="319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0"/>
      <c r="Y46" s="312"/>
      <c r="Z46" s="312"/>
      <c r="AA46" s="310"/>
      <c r="AB46" s="312"/>
      <c r="AC46" s="312"/>
      <c r="AD46" s="310"/>
      <c r="AE46" s="318"/>
      <c r="AF46" s="313">
        <f t="shared" si="1"/>
        <v>0</v>
      </c>
    </row>
    <row r="47" ht="15.6" spans="1:32">
      <c r="A47" s="314"/>
      <c r="B47" s="310" t="s">
        <v>14</v>
      </c>
      <c r="C47" s="319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0"/>
      <c r="Y47" s="312"/>
      <c r="Z47" s="312"/>
      <c r="AA47" s="310"/>
      <c r="AB47" s="312"/>
      <c r="AC47" s="312"/>
      <c r="AD47" s="310"/>
      <c r="AE47" s="318"/>
      <c r="AF47" s="313">
        <f t="shared" si="1"/>
        <v>0</v>
      </c>
    </row>
    <row r="48" ht="15.6" spans="1:32">
      <c r="A48" s="314"/>
      <c r="B48" s="310" t="s">
        <v>15</v>
      </c>
      <c r="C48" s="319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0"/>
      <c r="Y48" s="312"/>
      <c r="Z48" s="312"/>
      <c r="AA48" s="310"/>
      <c r="AB48" s="312"/>
      <c r="AC48" s="312"/>
      <c r="AD48" s="310"/>
      <c r="AE48" s="318"/>
      <c r="AF48" s="313">
        <f t="shared" si="1"/>
        <v>0</v>
      </c>
    </row>
    <row r="49" ht="15.6" spans="1:35">
      <c r="A49" s="314"/>
      <c r="B49" s="310" t="s">
        <v>16</v>
      </c>
      <c r="C49" s="319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318"/>
      <c r="AF49" s="313">
        <f t="shared" si="1"/>
        <v>0</v>
      </c>
    </row>
    <row r="50" ht="15.6" spans="1:35">
      <c r="A50" s="315" t="s">
        <v>103</v>
      </c>
      <c r="B50" s="316"/>
      <c r="C50" s="315"/>
      <c r="D50" s="315"/>
      <c r="E50" s="315"/>
      <c r="F50" s="320"/>
      <c r="G50" s="320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/>
      <c r="AF50" s="317"/>
    </row>
    <row r="53" ht="17.4" spans="1:35">
      <c r="A53" s="306" t="s">
        <v>68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7"/>
      <c r="AI53" s="307"/>
    </row>
    <row r="54" ht="15.6" spans="1:35">
      <c r="A54" s="308">
        <v>45717</v>
      </c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09"/>
      <c r="AB54" s="309"/>
      <c r="AC54" s="309"/>
      <c r="AD54" s="309"/>
      <c r="AE54" s="309"/>
      <c r="AF54" s="309"/>
      <c r="AG54" s="309"/>
      <c r="AH54" s="309"/>
      <c r="AI54" s="309"/>
    </row>
    <row r="55" ht="15.6" spans="1:35">
      <c r="A55" s="310" t="s">
        <v>69</v>
      </c>
      <c r="B55" s="310" t="s">
        <v>70</v>
      </c>
      <c r="C55" s="310" t="s">
        <v>71</v>
      </c>
      <c r="D55" s="310" t="s">
        <v>72</v>
      </c>
      <c r="E55" s="310" t="s">
        <v>73</v>
      </c>
      <c r="F55" s="310" t="s">
        <v>74</v>
      </c>
      <c r="G55" s="310" t="s">
        <v>75</v>
      </c>
      <c r="H55" s="310" t="s">
        <v>76</v>
      </c>
      <c r="I55" s="310" t="s">
        <v>77</v>
      </c>
      <c r="J55" s="310" t="s">
        <v>78</v>
      </c>
      <c r="K55" s="310" t="s">
        <v>79</v>
      </c>
      <c r="L55" s="310" t="s">
        <v>80</v>
      </c>
      <c r="M55" s="310" t="s">
        <v>81</v>
      </c>
      <c r="N55" s="310" t="s">
        <v>82</v>
      </c>
      <c r="O55" s="310" t="s">
        <v>83</v>
      </c>
      <c r="P55" s="310" t="s">
        <v>84</v>
      </c>
      <c r="Q55" s="310" t="s">
        <v>85</v>
      </c>
      <c r="R55" s="310" t="s">
        <v>86</v>
      </c>
      <c r="S55" s="310" t="s">
        <v>87</v>
      </c>
      <c r="T55" s="310" t="s">
        <v>88</v>
      </c>
      <c r="U55" s="310" t="s">
        <v>89</v>
      </c>
      <c r="V55" s="310" t="s">
        <v>90</v>
      </c>
      <c r="W55" s="310" t="s">
        <v>91</v>
      </c>
      <c r="X55" s="310" t="s">
        <v>92</v>
      </c>
      <c r="Y55" s="310" t="s">
        <v>93</v>
      </c>
      <c r="Z55" s="310" t="s">
        <v>94</v>
      </c>
      <c r="AA55" s="310" t="s">
        <v>94</v>
      </c>
      <c r="AB55" s="310" t="s">
        <v>95</v>
      </c>
      <c r="AC55" s="310" t="s">
        <v>96</v>
      </c>
      <c r="AD55" s="310" t="s">
        <v>97</v>
      </c>
      <c r="AE55" s="310" t="s">
        <v>98</v>
      </c>
      <c r="AF55" s="310" t="s">
        <v>99</v>
      </c>
      <c r="AG55" s="310" t="s">
        <v>100</v>
      </c>
      <c r="AH55" s="310" t="s">
        <v>101</v>
      </c>
      <c r="AI55" s="305">
        <v>21</v>
      </c>
    </row>
    <row r="56" ht="15.6" spans="1:35">
      <c r="A56" s="311"/>
      <c r="B56" s="310" t="s">
        <v>12</v>
      </c>
      <c r="C56" s="312" t="s">
        <v>102</v>
      </c>
      <c r="D56" s="312" t="s">
        <v>102</v>
      </c>
      <c r="E56" s="312"/>
      <c r="F56" s="312"/>
      <c r="G56" s="312"/>
      <c r="H56" s="312"/>
      <c r="I56" s="312" t="s">
        <v>102</v>
      </c>
      <c r="J56" s="312" t="s">
        <v>102</v>
      </c>
      <c r="K56" s="312" t="s">
        <v>102</v>
      </c>
      <c r="L56" s="312"/>
      <c r="M56" s="312"/>
      <c r="N56" s="312"/>
      <c r="O56" s="312"/>
      <c r="P56" s="312" t="s">
        <v>102</v>
      </c>
      <c r="Q56" s="312" t="s">
        <v>102</v>
      </c>
      <c r="R56" s="312" t="s">
        <v>102</v>
      </c>
      <c r="S56" s="312"/>
      <c r="T56" s="312"/>
      <c r="U56" s="312"/>
      <c r="V56" s="312"/>
      <c r="W56" s="312" t="s">
        <v>102</v>
      </c>
      <c r="X56" s="312" t="s">
        <v>102</v>
      </c>
      <c r="Y56" s="312" t="s">
        <v>102</v>
      </c>
      <c r="Z56" s="312"/>
      <c r="AA56" s="312"/>
      <c r="AB56" s="312"/>
      <c r="AC56" s="312"/>
      <c r="AD56" s="312" t="s">
        <v>102</v>
      </c>
      <c r="AE56" s="312" t="s">
        <v>102</v>
      </c>
      <c r="AF56" s="312" t="s">
        <v>102</v>
      </c>
      <c r="AG56" s="310"/>
      <c r="AH56" s="313">
        <f t="shared" ref="AH56:AH75" si="2">COUNTIF(C56:AG56,"√")</f>
        <v>14</v>
      </c>
    </row>
    <row r="57" ht="15.6" spans="1:35">
      <c r="A57" s="314"/>
      <c r="B57" s="310" t="s">
        <v>13</v>
      </c>
      <c r="C57" s="310"/>
      <c r="D57" s="310"/>
      <c r="E57" s="312"/>
      <c r="F57" s="312" t="s">
        <v>102</v>
      </c>
      <c r="G57" s="312" t="s">
        <v>102</v>
      </c>
      <c r="H57" s="312" t="s">
        <v>102</v>
      </c>
      <c r="I57" s="310"/>
      <c r="J57" s="310"/>
      <c r="K57" s="312"/>
      <c r="L57" s="312"/>
      <c r="M57" s="312" t="s">
        <v>102</v>
      </c>
      <c r="N57" s="312" t="s">
        <v>102</v>
      </c>
      <c r="O57" s="312" t="s">
        <v>102</v>
      </c>
      <c r="P57" s="310"/>
      <c r="Q57" s="310"/>
      <c r="R57" s="312"/>
      <c r="S57" s="312"/>
      <c r="T57" s="312" t="s">
        <v>102</v>
      </c>
      <c r="U57" s="312" t="s">
        <v>102</v>
      </c>
      <c r="V57" s="312" t="s">
        <v>102</v>
      </c>
      <c r="W57" s="310"/>
      <c r="X57" s="310"/>
      <c r="Y57" s="312"/>
      <c r="Z57" s="312"/>
      <c r="AA57" s="312" t="s">
        <v>102</v>
      </c>
      <c r="AB57" s="312" t="s">
        <v>102</v>
      </c>
      <c r="AC57" s="312" t="s">
        <v>102</v>
      </c>
      <c r="AD57" s="310"/>
      <c r="AE57" s="310"/>
      <c r="AF57" s="312"/>
      <c r="AG57" s="312"/>
      <c r="AH57" s="313">
        <f t="shared" si="2"/>
        <v>12</v>
      </c>
    </row>
    <row r="58" ht="15.6" spans="1:35">
      <c r="A58" s="314"/>
      <c r="B58" s="310" t="s">
        <v>14</v>
      </c>
      <c r="C58" s="319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0"/>
      <c r="Y58" s="312"/>
      <c r="Z58" s="312"/>
      <c r="AA58" s="310"/>
      <c r="AB58" s="312"/>
      <c r="AC58" s="312"/>
      <c r="AD58" s="312"/>
      <c r="AE58" s="312"/>
      <c r="AF58" s="312"/>
      <c r="AG58" s="310"/>
      <c r="AH58" s="313">
        <f t="shared" si="2"/>
        <v>0</v>
      </c>
    </row>
    <row r="59" ht="15.6" spans="1:35">
      <c r="A59" s="314"/>
      <c r="B59" s="310" t="s">
        <v>15</v>
      </c>
      <c r="C59" s="319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0"/>
      <c r="Y59" s="312"/>
      <c r="Z59" s="312"/>
      <c r="AA59" s="310"/>
      <c r="AB59" s="312"/>
      <c r="AC59" s="312"/>
      <c r="AD59" s="312"/>
      <c r="AE59" s="312"/>
      <c r="AF59" s="312"/>
      <c r="AG59" s="310"/>
      <c r="AH59" s="313">
        <f t="shared" si="2"/>
        <v>0</v>
      </c>
    </row>
    <row r="60" ht="15.6" spans="1:35">
      <c r="A60" s="314"/>
      <c r="B60" s="310" t="s">
        <v>16</v>
      </c>
      <c r="C60" s="319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3">
        <f t="shared" si="2"/>
        <v>0</v>
      </c>
    </row>
    <row r="61" ht="15.6" spans="1:35">
      <c r="A61" s="310"/>
      <c r="B61" s="310" t="s">
        <v>12</v>
      </c>
      <c r="C61" s="312" t="s">
        <v>102</v>
      </c>
      <c r="D61" s="312" t="s">
        <v>102</v>
      </c>
      <c r="E61" s="312"/>
      <c r="F61" s="312" t="s">
        <v>102</v>
      </c>
      <c r="G61" s="312" t="s">
        <v>102</v>
      </c>
      <c r="H61" s="312" t="s">
        <v>102</v>
      </c>
      <c r="I61" s="312" t="s">
        <v>102</v>
      </c>
      <c r="J61" s="312" t="s">
        <v>102</v>
      </c>
      <c r="K61" s="312" t="s">
        <v>102</v>
      </c>
      <c r="L61" s="312"/>
      <c r="M61" s="312" t="s">
        <v>102</v>
      </c>
      <c r="N61" s="312" t="s">
        <v>102</v>
      </c>
      <c r="O61" s="312" t="s">
        <v>102</v>
      </c>
      <c r="P61" s="312" t="s">
        <v>102</v>
      </c>
      <c r="Q61" s="312" t="s">
        <v>102</v>
      </c>
      <c r="R61" s="312" t="s">
        <v>102</v>
      </c>
      <c r="S61" s="312"/>
      <c r="T61" s="312" t="s">
        <v>102</v>
      </c>
      <c r="U61" s="312" t="s">
        <v>102</v>
      </c>
      <c r="V61" s="312" t="s">
        <v>102</v>
      </c>
      <c r="W61" s="312" t="s">
        <v>102</v>
      </c>
      <c r="X61" s="312" t="s">
        <v>102</v>
      </c>
      <c r="Y61" s="312" t="s">
        <v>102</v>
      </c>
      <c r="Z61" s="312"/>
      <c r="AA61" s="312" t="s">
        <v>102</v>
      </c>
      <c r="AB61" s="312" t="s">
        <v>102</v>
      </c>
      <c r="AC61" s="312" t="s">
        <v>102</v>
      </c>
      <c r="AD61" s="312" t="s">
        <v>102</v>
      </c>
      <c r="AE61" s="312" t="s">
        <v>102</v>
      </c>
      <c r="AF61" s="312" t="s">
        <v>102</v>
      </c>
      <c r="AG61" s="312"/>
      <c r="AH61" s="313">
        <f t="shared" si="2"/>
        <v>26</v>
      </c>
    </row>
    <row r="62" ht="15.6" spans="1:35">
      <c r="A62" s="310"/>
      <c r="B62" s="310" t="s">
        <v>13</v>
      </c>
      <c r="C62" s="319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  <c r="AC62" s="310"/>
      <c r="AD62" s="310"/>
      <c r="AE62" s="310"/>
      <c r="AF62" s="310"/>
      <c r="AG62" s="310"/>
      <c r="AH62" s="313">
        <f t="shared" si="2"/>
        <v>0</v>
      </c>
    </row>
    <row r="63" ht="15.6" spans="1:35">
      <c r="A63" s="310"/>
      <c r="B63" s="310" t="s">
        <v>14</v>
      </c>
      <c r="C63" s="319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0"/>
      <c r="Y63" s="312"/>
      <c r="Z63" s="312"/>
      <c r="AA63" s="310"/>
      <c r="AB63" s="312"/>
      <c r="AC63" s="312"/>
      <c r="AD63" s="310"/>
      <c r="AE63" s="312"/>
      <c r="AF63" s="312"/>
      <c r="AG63" s="310"/>
      <c r="AH63" s="313">
        <f t="shared" si="2"/>
        <v>0</v>
      </c>
    </row>
    <row r="64" ht="15.6" spans="1:35">
      <c r="A64" s="310"/>
      <c r="B64" s="310" t="s">
        <v>15</v>
      </c>
      <c r="C64" s="319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0"/>
      <c r="Y64" s="312"/>
      <c r="Z64" s="312"/>
      <c r="AA64" s="310"/>
      <c r="AB64" s="312"/>
      <c r="AC64" s="312"/>
      <c r="AD64" s="310"/>
      <c r="AE64" s="312"/>
      <c r="AF64" s="312"/>
      <c r="AG64" s="310"/>
      <c r="AH64" s="313">
        <f t="shared" si="2"/>
        <v>0</v>
      </c>
    </row>
    <row r="65" ht="15.6" spans="1:35">
      <c r="A65" s="310"/>
      <c r="B65" s="310" t="s">
        <v>16</v>
      </c>
      <c r="C65" s="319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0"/>
      <c r="Y65" s="312"/>
      <c r="Z65" s="312"/>
      <c r="AA65" s="310"/>
      <c r="AB65" s="312"/>
      <c r="AC65" s="312"/>
      <c r="AD65" s="310"/>
      <c r="AE65" s="312"/>
      <c r="AF65" s="312"/>
      <c r="AG65" s="310"/>
      <c r="AH65" s="313">
        <f t="shared" si="2"/>
        <v>0</v>
      </c>
    </row>
    <row r="66" ht="15.6" spans="1:35">
      <c r="A66" s="311"/>
      <c r="B66" s="310" t="s">
        <v>12</v>
      </c>
      <c r="C66" s="319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0"/>
      <c r="Y66" s="312"/>
      <c r="Z66" s="312"/>
      <c r="AA66" s="310"/>
      <c r="AB66" s="312"/>
      <c r="AC66" s="312"/>
      <c r="AD66" s="310"/>
      <c r="AE66" s="312"/>
      <c r="AF66" s="312"/>
      <c r="AG66" s="310"/>
      <c r="AH66" s="313">
        <f t="shared" si="2"/>
        <v>0</v>
      </c>
    </row>
    <row r="67" ht="15.6" spans="1:35">
      <c r="A67" s="314"/>
      <c r="B67" s="310" t="s">
        <v>13</v>
      </c>
      <c r="C67" s="319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0"/>
      <c r="Y67" s="312"/>
      <c r="Z67" s="312"/>
      <c r="AA67" s="310"/>
      <c r="AB67" s="312"/>
      <c r="AC67" s="312"/>
      <c r="AD67" s="310"/>
      <c r="AE67" s="312"/>
      <c r="AF67" s="312"/>
      <c r="AG67" s="310"/>
      <c r="AH67" s="313">
        <f t="shared" si="2"/>
        <v>0</v>
      </c>
    </row>
    <row r="68" ht="15.6" spans="1:35">
      <c r="A68" s="314"/>
      <c r="B68" s="310" t="s">
        <v>14</v>
      </c>
      <c r="C68" s="319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0"/>
      <c r="Y68" s="312"/>
      <c r="Z68" s="312"/>
      <c r="AA68" s="310"/>
      <c r="AB68" s="312"/>
      <c r="AC68" s="312"/>
      <c r="AD68" s="310"/>
      <c r="AE68" s="312"/>
      <c r="AF68" s="312"/>
      <c r="AG68" s="310"/>
      <c r="AH68" s="313">
        <f t="shared" si="2"/>
        <v>0</v>
      </c>
    </row>
    <row r="69" ht="15.6" spans="1:35">
      <c r="A69" s="314"/>
      <c r="B69" s="310" t="s">
        <v>15</v>
      </c>
      <c r="C69" s="319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0"/>
      <c r="Y69" s="312"/>
      <c r="Z69" s="312"/>
      <c r="AA69" s="310"/>
      <c r="AB69" s="312"/>
      <c r="AC69" s="312"/>
      <c r="AD69" s="310"/>
      <c r="AE69" s="312"/>
      <c r="AF69" s="312"/>
      <c r="AG69" s="310"/>
      <c r="AH69" s="313">
        <f t="shared" si="2"/>
        <v>0</v>
      </c>
    </row>
    <row r="70" ht="15.6" spans="1:35">
      <c r="A70" s="314"/>
      <c r="B70" s="310" t="s">
        <v>16</v>
      </c>
      <c r="C70" s="319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0"/>
      <c r="Y70" s="312"/>
      <c r="Z70" s="312"/>
      <c r="AA70" s="310"/>
      <c r="AB70" s="312"/>
      <c r="AC70" s="312"/>
      <c r="AD70" s="310"/>
      <c r="AE70" s="312"/>
      <c r="AF70" s="312"/>
      <c r="AG70" s="310"/>
      <c r="AH70" s="313">
        <f t="shared" si="2"/>
        <v>0</v>
      </c>
    </row>
    <row r="71" ht="15.6" spans="1:35">
      <c r="A71" s="311"/>
      <c r="B71" s="310" t="s">
        <v>12</v>
      </c>
      <c r="C71" s="319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0"/>
      <c r="Y71" s="312"/>
      <c r="Z71" s="312"/>
      <c r="AA71" s="310"/>
      <c r="AB71" s="312"/>
      <c r="AC71" s="312"/>
      <c r="AD71" s="310"/>
      <c r="AE71" s="312"/>
      <c r="AF71" s="312"/>
      <c r="AG71" s="310"/>
      <c r="AH71" s="313">
        <f t="shared" si="2"/>
        <v>0</v>
      </c>
    </row>
    <row r="72" ht="15.6" spans="1:35">
      <c r="A72" s="314"/>
      <c r="B72" s="310" t="s">
        <v>13</v>
      </c>
      <c r="C72" s="319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0"/>
      <c r="Y72" s="312"/>
      <c r="Z72" s="312"/>
      <c r="AA72" s="310"/>
      <c r="AB72" s="312"/>
      <c r="AC72" s="312"/>
      <c r="AD72" s="310"/>
      <c r="AE72" s="312"/>
      <c r="AF72" s="312"/>
      <c r="AG72" s="310"/>
      <c r="AH72" s="313">
        <f t="shared" si="2"/>
        <v>0</v>
      </c>
    </row>
    <row r="73" ht="15.6" spans="1:35">
      <c r="A73" s="314"/>
      <c r="B73" s="310" t="s">
        <v>14</v>
      </c>
      <c r="C73" s="319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0"/>
      <c r="Y73" s="312"/>
      <c r="Z73" s="312"/>
      <c r="AA73" s="310"/>
      <c r="AB73" s="312"/>
      <c r="AC73" s="312"/>
      <c r="AD73" s="310"/>
      <c r="AE73" s="312"/>
      <c r="AF73" s="312"/>
      <c r="AG73" s="310"/>
      <c r="AH73" s="313">
        <f t="shared" si="2"/>
        <v>0</v>
      </c>
    </row>
    <row r="74" ht="15.6" spans="1:35">
      <c r="A74" s="314"/>
      <c r="B74" s="310" t="s">
        <v>15</v>
      </c>
      <c r="C74" s="319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0"/>
      <c r="Y74" s="312"/>
      <c r="Z74" s="312"/>
      <c r="AA74" s="310"/>
      <c r="AB74" s="312"/>
      <c r="AC74" s="312"/>
      <c r="AD74" s="310"/>
      <c r="AE74" s="312"/>
      <c r="AF74" s="312"/>
      <c r="AG74" s="310"/>
      <c r="AH74" s="313">
        <f t="shared" si="2"/>
        <v>0</v>
      </c>
    </row>
    <row r="75" ht="15.6" spans="1:35">
      <c r="A75" s="314"/>
      <c r="B75" s="310" t="s">
        <v>16</v>
      </c>
      <c r="C75" s="319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310"/>
      <c r="AF75" s="310"/>
      <c r="AG75" s="310"/>
      <c r="AH75" s="313">
        <f t="shared" si="2"/>
        <v>0</v>
      </c>
      <c r="AI75" s="321"/>
    </row>
    <row r="76" ht="15.6" spans="1:35">
      <c r="A76" s="315" t="s">
        <v>103</v>
      </c>
      <c r="B76" s="316"/>
      <c r="C76" s="315"/>
      <c r="D76" s="315"/>
      <c r="E76" s="315"/>
      <c r="F76" s="320"/>
      <c r="G76" s="320"/>
      <c r="H76" s="315"/>
      <c r="I76" s="315"/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  <c r="AE76" s="315"/>
      <c r="AF76" s="315"/>
      <c r="AG76" s="315"/>
      <c r="AH76" s="315"/>
      <c r="AI76" s="317"/>
    </row>
    <row r="79" ht="17.4" spans="1:35">
      <c r="A79" s="306" t="s">
        <v>68</v>
      </c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</row>
    <row r="80" ht="15.6" spans="1:35">
      <c r="A80" s="308">
        <v>45748</v>
      </c>
      <c r="B80" s="309"/>
      <c r="C80" s="309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  <c r="AA80" s="309"/>
      <c r="AB80" s="309"/>
      <c r="AC80" s="309"/>
      <c r="AD80" s="309"/>
      <c r="AE80" s="309"/>
      <c r="AF80" s="309"/>
      <c r="AG80" s="309"/>
      <c r="AH80" s="309"/>
    </row>
    <row r="81" ht="15.6" spans="1:35">
      <c r="A81" s="310" t="s">
        <v>69</v>
      </c>
      <c r="B81" s="310" t="s">
        <v>70</v>
      </c>
      <c r="C81" s="310" t="s">
        <v>71</v>
      </c>
      <c r="D81" s="310" t="s">
        <v>72</v>
      </c>
      <c r="E81" s="310" t="s">
        <v>73</v>
      </c>
      <c r="F81" s="310" t="s">
        <v>74</v>
      </c>
      <c r="G81" s="310" t="s">
        <v>75</v>
      </c>
      <c r="H81" s="310" t="s">
        <v>76</v>
      </c>
      <c r="I81" s="310" t="s">
        <v>77</v>
      </c>
      <c r="J81" s="310" t="s">
        <v>78</v>
      </c>
      <c r="K81" s="310" t="s">
        <v>79</v>
      </c>
      <c r="L81" s="310" t="s">
        <v>80</v>
      </c>
      <c r="M81" s="310" t="s">
        <v>81</v>
      </c>
      <c r="N81" s="310" t="s">
        <v>82</v>
      </c>
      <c r="O81" s="310" t="s">
        <v>83</v>
      </c>
      <c r="P81" s="310" t="s">
        <v>84</v>
      </c>
      <c r="Q81" s="310" t="s">
        <v>85</v>
      </c>
      <c r="R81" s="310" t="s">
        <v>86</v>
      </c>
      <c r="S81" s="310" t="s">
        <v>87</v>
      </c>
      <c r="T81" s="310" t="s">
        <v>88</v>
      </c>
      <c r="U81" s="310" t="s">
        <v>89</v>
      </c>
      <c r="V81" s="310" t="s">
        <v>90</v>
      </c>
      <c r="W81" s="310" t="s">
        <v>91</v>
      </c>
      <c r="X81" s="310" t="s">
        <v>92</v>
      </c>
      <c r="Y81" s="310" t="s">
        <v>93</v>
      </c>
      <c r="Z81" s="310" t="s">
        <v>94</v>
      </c>
      <c r="AA81" s="310" t="s">
        <v>94</v>
      </c>
      <c r="AB81" s="310" t="s">
        <v>95</v>
      </c>
      <c r="AC81" s="310" t="s">
        <v>96</v>
      </c>
      <c r="AD81" s="310" t="s">
        <v>97</v>
      </c>
      <c r="AE81" s="310" t="s">
        <v>98</v>
      </c>
      <c r="AF81" s="310" t="s">
        <v>99</v>
      </c>
      <c r="AG81" s="310" t="s">
        <v>101</v>
      </c>
      <c r="AI81" s="305">
        <v>22</v>
      </c>
    </row>
    <row r="82" ht="15.6" spans="1:35">
      <c r="A82" s="311"/>
      <c r="B82" s="310" t="s">
        <v>12</v>
      </c>
      <c r="C82" s="312" t="s">
        <v>102</v>
      </c>
      <c r="D82" s="312" t="s">
        <v>102</v>
      </c>
      <c r="E82" s="312" t="s">
        <v>102</v>
      </c>
      <c r="F82" s="312"/>
      <c r="G82" s="312"/>
      <c r="H82" s="312"/>
      <c r="I82" s="312"/>
      <c r="J82" s="312"/>
      <c r="K82" s="312"/>
      <c r="L82" s="312" t="s">
        <v>102</v>
      </c>
      <c r="M82" s="312" t="s">
        <v>102</v>
      </c>
      <c r="N82" s="312" t="s">
        <v>102</v>
      </c>
      <c r="O82" s="312" t="s">
        <v>102</v>
      </c>
      <c r="P82" s="312"/>
      <c r="Q82" s="312"/>
      <c r="R82" s="312"/>
      <c r="S82" s="312"/>
      <c r="T82" s="312" t="s">
        <v>102</v>
      </c>
      <c r="U82" s="312" t="s">
        <v>102</v>
      </c>
      <c r="V82" s="312" t="s">
        <v>102</v>
      </c>
      <c r="W82" s="312"/>
      <c r="X82" s="312"/>
      <c r="Y82" s="312"/>
      <c r="Z82" s="312"/>
      <c r="AA82" s="312" t="s">
        <v>102</v>
      </c>
      <c r="AB82" s="312" t="s">
        <v>102</v>
      </c>
      <c r="AC82" s="312"/>
      <c r="AD82" s="312"/>
      <c r="AE82" s="312"/>
      <c r="AF82" s="312"/>
      <c r="AG82" s="313">
        <f t="shared" ref="AG82:AG101" si="3">COUNTIF(C82:AF82,"√")</f>
        <v>12</v>
      </c>
    </row>
    <row r="83" ht="15.6" spans="1:35">
      <c r="A83" s="314"/>
      <c r="B83" s="310" t="s">
        <v>13</v>
      </c>
      <c r="C83" s="310"/>
      <c r="D83" s="310"/>
      <c r="E83" s="310"/>
      <c r="F83" s="310"/>
      <c r="G83" s="310"/>
      <c r="H83" s="312"/>
      <c r="I83" s="312" t="s">
        <v>102</v>
      </c>
      <c r="J83" s="312" t="s">
        <v>102</v>
      </c>
      <c r="K83" s="312" t="s">
        <v>102</v>
      </c>
      <c r="L83" s="310"/>
      <c r="M83" s="310"/>
      <c r="N83" s="310"/>
      <c r="O83" s="312"/>
      <c r="P83" s="312"/>
      <c r="Q83" s="312" t="s">
        <v>102</v>
      </c>
      <c r="R83" s="312" t="s">
        <v>102</v>
      </c>
      <c r="S83" s="312" t="s">
        <v>102</v>
      </c>
      <c r="T83" s="310"/>
      <c r="U83" s="310"/>
      <c r="V83" s="310"/>
      <c r="W83" s="312"/>
      <c r="X83" s="312" t="s">
        <v>102</v>
      </c>
      <c r="Y83" s="312" t="s">
        <v>102</v>
      </c>
      <c r="Z83" s="312" t="s">
        <v>102</v>
      </c>
      <c r="AA83" s="310"/>
      <c r="AB83" s="310"/>
      <c r="AC83" s="310"/>
      <c r="AD83" s="312" t="s">
        <v>102</v>
      </c>
      <c r="AE83" s="312" t="s">
        <v>102</v>
      </c>
      <c r="AF83" s="312" t="s">
        <v>102</v>
      </c>
      <c r="AG83" s="313">
        <f t="shared" si="3"/>
        <v>12</v>
      </c>
    </row>
    <row r="84" ht="15.6" spans="1:35">
      <c r="A84" s="314"/>
      <c r="B84" s="310" t="s">
        <v>14</v>
      </c>
      <c r="C84" s="319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0"/>
      <c r="Y84" s="312"/>
      <c r="Z84" s="312"/>
      <c r="AA84" s="310"/>
      <c r="AB84" s="312"/>
      <c r="AC84" s="312"/>
      <c r="AD84" s="312"/>
      <c r="AE84" s="312"/>
      <c r="AF84" s="312"/>
      <c r="AG84" s="313">
        <f t="shared" si="3"/>
        <v>0</v>
      </c>
    </row>
    <row r="85" ht="15.6" spans="1:35">
      <c r="A85" s="314"/>
      <c r="B85" s="310" t="s">
        <v>15</v>
      </c>
      <c r="C85" s="319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0"/>
      <c r="Y85" s="312"/>
      <c r="Z85" s="312"/>
      <c r="AA85" s="310"/>
      <c r="AB85" s="312"/>
      <c r="AC85" s="312"/>
      <c r="AD85" s="312"/>
      <c r="AE85" s="312"/>
      <c r="AF85" s="312"/>
      <c r="AG85" s="313">
        <f t="shared" si="3"/>
        <v>0</v>
      </c>
    </row>
    <row r="86" ht="15.6" spans="1:35">
      <c r="A86" s="314"/>
      <c r="B86" s="310" t="s">
        <v>16</v>
      </c>
      <c r="C86" s="319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10"/>
      <c r="AG86" s="313">
        <f t="shared" si="3"/>
        <v>0</v>
      </c>
    </row>
    <row r="87" ht="15.6" spans="1:35">
      <c r="A87" s="310"/>
      <c r="B87" s="310" t="s">
        <v>12</v>
      </c>
      <c r="C87" s="312" t="s">
        <v>102</v>
      </c>
      <c r="D87" s="312" t="s">
        <v>102</v>
      </c>
      <c r="E87" s="312" t="s">
        <v>102</v>
      </c>
      <c r="F87" s="312"/>
      <c r="G87" s="312"/>
      <c r="H87" s="312"/>
      <c r="I87" s="312" t="s">
        <v>102</v>
      </c>
      <c r="J87" s="312" t="s">
        <v>102</v>
      </c>
      <c r="K87" s="312" t="s">
        <v>102</v>
      </c>
      <c r="L87" s="312" t="s">
        <v>102</v>
      </c>
      <c r="M87" s="312" t="s">
        <v>102</v>
      </c>
      <c r="N87" s="312" t="s">
        <v>102</v>
      </c>
      <c r="O87" s="312" t="s">
        <v>102</v>
      </c>
      <c r="P87" s="312"/>
      <c r="Q87" s="312" t="s">
        <v>102</v>
      </c>
      <c r="R87" s="312" t="s">
        <v>102</v>
      </c>
      <c r="S87" s="312" t="s">
        <v>102</v>
      </c>
      <c r="T87" s="312" t="s">
        <v>102</v>
      </c>
      <c r="U87" s="312" t="s">
        <v>102</v>
      </c>
      <c r="V87" s="312" t="s">
        <v>102</v>
      </c>
      <c r="W87" s="312"/>
      <c r="X87" s="312" t="s">
        <v>102</v>
      </c>
      <c r="Y87" s="312" t="s">
        <v>102</v>
      </c>
      <c r="Z87" s="312" t="s">
        <v>102</v>
      </c>
      <c r="AA87" s="312" t="s">
        <v>102</v>
      </c>
      <c r="AB87" s="312" t="s">
        <v>102</v>
      </c>
      <c r="AC87" s="312"/>
      <c r="AD87" s="312" t="s">
        <v>102</v>
      </c>
      <c r="AE87" s="312" t="s">
        <v>102</v>
      </c>
      <c r="AF87" s="312" t="s">
        <v>102</v>
      </c>
      <c r="AG87" s="313">
        <f t="shared" si="3"/>
        <v>24</v>
      </c>
    </row>
    <row r="88" ht="15.6" spans="1:35">
      <c r="A88" s="310"/>
      <c r="B88" s="310" t="s">
        <v>13</v>
      </c>
      <c r="C88" s="319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10"/>
      <c r="AG88" s="313">
        <f t="shared" si="3"/>
        <v>0</v>
      </c>
    </row>
    <row r="89" ht="15.6" spans="1:35">
      <c r="A89" s="310"/>
      <c r="B89" s="310" t="s">
        <v>14</v>
      </c>
      <c r="C89" s="319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0"/>
      <c r="Y89" s="312"/>
      <c r="Z89" s="312"/>
      <c r="AA89" s="310"/>
      <c r="AB89" s="312"/>
      <c r="AC89" s="312"/>
      <c r="AD89" s="310"/>
      <c r="AE89" s="312"/>
      <c r="AF89" s="312"/>
      <c r="AG89" s="313">
        <f t="shared" si="3"/>
        <v>0</v>
      </c>
    </row>
    <row r="90" ht="15.6" spans="1:35">
      <c r="A90" s="310"/>
      <c r="B90" s="310" t="s">
        <v>15</v>
      </c>
      <c r="C90" s="319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0"/>
      <c r="Y90" s="312"/>
      <c r="Z90" s="312"/>
      <c r="AA90" s="310"/>
      <c r="AB90" s="312"/>
      <c r="AC90" s="312"/>
      <c r="AD90" s="310"/>
      <c r="AE90" s="312"/>
      <c r="AF90" s="312"/>
      <c r="AG90" s="313">
        <f t="shared" si="3"/>
        <v>0</v>
      </c>
    </row>
    <row r="91" ht="15.6" spans="1:35">
      <c r="A91" s="310"/>
      <c r="B91" s="310" t="s">
        <v>16</v>
      </c>
      <c r="C91" s="319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0"/>
      <c r="Y91" s="312"/>
      <c r="Z91" s="312"/>
      <c r="AA91" s="310"/>
      <c r="AB91" s="312"/>
      <c r="AC91" s="312"/>
      <c r="AD91" s="310"/>
      <c r="AE91" s="312"/>
      <c r="AF91" s="312"/>
      <c r="AG91" s="313">
        <f t="shared" si="3"/>
        <v>0</v>
      </c>
    </row>
    <row r="92" ht="15.6" spans="1:35">
      <c r="A92" s="311"/>
      <c r="B92" s="310" t="s">
        <v>12</v>
      </c>
      <c r="C92" s="319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0"/>
      <c r="Y92" s="312"/>
      <c r="Z92" s="312"/>
      <c r="AA92" s="310"/>
      <c r="AB92" s="312"/>
      <c r="AC92" s="312"/>
      <c r="AD92" s="310"/>
      <c r="AE92" s="312"/>
      <c r="AF92" s="312"/>
      <c r="AG92" s="313">
        <f t="shared" si="3"/>
        <v>0</v>
      </c>
    </row>
    <row r="93" ht="15.6" spans="1:35">
      <c r="A93" s="314"/>
      <c r="B93" s="310" t="s">
        <v>13</v>
      </c>
      <c r="C93" s="319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0"/>
      <c r="Y93" s="312"/>
      <c r="Z93" s="312"/>
      <c r="AA93" s="310"/>
      <c r="AB93" s="312"/>
      <c r="AC93" s="312"/>
      <c r="AD93" s="310"/>
      <c r="AE93" s="312"/>
      <c r="AF93" s="312"/>
      <c r="AG93" s="313">
        <f t="shared" si="3"/>
        <v>0</v>
      </c>
    </row>
    <row r="94" ht="15.6" spans="1:35">
      <c r="A94" s="314"/>
      <c r="B94" s="310" t="s">
        <v>14</v>
      </c>
      <c r="C94" s="319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0"/>
      <c r="Y94" s="312"/>
      <c r="Z94" s="312"/>
      <c r="AA94" s="310"/>
      <c r="AB94" s="312"/>
      <c r="AC94" s="312"/>
      <c r="AD94" s="310"/>
      <c r="AE94" s="312"/>
      <c r="AF94" s="312"/>
      <c r="AG94" s="313">
        <f t="shared" si="3"/>
        <v>0</v>
      </c>
    </row>
    <row r="95" ht="15.6" spans="1:35">
      <c r="A95" s="314"/>
      <c r="B95" s="310" t="s">
        <v>15</v>
      </c>
      <c r="C95" s="319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0"/>
      <c r="Y95" s="312"/>
      <c r="Z95" s="312"/>
      <c r="AA95" s="310"/>
      <c r="AB95" s="312"/>
      <c r="AC95" s="312"/>
      <c r="AD95" s="310"/>
      <c r="AE95" s="312"/>
      <c r="AF95" s="312"/>
      <c r="AG95" s="313">
        <f t="shared" si="3"/>
        <v>0</v>
      </c>
    </row>
    <row r="96" ht="15.6" spans="1:35">
      <c r="A96" s="314"/>
      <c r="B96" s="310" t="s">
        <v>16</v>
      </c>
      <c r="C96" s="319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0"/>
      <c r="Y96" s="312"/>
      <c r="Z96" s="312"/>
      <c r="AA96" s="310"/>
      <c r="AB96" s="312"/>
      <c r="AC96" s="312"/>
      <c r="AD96" s="310"/>
      <c r="AE96" s="312"/>
      <c r="AF96" s="312"/>
      <c r="AG96" s="313">
        <f t="shared" si="3"/>
        <v>0</v>
      </c>
    </row>
    <row r="97" ht="15.6" spans="1:35">
      <c r="A97" s="311"/>
      <c r="B97" s="310" t="s">
        <v>12</v>
      </c>
      <c r="C97" s="319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0"/>
      <c r="Y97" s="312"/>
      <c r="Z97" s="312"/>
      <c r="AA97" s="310"/>
      <c r="AB97" s="312"/>
      <c r="AC97" s="312"/>
      <c r="AD97" s="310"/>
      <c r="AE97" s="312"/>
      <c r="AF97" s="312"/>
      <c r="AG97" s="313">
        <f t="shared" si="3"/>
        <v>0</v>
      </c>
    </row>
    <row r="98" ht="15.6" spans="1:35">
      <c r="A98" s="314"/>
      <c r="B98" s="310" t="s">
        <v>13</v>
      </c>
      <c r="C98" s="319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0"/>
      <c r="Y98" s="312"/>
      <c r="Z98" s="312"/>
      <c r="AA98" s="310"/>
      <c r="AB98" s="312"/>
      <c r="AC98" s="312"/>
      <c r="AD98" s="310"/>
      <c r="AE98" s="312"/>
      <c r="AF98" s="312"/>
      <c r="AG98" s="313">
        <f t="shared" si="3"/>
        <v>0</v>
      </c>
    </row>
    <row r="99" ht="15.6" spans="1:35">
      <c r="A99" s="314"/>
      <c r="B99" s="310" t="s">
        <v>14</v>
      </c>
      <c r="C99" s="319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0"/>
      <c r="Y99" s="312"/>
      <c r="Z99" s="312"/>
      <c r="AA99" s="310"/>
      <c r="AB99" s="312"/>
      <c r="AC99" s="312"/>
      <c r="AD99" s="310"/>
      <c r="AE99" s="312"/>
      <c r="AF99" s="312"/>
      <c r="AG99" s="313">
        <f t="shared" si="3"/>
        <v>0</v>
      </c>
    </row>
    <row r="100" ht="15.6" spans="1:35">
      <c r="A100" s="314"/>
      <c r="B100" s="310" t="s">
        <v>15</v>
      </c>
      <c r="C100" s="319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0"/>
      <c r="Y100" s="312"/>
      <c r="Z100" s="312"/>
      <c r="AA100" s="310"/>
      <c r="AB100" s="312"/>
      <c r="AC100" s="312"/>
      <c r="AD100" s="310"/>
      <c r="AE100" s="312"/>
      <c r="AF100" s="312"/>
      <c r="AG100" s="313">
        <f t="shared" si="3"/>
        <v>0</v>
      </c>
    </row>
    <row r="101" ht="15.6" spans="1:35">
      <c r="A101" s="314"/>
      <c r="B101" s="310" t="s">
        <v>16</v>
      </c>
      <c r="C101" s="319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10"/>
      <c r="AG101" s="313">
        <f t="shared" si="3"/>
        <v>0</v>
      </c>
      <c r="AH101" s="321"/>
    </row>
    <row r="102" ht="15.6" spans="1:35">
      <c r="A102" s="315" t="s">
        <v>103</v>
      </c>
      <c r="B102" s="316"/>
      <c r="C102" s="315"/>
      <c r="D102" s="315"/>
      <c r="E102" s="315"/>
      <c r="F102" s="320"/>
      <c r="G102" s="320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  <c r="AE102" s="315"/>
      <c r="AF102" s="315"/>
      <c r="AG102" s="315"/>
      <c r="AH102" s="317"/>
    </row>
    <row r="105" ht="17.4" spans="1:35">
      <c r="A105" s="306" t="s">
        <v>68</v>
      </c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7"/>
      <c r="AH105" s="307"/>
      <c r="AI105" s="307"/>
    </row>
    <row r="106" ht="15.6" spans="1:35">
      <c r="A106" s="308">
        <v>45778</v>
      </c>
      <c r="B106" s="309"/>
      <c r="C106" s="309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  <c r="AA106" s="309"/>
      <c r="AB106" s="309"/>
      <c r="AC106" s="309"/>
      <c r="AD106" s="309"/>
      <c r="AE106" s="309"/>
      <c r="AF106" s="309"/>
      <c r="AG106" s="309"/>
      <c r="AH106" s="309"/>
      <c r="AI106" s="309"/>
    </row>
    <row r="107" ht="15.6" spans="1:35">
      <c r="A107" s="310" t="s">
        <v>69</v>
      </c>
      <c r="B107" s="310" t="s">
        <v>70</v>
      </c>
      <c r="C107" s="310" t="s">
        <v>71</v>
      </c>
      <c r="D107" s="310" t="s">
        <v>72</v>
      </c>
      <c r="E107" s="310" t="s">
        <v>73</v>
      </c>
      <c r="F107" s="310" t="s">
        <v>74</v>
      </c>
      <c r="G107" s="310" t="s">
        <v>75</v>
      </c>
      <c r="H107" s="310" t="s">
        <v>76</v>
      </c>
      <c r="I107" s="310" t="s">
        <v>77</v>
      </c>
      <c r="J107" s="310" t="s">
        <v>78</v>
      </c>
      <c r="K107" s="310" t="s">
        <v>79</v>
      </c>
      <c r="L107" s="310" t="s">
        <v>80</v>
      </c>
      <c r="M107" s="310" t="s">
        <v>81</v>
      </c>
      <c r="N107" s="310" t="s">
        <v>82</v>
      </c>
      <c r="O107" s="310" t="s">
        <v>83</v>
      </c>
      <c r="P107" s="310" t="s">
        <v>84</v>
      </c>
      <c r="Q107" s="310" t="s">
        <v>85</v>
      </c>
      <c r="R107" s="310" t="s">
        <v>86</v>
      </c>
      <c r="S107" s="310" t="s">
        <v>87</v>
      </c>
      <c r="T107" s="310" t="s">
        <v>88</v>
      </c>
      <c r="U107" s="310" t="s">
        <v>89</v>
      </c>
      <c r="V107" s="310" t="s">
        <v>90</v>
      </c>
      <c r="W107" s="310" t="s">
        <v>91</v>
      </c>
      <c r="X107" s="310" t="s">
        <v>92</v>
      </c>
      <c r="Y107" s="310" t="s">
        <v>93</v>
      </c>
      <c r="Z107" s="310" t="s">
        <v>94</v>
      </c>
      <c r="AA107" s="310" t="s">
        <v>94</v>
      </c>
      <c r="AB107" s="310" t="s">
        <v>95</v>
      </c>
      <c r="AC107" s="310" t="s">
        <v>96</v>
      </c>
      <c r="AD107" s="310" t="s">
        <v>97</v>
      </c>
      <c r="AE107" s="310" t="s">
        <v>98</v>
      </c>
      <c r="AF107" s="310" t="s">
        <v>99</v>
      </c>
      <c r="AG107" s="310" t="s">
        <v>100</v>
      </c>
      <c r="AH107" s="310" t="s">
        <v>101</v>
      </c>
      <c r="AI107" s="305">
        <v>21</v>
      </c>
    </row>
    <row r="108" ht="15.6" spans="1:35">
      <c r="A108" s="311"/>
      <c r="B108" s="310" t="s">
        <v>12</v>
      </c>
      <c r="C108" s="310"/>
      <c r="D108" s="312"/>
      <c r="E108" s="312"/>
      <c r="F108" s="312"/>
      <c r="G108" s="312"/>
      <c r="H108" s="312" t="s">
        <v>102</v>
      </c>
      <c r="I108" s="312" t="s">
        <v>102</v>
      </c>
      <c r="J108" s="312" t="s">
        <v>102</v>
      </c>
      <c r="K108" s="312"/>
      <c r="L108" s="312"/>
      <c r="M108" s="312"/>
      <c r="N108" s="312"/>
      <c r="O108" s="312" t="s">
        <v>102</v>
      </c>
      <c r="P108" s="312" t="s">
        <v>102</v>
      </c>
      <c r="Q108" s="312" t="s">
        <v>102</v>
      </c>
      <c r="R108" s="312"/>
      <c r="S108" s="312"/>
      <c r="T108" s="312"/>
      <c r="U108" s="312"/>
      <c r="V108" s="312" t="s">
        <v>102</v>
      </c>
      <c r="W108" s="312" t="s">
        <v>102</v>
      </c>
      <c r="X108" s="312" t="s">
        <v>102</v>
      </c>
      <c r="Y108" s="312"/>
      <c r="Z108" s="312"/>
      <c r="AA108" s="312"/>
      <c r="AB108" s="312"/>
      <c r="AC108" s="312" t="s">
        <v>102</v>
      </c>
      <c r="AD108" s="312" t="s">
        <v>102</v>
      </c>
      <c r="AE108" s="312" t="s">
        <v>102</v>
      </c>
      <c r="AF108" s="312"/>
      <c r="AG108" s="312"/>
      <c r="AH108" s="313">
        <f t="shared" ref="AH108:AH127" si="4">COUNTIF(C108:AG108,"√")</f>
        <v>12</v>
      </c>
    </row>
    <row r="109" ht="15.6" spans="1:35">
      <c r="A109" s="314"/>
      <c r="B109" s="310" t="s">
        <v>13</v>
      </c>
      <c r="C109" s="310"/>
      <c r="D109" s="310"/>
      <c r="E109" s="310"/>
      <c r="F109" s="312" t="s">
        <v>102</v>
      </c>
      <c r="G109" s="312" t="s">
        <v>102</v>
      </c>
      <c r="H109" s="312"/>
      <c r="I109" s="310"/>
      <c r="J109" s="310"/>
      <c r="K109" s="312" t="s">
        <v>102</v>
      </c>
      <c r="L109" s="312" t="s">
        <v>102</v>
      </c>
      <c r="M109" s="312" t="s">
        <v>102</v>
      </c>
      <c r="N109" s="312"/>
      <c r="O109" s="312"/>
      <c r="P109" s="310"/>
      <c r="Q109" s="310"/>
      <c r="R109" s="312" t="s">
        <v>102</v>
      </c>
      <c r="S109" s="312" t="s">
        <v>102</v>
      </c>
      <c r="T109" s="312" t="s">
        <v>102</v>
      </c>
      <c r="U109" s="312"/>
      <c r="V109" s="312"/>
      <c r="W109" s="310"/>
      <c r="X109" s="310"/>
      <c r="Y109" s="312" t="s">
        <v>102</v>
      </c>
      <c r="Z109" s="312" t="s">
        <v>102</v>
      </c>
      <c r="AA109" s="312" t="s">
        <v>102</v>
      </c>
      <c r="AB109" s="312"/>
      <c r="AC109" s="312"/>
      <c r="AD109" s="310"/>
      <c r="AE109" s="310"/>
      <c r="AF109" s="312" t="s">
        <v>102</v>
      </c>
      <c r="AG109" s="312" t="s">
        <v>102</v>
      </c>
      <c r="AH109" s="313">
        <f t="shared" si="4"/>
        <v>13</v>
      </c>
    </row>
    <row r="110" ht="15.6" spans="1:35">
      <c r="A110" s="314"/>
      <c r="B110" s="310" t="s">
        <v>14</v>
      </c>
      <c r="C110" s="319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0"/>
      <c r="Y110" s="312"/>
      <c r="Z110" s="312"/>
      <c r="AA110" s="310"/>
      <c r="AB110" s="312"/>
      <c r="AC110" s="312"/>
      <c r="AD110" s="312"/>
      <c r="AE110" s="312"/>
      <c r="AF110" s="312"/>
      <c r="AG110" s="310"/>
      <c r="AH110" s="313">
        <f t="shared" si="4"/>
        <v>0</v>
      </c>
    </row>
    <row r="111" ht="15.6" spans="1:35">
      <c r="A111" s="314"/>
      <c r="B111" s="310" t="s">
        <v>15</v>
      </c>
      <c r="C111" s="319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0"/>
      <c r="Y111" s="312"/>
      <c r="Z111" s="312"/>
      <c r="AA111" s="310"/>
      <c r="AB111" s="312"/>
      <c r="AC111" s="312"/>
      <c r="AD111" s="312"/>
      <c r="AE111" s="312"/>
      <c r="AF111" s="312"/>
      <c r="AG111" s="310"/>
      <c r="AH111" s="313">
        <f t="shared" si="4"/>
        <v>0</v>
      </c>
    </row>
    <row r="112" ht="15.6" spans="1:35">
      <c r="A112" s="314"/>
      <c r="B112" s="310" t="s">
        <v>16</v>
      </c>
      <c r="C112" s="319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10"/>
      <c r="AG112" s="310"/>
      <c r="AH112" s="313">
        <f t="shared" si="4"/>
        <v>0</v>
      </c>
    </row>
    <row r="113" ht="15.6" spans="1:36">
      <c r="A113" s="310"/>
      <c r="B113" s="310" t="s">
        <v>12</v>
      </c>
      <c r="C113" s="319"/>
      <c r="D113" s="312"/>
      <c r="E113" s="312"/>
      <c r="F113" s="312" t="s">
        <v>102</v>
      </c>
      <c r="G113" s="312" t="s">
        <v>102</v>
      </c>
      <c r="H113" s="312" t="s">
        <v>102</v>
      </c>
      <c r="I113" s="312" t="s">
        <v>102</v>
      </c>
      <c r="J113" s="312" t="s">
        <v>102</v>
      </c>
      <c r="K113" s="312" t="s">
        <v>102</v>
      </c>
      <c r="L113" s="312" t="s">
        <v>102</v>
      </c>
      <c r="M113" s="312" t="s">
        <v>102</v>
      </c>
      <c r="N113" s="312"/>
      <c r="O113" s="312" t="s">
        <v>102</v>
      </c>
      <c r="P113" s="312" t="s">
        <v>102</v>
      </c>
      <c r="Q113" s="312" t="s">
        <v>102</v>
      </c>
      <c r="R113" s="312" t="s">
        <v>102</v>
      </c>
      <c r="S113" s="312" t="s">
        <v>102</v>
      </c>
      <c r="T113" s="312" t="s">
        <v>102</v>
      </c>
      <c r="U113" s="312"/>
      <c r="V113" s="312" t="s">
        <v>102</v>
      </c>
      <c r="W113" s="312" t="s">
        <v>102</v>
      </c>
      <c r="X113" s="312" t="s">
        <v>102</v>
      </c>
      <c r="Y113" s="312" t="s">
        <v>102</v>
      </c>
      <c r="Z113" s="312" t="s">
        <v>102</v>
      </c>
      <c r="AA113" s="312" t="s">
        <v>102</v>
      </c>
      <c r="AB113" s="312"/>
      <c r="AC113" s="312" t="s">
        <v>102</v>
      </c>
      <c r="AD113" s="312" t="s">
        <v>102</v>
      </c>
      <c r="AE113" s="312" t="s">
        <v>102</v>
      </c>
      <c r="AF113" s="312" t="s">
        <v>102</v>
      </c>
      <c r="AG113" s="312" t="s">
        <v>102</v>
      </c>
      <c r="AH113" s="313">
        <f t="shared" si="4"/>
        <v>25</v>
      </c>
    </row>
    <row r="114" ht="15.6" spans="1:36">
      <c r="A114" s="310"/>
      <c r="B114" s="310" t="s">
        <v>13</v>
      </c>
      <c r="C114" s="319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10"/>
      <c r="AG114" s="310"/>
      <c r="AH114" s="313">
        <f t="shared" si="4"/>
        <v>0</v>
      </c>
    </row>
    <row r="115" ht="15.6" spans="1:36">
      <c r="A115" s="310"/>
      <c r="B115" s="310" t="s">
        <v>14</v>
      </c>
      <c r="C115" s="319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0"/>
      <c r="Y115" s="312"/>
      <c r="Z115" s="312"/>
      <c r="AA115" s="310"/>
      <c r="AB115" s="312"/>
      <c r="AC115" s="312"/>
      <c r="AD115" s="310"/>
      <c r="AE115" s="312"/>
      <c r="AF115" s="312"/>
      <c r="AG115" s="310"/>
      <c r="AH115" s="313">
        <f t="shared" si="4"/>
        <v>0</v>
      </c>
    </row>
    <row r="116" ht="15.6" spans="1:36">
      <c r="A116" s="310"/>
      <c r="B116" s="310" t="s">
        <v>15</v>
      </c>
      <c r="C116" s="319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0"/>
      <c r="Y116" s="312"/>
      <c r="Z116" s="312"/>
      <c r="AA116" s="310"/>
      <c r="AB116" s="312"/>
      <c r="AC116" s="312"/>
      <c r="AD116" s="310"/>
      <c r="AE116" s="312"/>
      <c r="AF116" s="312"/>
      <c r="AG116" s="310"/>
      <c r="AH116" s="313">
        <f t="shared" si="4"/>
        <v>0</v>
      </c>
    </row>
    <row r="117" ht="15.6" spans="1:36">
      <c r="A117" s="310"/>
      <c r="B117" s="310" t="s">
        <v>16</v>
      </c>
      <c r="C117" s="319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0"/>
      <c r="Y117" s="312"/>
      <c r="Z117" s="312"/>
      <c r="AA117" s="310"/>
      <c r="AB117" s="312"/>
      <c r="AC117" s="312"/>
      <c r="AD117" s="310"/>
      <c r="AE117" s="312"/>
      <c r="AF117" s="312"/>
      <c r="AG117" s="310"/>
      <c r="AH117" s="313">
        <f t="shared" si="4"/>
        <v>0</v>
      </c>
    </row>
    <row r="118" ht="15.6" spans="1:36">
      <c r="A118" s="311"/>
      <c r="B118" s="310" t="s">
        <v>12</v>
      </c>
      <c r="C118" s="319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0"/>
      <c r="Y118" s="312"/>
      <c r="Z118" s="312"/>
      <c r="AA118" s="310"/>
      <c r="AB118" s="312"/>
      <c r="AC118" s="312"/>
      <c r="AD118" s="310"/>
      <c r="AE118" s="312"/>
      <c r="AF118" s="312"/>
      <c r="AG118" s="310"/>
      <c r="AH118" s="313">
        <f t="shared" si="4"/>
        <v>0</v>
      </c>
    </row>
    <row r="119" ht="15.6" spans="1:36">
      <c r="A119" s="314"/>
      <c r="B119" s="310" t="s">
        <v>13</v>
      </c>
      <c r="C119" s="319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0"/>
      <c r="Y119" s="312"/>
      <c r="Z119" s="312"/>
      <c r="AA119" s="310"/>
      <c r="AB119" s="312"/>
      <c r="AC119" s="312"/>
      <c r="AD119" s="310"/>
      <c r="AE119" s="312"/>
      <c r="AF119" s="312"/>
      <c r="AG119" s="310"/>
      <c r="AH119" s="313">
        <f t="shared" si="4"/>
        <v>0</v>
      </c>
    </row>
    <row r="120" ht="15.6" spans="1:36">
      <c r="A120" s="314"/>
      <c r="B120" s="310" t="s">
        <v>14</v>
      </c>
      <c r="C120" s="319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0"/>
      <c r="Y120" s="312"/>
      <c r="Z120" s="312"/>
      <c r="AA120" s="310"/>
      <c r="AB120" s="312"/>
      <c r="AC120" s="312"/>
      <c r="AD120" s="310"/>
      <c r="AE120" s="312"/>
      <c r="AF120" s="312"/>
      <c r="AG120" s="310"/>
      <c r="AH120" s="313">
        <f t="shared" si="4"/>
        <v>0</v>
      </c>
    </row>
    <row r="121" ht="15.6" spans="1:36">
      <c r="A121" s="314"/>
      <c r="B121" s="310" t="s">
        <v>15</v>
      </c>
      <c r="C121" s="319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0"/>
      <c r="Y121" s="312"/>
      <c r="Z121" s="312"/>
      <c r="AA121" s="310"/>
      <c r="AB121" s="312"/>
      <c r="AC121" s="312"/>
      <c r="AD121" s="310"/>
      <c r="AE121" s="312"/>
      <c r="AF121" s="312"/>
      <c r="AG121" s="310"/>
      <c r="AH121" s="313">
        <f t="shared" si="4"/>
        <v>0</v>
      </c>
    </row>
    <row r="122" ht="15.6" spans="1:36">
      <c r="A122" s="314"/>
      <c r="B122" s="310" t="s">
        <v>16</v>
      </c>
      <c r="C122" s="319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0"/>
      <c r="Y122" s="312"/>
      <c r="Z122" s="312"/>
      <c r="AA122" s="310"/>
      <c r="AB122" s="312"/>
      <c r="AC122" s="312"/>
      <c r="AD122" s="310"/>
      <c r="AE122" s="312"/>
      <c r="AF122" s="312"/>
      <c r="AG122" s="310"/>
      <c r="AH122" s="313">
        <f t="shared" si="4"/>
        <v>0</v>
      </c>
    </row>
    <row r="123" ht="15.6" spans="1:36">
      <c r="A123" s="311"/>
      <c r="B123" s="310" t="s">
        <v>12</v>
      </c>
      <c r="C123" s="319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0"/>
      <c r="Y123" s="312"/>
      <c r="Z123" s="312"/>
      <c r="AA123" s="310"/>
      <c r="AB123" s="312"/>
      <c r="AC123" s="312"/>
      <c r="AD123" s="310"/>
      <c r="AE123" s="312"/>
      <c r="AF123" s="312"/>
      <c r="AG123" s="310"/>
      <c r="AH123" s="313">
        <f t="shared" si="4"/>
        <v>0</v>
      </c>
    </row>
    <row r="124" ht="15.6" spans="1:36">
      <c r="A124" s="314"/>
      <c r="B124" s="310" t="s">
        <v>13</v>
      </c>
      <c r="C124" s="319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0"/>
      <c r="Y124" s="312"/>
      <c r="Z124" s="312"/>
      <c r="AA124" s="310"/>
      <c r="AB124" s="312"/>
      <c r="AC124" s="312"/>
      <c r="AD124" s="310"/>
      <c r="AE124" s="312"/>
      <c r="AF124" s="312"/>
      <c r="AG124" s="310"/>
      <c r="AH124" s="313">
        <f>COUNTIF(C125:AG125,"√")</f>
        <v>0</v>
      </c>
    </row>
    <row r="125" ht="15.6" spans="1:36">
      <c r="A125" s="314"/>
      <c r="B125" s="310" t="s">
        <v>14</v>
      </c>
      <c r="C125" s="319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0"/>
      <c r="Y125" s="312"/>
      <c r="Z125" s="312"/>
      <c r="AA125" s="310"/>
      <c r="AB125" s="312"/>
      <c r="AC125" s="312"/>
      <c r="AD125" s="310"/>
      <c r="AE125" s="312"/>
      <c r="AF125" s="312"/>
      <c r="AG125" s="310"/>
      <c r="AH125" s="313">
        <f t="shared" si="4"/>
        <v>0</v>
      </c>
    </row>
    <row r="126" ht="15.6" spans="1:36">
      <c r="A126" s="314"/>
      <c r="B126" s="310" t="s">
        <v>15</v>
      </c>
      <c r="C126" s="319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0"/>
      <c r="Y126" s="312"/>
      <c r="Z126" s="312"/>
      <c r="AA126" s="310"/>
      <c r="AB126" s="312"/>
      <c r="AC126" s="312"/>
      <c r="AD126" s="310"/>
      <c r="AE126" s="312"/>
      <c r="AF126" s="312"/>
      <c r="AG126" s="310"/>
      <c r="AH126" s="313">
        <f t="shared" si="4"/>
        <v>0</v>
      </c>
    </row>
    <row r="127" ht="15.6" spans="1:36">
      <c r="A127" s="314"/>
      <c r="B127" s="310" t="s">
        <v>16</v>
      </c>
      <c r="C127" s="319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10"/>
      <c r="AG127" s="310"/>
      <c r="AH127" s="313">
        <f t="shared" si="4"/>
        <v>0</v>
      </c>
      <c r="AI127" s="321"/>
      <c r="AJ127" s="321"/>
    </row>
    <row r="128" ht="15.6" spans="1:36">
      <c r="A128" s="315" t="s">
        <v>103</v>
      </c>
      <c r="B128" s="316"/>
      <c r="C128" s="315"/>
      <c r="D128" s="315"/>
      <c r="E128" s="315"/>
      <c r="F128" s="320"/>
      <c r="G128" s="320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5"/>
      <c r="AB128" s="315"/>
      <c r="AC128" s="315"/>
      <c r="AD128" s="315"/>
      <c r="AE128" s="315"/>
      <c r="AF128" s="315"/>
      <c r="AG128" s="315"/>
      <c r="AH128" s="315"/>
      <c r="AI128" s="317"/>
    </row>
    <row r="131" ht="17.4" spans="1:35">
      <c r="A131" s="306" t="s">
        <v>68</v>
      </c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  <c r="AE131" s="307"/>
      <c r="AF131" s="307"/>
      <c r="AG131" s="307"/>
      <c r="AH131" s="307"/>
    </row>
    <row r="132" ht="15.6" spans="1:35">
      <c r="A132" s="308">
        <v>45809</v>
      </c>
      <c r="B132" s="309"/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  <c r="AA132" s="309"/>
      <c r="AB132" s="309"/>
      <c r="AC132" s="309"/>
      <c r="AD132" s="309"/>
      <c r="AE132" s="309"/>
      <c r="AF132" s="309"/>
      <c r="AG132" s="309"/>
      <c r="AH132" s="309"/>
    </row>
    <row r="133" ht="15.6" spans="1:35">
      <c r="A133" s="310" t="s">
        <v>69</v>
      </c>
      <c r="B133" s="310" t="s">
        <v>70</v>
      </c>
      <c r="C133" s="310" t="s">
        <v>71</v>
      </c>
      <c r="D133" s="310" t="s">
        <v>72</v>
      </c>
      <c r="E133" s="310" t="s">
        <v>73</v>
      </c>
      <c r="F133" s="310" t="s">
        <v>74</v>
      </c>
      <c r="G133" s="310" t="s">
        <v>75</v>
      </c>
      <c r="H133" s="310" t="s">
        <v>76</v>
      </c>
      <c r="I133" s="310" t="s">
        <v>77</v>
      </c>
      <c r="J133" s="310" t="s">
        <v>78</v>
      </c>
      <c r="K133" s="310" t="s">
        <v>79</v>
      </c>
      <c r="L133" s="310" t="s">
        <v>80</v>
      </c>
      <c r="M133" s="310" t="s">
        <v>81</v>
      </c>
      <c r="N133" s="310" t="s">
        <v>82</v>
      </c>
      <c r="O133" s="310" t="s">
        <v>83</v>
      </c>
      <c r="P133" s="310" t="s">
        <v>84</v>
      </c>
      <c r="Q133" s="310" t="s">
        <v>85</v>
      </c>
      <c r="R133" s="310" t="s">
        <v>86</v>
      </c>
      <c r="S133" s="310" t="s">
        <v>87</v>
      </c>
      <c r="T133" s="310" t="s">
        <v>88</v>
      </c>
      <c r="U133" s="310" t="s">
        <v>89</v>
      </c>
      <c r="V133" s="310" t="s">
        <v>90</v>
      </c>
      <c r="W133" s="310" t="s">
        <v>91</v>
      </c>
      <c r="X133" s="310" t="s">
        <v>92</v>
      </c>
      <c r="Y133" s="310" t="s">
        <v>93</v>
      </c>
      <c r="Z133" s="310" t="s">
        <v>94</v>
      </c>
      <c r="AA133" s="310" t="s">
        <v>94</v>
      </c>
      <c r="AB133" s="310" t="s">
        <v>95</v>
      </c>
      <c r="AC133" s="310" t="s">
        <v>96</v>
      </c>
      <c r="AD133" s="310" t="s">
        <v>97</v>
      </c>
      <c r="AE133" s="310" t="s">
        <v>98</v>
      </c>
      <c r="AF133" s="310" t="s">
        <v>99</v>
      </c>
      <c r="AG133" s="310" t="s">
        <v>101</v>
      </c>
      <c r="AI133" s="305">
        <v>19</v>
      </c>
    </row>
    <row r="134" ht="15.6" spans="1:35">
      <c r="A134" s="311"/>
      <c r="B134" s="310" t="s">
        <v>12</v>
      </c>
      <c r="C134" s="312"/>
      <c r="D134" s="312"/>
      <c r="E134" s="312" t="s">
        <v>102</v>
      </c>
      <c r="F134" s="312" t="s">
        <v>102</v>
      </c>
      <c r="G134" s="312"/>
      <c r="H134" s="312"/>
      <c r="I134" s="312"/>
      <c r="J134" s="312"/>
      <c r="K134" s="312"/>
      <c r="L134" s="312"/>
      <c r="M134" s="312" t="s">
        <v>102</v>
      </c>
      <c r="N134" s="312" t="s">
        <v>102</v>
      </c>
      <c r="O134" s="312"/>
      <c r="P134" s="312"/>
      <c r="Q134" s="312"/>
      <c r="R134" s="312"/>
      <c r="S134" s="312" t="s">
        <v>102</v>
      </c>
      <c r="T134" s="312" t="s">
        <v>102</v>
      </c>
      <c r="U134" s="312" t="s">
        <v>102</v>
      </c>
      <c r="V134" s="312"/>
      <c r="W134" s="312"/>
      <c r="X134" s="310"/>
      <c r="Y134" s="312"/>
      <c r="Z134" s="312" t="s">
        <v>102</v>
      </c>
      <c r="AA134" s="312" t="s">
        <v>102</v>
      </c>
      <c r="AB134" s="312" t="s">
        <v>102</v>
      </c>
      <c r="AC134" s="312"/>
      <c r="AD134" s="312"/>
      <c r="AE134" s="310"/>
      <c r="AF134" s="312"/>
      <c r="AG134" s="313">
        <f t="shared" ref="AG134:AG153" si="5">COUNTIF(C134:AF134,"√")</f>
        <v>10</v>
      </c>
    </row>
    <row r="135" ht="15.6" spans="1:35">
      <c r="A135" s="314"/>
      <c r="B135" s="310" t="s">
        <v>13</v>
      </c>
      <c r="C135" s="310"/>
      <c r="D135" s="310"/>
      <c r="E135" s="310"/>
      <c r="F135" s="310"/>
      <c r="G135" s="312" t="s">
        <v>102</v>
      </c>
      <c r="H135" s="312" t="s">
        <v>102</v>
      </c>
      <c r="I135" s="312" t="s">
        <v>102</v>
      </c>
      <c r="J135" s="312"/>
      <c r="K135" s="312"/>
      <c r="L135" s="312"/>
      <c r="M135" s="310"/>
      <c r="N135" s="310"/>
      <c r="O135" s="312" t="s">
        <v>102</v>
      </c>
      <c r="P135" s="312" t="s">
        <v>102</v>
      </c>
      <c r="Q135" s="312" t="s">
        <v>102</v>
      </c>
      <c r="R135" s="310"/>
      <c r="S135" s="310"/>
      <c r="T135" s="310"/>
      <c r="U135" s="312"/>
      <c r="V135" s="312" t="s">
        <v>102</v>
      </c>
      <c r="W135" s="312" t="s">
        <v>102</v>
      </c>
      <c r="X135" s="312" t="s">
        <v>102</v>
      </c>
      <c r="Y135" s="310"/>
      <c r="Z135" s="310"/>
      <c r="AA135" s="310"/>
      <c r="AB135" s="312"/>
      <c r="AC135" s="312" t="s">
        <v>102</v>
      </c>
      <c r="AD135" s="312" t="s">
        <v>102</v>
      </c>
      <c r="AE135" s="312" t="s">
        <v>102</v>
      </c>
      <c r="AF135" s="310"/>
      <c r="AG135" s="313">
        <f t="shared" si="5"/>
        <v>12</v>
      </c>
    </row>
    <row r="136" ht="15.6" spans="1:35">
      <c r="A136" s="314"/>
      <c r="B136" s="310" t="s">
        <v>14</v>
      </c>
      <c r="C136" s="319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0"/>
      <c r="Y136" s="312"/>
      <c r="Z136" s="312"/>
      <c r="AA136" s="310"/>
      <c r="AB136" s="312"/>
      <c r="AC136" s="312"/>
      <c r="AD136" s="312"/>
      <c r="AE136" s="312"/>
      <c r="AF136" s="312"/>
      <c r="AG136" s="313">
        <f t="shared" si="5"/>
        <v>0</v>
      </c>
    </row>
    <row r="137" ht="15.6" spans="1:35">
      <c r="A137" s="314"/>
      <c r="B137" s="310" t="s">
        <v>15</v>
      </c>
      <c r="C137" s="319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0"/>
      <c r="Y137" s="312"/>
      <c r="Z137" s="312"/>
      <c r="AA137" s="310"/>
      <c r="AB137" s="312"/>
      <c r="AC137" s="312"/>
      <c r="AD137" s="312"/>
      <c r="AE137" s="312"/>
      <c r="AF137" s="312"/>
      <c r="AG137" s="313">
        <f t="shared" si="5"/>
        <v>0</v>
      </c>
    </row>
    <row r="138" ht="15.6" spans="1:35">
      <c r="A138" s="314"/>
      <c r="B138" s="310" t="s">
        <v>16</v>
      </c>
      <c r="C138" s="319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10"/>
      <c r="AG138" s="313">
        <f t="shared" si="5"/>
        <v>0</v>
      </c>
    </row>
    <row r="139" ht="15.6" spans="1:35">
      <c r="A139" s="310"/>
      <c r="B139" s="310" t="s">
        <v>12</v>
      </c>
      <c r="C139" s="312"/>
      <c r="D139" s="312"/>
      <c r="E139" s="312" t="s">
        <v>102</v>
      </c>
      <c r="F139" s="312" t="s">
        <v>102</v>
      </c>
      <c r="G139" s="312" t="s">
        <v>102</v>
      </c>
      <c r="H139" s="312" t="s">
        <v>102</v>
      </c>
      <c r="I139" s="312" t="s">
        <v>102</v>
      </c>
      <c r="J139" s="312"/>
      <c r="K139" s="312"/>
      <c r="L139" s="312"/>
      <c r="M139" s="312" t="s">
        <v>102</v>
      </c>
      <c r="N139" s="312" t="s">
        <v>102</v>
      </c>
      <c r="O139" s="312" t="s">
        <v>102</v>
      </c>
      <c r="P139" s="312" t="s">
        <v>102</v>
      </c>
      <c r="Q139" s="312" t="s">
        <v>102</v>
      </c>
      <c r="R139" s="312"/>
      <c r="S139" s="312" t="s">
        <v>102</v>
      </c>
      <c r="T139" s="312" t="s">
        <v>102</v>
      </c>
      <c r="U139" s="312" t="s">
        <v>102</v>
      </c>
      <c r="V139" s="312" t="s">
        <v>102</v>
      </c>
      <c r="W139" s="312" t="s">
        <v>102</v>
      </c>
      <c r="X139" s="312" t="s">
        <v>102</v>
      </c>
      <c r="Y139" s="312"/>
      <c r="Z139" s="312" t="s">
        <v>102</v>
      </c>
      <c r="AA139" s="312" t="s">
        <v>102</v>
      </c>
      <c r="AB139" s="312" t="s">
        <v>102</v>
      </c>
      <c r="AC139" s="312" t="s">
        <v>102</v>
      </c>
      <c r="AD139" s="312" t="s">
        <v>102</v>
      </c>
      <c r="AE139" s="312" t="s">
        <v>102</v>
      </c>
      <c r="AF139" s="312"/>
      <c r="AG139" s="313">
        <f t="shared" si="5"/>
        <v>22</v>
      </c>
    </row>
    <row r="140" ht="15.6" spans="1:35">
      <c r="A140" s="310"/>
      <c r="B140" s="310" t="s">
        <v>13</v>
      </c>
      <c r="C140" s="319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10"/>
      <c r="AG140" s="313">
        <f t="shared" si="5"/>
        <v>0</v>
      </c>
    </row>
    <row r="141" ht="15.6" spans="1:35">
      <c r="A141" s="310"/>
      <c r="B141" s="310" t="s">
        <v>14</v>
      </c>
      <c r="C141" s="319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0"/>
      <c r="Y141" s="312"/>
      <c r="Z141" s="312"/>
      <c r="AA141" s="310"/>
      <c r="AB141" s="312"/>
      <c r="AC141" s="312"/>
      <c r="AD141" s="310"/>
      <c r="AE141" s="312"/>
      <c r="AF141" s="312"/>
      <c r="AG141" s="313">
        <f t="shared" si="5"/>
        <v>0</v>
      </c>
    </row>
    <row r="142" ht="15.6" spans="1:35">
      <c r="A142" s="310"/>
      <c r="B142" s="310" t="s">
        <v>15</v>
      </c>
      <c r="C142" s="319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0"/>
      <c r="Y142" s="312"/>
      <c r="Z142" s="312"/>
      <c r="AA142" s="310"/>
      <c r="AB142" s="312"/>
      <c r="AC142" s="312"/>
      <c r="AD142" s="310"/>
      <c r="AE142" s="312"/>
      <c r="AF142" s="312"/>
      <c r="AG142" s="313">
        <f t="shared" si="5"/>
        <v>0</v>
      </c>
    </row>
    <row r="143" ht="15.6" spans="1:35">
      <c r="A143" s="310"/>
      <c r="B143" s="310" t="s">
        <v>16</v>
      </c>
      <c r="C143" s="319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0"/>
      <c r="Y143" s="312"/>
      <c r="Z143" s="312"/>
      <c r="AA143" s="310"/>
      <c r="AB143" s="312"/>
      <c r="AC143" s="312"/>
      <c r="AD143" s="310"/>
      <c r="AE143" s="312"/>
      <c r="AF143" s="312"/>
      <c r="AG143" s="313">
        <f t="shared" si="5"/>
        <v>0</v>
      </c>
    </row>
    <row r="144" ht="15.6" spans="1:35">
      <c r="A144" s="311"/>
      <c r="B144" s="310" t="s">
        <v>12</v>
      </c>
      <c r="C144" s="319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0"/>
      <c r="Y144" s="312"/>
      <c r="Z144" s="312"/>
      <c r="AA144" s="310"/>
      <c r="AB144" s="312"/>
      <c r="AC144" s="312"/>
      <c r="AD144" s="310"/>
      <c r="AE144" s="312"/>
      <c r="AF144" s="312"/>
      <c r="AG144" s="313">
        <f t="shared" si="5"/>
        <v>0</v>
      </c>
    </row>
    <row r="145" ht="15.6" spans="1:35">
      <c r="A145" s="314"/>
      <c r="B145" s="310" t="s">
        <v>13</v>
      </c>
      <c r="C145" s="319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0"/>
      <c r="Y145" s="312"/>
      <c r="Z145" s="312"/>
      <c r="AA145" s="310"/>
      <c r="AB145" s="312"/>
      <c r="AC145" s="312"/>
      <c r="AD145" s="310"/>
      <c r="AE145" s="312"/>
      <c r="AF145" s="312"/>
      <c r="AG145" s="313">
        <f t="shared" si="5"/>
        <v>0</v>
      </c>
    </row>
    <row r="146" ht="15.6" spans="1:35">
      <c r="A146" s="314"/>
      <c r="B146" s="310" t="s">
        <v>14</v>
      </c>
      <c r="C146" s="319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0"/>
      <c r="Y146" s="312"/>
      <c r="Z146" s="312"/>
      <c r="AA146" s="310"/>
      <c r="AB146" s="312"/>
      <c r="AC146" s="312"/>
      <c r="AD146" s="310"/>
      <c r="AE146" s="312"/>
      <c r="AF146" s="312"/>
      <c r="AG146" s="313">
        <f t="shared" si="5"/>
        <v>0</v>
      </c>
    </row>
    <row r="147" ht="15.6" spans="1:35">
      <c r="A147" s="314"/>
      <c r="B147" s="310" t="s">
        <v>15</v>
      </c>
      <c r="C147" s="319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0"/>
      <c r="Y147" s="312"/>
      <c r="Z147" s="312"/>
      <c r="AA147" s="310"/>
      <c r="AB147" s="312"/>
      <c r="AC147" s="312"/>
      <c r="AD147" s="310"/>
      <c r="AE147" s="312"/>
      <c r="AF147" s="312"/>
      <c r="AG147" s="313">
        <f t="shared" si="5"/>
        <v>0</v>
      </c>
    </row>
    <row r="148" ht="15.6" spans="1:35">
      <c r="A148" s="314"/>
      <c r="B148" s="310" t="s">
        <v>16</v>
      </c>
      <c r="C148" s="319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0"/>
      <c r="Y148" s="312"/>
      <c r="Z148" s="312"/>
      <c r="AA148" s="310"/>
      <c r="AB148" s="312"/>
      <c r="AC148" s="312"/>
      <c r="AD148" s="310"/>
      <c r="AE148" s="312"/>
      <c r="AF148" s="312"/>
      <c r="AG148" s="313">
        <f t="shared" si="5"/>
        <v>0</v>
      </c>
    </row>
    <row r="149" ht="15.6" spans="1:35">
      <c r="A149" s="311"/>
      <c r="B149" s="310" t="s">
        <v>12</v>
      </c>
      <c r="C149" s="319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0"/>
      <c r="Y149" s="312"/>
      <c r="Z149" s="312"/>
      <c r="AA149" s="310"/>
      <c r="AB149" s="312"/>
      <c r="AC149" s="312"/>
      <c r="AD149" s="310"/>
      <c r="AE149" s="312"/>
      <c r="AF149" s="312"/>
      <c r="AG149" s="313">
        <f t="shared" si="5"/>
        <v>0</v>
      </c>
    </row>
    <row r="150" ht="15.6" spans="1:35">
      <c r="A150" s="314"/>
      <c r="B150" s="310" t="s">
        <v>13</v>
      </c>
      <c r="C150" s="319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0"/>
      <c r="Y150" s="312"/>
      <c r="Z150" s="312"/>
      <c r="AA150" s="310"/>
      <c r="AB150" s="312"/>
      <c r="AC150" s="312"/>
      <c r="AD150" s="310"/>
      <c r="AE150" s="312"/>
      <c r="AF150" s="312"/>
      <c r="AG150" s="313">
        <f t="shared" si="5"/>
        <v>0</v>
      </c>
    </row>
    <row r="151" ht="15.6" spans="1:35">
      <c r="A151" s="314"/>
      <c r="B151" s="310" t="s">
        <v>14</v>
      </c>
      <c r="C151" s="319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0"/>
      <c r="Y151" s="312"/>
      <c r="Z151" s="312"/>
      <c r="AA151" s="310"/>
      <c r="AB151" s="312"/>
      <c r="AC151" s="312"/>
      <c r="AD151" s="310"/>
      <c r="AE151" s="312"/>
      <c r="AF151" s="312"/>
      <c r="AG151" s="313">
        <f t="shared" si="5"/>
        <v>0</v>
      </c>
    </row>
    <row r="152" ht="15.6" spans="1:35">
      <c r="A152" s="314"/>
      <c r="B152" s="310" t="s">
        <v>15</v>
      </c>
      <c r="C152" s="319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0"/>
      <c r="Y152" s="312"/>
      <c r="Z152" s="312"/>
      <c r="AA152" s="310"/>
      <c r="AB152" s="312"/>
      <c r="AC152" s="312"/>
      <c r="AD152" s="310"/>
      <c r="AE152" s="312"/>
      <c r="AF152" s="312"/>
      <c r="AG152" s="313">
        <f t="shared" si="5"/>
        <v>0</v>
      </c>
    </row>
    <row r="153" ht="15.6" spans="1:35">
      <c r="A153" s="314"/>
      <c r="B153" s="310" t="s">
        <v>16</v>
      </c>
      <c r="C153" s="319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10"/>
      <c r="AG153" s="313">
        <f t="shared" si="5"/>
        <v>0</v>
      </c>
      <c r="AH153" s="321"/>
    </row>
    <row r="154" ht="15.6" spans="1:35">
      <c r="A154" s="315" t="s">
        <v>103</v>
      </c>
      <c r="B154" s="316"/>
      <c r="C154" s="315"/>
      <c r="D154" s="315"/>
      <c r="E154" s="315"/>
      <c r="F154" s="320"/>
      <c r="G154" s="320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/>
      <c r="AE154" s="315"/>
      <c r="AF154" s="315"/>
      <c r="AG154" s="315"/>
      <c r="AH154" s="317"/>
    </row>
    <row r="157" ht="17.4" spans="1:35">
      <c r="A157" s="306" t="s">
        <v>68</v>
      </c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  <c r="AE157" s="307"/>
      <c r="AF157" s="307"/>
      <c r="AG157" s="307"/>
      <c r="AH157" s="307"/>
      <c r="AI157" s="307"/>
    </row>
    <row r="158" ht="15.6" spans="1:35">
      <c r="A158" s="308">
        <v>45839</v>
      </c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309"/>
      <c r="AB158" s="309"/>
      <c r="AC158" s="309"/>
      <c r="AD158" s="309"/>
      <c r="AE158" s="309"/>
      <c r="AF158" s="309"/>
      <c r="AG158" s="309"/>
      <c r="AH158" s="309"/>
      <c r="AI158" s="309"/>
    </row>
    <row r="159" ht="15.6" spans="1:35">
      <c r="A159" s="310" t="s">
        <v>69</v>
      </c>
      <c r="B159" s="310" t="s">
        <v>70</v>
      </c>
      <c r="C159" s="310" t="s">
        <v>71</v>
      </c>
      <c r="D159" s="310" t="s">
        <v>72</v>
      </c>
      <c r="E159" s="310" t="s">
        <v>73</v>
      </c>
      <c r="F159" s="310" t="s">
        <v>74</v>
      </c>
      <c r="G159" s="310" t="s">
        <v>75</v>
      </c>
      <c r="H159" s="310" t="s">
        <v>76</v>
      </c>
      <c r="I159" s="310" t="s">
        <v>77</v>
      </c>
      <c r="J159" s="310" t="s">
        <v>78</v>
      </c>
      <c r="K159" s="310" t="s">
        <v>79</v>
      </c>
      <c r="L159" s="310" t="s">
        <v>80</v>
      </c>
      <c r="M159" s="310" t="s">
        <v>81</v>
      </c>
      <c r="N159" s="310" t="s">
        <v>82</v>
      </c>
      <c r="O159" s="310" t="s">
        <v>83</v>
      </c>
      <c r="P159" s="310" t="s">
        <v>84</v>
      </c>
      <c r="Q159" s="310" t="s">
        <v>85</v>
      </c>
      <c r="R159" s="310" t="s">
        <v>86</v>
      </c>
      <c r="S159" s="310" t="s">
        <v>87</v>
      </c>
      <c r="T159" s="310" t="s">
        <v>88</v>
      </c>
      <c r="U159" s="310" t="s">
        <v>89</v>
      </c>
      <c r="V159" s="310" t="s">
        <v>90</v>
      </c>
      <c r="W159" s="310" t="s">
        <v>91</v>
      </c>
      <c r="X159" s="310" t="s">
        <v>92</v>
      </c>
      <c r="Y159" s="310" t="s">
        <v>93</v>
      </c>
      <c r="Z159" s="310" t="s">
        <v>94</v>
      </c>
      <c r="AA159" s="310" t="s">
        <v>94</v>
      </c>
      <c r="AB159" s="310" t="s">
        <v>95</v>
      </c>
      <c r="AC159" s="310" t="s">
        <v>96</v>
      </c>
      <c r="AD159" s="310" t="s">
        <v>97</v>
      </c>
      <c r="AE159" s="310" t="s">
        <v>98</v>
      </c>
      <c r="AF159" s="310" t="s">
        <v>99</v>
      </c>
      <c r="AG159" s="310" t="s">
        <v>100</v>
      </c>
      <c r="AH159" s="310" t="s">
        <v>101</v>
      </c>
      <c r="AI159" s="305">
        <v>23</v>
      </c>
    </row>
    <row r="160" ht="15.6" spans="1:35">
      <c r="A160" s="311"/>
      <c r="B160" s="310" t="s">
        <v>12</v>
      </c>
      <c r="C160" s="312" t="s">
        <v>102</v>
      </c>
      <c r="D160" s="312" t="s">
        <v>102</v>
      </c>
      <c r="E160" s="312" t="s">
        <v>102</v>
      </c>
      <c r="F160" s="312"/>
      <c r="G160" s="312"/>
      <c r="H160" s="312"/>
      <c r="I160" s="312"/>
      <c r="J160" s="312" t="s">
        <v>102</v>
      </c>
      <c r="K160" s="312" t="s">
        <v>102</v>
      </c>
      <c r="L160" s="312" t="s">
        <v>102</v>
      </c>
      <c r="M160" s="312"/>
      <c r="N160" s="312"/>
      <c r="O160" s="312"/>
      <c r="P160" s="312"/>
      <c r="Q160" s="312" t="s">
        <v>102</v>
      </c>
      <c r="R160" s="312" t="s">
        <v>102</v>
      </c>
      <c r="S160" s="312" t="s">
        <v>102</v>
      </c>
      <c r="T160" s="312"/>
      <c r="U160" s="312"/>
      <c r="V160" s="312"/>
      <c r="W160" s="312"/>
      <c r="X160" s="312" t="s">
        <v>102</v>
      </c>
      <c r="Y160" s="312" t="s">
        <v>102</v>
      </c>
      <c r="Z160" s="312" t="s">
        <v>102</v>
      </c>
      <c r="AA160" s="312"/>
      <c r="AB160" s="312"/>
      <c r="AC160" s="312"/>
      <c r="AD160" s="312"/>
      <c r="AE160" s="312" t="s">
        <v>102</v>
      </c>
      <c r="AF160" s="312" t="s">
        <v>102</v>
      </c>
      <c r="AG160" s="312" t="s">
        <v>102</v>
      </c>
      <c r="AH160" s="313">
        <f t="shared" ref="AH160:AH179" si="6">COUNTIF(C160:AG160,"√")</f>
        <v>15</v>
      </c>
    </row>
    <row r="161" ht="15.6" spans="1:34">
      <c r="A161" s="314"/>
      <c r="B161" s="310" t="s">
        <v>13</v>
      </c>
      <c r="C161" s="310"/>
      <c r="D161" s="310"/>
      <c r="E161" s="312"/>
      <c r="F161" s="312" t="s">
        <v>102</v>
      </c>
      <c r="G161" s="312" t="s">
        <v>102</v>
      </c>
      <c r="H161" s="312" t="s">
        <v>102</v>
      </c>
      <c r="I161" s="310"/>
      <c r="J161" s="310"/>
      <c r="K161" s="310"/>
      <c r="L161" s="312"/>
      <c r="M161" s="312" t="s">
        <v>102</v>
      </c>
      <c r="N161" s="312" t="s">
        <v>102</v>
      </c>
      <c r="O161" s="312" t="s">
        <v>102</v>
      </c>
      <c r="P161" s="310"/>
      <c r="Q161" s="310"/>
      <c r="R161" s="310"/>
      <c r="S161" s="312"/>
      <c r="T161" s="312" t="s">
        <v>102</v>
      </c>
      <c r="U161" s="312" t="s">
        <v>102</v>
      </c>
      <c r="V161" s="312" t="s">
        <v>102</v>
      </c>
      <c r="W161" s="310"/>
      <c r="X161" s="310"/>
      <c r="Y161" s="310"/>
      <c r="Z161" s="312"/>
      <c r="AA161" s="312" t="s">
        <v>102</v>
      </c>
      <c r="AB161" s="312" t="s">
        <v>102</v>
      </c>
      <c r="AC161" s="312" t="s">
        <v>102</v>
      </c>
      <c r="AD161" s="310"/>
      <c r="AE161" s="310"/>
      <c r="AF161" s="310"/>
      <c r="AG161" s="310"/>
      <c r="AH161" s="313">
        <f t="shared" si="6"/>
        <v>12</v>
      </c>
    </row>
    <row r="162" ht="15.6" spans="1:34">
      <c r="A162" s="314"/>
      <c r="B162" s="310" t="s">
        <v>14</v>
      </c>
      <c r="C162" s="319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0"/>
      <c r="Y162" s="312"/>
      <c r="Z162" s="312"/>
      <c r="AA162" s="310"/>
      <c r="AB162" s="312"/>
      <c r="AC162" s="312"/>
      <c r="AD162" s="312"/>
      <c r="AE162" s="312"/>
      <c r="AF162" s="312"/>
      <c r="AG162" s="312"/>
      <c r="AH162" s="313">
        <f t="shared" si="6"/>
        <v>0</v>
      </c>
    </row>
    <row r="163" ht="15.6" spans="1:34">
      <c r="A163" s="314"/>
      <c r="B163" s="310" t="s">
        <v>15</v>
      </c>
      <c r="C163" s="319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0"/>
      <c r="Y163" s="312"/>
      <c r="Z163" s="312"/>
      <c r="AA163" s="310"/>
      <c r="AB163" s="312"/>
      <c r="AC163" s="312"/>
      <c r="AD163" s="312"/>
      <c r="AE163" s="312"/>
      <c r="AF163" s="312"/>
      <c r="AG163" s="312"/>
      <c r="AH163" s="313">
        <f t="shared" si="6"/>
        <v>0</v>
      </c>
    </row>
    <row r="164" ht="15.6" spans="1:34">
      <c r="A164" s="314"/>
      <c r="B164" s="310" t="s">
        <v>16</v>
      </c>
      <c r="C164" s="319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10"/>
      <c r="AG164" s="310"/>
      <c r="AH164" s="313">
        <f t="shared" si="6"/>
        <v>0</v>
      </c>
    </row>
    <row r="165" ht="15.6" spans="1:34">
      <c r="A165" s="310"/>
      <c r="B165" s="310" t="s">
        <v>12</v>
      </c>
      <c r="C165" s="312" t="s">
        <v>102</v>
      </c>
      <c r="D165" s="312" t="s">
        <v>102</v>
      </c>
      <c r="E165" s="312" t="s">
        <v>102</v>
      </c>
      <c r="F165" s="312" t="s">
        <v>102</v>
      </c>
      <c r="G165" s="312" t="s">
        <v>102</v>
      </c>
      <c r="H165" s="312" t="s">
        <v>102</v>
      </c>
      <c r="I165" s="312"/>
      <c r="J165" s="312" t="s">
        <v>102</v>
      </c>
      <c r="K165" s="312" t="s">
        <v>102</v>
      </c>
      <c r="L165" s="312" t="s">
        <v>102</v>
      </c>
      <c r="M165" s="312" t="s">
        <v>102</v>
      </c>
      <c r="N165" s="312" t="s">
        <v>102</v>
      </c>
      <c r="O165" s="312" t="s">
        <v>102</v>
      </c>
      <c r="P165" s="312"/>
      <c r="Q165" s="312" t="s">
        <v>102</v>
      </c>
      <c r="R165" s="312" t="s">
        <v>102</v>
      </c>
      <c r="S165" s="312" t="s">
        <v>102</v>
      </c>
      <c r="T165" s="312" t="s">
        <v>102</v>
      </c>
      <c r="U165" s="312" t="s">
        <v>102</v>
      </c>
      <c r="V165" s="312" t="s">
        <v>102</v>
      </c>
      <c r="W165" s="312"/>
      <c r="X165" s="312" t="s">
        <v>102</v>
      </c>
      <c r="Y165" s="312" t="s">
        <v>102</v>
      </c>
      <c r="Z165" s="312" t="s">
        <v>102</v>
      </c>
      <c r="AA165" s="312" t="s">
        <v>102</v>
      </c>
      <c r="AB165" s="312" t="s">
        <v>102</v>
      </c>
      <c r="AC165" s="312" t="s">
        <v>102</v>
      </c>
      <c r="AD165" s="312"/>
      <c r="AE165" s="312" t="s">
        <v>102</v>
      </c>
      <c r="AF165" s="312" t="s">
        <v>102</v>
      </c>
      <c r="AG165" s="312" t="s">
        <v>102</v>
      </c>
      <c r="AH165" s="313">
        <f t="shared" si="6"/>
        <v>27</v>
      </c>
    </row>
    <row r="166" ht="15.6" spans="1:34">
      <c r="A166" s="310"/>
      <c r="B166" s="310" t="s">
        <v>13</v>
      </c>
      <c r="C166" s="319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10"/>
      <c r="AG166" s="310"/>
      <c r="AH166" s="313">
        <f t="shared" si="6"/>
        <v>0</v>
      </c>
    </row>
    <row r="167" ht="15.6" spans="1:34">
      <c r="A167" s="310"/>
      <c r="B167" s="310" t="s">
        <v>14</v>
      </c>
      <c r="C167" s="319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0"/>
      <c r="Y167" s="312"/>
      <c r="Z167" s="312"/>
      <c r="AA167" s="310"/>
      <c r="AB167" s="312"/>
      <c r="AC167" s="312"/>
      <c r="AD167" s="310"/>
      <c r="AE167" s="312"/>
      <c r="AF167" s="312"/>
      <c r="AG167" s="312"/>
      <c r="AH167" s="313">
        <f t="shared" si="6"/>
        <v>0</v>
      </c>
    </row>
    <row r="168" ht="15.6" spans="1:34">
      <c r="A168" s="310"/>
      <c r="B168" s="310" t="s">
        <v>15</v>
      </c>
      <c r="C168" s="319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0"/>
      <c r="Y168" s="312"/>
      <c r="Z168" s="312"/>
      <c r="AA168" s="310"/>
      <c r="AB168" s="312"/>
      <c r="AC168" s="312"/>
      <c r="AD168" s="310"/>
      <c r="AE168" s="312"/>
      <c r="AF168" s="312"/>
      <c r="AG168" s="312"/>
      <c r="AH168" s="313">
        <f t="shared" si="6"/>
        <v>0</v>
      </c>
    </row>
    <row r="169" ht="15.6" spans="1:34">
      <c r="A169" s="310"/>
      <c r="B169" s="310" t="s">
        <v>16</v>
      </c>
      <c r="C169" s="319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0"/>
      <c r="Y169" s="312"/>
      <c r="Z169" s="312"/>
      <c r="AA169" s="310"/>
      <c r="AB169" s="312"/>
      <c r="AC169" s="312"/>
      <c r="AD169" s="310"/>
      <c r="AE169" s="312"/>
      <c r="AF169" s="312"/>
      <c r="AG169" s="312"/>
      <c r="AH169" s="313">
        <f t="shared" si="6"/>
        <v>0</v>
      </c>
    </row>
    <row r="170" ht="15.6" spans="1:34">
      <c r="A170" s="311"/>
      <c r="B170" s="310" t="s">
        <v>12</v>
      </c>
      <c r="C170" s="319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0"/>
      <c r="Y170" s="312"/>
      <c r="Z170" s="312"/>
      <c r="AA170" s="310"/>
      <c r="AB170" s="312"/>
      <c r="AC170" s="312"/>
      <c r="AD170" s="310"/>
      <c r="AE170" s="312"/>
      <c r="AF170" s="312"/>
      <c r="AG170" s="312"/>
      <c r="AH170" s="313">
        <f t="shared" si="6"/>
        <v>0</v>
      </c>
    </row>
    <row r="171" ht="15.6" spans="1:34">
      <c r="A171" s="314"/>
      <c r="B171" s="310" t="s">
        <v>13</v>
      </c>
      <c r="C171" s="319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0"/>
      <c r="Y171" s="312"/>
      <c r="Z171" s="312"/>
      <c r="AA171" s="310"/>
      <c r="AB171" s="312"/>
      <c r="AC171" s="312"/>
      <c r="AD171" s="310"/>
      <c r="AE171" s="312"/>
      <c r="AF171" s="312"/>
      <c r="AG171" s="312"/>
      <c r="AH171" s="313">
        <f t="shared" si="6"/>
        <v>0</v>
      </c>
    </row>
    <row r="172" ht="15.6" spans="1:34">
      <c r="A172" s="314"/>
      <c r="B172" s="310" t="s">
        <v>14</v>
      </c>
      <c r="C172" s="319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0"/>
      <c r="Y172" s="312"/>
      <c r="Z172" s="312"/>
      <c r="AA172" s="310"/>
      <c r="AB172" s="312"/>
      <c r="AC172" s="312"/>
      <c r="AD172" s="310"/>
      <c r="AE172" s="312"/>
      <c r="AF172" s="312"/>
      <c r="AG172" s="312"/>
      <c r="AH172" s="313">
        <f t="shared" si="6"/>
        <v>0</v>
      </c>
    </row>
    <row r="173" ht="15.6" spans="1:34">
      <c r="A173" s="314"/>
      <c r="B173" s="310" t="s">
        <v>15</v>
      </c>
      <c r="C173" s="319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0"/>
      <c r="Y173" s="312"/>
      <c r="Z173" s="312"/>
      <c r="AA173" s="310"/>
      <c r="AB173" s="312"/>
      <c r="AC173" s="312"/>
      <c r="AD173" s="310"/>
      <c r="AE173" s="312"/>
      <c r="AF173" s="312"/>
      <c r="AG173" s="312"/>
      <c r="AH173" s="313">
        <f t="shared" si="6"/>
        <v>0</v>
      </c>
    </row>
    <row r="174" ht="15.6" spans="1:34">
      <c r="A174" s="314"/>
      <c r="B174" s="310" t="s">
        <v>16</v>
      </c>
      <c r="C174" s="319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0"/>
      <c r="Y174" s="312"/>
      <c r="Z174" s="312"/>
      <c r="AA174" s="310"/>
      <c r="AB174" s="312"/>
      <c r="AC174" s="312"/>
      <c r="AD174" s="310"/>
      <c r="AE174" s="312"/>
      <c r="AF174" s="312"/>
      <c r="AG174" s="312"/>
      <c r="AH174" s="313">
        <f t="shared" si="6"/>
        <v>0</v>
      </c>
    </row>
    <row r="175" ht="15.6" spans="1:34">
      <c r="A175" s="311"/>
      <c r="B175" s="310" t="s">
        <v>12</v>
      </c>
      <c r="C175" s="319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0"/>
      <c r="Y175" s="312"/>
      <c r="Z175" s="312"/>
      <c r="AA175" s="310"/>
      <c r="AB175" s="312"/>
      <c r="AC175" s="312"/>
      <c r="AD175" s="310"/>
      <c r="AE175" s="312"/>
      <c r="AF175" s="312"/>
      <c r="AG175" s="312"/>
      <c r="AH175" s="313">
        <f t="shared" si="6"/>
        <v>0</v>
      </c>
    </row>
    <row r="176" ht="15.6" spans="1:34">
      <c r="A176" s="314"/>
      <c r="B176" s="310" t="s">
        <v>13</v>
      </c>
      <c r="C176" s="319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0"/>
      <c r="Y176" s="312"/>
      <c r="Z176" s="312"/>
      <c r="AA176" s="310"/>
      <c r="AB176" s="312"/>
      <c r="AC176" s="312"/>
      <c r="AD176" s="310"/>
      <c r="AE176" s="312"/>
      <c r="AF176" s="312"/>
      <c r="AG176" s="312"/>
      <c r="AH176" s="313">
        <f t="shared" si="6"/>
        <v>0</v>
      </c>
    </row>
    <row r="177" ht="15.6" spans="1:35">
      <c r="A177" s="314"/>
      <c r="B177" s="310" t="s">
        <v>14</v>
      </c>
      <c r="C177" s="319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0"/>
      <c r="Y177" s="312"/>
      <c r="Z177" s="312"/>
      <c r="AA177" s="310"/>
      <c r="AB177" s="312"/>
      <c r="AC177" s="312"/>
      <c r="AD177" s="310"/>
      <c r="AE177" s="312"/>
      <c r="AF177" s="312"/>
      <c r="AG177" s="312"/>
      <c r="AH177" s="313">
        <f t="shared" si="6"/>
        <v>0</v>
      </c>
    </row>
    <row r="178" ht="15.6" spans="1:35">
      <c r="A178" s="314"/>
      <c r="B178" s="310" t="s">
        <v>15</v>
      </c>
      <c r="C178" s="319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0"/>
      <c r="Y178" s="312"/>
      <c r="Z178" s="312"/>
      <c r="AA178" s="310"/>
      <c r="AB178" s="312"/>
      <c r="AC178" s="312"/>
      <c r="AD178" s="310"/>
      <c r="AE178" s="312"/>
      <c r="AF178" s="312"/>
      <c r="AG178" s="312"/>
      <c r="AH178" s="313">
        <f t="shared" si="6"/>
        <v>0</v>
      </c>
    </row>
    <row r="179" ht="15.6" spans="1:35">
      <c r="A179" s="314"/>
      <c r="B179" s="310" t="s">
        <v>16</v>
      </c>
      <c r="C179" s="319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10"/>
      <c r="AG179" s="310"/>
      <c r="AH179" s="313">
        <f t="shared" si="6"/>
        <v>0</v>
      </c>
      <c r="AI179" s="321"/>
    </row>
    <row r="180" ht="15.6" spans="1:35">
      <c r="A180" s="315" t="s">
        <v>103</v>
      </c>
      <c r="B180" s="316"/>
      <c r="C180" s="315"/>
      <c r="D180" s="315"/>
      <c r="E180" s="315"/>
      <c r="F180" s="320"/>
      <c r="G180" s="320"/>
      <c r="H180" s="315"/>
      <c r="I180" s="315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7"/>
    </row>
    <row r="183" ht="17.4" spans="1:35">
      <c r="A183" s="306" t="s">
        <v>68</v>
      </c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307"/>
      <c r="AB183" s="307"/>
      <c r="AC183" s="307"/>
      <c r="AD183" s="307"/>
      <c r="AE183" s="307"/>
      <c r="AF183" s="307"/>
      <c r="AG183" s="307"/>
      <c r="AH183" s="307"/>
      <c r="AI183" s="307"/>
    </row>
    <row r="184" ht="15.6" spans="1:35">
      <c r="A184" s="308">
        <v>45870</v>
      </c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  <c r="AB184" s="309"/>
      <c r="AC184" s="309"/>
      <c r="AD184" s="309"/>
      <c r="AE184" s="309"/>
      <c r="AF184" s="309"/>
      <c r="AG184" s="309"/>
      <c r="AH184" s="309"/>
      <c r="AI184" s="309"/>
    </row>
    <row r="185" ht="15.6" spans="1:35">
      <c r="A185" s="310" t="s">
        <v>69</v>
      </c>
      <c r="B185" s="310" t="s">
        <v>70</v>
      </c>
      <c r="C185" s="310" t="s">
        <v>71</v>
      </c>
      <c r="D185" s="310" t="s">
        <v>72</v>
      </c>
      <c r="E185" s="310" t="s">
        <v>73</v>
      </c>
      <c r="F185" s="310" t="s">
        <v>74</v>
      </c>
      <c r="G185" s="310" t="s">
        <v>75</v>
      </c>
      <c r="H185" s="310" t="s">
        <v>76</v>
      </c>
      <c r="I185" s="310" t="s">
        <v>77</v>
      </c>
      <c r="J185" s="310" t="s">
        <v>78</v>
      </c>
      <c r="K185" s="310" t="s">
        <v>79</v>
      </c>
      <c r="L185" s="310" t="s">
        <v>80</v>
      </c>
      <c r="M185" s="310" t="s">
        <v>81</v>
      </c>
      <c r="N185" s="310" t="s">
        <v>82</v>
      </c>
      <c r="O185" s="310" t="s">
        <v>83</v>
      </c>
      <c r="P185" s="310" t="s">
        <v>84</v>
      </c>
      <c r="Q185" s="310" t="s">
        <v>85</v>
      </c>
      <c r="R185" s="310" t="s">
        <v>86</v>
      </c>
      <c r="S185" s="310" t="s">
        <v>87</v>
      </c>
      <c r="T185" s="310" t="s">
        <v>88</v>
      </c>
      <c r="U185" s="310" t="s">
        <v>89</v>
      </c>
      <c r="V185" s="310" t="s">
        <v>90</v>
      </c>
      <c r="W185" s="310" t="s">
        <v>91</v>
      </c>
      <c r="X185" s="310" t="s">
        <v>92</v>
      </c>
      <c r="Y185" s="310" t="s">
        <v>93</v>
      </c>
      <c r="Z185" s="310" t="s">
        <v>94</v>
      </c>
      <c r="AA185" s="310" t="s">
        <v>94</v>
      </c>
      <c r="AB185" s="310" t="s">
        <v>95</v>
      </c>
      <c r="AC185" s="310" t="s">
        <v>96</v>
      </c>
      <c r="AD185" s="310" t="s">
        <v>97</v>
      </c>
      <c r="AE185" s="310" t="s">
        <v>98</v>
      </c>
      <c r="AF185" s="310" t="s">
        <v>99</v>
      </c>
      <c r="AG185" s="310" t="s">
        <v>100</v>
      </c>
      <c r="AH185" s="310" t="s">
        <v>101</v>
      </c>
      <c r="AI185" s="305">
        <v>22</v>
      </c>
    </row>
    <row r="186" ht="15.6" spans="1:35">
      <c r="A186" s="311"/>
      <c r="B186" s="310" t="s">
        <v>12</v>
      </c>
      <c r="C186" s="312" t="s">
        <v>102</v>
      </c>
      <c r="D186" s="312" t="s">
        <v>102</v>
      </c>
      <c r="E186" s="312" t="s">
        <v>102</v>
      </c>
      <c r="F186" s="312"/>
      <c r="G186" s="312"/>
      <c r="H186" s="312"/>
      <c r="I186" s="312"/>
      <c r="J186" s="312" t="s">
        <v>102</v>
      </c>
      <c r="K186" s="312" t="s">
        <v>102</v>
      </c>
      <c r="L186" s="312" t="s">
        <v>102</v>
      </c>
      <c r="M186" s="312"/>
      <c r="N186" s="312"/>
      <c r="O186" s="312"/>
      <c r="P186" s="312"/>
      <c r="Q186" s="312" t="s">
        <v>102</v>
      </c>
      <c r="R186" s="312" t="s">
        <v>102</v>
      </c>
      <c r="S186" s="312" t="s">
        <v>102</v>
      </c>
      <c r="T186" s="312"/>
      <c r="U186" s="312"/>
      <c r="V186" s="312"/>
      <c r="W186" s="312"/>
      <c r="X186" s="312" t="s">
        <v>102</v>
      </c>
      <c r="Y186" s="312" t="s">
        <v>102</v>
      </c>
      <c r="Z186" s="312" t="s">
        <v>102</v>
      </c>
      <c r="AA186" s="312"/>
      <c r="AB186" s="312"/>
      <c r="AC186" s="312"/>
      <c r="AD186" s="312"/>
      <c r="AE186" s="312" t="s">
        <v>102</v>
      </c>
      <c r="AF186" s="312" t="s">
        <v>102</v>
      </c>
      <c r="AG186" s="312" t="s">
        <v>102</v>
      </c>
      <c r="AH186" s="313">
        <f t="shared" ref="AH186:AH205" si="7">COUNTIF(C186:AG186,"√")</f>
        <v>15</v>
      </c>
    </row>
    <row r="187" ht="15.6" spans="1:35">
      <c r="A187" s="314"/>
      <c r="B187" s="310" t="s">
        <v>13</v>
      </c>
      <c r="C187" s="312"/>
      <c r="D187" s="312"/>
      <c r="E187" s="312"/>
      <c r="F187" s="310"/>
      <c r="G187" s="312" t="s">
        <v>102</v>
      </c>
      <c r="H187" s="312" t="s">
        <v>102</v>
      </c>
      <c r="I187" s="312" t="s">
        <v>102</v>
      </c>
      <c r="J187" s="312"/>
      <c r="K187" s="312"/>
      <c r="L187" s="310"/>
      <c r="M187" s="310"/>
      <c r="N187" s="312" t="s">
        <v>102</v>
      </c>
      <c r="O187" s="312" t="s">
        <v>102</v>
      </c>
      <c r="P187" s="312" t="s">
        <v>102</v>
      </c>
      <c r="Q187" s="312"/>
      <c r="R187" s="312"/>
      <c r="S187" s="310"/>
      <c r="T187" s="310"/>
      <c r="U187" s="312" t="s">
        <v>102</v>
      </c>
      <c r="V187" s="312" t="s">
        <v>102</v>
      </c>
      <c r="W187" s="312" t="s">
        <v>102</v>
      </c>
      <c r="X187" s="312"/>
      <c r="Y187" s="312"/>
      <c r="Z187" s="310"/>
      <c r="AA187" s="310"/>
      <c r="AB187" s="312" t="s">
        <v>102</v>
      </c>
      <c r="AC187" s="312" t="s">
        <v>102</v>
      </c>
      <c r="AD187" s="312" t="s">
        <v>102</v>
      </c>
      <c r="AE187" s="312"/>
      <c r="AF187" s="312"/>
      <c r="AG187" s="310"/>
      <c r="AH187" s="313">
        <f t="shared" si="7"/>
        <v>12</v>
      </c>
    </row>
    <row r="188" ht="15.6" spans="1:35">
      <c r="A188" s="314"/>
      <c r="B188" s="310" t="s">
        <v>14</v>
      </c>
      <c r="C188" s="319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0"/>
      <c r="Y188" s="312"/>
      <c r="Z188" s="312"/>
      <c r="AA188" s="310"/>
      <c r="AB188" s="312"/>
      <c r="AC188" s="312"/>
      <c r="AD188" s="312"/>
      <c r="AE188" s="312"/>
      <c r="AF188" s="312"/>
      <c r="AG188" s="312"/>
      <c r="AH188" s="313">
        <f t="shared" si="7"/>
        <v>0</v>
      </c>
    </row>
    <row r="189" ht="15.6" spans="1:35">
      <c r="A189" s="314"/>
      <c r="B189" s="310" t="s">
        <v>15</v>
      </c>
      <c r="C189" s="319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0"/>
      <c r="Y189" s="312"/>
      <c r="Z189" s="312"/>
      <c r="AA189" s="310"/>
      <c r="AB189" s="312"/>
      <c r="AC189" s="312"/>
      <c r="AD189" s="312"/>
      <c r="AE189" s="312"/>
      <c r="AF189" s="312"/>
      <c r="AG189" s="312"/>
      <c r="AH189" s="313">
        <f t="shared" si="7"/>
        <v>0</v>
      </c>
    </row>
    <row r="190" ht="15.6" spans="1:35">
      <c r="A190" s="314"/>
      <c r="B190" s="310" t="s">
        <v>16</v>
      </c>
      <c r="C190" s="319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10"/>
      <c r="AG190" s="310"/>
      <c r="AH190" s="313">
        <f t="shared" si="7"/>
        <v>0</v>
      </c>
    </row>
    <row r="191" ht="15.6" spans="1:35">
      <c r="A191" s="310"/>
      <c r="B191" s="310" t="s">
        <v>12</v>
      </c>
      <c r="C191" s="312" t="s">
        <v>102</v>
      </c>
      <c r="D191" s="312" t="s">
        <v>102</v>
      </c>
      <c r="E191" s="312" t="s">
        <v>102</v>
      </c>
      <c r="F191" s="312"/>
      <c r="G191" s="312" t="s">
        <v>102</v>
      </c>
      <c r="H191" s="312" t="s">
        <v>102</v>
      </c>
      <c r="I191" s="312" t="s">
        <v>102</v>
      </c>
      <c r="J191" s="312" t="s">
        <v>102</v>
      </c>
      <c r="K191" s="312" t="s">
        <v>102</v>
      </c>
      <c r="L191" s="312" t="s">
        <v>102</v>
      </c>
      <c r="M191" s="312"/>
      <c r="N191" s="312" t="s">
        <v>102</v>
      </c>
      <c r="O191" s="312" t="s">
        <v>102</v>
      </c>
      <c r="P191" s="312" t="s">
        <v>102</v>
      </c>
      <c r="Q191" s="312" t="s">
        <v>102</v>
      </c>
      <c r="R191" s="312" t="s">
        <v>102</v>
      </c>
      <c r="S191" s="312" t="s">
        <v>102</v>
      </c>
      <c r="T191" s="312"/>
      <c r="U191" s="312" t="s">
        <v>102</v>
      </c>
      <c r="V191" s="312" t="s">
        <v>102</v>
      </c>
      <c r="W191" s="312" t="s">
        <v>102</v>
      </c>
      <c r="X191" s="312" t="s">
        <v>102</v>
      </c>
      <c r="Y191" s="312" t="s">
        <v>102</v>
      </c>
      <c r="Z191" s="312" t="s">
        <v>102</v>
      </c>
      <c r="AA191" s="312"/>
      <c r="AB191" s="312" t="s">
        <v>102</v>
      </c>
      <c r="AC191" s="312" t="s">
        <v>102</v>
      </c>
      <c r="AD191" s="312" t="s">
        <v>102</v>
      </c>
      <c r="AE191" s="312" t="s">
        <v>102</v>
      </c>
      <c r="AF191" s="312" t="s">
        <v>102</v>
      </c>
      <c r="AG191" s="312" t="s">
        <v>102</v>
      </c>
      <c r="AH191" s="313">
        <f t="shared" si="7"/>
        <v>27</v>
      </c>
    </row>
    <row r="192" ht="15.6" spans="1:35">
      <c r="A192" s="310"/>
      <c r="B192" s="310" t="s">
        <v>13</v>
      </c>
      <c r="C192" s="319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10"/>
      <c r="AG192" s="310"/>
      <c r="AH192" s="313">
        <f t="shared" si="7"/>
        <v>0</v>
      </c>
    </row>
    <row r="193" ht="15.6" spans="1:35">
      <c r="A193" s="310"/>
      <c r="B193" s="310" t="s">
        <v>14</v>
      </c>
      <c r="C193" s="319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0"/>
      <c r="Y193" s="312"/>
      <c r="Z193" s="312"/>
      <c r="AA193" s="310"/>
      <c r="AB193" s="312"/>
      <c r="AC193" s="312"/>
      <c r="AD193" s="310"/>
      <c r="AE193" s="312"/>
      <c r="AF193" s="312"/>
      <c r="AG193" s="312"/>
      <c r="AH193" s="313">
        <f t="shared" si="7"/>
        <v>0</v>
      </c>
    </row>
    <row r="194" ht="15.6" spans="1:35">
      <c r="A194" s="310"/>
      <c r="B194" s="310" t="s">
        <v>15</v>
      </c>
      <c r="C194" s="319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0"/>
      <c r="Y194" s="312"/>
      <c r="Z194" s="312"/>
      <c r="AA194" s="310"/>
      <c r="AB194" s="312"/>
      <c r="AC194" s="312"/>
      <c r="AD194" s="310"/>
      <c r="AE194" s="312"/>
      <c r="AF194" s="312"/>
      <c r="AG194" s="312"/>
      <c r="AH194" s="313">
        <f t="shared" si="7"/>
        <v>0</v>
      </c>
    </row>
    <row r="195" ht="15.6" spans="1:35">
      <c r="A195" s="310"/>
      <c r="B195" s="310" t="s">
        <v>16</v>
      </c>
      <c r="C195" s="319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0"/>
      <c r="Y195" s="312"/>
      <c r="Z195" s="312"/>
      <c r="AA195" s="310"/>
      <c r="AB195" s="312"/>
      <c r="AC195" s="312"/>
      <c r="AD195" s="310"/>
      <c r="AE195" s="312"/>
      <c r="AF195" s="312"/>
      <c r="AG195" s="312"/>
      <c r="AH195" s="313">
        <f t="shared" si="7"/>
        <v>0</v>
      </c>
    </row>
    <row r="196" ht="15.6" spans="1:35">
      <c r="A196" s="311"/>
      <c r="B196" s="310" t="s">
        <v>12</v>
      </c>
      <c r="C196" s="319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0"/>
      <c r="Y196" s="312"/>
      <c r="Z196" s="312"/>
      <c r="AA196" s="310"/>
      <c r="AB196" s="312"/>
      <c r="AC196" s="312"/>
      <c r="AD196" s="310"/>
      <c r="AE196" s="312"/>
      <c r="AF196" s="312"/>
      <c r="AG196" s="312"/>
      <c r="AH196" s="313">
        <f t="shared" si="7"/>
        <v>0</v>
      </c>
    </row>
    <row r="197" ht="15.6" spans="1:35">
      <c r="A197" s="314"/>
      <c r="B197" s="310" t="s">
        <v>13</v>
      </c>
      <c r="C197" s="319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0"/>
      <c r="Y197" s="312"/>
      <c r="Z197" s="312"/>
      <c r="AA197" s="310"/>
      <c r="AB197" s="312"/>
      <c r="AC197" s="312"/>
      <c r="AD197" s="310"/>
      <c r="AE197" s="312"/>
      <c r="AF197" s="312"/>
      <c r="AG197" s="312"/>
      <c r="AH197" s="313">
        <f t="shared" si="7"/>
        <v>0</v>
      </c>
    </row>
    <row r="198" ht="15.6" spans="1:35">
      <c r="A198" s="314"/>
      <c r="B198" s="310" t="s">
        <v>14</v>
      </c>
      <c r="C198" s="319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0"/>
      <c r="Y198" s="312"/>
      <c r="Z198" s="312"/>
      <c r="AA198" s="310"/>
      <c r="AB198" s="312"/>
      <c r="AC198" s="312"/>
      <c r="AD198" s="310"/>
      <c r="AE198" s="312"/>
      <c r="AF198" s="312"/>
      <c r="AG198" s="312"/>
      <c r="AH198" s="313">
        <f t="shared" si="7"/>
        <v>0</v>
      </c>
    </row>
    <row r="199" ht="15.6" spans="1:35">
      <c r="A199" s="314"/>
      <c r="B199" s="310" t="s">
        <v>15</v>
      </c>
      <c r="C199" s="319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0"/>
      <c r="Y199" s="312"/>
      <c r="Z199" s="312"/>
      <c r="AA199" s="310"/>
      <c r="AB199" s="312"/>
      <c r="AC199" s="312"/>
      <c r="AD199" s="310"/>
      <c r="AE199" s="312"/>
      <c r="AF199" s="312"/>
      <c r="AG199" s="312"/>
      <c r="AH199" s="313">
        <f t="shared" si="7"/>
        <v>0</v>
      </c>
    </row>
    <row r="200" ht="15.6" spans="1:35">
      <c r="A200" s="314"/>
      <c r="B200" s="310" t="s">
        <v>16</v>
      </c>
      <c r="C200" s="319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0"/>
      <c r="Y200" s="312"/>
      <c r="Z200" s="312"/>
      <c r="AA200" s="310"/>
      <c r="AB200" s="312"/>
      <c r="AC200" s="312"/>
      <c r="AD200" s="310"/>
      <c r="AE200" s="312"/>
      <c r="AF200" s="312"/>
      <c r="AG200" s="312"/>
      <c r="AH200" s="313">
        <f t="shared" si="7"/>
        <v>0</v>
      </c>
    </row>
    <row r="201" ht="15.6" spans="1:35">
      <c r="A201" s="311"/>
      <c r="B201" s="310" t="s">
        <v>12</v>
      </c>
      <c r="C201" s="319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0"/>
      <c r="Y201" s="312"/>
      <c r="Z201" s="312"/>
      <c r="AA201" s="310"/>
      <c r="AB201" s="312"/>
      <c r="AC201" s="312"/>
      <c r="AD201" s="310"/>
      <c r="AE201" s="312"/>
      <c r="AF201" s="312"/>
      <c r="AG201" s="312"/>
      <c r="AH201" s="313">
        <f t="shared" si="7"/>
        <v>0</v>
      </c>
    </row>
    <row r="202" ht="15.6" spans="1:35">
      <c r="A202" s="314"/>
      <c r="B202" s="310" t="s">
        <v>13</v>
      </c>
      <c r="C202" s="319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0"/>
      <c r="Y202" s="312"/>
      <c r="Z202" s="312"/>
      <c r="AA202" s="310"/>
      <c r="AB202" s="312"/>
      <c r="AC202" s="312"/>
      <c r="AD202" s="310"/>
      <c r="AE202" s="312"/>
      <c r="AF202" s="312"/>
      <c r="AG202" s="312"/>
      <c r="AH202" s="313">
        <f t="shared" si="7"/>
        <v>0</v>
      </c>
    </row>
    <row r="203" ht="15.6" spans="1:35">
      <c r="A203" s="314"/>
      <c r="B203" s="310" t="s">
        <v>14</v>
      </c>
      <c r="C203" s="319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0"/>
      <c r="Y203" s="312"/>
      <c r="Z203" s="312"/>
      <c r="AA203" s="310"/>
      <c r="AB203" s="312"/>
      <c r="AC203" s="312"/>
      <c r="AD203" s="310"/>
      <c r="AE203" s="312"/>
      <c r="AF203" s="312"/>
      <c r="AG203" s="312"/>
      <c r="AH203" s="313">
        <f t="shared" si="7"/>
        <v>0</v>
      </c>
    </row>
    <row r="204" ht="15.6" spans="1:35">
      <c r="A204" s="314"/>
      <c r="B204" s="310" t="s">
        <v>15</v>
      </c>
      <c r="C204" s="319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0"/>
      <c r="Y204" s="312"/>
      <c r="Z204" s="312"/>
      <c r="AA204" s="310"/>
      <c r="AB204" s="312"/>
      <c r="AC204" s="312"/>
      <c r="AD204" s="310"/>
      <c r="AE204" s="312"/>
      <c r="AF204" s="312"/>
      <c r="AG204" s="312"/>
      <c r="AH204" s="313">
        <f t="shared" si="7"/>
        <v>0</v>
      </c>
    </row>
    <row r="205" ht="15.6" spans="1:35">
      <c r="A205" s="314"/>
      <c r="B205" s="310" t="s">
        <v>16</v>
      </c>
      <c r="C205" s="319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10"/>
      <c r="AG205" s="310"/>
      <c r="AH205" s="313">
        <f t="shared" si="7"/>
        <v>0</v>
      </c>
      <c r="AI205" s="321"/>
    </row>
    <row r="206" ht="15.6" spans="1:35">
      <c r="A206" s="315" t="s">
        <v>103</v>
      </c>
      <c r="B206" s="316"/>
      <c r="C206" s="315"/>
      <c r="D206" s="315"/>
      <c r="E206" s="315"/>
      <c r="F206" s="320"/>
      <c r="G206" s="320"/>
      <c r="H206" s="315"/>
      <c r="I206" s="315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  <c r="AA206" s="315"/>
      <c r="AB206" s="315"/>
      <c r="AC206" s="315"/>
      <c r="AD206" s="315"/>
      <c r="AE206" s="315"/>
      <c r="AF206" s="315"/>
      <c r="AG206" s="315"/>
      <c r="AH206" s="315"/>
      <c r="AI206" s="317"/>
    </row>
    <row r="209" ht="17.4" spans="1:35">
      <c r="A209" s="306" t="s">
        <v>68</v>
      </c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307"/>
      <c r="AC209" s="307"/>
      <c r="AD209" s="307"/>
      <c r="AE209" s="307"/>
      <c r="AF209" s="307"/>
      <c r="AG209" s="307"/>
      <c r="AH209" s="307"/>
    </row>
    <row r="210" ht="15.6" spans="1:35">
      <c r="A210" s="308">
        <v>45901</v>
      </c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309"/>
      <c r="AB210" s="309"/>
      <c r="AC210" s="309"/>
      <c r="AD210" s="309"/>
      <c r="AE210" s="309"/>
      <c r="AF210" s="309"/>
      <c r="AG210" s="309"/>
      <c r="AH210" s="309"/>
    </row>
    <row r="211" ht="15.6" spans="1:35">
      <c r="A211" s="310" t="s">
        <v>69</v>
      </c>
      <c r="B211" s="310" t="s">
        <v>70</v>
      </c>
      <c r="C211" s="310" t="s">
        <v>71</v>
      </c>
      <c r="D211" s="310" t="s">
        <v>72</v>
      </c>
      <c r="E211" s="310" t="s">
        <v>73</v>
      </c>
      <c r="F211" s="310" t="s">
        <v>74</v>
      </c>
      <c r="G211" s="310" t="s">
        <v>75</v>
      </c>
      <c r="H211" s="310" t="s">
        <v>76</v>
      </c>
      <c r="I211" s="310" t="s">
        <v>77</v>
      </c>
      <c r="J211" s="310" t="s">
        <v>78</v>
      </c>
      <c r="K211" s="310" t="s">
        <v>79</v>
      </c>
      <c r="L211" s="310" t="s">
        <v>80</v>
      </c>
      <c r="M211" s="310" t="s">
        <v>81</v>
      </c>
      <c r="N211" s="310" t="s">
        <v>82</v>
      </c>
      <c r="O211" s="310" t="s">
        <v>83</v>
      </c>
      <c r="P211" s="310" t="s">
        <v>84</v>
      </c>
      <c r="Q211" s="310" t="s">
        <v>85</v>
      </c>
      <c r="R211" s="310" t="s">
        <v>86</v>
      </c>
      <c r="S211" s="310" t="s">
        <v>87</v>
      </c>
      <c r="T211" s="310" t="s">
        <v>88</v>
      </c>
      <c r="U211" s="310" t="s">
        <v>89</v>
      </c>
      <c r="V211" s="310" t="s">
        <v>90</v>
      </c>
      <c r="W211" s="310" t="s">
        <v>91</v>
      </c>
      <c r="X211" s="310" t="s">
        <v>92</v>
      </c>
      <c r="Y211" s="310" t="s">
        <v>93</v>
      </c>
      <c r="Z211" s="310" t="s">
        <v>94</v>
      </c>
      <c r="AA211" s="310" t="s">
        <v>94</v>
      </c>
      <c r="AB211" s="310" t="s">
        <v>95</v>
      </c>
      <c r="AC211" s="310" t="s">
        <v>96</v>
      </c>
      <c r="AD211" s="310" t="s">
        <v>97</v>
      </c>
      <c r="AE211" s="310" t="s">
        <v>98</v>
      </c>
      <c r="AF211" s="310" t="s">
        <v>99</v>
      </c>
      <c r="AG211" s="310" t="s">
        <v>101</v>
      </c>
      <c r="AI211" s="305">
        <v>21</v>
      </c>
    </row>
    <row r="212" ht="15.6" spans="1:35">
      <c r="A212" s="311"/>
      <c r="B212" s="310" t="s">
        <v>12</v>
      </c>
      <c r="C212" s="310"/>
      <c r="D212" s="312" t="s">
        <v>102</v>
      </c>
      <c r="E212" s="312" t="s">
        <v>102</v>
      </c>
      <c r="F212" s="312" t="s">
        <v>102</v>
      </c>
      <c r="G212" s="312"/>
      <c r="H212" s="312"/>
      <c r="I212" s="312"/>
      <c r="J212" s="312"/>
      <c r="K212" s="312" t="s">
        <v>102</v>
      </c>
      <c r="L212" s="312" t="s">
        <v>102</v>
      </c>
      <c r="M212" s="312" t="s">
        <v>102</v>
      </c>
      <c r="N212" s="312"/>
      <c r="O212" s="312"/>
      <c r="P212" s="312"/>
      <c r="Q212" s="312"/>
      <c r="R212" s="312" t="s">
        <v>102</v>
      </c>
      <c r="S212" s="312" t="s">
        <v>102</v>
      </c>
      <c r="T212" s="312" t="s">
        <v>102</v>
      </c>
      <c r="U212" s="312"/>
      <c r="V212" s="312"/>
      <c r="W212" s="312"/>
      <c r="X212" s="310"/>
      <c r="Y212" s="312" t="s">
        <v>102</v>
      </c>
      <c r="Z212" s="312" t="s">
        <v>102</v>
      </c>
      <c r="AA212" s="312"/>
      <c r="AB212" s="312"/>
      <c r="AC212" s="312" t="s">
        <v>102</v>
      </c>
      <c r="AD212" s="312" t="s">
        <v>102</v>
      </c>
      <c r="AE212" s="312"/>
      <c r="AF212" s="312"/>
      <c r="AG212" s="313">
        <f t="shared" ref="AG212:AG231" si="8">COUNTIF(C212:AF212,"√")</f>
        <v>13</v>
      </c>
    </row>
    <row r="213" ht="15.6" spans="1:35">
      <c r="A213" s="314"/>
      <c r="B213" s="310" t="s">
        <v>13</v>
      </c>
      <c r="C213" s="312"/>
      <c r="D213" s="312"/>
      <c r="E213" s="310"/>
      <c r="F213" s="310"/>
      <c r="G213" s="312" t="s">
        <v>102</v>
      </c>
      <c r="H213" s="312" t="s">
        <v>102</v>
      </c>
      <c r="I213" s="312" t="s">
        <v>102</v>
      </c>
      <c r="J213" s="312"/>
      <c r="K213" s="312"/>
      <c r="L213" s="310"/>
      <c r="M213" s="310"/>
      <c r="N213" s="312" t="s">
        <v>102</v>
      </c>
      <c r="O213" s="312" t="s">
        <v>102</v>
      </c>
      <c r="P213" s="312" t="s">
        <v>102</v>
      </c>
      <c r="Q213" s="312"/>
      <c r="R213" s="312"/>
      <c r="S213" s="310"/>
      <c r="T213" s="310"/>
      <c r="U213" s="312" t="s">
        <v>102</v>
      </c>
      <c r="V213" s="312" t="s">
        <v>102</v>
      </c>
      <c r="W213" s="312" t="s">
        <v>102</v>
      </c>
      <c r="X213" s="312"/>
      <c r="Y213" s="312"/>
      <c r="Z213" s="310"/>
      <c r="AA213" s="312" t="s">
        <v>102</v>
      </c>
      <c r="AB213" s="312" t="s">
        <v>102</v>
      </c>
      <c r="AC213" s="312"/>
      <c r="AD213" s="312"/>
      <c r="AE213" s="312" t="s">
        <v>102</v>
      </c>
      <c r="AF213" s="312" t="s">
        <v>102</v>
      </c>
      <c r="AG213" s="313">
        <f t="shared" si="8"/>
        <v>13</v>
      </c>
    </row>
    <row r="214" ht="15.6" spans="1:35">
      <c r="A214" s="314"/>
      <c r="B214" s="310" t="s">
        <v>14</v>
      </c>
      <c r="C214" s="319"/>
      <c r="D214" s="312"/>
      <c r="E214" s="312"/>
      <c r="F214" s="312"/>
      <c r="G214" s="312"/>
      <c r="H214" s="312"/>
      <c r="I214" s="312"/>
      <c r="J214" s="312"/>
      <c r="K214" s="312"/>
      <c r="L214" s="312"/>
      <c r="M214" s="312"/>
      <c r="N214" s="312"/>
      <c r="O214" s="312"/>
      <c r="P214" s="312"/>
      <c r="Q214" s="312"/>
      <c r="R214" s="312"/>
      <c r="S214" s="312"/>
      <c r="T214" s="312"/>
      <c r="U214" s="312"/>
      <c r="V214" s="312"/>
      <c r="W214" s="312"/>
      <c r="X214" s="310"/>
      <c r="Y214" s="312"/>
      <c r="Z214" s="312"/>
      <c r="AA214" s="310"/>
      <c r="AB214" s="312"/>
      <c r="AC214" s="312"/>
      <c r="AD214" s="312"/>
      <c r="AE214" s="312"/>
      <c r="AF214" s="312"/>
      <c r="AG214" s="313">
        <f t="shared" si="8"/>
        <v>0</v>
      </c>
    </row>
    <row r="215" ht="15.6" spans="1:35">
      <c r="A215" s="314"/>
      <c r="B215" s="310" t="s">
        <v>15</v>
      </c>
      <c r="C215" s="319"/>
      <c r="D215" s="312"/>
      <c r="E215" s="312"/>
      <c r="F215" s="312"/>
      <c r="G215" s="312"/>
      <c r="H215" s="312"/>
      <c r="I215" s="312"/>
      <c r="J215" s="312"/>
      <c r="K215" s="312"/>
      <c r="L215" s="312"/>
      <c r="M215" s="312"/>
      <c r="N215" s="312"/>
      <c r="O215" s="312"/>
      <c r="P215" s="312"/>
      <c r="Q215" s="312"/>
      <c r="R215" s="312"/>
      <c r="S215" s="312"/>
      <c r="T215" s="312"/>
      <c r="U215" s="312"/>
      <c r="V215" s="312"/>
      <c r="W215" s="312"/>
      <c r="X215" s="310"/>
      <c r="Y215" s="312"/>
      <c r="Z215" s="312"/>
      <c r="AA215" s="310"/>
      <c r="AB215" s="312"/>
      <c r="AC215" s="312"/>
      <c r="AD215" s="312"/>
      <c r="AE215" s="312"/>
      <c r="AF215" s="312"/>
      <c r="AG215" s="313">
        <f t="shared" si="8"/>
        <v>0</v>
      </c>
    </row>
    <row r="216" ht="15.6" spans="1:35">
      <c r="A216" s="314"/>
      <c r="B216" s="310" t="s">
        <v>16</v>
      </c>
      <c r="C216" s="319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10"/>
      <c r="AG216" s="313">
        <f t="shared" si="8"/>
        <v>0</v>
      </c>
    </row>
    <row r="217" ht="15.6" spans="1:35">
      <c r="A217" s="310"/>
      <c r="B217" s="310" t="s">
        <v>12</v>
      </c>
      <c r="C217" s="312"/>
      <c r="D217" s="312" t="s">
        <v>102</v>
      </c>
      <c r="E217" s="312" t="s">
        <v>102</v>
      </c>
      <c r="F217" s="312" t="s">
        <v>102</v>
      </c>
      <c r="G217" s="312" t="s">
        <v>102</v>
      </c>
      <c r="H217" s="312" t="s">
        <v>102</v>
      </c>
      <c r="I217" s="312" t="s">
        <v>102</v>
      </c>
      <c r="J217" s="312"/>
      <c r="K217" s="312" t="s">
        <v>102</v>
      </c>
      <c r="L217" s="312" t="s">
        <v>102</v>
      </c>
      <c r="M217" s="312" t="s">
        <v>102</v>
      </c>
      <c r="N217" s="312" t="s">
        <v>102</v>
      </c>
      <c r="O217" s="312" t="s">
        <v>102</v>
      </c>
      <c r="P217" s="312" t="s">
        <v>102</v>
      </c>
      <c r="Q217" s="312"/>
      <c r="R217" s="312" t="s">
        <v>102</v>
      </c>
      <c r="S217" s="312" t="s">
        <v>102</v>
      </c>
      <c r="T217" s="312" t="s">
        <v>102</v>
      </c>
      <c r="U217" s="312" t="s">
        <v>102</v>
      </c>
      <c r="V217" s="312" t="s">
        <v>102</v>
      </c>
      <c r="W217" s="312" t="s">
        <v>102</v>
      </c>
      <c r="X217" s="312"/>
      <c r="Y217" s="312" t="s">
        <v>102</v>
      </c>
      <c r="Z217" s="312" t="s">
        <v>102</v>
      </c>
      <c r="AA217" s="312" t="s">
        <v>102</v>
      </c>
      <c r="AB217" s="312" t="s">
        <v>102</v>
      </c>
      <c r="AC217" s="312" t="s">
        <v>102</v>
      </c>
      <c r="AD217" s="312" t="s">
        <v>102</v>
      </c>
      <c r="AE217" s="312" t="s">
        <v>102</v>
      </c>
      <c r="AF217" s="312" t="s">
        <v>102</v>
      </c>
      <c r="AG217" s="313">
        <f t="shared" si="8"/>
        <v>26</v>
      </c>
    </row>
    <row r="218" ht="15.6" spans="1:35">
      <c r="A218" s="310"/>
      <c r="B218" s="310" t="s">
        <v>13</v>
      </c>
      <c r="C218" s="319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10"/>
      <c r="AG218" s="313">
        <f t="shared" si="8"/>
        <v>0</v>
      </c>
    </row>
    <row r="219" ht="15.6" spans="1:35">
      <c r="A219" s="310"/>
      <c r="B219" s="310" t="s">
        <v>14</v>
      </c>
      <c r="C219" s="319"/>
      <c r="D219" s="312"/>
      <c r="E219" s="312"/>
      <c r="F219" s="312"/>
      <c r="G219" s="312"/>
      <c r="H219" s="312"/>
      <c r="I219" s="312"/>
      <c r="J219" s="312"/>
      <c r="K219" s="312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0"/>
      <c r="Y219" s="312"/>
      <c r="Z219" s="312"/>
      <c r="AA219" s="310"/>
      <c r="AB219" s="312"/>
      <c r="AC219" s="312"/>
      <c r="AD219" s="310"/>
      <c r="AE219" s="312"/>
      <c r="AF219" s="312"/>
      <c r="AG219" s="313">
        <f t="shared" si="8"/>
        <v>0</v>
      </c>
    </row>
    <row r="220" ht="15.6" spans="1:35">
      <c r="A220" s="310"/>
      <c r="B220" s="310" t="s">
        <v>15</v>
      </c>
      <c r="C220" s="319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0"/>
      <c r="Y220" s="312"/>
      <c r="Z220" s="312"/>
      <c r="AA220" s="310"/>
      <c r="AB220" s="312"/>
      <c r="AC220" s="312"/>
      <c r="AD220" s="310"/>
      <c r="AE220" s="312"/>
      <c r="AF220" s="312"/>
      <c r="AG220" s="313">
        <f t="shared" si="8"/>
        <v>0</v>
      </c>
    </row>
    <row r="221" ht="15.6" spans="1:35">
      <c r="A221" s="310"/>
      <c r="B221" s="310" t="s">
        <v>16</v>
      </c>
      <c r="C221" s="319"/>
      <c r="D221" s="312"/>
      <c r="E221" s="312"/>
      <c r="F221" s="312"/>
      <c r="G221" s="312"/>
      <c r="H221" s="312"/>
      <c r="I221" s="312"/>
      <c r="J221" s="312"/>
      <c r="K221" s="312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0"/>
      <c r="Y221" s="312"/>
      <c r="Z221" s="312"/>
      <c r="AA221" s="310"/>
      <c r="AB221" s="312"/>
      <c r="AC221" s="312"/>
      <c r="AD221" s="310"/>
      <c r="AE221" s="312"/>
      <c r="AF221" s="312"/>
      <c r="AG221" s="313">
        <f t="shared" si="8"/>
        <v>0</v>
      </c>
    </row>
    <row r="222" ht="15.6" spans="1:35">
      <c r="A222" s="311"/>
      <c r="B222" s="310" t="s">
        <v>12</v>
      </c>
      <c r="C222" s="319"/>
      <c r="D222" s="312"/>
      <c r="E222" s="312"/>
      <c r="F222" s="312"/>
      <c r="G222" s="312"/>
      <c r="H222" s="312"/>
      <c r="I222" s="312"/>
      <c r="J222" s="312"/>
      <c r="K222" s="312"/>
      <c r="L222" s="312"/>
      <c r="M222" s="312"/>
      <c r="N222" s="312"/>
      <c r="O222" s="312"/>
      <c r="P222" s="312"/>
      <c r="Q222" s="312"/>
      <c r="R222" s="312"/>
      <c r="S222" s="312"/>
      <c r="T222" s="312"/>
      <c r="U222" s="312"/>
      <c r="V222" s="312"/>
      <c r="W222" s="312"/>
      <c r="X222" s="310"/>
      <c r="Y222" s="312"/>
      <c r="Z222" s="312"/>
      <c r="AA222" s="310"/>
      <c r="AB222" s="312"/>
      <c r="AC222" s="312"/>
      <c r="AD222" s="310"/>
      <c r="AE222" s="312"/>
      <c r="AF222" s="312"/>
      <c r="AG222" s="313">
        <f t="shared" si="8"/>
        <v>0</v>
      </c>
    </row>
    <row r="223" ht="15.6" spans="1:35">
      <c r="A223" s="314"/>
      <c r="B223" s="310" t="s">
        <v>13</v>
      </c>
      <c r="C223" s="319"/>
      <c r="D223" s="312"/>
      <c r="E223" s="312"/>
      <c r="F223" s="312"/>
      <c r="G223" s="312"/>
      <c r="H223" s="312"/>
      <c r="I223" s="312"/>
      <c r="J223" s="312"/>
      <c r="K223" s="312"/>
      <c r="L223" s="312"/>
      <c r="M223" s="312"/>
      <c r="N223" s="312"/>
      <c r="O223" s="312"/>
      <c r="P223" s="312"/>
      <c r="Q223" s="312"/>
      <c r="R223" s="312"/>
      <c r="S223" s="312"/>
      <c r="T223" s="312"/>
      <c r="U223" s="312"/>
      <c r="V223" s="312"/>
      <c r="W223" s="312"/>
      <c r="X223" s="310"/>
      <c r="Y223" s="312"/>
      <c r="Z223" s="312"/>
      <c r="AA223" s="310"/>
      <c r="AB223" s="312"/>
      <c r="AC223" s="312"/>
      <c r="AD223" s="310"/>
      <c r="AE223" s="312"/>
      <c r="AF223" s="312"/>
      <c r="AG223" s="313">
        <f t="shared" si="8"/>
        <v>0</v>
      </c>
    </row>
    <row r="224" ht="15.6" spans="1:35">
      <c r="A224" s="314"/>
      <c r="B224" s="310" t="s">
        <v>14</v>
      </c>
      <c r="C224" s="319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0"/>
      <c r="Y224" s="312"/>
      <c r="Z224" s="312"/>
      <c r="AA224" s="310"/>
      <c r="AB224" s="312"/>
      <c r="AC224" s="312"/>
      <c r="AD224" s="310"/>
      <c r="AE224" s="312"/>
      <c r="AF224" s="312"/>
      <c r="AG224" s="313">
        <f>COUNTIF(C225:AF225,"√")</f>
        <v>0</v>
      </c>
    </row>
    <row r="225" ht="15.6" spans="1:35">
      <c r="A225" s="314"/>
      <c r="B225" s="310" t="s">
        <v>15</v>
      </c>
      <c r="C225" s="319"/>
      <c r="D225" s="312"/>
      <c r="E225" s="312"/>
      <c r="F225" s="312"/>
      <c r="G225" s="312"/>
      <c r="H225" s="312"/>
      <c r="I225" s="312"/>
      <c r="J225" s="312"/>
      <c r="K225" s="312"/>
      <c r="L225" s="312"/>
      <c r="M225" s="312"/>
      <c r="N225" s="312"/>
      <c r="O225" s="312"/>
      <c r="P225" s="312"/>
      <c r="Q225" s="312"/>
      <c r="R225" s="312"/>
      <c r="S225" s="312"/>
      <c r="T225" s="312"/>
      <c r="U225" s="312"/>
      <c r="V225" s="312"/>
      <c r="W225" s="312"/>
      <c r="X225" s="310"/>
      <c r="Y225" s="312"/>
      <c r="Z225" s="312"/>
      <c r="AA225" s="310"/>
      <c r="AB225" s="312"/>
      <c r="AC225" s="312"/>
      <c r="AD225" s="310"/>
      <c r="AE225" s="312"/>
      <c r="AF225" s="312"/>
      <c r="AG225" s="313">
        <f t="shared" si="8"/>
        <v>0</v>
      </c>
    </row>
    <row r="226" ht="15.6" spans="1:35">
      <c r="A226" s="314"/>
      <c r="B226" s="310" t="s">
        <v>16</v>
      </c>
      <c r="C226" s="319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0"/>
      <c r="Y226" s="312"/>
      <c r="Z226" s="312"/>
      <c r="AA226" s="310"/>
      <c r="AB226" s="312"/>
      <c r="AC226" s="312"/>
      <c r="AD226" s="310"/>
      <c r="AE226" s="312"/>
      <c r="AF226" s="312"/>
      <c r="AG226" s="313">
        <f t="shared" si="8"/>
        <v>0</v>
      </c>
    </row>
    <row r="227" ht="15.6" spans="1:35">
      <c r="A227" s="311"/>
      <c r="B227" s="310" t="s">
        <v>12</v>
      </c>
      <c r="C227" s="319"/>
      <c r="D227" s="312"/>
      <c r="E227" s="312"/>
      <c r="F227" s="312"/>
      <c r="G227" s="312"/>
      <c r="H227" s="312"/>
      <c r="I227" s="312"/>
      <c r="J227" s="312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2"/>
      <c r="X227" s="310"/>
      <c r="Y227" s="312"/>
      <c r="Z227" s="312"/>
      <c r="AA227" s="310"/>
      <c r="AB227" s="312"/>
      <c r="AC227" s="312"/>
      <c r="AD227" s="310"/>
      <c r="AE227" s="312"/>
      <c r="AF227" s="312"/>
      <c r="AG227" s="313">
        <f t="shared" si="8"/>
        <v>0</v>
      </c>
    </row>
    <row r="228" ht="15.6" spans="1:35">
      <c r="A228" s="314"/>
      <c r="B228" s="310" t="s">
        <v>13</v>
      </c>
      <c r="C228" s="319"/>
      <c r="D228" s="312"/>
      <c r="E228" s="312"/>
      <c r="F228" s="312"/>
      <c r="G228" s="312"/>
      <c r="H228" s="312"/>
      <c r="I228" s="312"/>
      <c r="J228" s="312"/>
      <c r="K228" s="312"/>
      <c r="L228" s="312"/>
      <c r="M228" s="312"/>
      <c r="N228" s="312"/>
      <c r="O228" s="312"/>
      <c r="P228" s="312"/>
      <c r="Q228" s="312"/>
      <c r="R228" s="312"/>
      <c r="S228" s="312"/>
      <c r="T228" s="312"/>
      <c r="U228" s="312"/>
      <c r="V228" s="312"/>
      <c r="W228" s="312"/>
      <c r="X228" s="310"/>
      <c r="Y228" s="312"/>
      <c r="Z228" s="312"/>
      <c r="AA228" s="310"/>
      <c r="AB228" s="312"/>
      <c r="AC228" s="312"/>
      <c r="AD228" s="310"/>
      <c r="AE228" s="312"/>
      <c r="AF228" s="312"/>
      <c r="AG228" s="313">
        <f t="shared" si="8"/>
        <v>0</v>
      </c>
    </row>
    <row r="229" ht="15.6" spans="1:35">
      <c r="A229" s="314"/>
      <c r="B229" s="310" t="s">
        <v>14</v>
      </c>
      <c r="C229" s="319"/>
      <c r="D229" s="312"/>
      <c r="E229" s="312"/>
      <c r="F229" s="312"/>
      <c r="G229" s="312"/>
      <c r="H229" s="312"/>
      <c r="I229" s="312"/>
      <c r="J229" s="312"/>
      <c r="K229" s="312"/>
      <c r="L229" s="312"/>
      <c r="M229" s="312"/>
      <c r="N229" s="312"/>
      <c r="O229" s="312"/>
      <c r="P229" s="312"/>
      <c r="Q229" s="312"/>
      <c r="R229" s="312"/>
      <c r="S229" s="312"/>
      <c r="T229" s="312"/>
      <c r="U229" s="312"/>
      <c r="V229" s="312"/>
      <c r="W229" s="312"/>
      <c r="X229" s="310"/>
      <c r="Y229" s="312"/>
      <c r="Z229" s="312"/>
      <c r="AA229" s="310"/>
      <c r="AB229" s="312"/>
      <c r="AC229" s="312"/>
      <c r="AD229" s="310"/>
      <c r="AE229" s="312"/>
      <c r="AF229" s="312"/>
      <c r="AG229" s="313">
        <f t="shared" si="8"/>
        <v>0</v>
      </c>
    </row>
    <row r="230" ht="15.6" spans="1:35">
      <c r="A230" s="314"/>
      <c r="B230" s="310" t="s">
        <v>15</v>
      </c>
      <c r="C230" s="319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0"/>
      <c r="Y230" s="312"/>
      <c r="Z230" s="312"/>
      <c r="AA230" s="310"/>
      <c r="AB230" s="312"/>
      <c r="AC230" s="312"/>
      <c r="AD230" s="310"/>
      <c r="AE230" s="312"/>
      <c r="AF230" s="312"/>
      <c r="AG230" s="313">
        <f t="shared" si="8"/>
        <v>0</v>
      </c>
    </row>
    <row r="231" ht="15.6" spans="1:35">
      <c r="A231" s="314"/>
      <c r="B231" s="310" t="s">
        <v>16</v>
      </c>
      <c r="C231" s="319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10"/>
      <c r="AG231" s="313">
        <f t="shared" si="8"/>
        <v>0</v>
      </c>
      <c r="AH231" s="321"/>
    </row>
    <row r="232" ht="15.6" spans="1:35">
      <c r="A232" s="315" t="s">
        <v>103</v>
      </c>
      <c r="B232" s="316"/>
      <c r="C232" s="315"/>
      <c r="D232" s="315"/>
      <c r="E232" s="315"/>
      <c r="F232" s="320"/>
      <c r="G232" s="320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5"/>
      <c r="AE232" s="315"/>
      <c r="AF232" s="315"/>
      <c r="AG232" s="315"/>
      <c r="AH232" s="317"/>
    </row>
    <row r="235" ht="17.4" spans="1:35">
      <c r="A235" s="306" t="s">
        <v>68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307"/>
      <c r="AB235" s="307"/>
      <c r="AC235" s="307"/>
      <c r="AD235" s="307"/>
      <c r="AE235" s="307"/>
      <c r="AF235" s="307"/>
      <c r="AG235" s="307"/>
      <c r="AH235" s="307"/>
      <c r="AI235" s="307"/>
    </row>
    <row r="236" ht="15.6" spans="1:35">
      <c r="A236" s="308">
        <v>45931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309"/>
      <c r="AB236" s="309"/>
      <c r="AC236" s="309"/>
      <c r="AD236" s="309"/>
      <c r="AE236" s="309"/>
      <c r="AF236" s="309"/>
      <c r="AG236" s="309"/>
      <c r="AH236" s="309"/>
      <c r="AI236" s="309"/>
    </row>
    <row r="237" ht="15.6" spans="1:35">
      <c r="A237" s="310" t="s">
        <v>69</v>
      </c>
      <c r="B237" s="310" t="s">
        <v>70</v>
      </c>
      <c r="C237" s="310" t="s">
        <v>71</v>
      </c>
      <c r="D237" s="310" t="s">
        <v>72</v>
      </c>
      <c r="E237" s="310" t="s">
        <v>73</v>
      </c>
      <c r="F237" s="310" t="s">
        <v>74</v>
      </c>
      <c r="G237" s="310" t="s">
        <v>75</v>
      </c>
      <c r="H237" s="310" t="s">
        <v>76</v>
      </c>
      <c r="I237" s="310" t="s">
        <v>77</v>
      </c>
      <c r="J237" s="310" t="s">
        <v>78</v>
      </c>
      <c r="K237" s="310" t="s">
        <v>79</v>
      </c>
      <c r="L237" s="310" t="s">
        <v>80</v>
      </c>
      <c r="M237" s="310" t="s">
        <v>81</v>
      </c>
      <c r="N237" s="310" t="s">
        <v>82</v>
      </c>
      <c r="O237" s="310" t="s">
        <v>83</v>
      </c>
      <c r="P237" s="310" t="s">
        <v>84</v>
      </c>
      <c r="Q237" s="310" t="s">
        <v>85</v>
      </c>
      <c r="R237" s="310" t="s">
        <v>86</v>
      </c>
      <c r="S237" s="310" t="s">
        <v>87</v>
      </c>
      <c r="T237" s="310" t="s">
        <v>88</v>
      </c>
      <c r="U237" s="310" t="s">
        <v>89</v>
      </c>
      <c r="V237" s="310" t="s">
        <v>90</v>
      </c>
      <c r="W237" s="310" t="s">
        <v>91</v>
      </c>
      <c r="X237" s="310" t="s">
        <v>92</v>
      </c>
      <c r="Y237" s="310" t="s">
        <v>93</v>
      </c>
      <c r="Z237" s="310" t="s">
        <v>94</v>
      </c>
      <c r="AA237" s="310" t="s">
        <v>94</v>
      </c>
      <c r="AB237" s="310" t="s">
        <v>95</v>
      </c>
      <c r="AC237" s="310" t="s">
        <v>96</v>
      </c>
      <c r="AD237" s="310" t="s">
        <v>97</v>
      </c>
      <c r="AE237" s="310" t="s">
        <v>98</v>
      </c>
      <c r="AF237" s="310" t="s">
        <v>99</v>
      </c>
      <c r="AG237" s="310" t="s">
        <v>100</v>
      </c>
      <c r="AH237" s="310" t="s">
        <v>101</v>
      </c>
      <c r="AI237" s="305">
        <v>19</v>
      </c>
    </row>
    <row r="238" ht="15.6" spans="1:35">
      <c r="A238" s="311"/>
      <c r="B238" s="310" t="s">
        <v>12</v>
      </c>
      <c r="C238" s="310"/>
      <c r="D238" s="312"/>
      <c r="E238" s="312"/>
      <c r="F238" s="312"/>
      <c r="G238" s="312"/>
      <c r="H238" s="312"/>
      <c r="I238" s="312"/>
      <c r="J238" s="312" t="s">
        <v>102</v>
      </c>
      <c r="K238" s="312" t="s">
        <v>102</v>
      </c>
      <c r="L238" s="312" t="s">
        <v>102</v>
      </c>
      <c r="M238" s="312"/>
      <c r="N238" s="312"/>
      <c r="O238" s="312"/>
      <c r="P238" s="312" t="s">
        <v>102</v>
      </c>
      <c r="Q238" s="312" t="s">
        <v>102</v>
      </c>
      <c r="R238" s="312" t="s">
        <v>102</v>
      </c>
      <c r="S238" s="312"/>
      <c r="T238" s="312"/>
      <c r="U238" s="312"/>
      <c r="V238" s="312"/>
      <c r="W238" s="312" t="s">
        <v>102</v>
      </c>
      <c r="X238" s="312" t="s">
        <v>102</v>
      </c>
      <c r="Y238" s="312" t="s">
        <v>102</v>
      </c>
      <c r="Z238" s="312"/>
      <c r="AA238" s="312"/>
      <c r="AB238" s="312"/>
      <c r="AC238" s="312"/>
      <c r="AD238" s="312" t="s">
        <v>102</v>
      </c>
      <c r="AE238" s="312" t="s">
        <v>102</v>
      </c>
      <c r="AF238" s="312"/>
      <c r="AG238" s="312"/>
      <c r="AH238" s="313">
        <f t="shared" ref="AH238:AH257" si="9">COUNTIF(C238:AG238,"√")</f>
        <v>11</v>
      </c>
    </row>
    <row r="239" ht="15.6" spans="1:35">
      <c r="A239" s="314"/>
      <c r="B239" s="310" t="s">
        <v>13</v>
      </c>
      <c r="C239" s="310"/>
      <c r="D239" s="310"/>
      <c r="E239" s="310"/>
      <c r="F239" s="310"/>
      <c r="G239" s="310"/>
      <c r="H239" s="310"/>
      <c r="I239" s="312"/>
      <c r="J239" s="312"/>
      <c r="K239" s="312"/>
      <c r="L239" s="310"/>
      <c r="M239" s="312" t="s">
        <v>102</v>
      </c>
      <c r="N239" s="312" t="s">
        <v>102</v>
      </c>
      <c r="O239" s="312" t="s">
        <v>102</v>
      </c>
      <c r="P239" s="312"/>
      <c r="Q239" s="312"/>
      <c r="R239" s="310"/>
      <c r="S239" s="312" t="s">
        <v>102</v>
      </c>
      <c r="T239" s="312" t="s">
        <v>102</v>
      </c>
      <c r="U239" s="312" t="s">
        <v>102</v>
      </c>
      <c r="V239" s="312"/>
      <c r="W239" s="312"/>
      <c r="X239" s="312"/>
      <c r="Y239" s="310"/>
      <c r="Z239" s="312" t="s">
        <v>102</v>
      </c>
      <c r="AA239" s="312" t="s">
        <v>102</v>
      </c>
      <c r="AB239" s="312" t="s">
        <v>102</v>
      </c>
      <c r="AC239" s="312"/>
      <c r="AD239" s="312"/>
      <c r="AE239" s="310"/>
      <c r="AF239" s="312" t="s">
        <v>102</v>
      </c>
      <c r="AG239" s="312" t="s">
        <v>102</v>
      </c>
      <c r="AH239" s="313">
        <f t="shared" si="9"/>
        <v>11</v>
      </c>
    </row>
    <row r="240" ht="15.6" spans="1:35">
      <c r="A240" s="314"/>
      <c r="B240" s="310" t="s">
        <v>14</v>
      </c>
      <c r="C240" s="319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0"/>
      <c r="Y240" s="312"/>
      <c r="Z240" s="312"/>
      <c r="AA240" s="310"/>
      <c r="AB240" s="312"/>
      <c r="AC240" s="312"/>
      <c r="AD240" s="312"/>
      <c r="AE240" s="312"/>
      <c r="AF240" s="312"/>
      <c r="AG240" s="312"/>
      <c r="AH240" s="313">
        <f t="shared" ref="AH240:AH249" si="10">COUNTIF(C250:AG250,"√")</f>
        <v>0</v>
      </c>
    </row>
    <row r="241" ht="15.6" spans="1:34">
      <c r="A241" s="314"/>
      <c r="B241" s="310" t="s">
        <v>15</v>
      </c>
      <c r="C241" s="319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2"/>
      <c r="S241" s="312"/>
      <c r="T241" s="312"/>
      <c r="U241" s="312"/>
      <c r="V241" s="312"/>
      <c r="W241" s="312"/>
      <c r="X241" s="310"/>
      <c r="Y241" s="312"/>
      <c r="Z241" s="312"/>
      <c r="AA241" s="310"/>
      <c r="AB241" s="312"/>
      <c r="AC241" s="312"/>
      <c r="AD241" s="312"/>
      <c r="AE241" s="312"/>
      <c r="AF241" s="312"/>
      <c r="AG241" s="312"/>
      <c r="AH241" s="313">
        <f t="shared" si="10"/>
        <v>0</v>
      </c>
    </row>
    <row r="242" ht="15.6" spans="1:34">
      <c r="A242" s="314"/>
      <c r="B242" s="310" t="s">
        <v>16</v>
      </c>
      <c r="C242" s="319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10"/>
      <c r="AG242" s="310"/>
      <c r="AH242" s="313">
        <f t="shared" si="10"/>
        <v>0</v>
      </c>
    </row>
    <row r="243" ht="15.6" spans="1:34">
      <c r="A243" s="310"/>
      <c r="B243" s="310" t="s">
        <v>12</v>
      </c>
      <c r="C243" s="312"/>
      <c r="D243" s="312"/>
      <c r="E243" s="312"/>
      <c r="F243" s="312"/>
      <c r="G243" s="312"/>
      <c r="H243" s="312"/>
      <c r="I243" s="312"/>
      <c r="J243" s="312" t="s">
        <v>102</v>
      </c>
      <c r="K243" s="312" t="s">
        <v>102</v>
      </c>
      <c r="L243" s="312" t="s">
        <v>102</v>
      </c>
      <c r="M243" s="312" t="s">
        <v>102</v>
      </c>
      <c r="N243" s="312" t="s">
        <v>102</v>
      </c>
      <c r="O243" s="312" t="s">
        <v>102</v>
      </c>
      <c r="P243" s="312" t="s">
        <v>102</v>
      </c>
      <c r="Q243" s="312" t="s">
        <v>102</v>
      </c>
      <c r="R243" s="312" t="s">
        <v>102</v>
      </c>
      <c r="S243" s="312" t="s">
        <v>102</v>
      </c>
      <c r="T243" s="312" t="s">
        <v>102</v>
      </c>
      <c r="U243" s="312" t="s">
        <v>102</v>
      </c>
      <c r="V243" s="312"/>
      <c r="W243" s="312" t="s">
        <v>102</v>
      </c>
      <c r="X243" s="312" t="s">
        <v>102</v>
      </c>
      <c r="Y243" s="312" t="s">
        <v>102</v>
      </c>
      <c r="Z243" s="312" t="s">
        <v>102</v>
      </c>
      <c r="AA243" s="312" t="s">
        <v>102</v>
      </c>
      <c r="AB243" s="312" t="s">
        <v>102</v>
      </c>
      <c r="AC243" s="312"/>
      <c r="AD243" s="312" t="s">
        <v>102</v>
      </c>
      <c r="AE243" s="312" t="s">
        <v>102</v>
      </c>
      <c r="AF243" s="312" t="s">
        <v>102</v>
      </c>
      <c r="AG243" s="312" t="s">
        <v>102</v>
      </c>
      <c r="AH243" s="313">
        <f t="shared" si="10"/>
        <v>0</v>
      </c>
    </row>
    <row r="244" ht="15.6" spans="1:34">
      <c r="A244" s="310"/>
      <c r="B244" s="310" t="s">
        <v>13</v>
      </c>
      <c r="C244" s="319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10"/>
      <c r="AG244" s="310"/>
      <c r="AH244" s="313">
        <f t="shared" si="10"/>
        <v>0</v>
      </c>
    </row>
    <row r="245" ht="15.6" spans="1:34">
      <c r="A245" s="310"/>
      <c r="B245" s="310" t="s">
        <v>14</v>
      </c>
      <c r="C245" s="319"/>
      <c r="D245" s="312"/>
      <c r="E245" s="312"/>
      <c r="F245" s="312"/>
      <c r="G245" s="312"/>
      <c r="H245" s="312"/>
      <c r="I245" s="312"/>
      <c r="J245" s="312"/>
      <c r="K245" s="312"/>
      <c r="L245" s="312"/>
      <c r="M245" s="312"/>
      <c r="N245" s="312"/>
      <c r="O245" s="312"/>
      <c r="P245" s="312"/>
      <c r="Q245" s="312"/>
      <c r="R245" s="312"/>
      <c r="S245" s="312"/>
      <c r="T245" s="312"/>
      <c r="U245" s="312"/>
      <c r="V245" s="312"/>
      <c r="W245" s="312"/>
      <c r="X245" s="310"/>
      <c r="Y245" s="312"/>
      <c r="Z245" s="312"/>
      <c r="AA245" s="310"/>
      <c r="AB245" s="312"/>
      <c r="AC245" s="312"/>
      <c r="AD245" s="310"/>
      <c r="AE245" s="312"/>
      <c r="AF245" s="312"/>
      <c r="AG245" s="312"/>
      <c r="AH245" s="313">
        <f t="shared" si="10"/>
        <v>0</v>
      </c>
    </row>
    <row r="246" ht="15.6" spans="1:34">
      <c r="A246" s="310"/>
      <c r="B246" s="310" t="s">
        <v>15</v>
      </c>
      <c r="C246" s="319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0"/>
      <c r="Y246" s="312"/>
      <c r="Z246" s="312"/>
      <c r="AA246" s="310"/>
      <c r="AB246" s="312"/>
      <c r="AC246" s="312"/>
      <c r="AD246" s="310"/>
      <c r="AE246" s="312"/>
      <c r="AF246" s="312"/>
      <c r="AG246" s="312"/>
      <c r="AH246" s="313">
        <f t="shared" si="10"/>
        <v>0</v>
      </c>
    </row>
    <row r="247" ht="15.6" spans="1:34">
      <c r="A247" s="310"/>
      <c r="B247" s="310" t="s">
        <v>16</v>
      </c>
      <c r="C247" s="319"/>
      <c r="D247" s="312"/>
      <c r="E247" s="312"/>
      <c r="F247" s="312"/>
      <c r="G247" s="312"/>
      <c r="H247" s="312"/>
      <c r="I247" s="312"/>
      <c r="J247" s="312"/>
      <c r="K247" s="312"/>
      <c r="L247" s="312"/>
      <c r="M247" s="312"/>
      <c r="N247" s="312"/>
      <c r="O247" s="312"/>
      <c r="P247" s="312"/>
      <c r="Q247" s="312"/>
      <c r="R247" s="312"/>
      <c r="S247" s="312"/>
      <c r="T247" s="312"/>
      <c r="U247" s="312"/>
      <c r="V247" s="312"/>
      <c r="W247" s="312"/>
      <c r="X247" s="310"/>
      <c r="Y247" s="312"/>
      <c r="Z247" s="312"/>
      <c r="AA247" s="310"/>
      <c r="AB247" s="312"/>
      <c r="AC247" s="312"/>
      <c r="AD247" s="310"/>
      <c r="AE247" s="312"/>
      <c r="AF247" s="312"/>
      <c r="AG247" s="312"/>
      <c r="AH247" s="313">
        <f t="shared" si="10"/>
        <v>0</v>
      </c>
    </row>
    <row r="248" ht="15.6" spans="1:34">
      <c r="A248" s="311"/>
      <c r="B248" s="310" t="s">
        <v>12</v>
      </c>
      <c r="C248" s="319"/>
      <c r="D248" s="312"/>
      <c r="E248" s="312"/>
      <c r="F248" s="312"/>
      <c r="G248" s="312"/>
      <c r="H248" s="312"/>
      <c r="I248" s="312"/>
      <c r="J248" s="312"/>
      <c r="K248" s="312"/>
      <c r="L248" s="312"/>
      <c r="M248" s="312"/>
      <c r="N248" s="312"/>
      <c r="O248" s="312"/>
      <c r="P248" s="312"/>
      <c r="Q248" s="312"/>
      <c r="R248" s="312"/>
      <c r="S248" s="312"/>
      <c r="T248" s="312"/>
      <c r="U248" s="312"/>
      <c r="V248" s="312"/>
      <c r="W248" s="312"/>
      <c r="X248" s="310"/>
      <c r="Y248" s="312"/>
      <c r="Z248" s="312"/>
      <c r="AA248" s="310"/>
      <c r="AB248" s="312"/>
      <c r="AC248" s="312"/>
      <c r="AD248" s="310"/>
      <c r="AE248" s="312"/>
      <c r="AF248" s="312"/>
      <c r="AG248" s="312"/>
      <c r="AH248" s="313">
        <f t="shared" si="10"/>
        <v>0</v>
      </c>
    </row>
    <row r="249" ht="15.6" spans="1:34">
      <c r="A249" s="314"/>
      <c r="B249" s="310" t="s">
        <v>13</v>
      </c>
      <c r="C249" s="319"/>
      <c r="D249" s="312"/>
      <c r="E249" s="312"/>
      <c r="F249" s="312"/>
      <c r="G249" s="312"/>
      <c r="H249" s="312"/>
      <c r="I249" s="312"/>
      <c r="J249" s="312"/>
      <c r="K249" s="312"/>
      <c r="L249" s="312"/>
      <c r="M249" s="312"/>
      <c r="N249" s="312"/>
      <c r="O249" s="312"/>
      <c r="P249" s="312"/>
      <c r="Q249" s="312"/>
      <c r="R249" s="312"/>
      <c r="S249" s="312"/>
      <c r="T249" s="312"/>
      <c r="U249" s="312"/>
      <c r="V249" s="312"/>
      <c r="W249" s="312"/>
      <c r="X249" s="310"/>
      <c r="Y249" s="312"/>
      <c r="Z249" s="312"/>
      <c r="AA249" s="310"/>
      <c r="AB249" s="312"/>
      <c r="AC249" s="312"/>
      <c r="AD249" s="310"/>
      <c r="AE249" s="312"/>
      <c r="AF249" s="312"/>
      <c r="AG249" s="312"/>
      <c r="AH249" s="313">
        <f t="shared" si="10"/>
        <v>0</v>
      </c>
    </row>
    <row r="250" ht="15.6" spans="1:34">
      <c r="A250" s="314"/>
      <c r="B250" s="310" t="s">
        <v>14</v>
      </c>
      <c r="C250" s="319"/>
      <c r="D250" s="312"/>
      <c r="E250" s="312"/>
      <c r="F250" s="312"/>
      <c r="G250" s="312"/>
      <c r="H250" s="312"/>
      <c r="I250" s="312"/>
      <c r="J250" s="312"/>
      <c r="K250" s="312"/>
      <c r="L250" s="312"/>
      <c r="M250" s="312"/>
      <c r="N250" s="312"/>
      <c r="O250" s="312"/>
      <c r="P250" s="312"/>
      <c r="Q250" s="312"/>
      <c r="R250" s="312"/>
      <c r="S250" s="312"/>
      <c r="T250" s="312"/>
      <c r="U250" s="312"/>
      <c r="V250" s="312"/>
      <c r="W250" s="312"/>
      <c r="X250" s="310"/>
      <c r="Y250" s="312"/>
      <c r="Z250" s="312"/>
      <c r="AA250" s="310"/>
      <c r="AB250" s="312"/>
      <c r="AC250" s="312"/>
      <c r="AD250" s="310"/>
      <c r="AE250" s="312"/>
      <c r="AF250" s="312"/>
      <c r="AG250" s="312"/>
      <c r="AH250" s="313">
        <f t="shared" si="9"/>
        <v>0</v>
      </c>
    </row>
    <row r="251" ht="15.6" spans="1:34">
      <c r="A251" s="314"/>
      <c r="B251" s="310" t="s">
        <v>15</v>
      </c>
      <c r="C251" s="319"/>
      <c r="D251" s="312"/>
      <c r="E251" s="312"/>
      <c r="F251" s="312"/>
      <c r="G251" s="312"/>
      <c r="H251" s="312"/>
      <c r="I251" s="312"/>
      <c r="J251" s="312"/>
      <c r="K251" s="312"/>
      <c r="L251" s="312"/>
      <c r="M251" s="312"/>
      <c r="N251" s="312"/>
      <c r="O251" s="312"/>
      <c r="P251" s="312"/>
      <c r="Q251" s="312"/>
      <c r="R251" s="312"/>
      <c r="S251" s="312"/>
      <c r="T251" s="312"/>
      <c r="U251" s="312"/>
      <c r="V251" s="312"/>
      <c r="W251" s="312"/>
      <c r="X251" s="310"/>
      <c r="Y251" s="312"/>
      <c r="Z251" s="312"/>
      <c r="AA251" s="310"/>
      <c r="AB251" s="312"/>
      <c r="AC251" s="312"/>
      <c r="AD251" s="310"/>
      <c r="AE251" s="312"/>
      <c r="AF251" s="312"/>
      <c r="AG251" s="312"/>
      <c r="AH251" s="313">
        <f t="shared" si="9"/>
        <v>0</v>
      </c>
    </row>
    <row r="252" ht="15.6" spans="1:34">
      <c r="A252" s="314"/>
      <c r="B252" s="310" t="s">
        <v>16</v>
      </c>
      <c r="C252" s="319"/>
      <c r="D252" s="312"/>
      <c r="E252" s="312"/>
      <c r="F252" s="312"/>
      <c r="G252" s="312"/>
      <c r="H252" s="312"/>
      <c r="I252" s="312"/>
      <c r="J252" s="312"/>
      <c r="K252" s="312"/>
      <c r="L252" s="312"/>
      <c r="M252" s="312"/>
      <c r="N252" s="312"/>
      <c r="O252" s="312"/>
      <c r="P252" s="312"/>
      <c r="Q252" s="312"/>
      <c r="R252" s="312"/>
      <c r="S252" s="312"/>
      <c r="T252" s="312"/>
      <c r="U252" s="312"/>
      <c r="V252" s="312"/>
      <c r="W252" s="312"/>
      <c r="X252" s="310"/>
      <c r="Y252" s="312"/>
      <c r="Z252" s="312"/>
      <c r="AA252" s="310"/>
      <c r="AB252" s="312"/>
      <c r="AC252" s="312"/>
      <c r="AD252" s="310"/>
      <c r="AE252" s="312"/>
      <c r="AF252" s="312"/>
      <c r="AG252" s="312"/>
      <c r="AH252" s="313">
        <f t="shared" si="9"/>
        <v>0</v>
      </c>
    </row>
    <row r="253" ht="15.6" spans="1:34">
      <c r="A253" s="311"/>
      <c r="B253" s="310" t="s">
        <v>12</v>
      </c>
      <c r="C253" s="319"/>
      <c r="D253" s="312"/>
      <c r="E253" s="312"/>
      <c r="F253" s="312"/>
      <c r="G253" s="312"/>
      <c r="H253" s="312"/>
      <c r="I253" s="312"/>
      <c r="J253" s="312"/>
      <c r="K253" s="312"/>
      <c r="L253" s="312"/>
      <c r="M253" s="312"/>
      <c r="N253" s="312"/>
      <c r="O253" s="312"/>
      <c r="P253" s="312"/>
      <c r="Q253" s="312"/>
      <c r="R253" s="312"/>
      <c r="S253" s="312"/>
      <c r="T253" s="312"/>
      <c r="U253" s="312"/>
      <c r="V253" s="312"/>
      <c r="W253" s="312"/>
      <c r="X253" s="310"/>
      <c r="Y253" s="312"/>
      <c r="Z253" s="312"/>
      <c r="AA253" s="310"/>
      <c r="AB253" s="312"/>
      <c r="AC253" s="312"/>
      <c r="AD253" s="310"/>
      <c r="AE253" s="312"/>
      <c r="AF253" s="312"/>
      <c r="AG253" s="312"/>
      <c r="AH253" s="313">
        <f t="shared" si="9"/>
        <v>0</v>
      </c>
    </row>
    <row r="254" ht="15.6" spans="1:34">
      <c r="A254" s="314"/>
      <c r="B254" s="310" t="s">
        <v>13</v>
      </c>
      <c r="C254" s="319"/>
      <c r="D254" s="312"/>
      <c r="E254" s="312"/>
      <c r="F254" s="312"/>
      <c r="G254" s="312"/>
      <c r="H254" s="312"/>
      <c r="I254" s="312"/>
      <c r="J254" s="312"/>
      <c r="K254" s="312"/>
      <c r="L254" s="312"/>
      <c r="M254" s="312"/>
      <c r="N254" s="312"/>
      <c r="O254" s="312"/>
      <c r="P254" s="312"/>
      <c r="Q254" s="312"/>
      <c r="R254" s="312"/>
      <c r="S254" s="312"/>
      <c r="T254" s="312"/>
      <c r="U254" s="312"/>
      <c r="V254" s="312"/>
      <c r="W254" s="312"/>
      <c r="X254" s="310"/>
      <c r="Y254" s="312"/>
      <c r="Z254" s="312"/>
      <c r="AA254" s="310"/>
      <c r="AB254" s="312"/>
      <c r="AC254" s="312"/>
      <c r="AD254" s="310"/>
      <c r="AE254" s="312"/>
      <c r="AF254" s="312"/>
      <c r="AG254" s="312"/>
      <c r="AH254" s="313">
        <f t="shared" si="9"/>
        <v>0</v>
      </c>
    </row>
    <row r="255" ht="15.6" spans="1:34">
      <c r="A255" s="314"/>
      <c r="B255" s="310" t="s">
        <v>14</v>
      </c>
      <c r="C255" s="319"/>
      <c r="D255" s="312"/>
      <c r="E255" s="312"/>
      <c r="F255" s="312"/>
      <c r="G255" s="312"/>
      <c r="H255" s="312"/>
      <c r="I255" s="312"/>
      <c r="J255" s="312"/>
      <c r="K255" s="312"/>
      <c r="L255" s="312"/>
      <c r="M255" s="312"/>
      <c r="N255" s="312"/>
      <c r="O255" s="312"/>
      <c r="P255" s="312"/>
      <c r="Q255" s="312"/>
      <c r="R255" s="312"/>
      <c r="S255" s="312"/>
      <c r="T255" s="312"/>
      <c r="U255" s="312"/>
      <c r="V255" s="312"/>
      <c r="W255" s="312"/>
      <c r="X255" s="310"/>
      <c r="Y255" s="312"/>
      <c r="Z255" s="312"/>
      <c r="AA255" s="310"/>
      <c r="AB255" s="312"/>
      <c r="AC255" s="312"/>
      <c r="AD255" s="310"/>
      <c r="AE255" s="312"/>
      <c r="AF255" s="312"/>
      <c r="AG255" s="312"/>
      <c r="AH255" s="313">
        <f t="shared" si="9"/>
        <v>0</v>
      </c>
    </row>
    <row r="256" ht="15.6" spans="1:34">
      <c r="A256" s="314"/>
      <c r="B256" s="310" t="s">
        <v>15</v>
      </c>
      <c r="C256" s="319"/>
      <c r="D256" s="312"/>
      <c r="E256" s="312"/>
      <c r="F256" s="312"/>
      <c r="G256" s="312"/>
      <c r="H256" s="312"/>
      <c r="I256" s="312"/>
      <c r="J256" s="312"/>
      <c r="K256" s="312"/>
      <c r="L256" s="312"/>
      <c r="M256" s="312"/>
      <c r="N256" s="312"/>
      <c r="O256" s="312"/>
      <c r="P256" s="312"/>
      <c r="Q256" s="312"/>
      <c r="R256" s="312"/>
      <c r="S256" s="312"/>
      <c r="T256" s="312"/>
      <c r="U256" s="312"/>
      <c r="V256" s="312"/>
      <c r="W256" s="312"/>
      <c r="X256" s="310"/>
      <c r="Y256" s="312"/>
      <c r="Z256" s="312"/>
      <c r="AA256" s="310"/>
      <c r="AB256" s="312"/>
      <c r="AC256" s="312"/>
      <c r="AD256" s="310"/>
      <c r="AE256" s="312"/>
      <c r="AF256" s="312"/>
      <c r="AG256" s="312"/>
      <c r="AH256" s="313">
        <f t="shared" si="9"/>
        <v>0</v>
      </c>
    </row>
    <row r="257" ht="15.6" spans="1:35">
      <c r="A257" s="314"/>
      <c r="B257" s="310" t="s">
        <v>16</v>
      </c>
      <c r="C257" s="319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10"/>
      <c r="AG257" s="310"/>
      <c r="AH257" s="313">
        <f t="shared" si="9"/>
        <v>0</v>
      </c>
      <c r="AI257" s="321"/>
    </row>
    <row r="258" ht="15.6" spans="1:35">
      <c r="A258" s="315" t="s">
        <v>103</v>
      </c>
      <c r="B258" s="316"/>
      <c r="C258" s="315"/>
      <c r="D258" s="315"/>
      <c r="E258" s="315"/>
      <c r="F258" s="320"/>
      <c r="G258" s="320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7"/>
    </row>
    <row r="261" ht="17.4" spans="1:35">
      <c r="A261" s="306" t="s">
        <v>68</v>
      </c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  <c r="AE261" s="307"/>
      <c r="AF261" s="307"/>
      <c r="AG261" s="307"/>
      <c r="AH261" s="307"/>
    </row>
    <row r="262" ht="15.6" spans="1:35">
      <c r="A262" s="308">
        <v>45962</v>
      </c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  <c r="AA262" s="309"/>
      <c r="AB262" s="309"/>
      <c r="AC262" s="309"/>
      <c r="AD262" s="309"/>
      <c r="AE262" s="309"/>
      <c r="AF262" s="309"/>
      <c r="AG262" s="309"/>
      <c r="AH262" s="309"/>
    </row>
    <row r="263" ht="15.6" spans="1:35">
      <c r="A263" s="310" t="s">
        <v>69</v>
      </c>
      <c r="B263" s="310" t="s">
        <v>70</v>
      </c>
      <c r="C263" s="310" t="s">
        <v>71</v>
      </c>
      <c r="D263" s="310" t="s">
        <v>72</v>
      </c>
      <c r="E263" s="310" t="s">
        <v>73</v>
      </c>
      <c r="F263" s="310" t="s">
        <v>74</v>
      </c>
      <c r="G263" s="310" t="s">
        <v>75</v>
      </c>
      <c r="H263" s="310" t="s">
        <v>76</v>
      </c>
      <c r="I263" s="310" t="s">
        <v>77</v>
      </c>
      <c r="J263" s="310" t="s">
        <v>78</v>
      </c>
      <c r="K263" s="310" t="s">
        <v>79</v>
      </c>
      <c r="L263" s="310" t="s">
        <v>80</v>
      </c>
      <c r="M263" s="310" t="s">
        <v>81</v>
      </c>
      <c r="N263" s="310" t="s">
        <v>82</v>
      </c>
      <c r="O263" s="310" t="s">
        <v>83</v>
      </c>
      <c r="P263" s="310" t="s">
        <v>84</v>
      </c>
      <c r="Q263" s="310" t="s">
        <v>85</v>
      </c>
      <c r="R263" s="310" t="s">
        <v>86</v>
      </c>
      <c r="S263" s="310" t="s">
        <v>87</v>
      </c>
      <c r="T263" s="310" t="s">
        <v>88</v>
      </c>
      <c r="U263" s="310" t="s">
        <v>89</v>
      </c>
      <c r="V263" s="310" t="s">
        <v>90</v>
      </c>
      <c r="W263" s="310" t="s">
        <v>91</v>
      </c>
      <c r="X263" s="310" t="s">
        <v>92</v>
      </c>
      <c r="Y263" s="310" t="s">
        <v>93</v>
      </c>
      <c r="Z263" s="310" t="s">
        <v>94</v>
      </c>
      <c r="AA263" s="310" t="s">
        <v>94</v>
      </c>
      <c r="AB263" s="310" t="s">
        <v>95</v>
      </c>
      <c r="AC263" s="310" t="s">
        <v>96</v>
      </c>
      <c r="AD263" s="310" t="s">
        <v>97</v>
      </c>
      <c r="AE263" s="310" t="s">
        <v>98</v>
      </c>
      <c r="AF263" s="310" t="s">
        <v>99</v>
      </c>
      <c r="AG263" s="310" t="s">
        <v>101</v>
      </c>
      <c r="AI263" s="305">
        <v>21</v>
      </c>
    </row>
    <row r="264" ht="15.6" spans="1:35">
      <c r="A264" s="311"/>
      <c r="B264" s="310" t="s">
        <v>12</v>
      </c>
      <c r="C264" s="310"/>
      <c r="D264" s="312"/>
      <c r="E264" s="312"/>
      <c r="F264" s="312" t="s">
        <v>102</v>
      </c>
      <c r="G264" s="312" t="s">
        <v>102</v>
      </c>
      <c r="H264" s="312" t="s">
        <v>102</v>
      </c>
      <c r="I264" s="312"/>
      <c r="J264" s="312"/>
      <c r="K264" s="312"/>
      <c r="L264" s="312"/>
      <c r="M264" s="312" t="s">
        <v>102</v>
      </c>
      <c r="N264" s="312" t="s">
        <v>102</v>
      </c>
      <c r="O264" s="312" t="s">
        <v>102</v>
      </c>
      <c r="P264" s="312"/>
      <c r="Q264" s="312"/>
      <c r="R264" s="312"/>
      <c r="S264" s="312"/>
      <c r="T264" s="312" t="s">
        <v>102</v>
      </c>
      <c r="U264" s="312" t="s">
        <v>102</v>
      </c>
      <c r="V264" s="312" t="s">
        <v>102</v>
      </c>
      <c r="W264" s="312"/>
      <c r="X264" s="312"/>
      <c r="Y264" s="312"/>
      <c r="Z264" s="312"/>
      <c r="AA264" s="312" t="s">
        <v>102</v>
      </c>
      <c r="AB264" s="312" t="s">
        <v>102</v>
      </c>
      <c r="AC264" s="312" t="s">
        <v>102</v>
      </c>
      <c r="AD264" s="312"/>
      <c r="AE264" s="312"/>
      <c r="AF264" s="312"/>
      <c r="AG264" s="313">
        <f>COUNTIF(C264:AF264,"√")</f>
        <v>12</v>
      </c>
    </row>
    <row r="265" ht="15.6" spans="1:35">
      <c r="A265" s="314"/>
      <c r="B265" s="310" t="s">
        <v>13</v>
      </c>
      <c r="C265" s="312" t="s">
        <v>102</v>
      </c>
      <c r="D265" s="312" t="s">
        <v>102</v>
      </c>
      <c r="E265" s="312"/>
      <c r="F265" s="310"/>
      <c r="G265" s="310"/>
      <c r="H265" s="312"/>
      <c r="I265" s="312" t="s">
        <v>102</v>
      </c>
      <c r="J265" s="312" t="s">
        <v>102</v>
      </c>
      <c r="K265" s="312" t="s">
        <v>102</v>
      </c>
      <c r="L265" s="312"/>
      <c r="M265" s="310"/>
      <c r="N265" s="310"/>
      <c r="O265" s="312"/>
      <c r="P265" s="312" t="s">
        <v>102</v>
      </c>
      <c r="Q265" s="312" t="s">
        <v>102</v>
      </c>
      <c r="R265" s="312" t="s">
        <v>102</v>
      </c>
      <c r="S265" s="310"/>
      <c r="T265" s="310"/>
      <c r="U265" s="310"/>
      <c r="V265" s="312"/>
      <c r="W265" s="312" t="s">
        <v>102</v>
      </c>
      <c r="X265" s="312" t="s">
        <v>102</v>
      </c>
      <c r="Y265" s="312" t="s">
        <v>102</v>
      </c>
      <c r="Z265" s="312"/>
      <c r="AA265" s="310"/>
      <c r="AB265" s="310"/>
      <c r="AC265" s="312"/>
      <c r="AD265" s="312" t="s">
        <v>102</v>
      </c>
      <c r="AE265" s="312" t="s">
        <v>102</v>
      </c>
      <c r="AF265" s="312" t="s">
        <v>102</v>
      </c>
      <c r="AG265" s="313">
        <f>COUNTIF(C265:AF265,"√")</f>
        <v>14</v>
      </c>
    </row>
    <row r="266" ht="15.6" spans="1:35">
      <c r="A266" s="314"/>
      <c r="B266" s="310" t="s">
        <v>14</v>
      </c>
      <c r="C266" s="319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2"/>
      <c r="P266" s="312"/>
      <c r="Q266" s="312"/>
      <c r="R266" s="312"/>
      <c r="S266" s="312"/>
      <c r="T266" s="312"/>
      <c r="U266" s="312"/>
      <c r="V266" s="312"/>
      <c r="W266" s="312"/>
      <c r="X266" s="310"/>
      <c r="Y266" s="312"/>
      <c r="Z266" s="312"/>
      <c r="AA266" s="310"/>
      <c r="AB266" s="312"/>
      <c r="AC266" s="312"/>
      <c r="AD266" s="312"/>
      <c r="AE266" s="312"/>
      <c r="AF266" s="312"/>
      <c r="AG266" s="313">
        <f t="shared" ref="AG266:AG283" si="11">COUNTIF(C266:AF266,"√")</f>
        <v>0</v>
      </c>
    </row>
    <row r="267" ht="15.6" spans="1:35">
      <c r="A267" s="314"/>
      <c r="B267" s="310" t="s">
        <v>15</v>
      </c>
      <c r="C267" s="319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2"/>
      <c r="S267" s="312"/>
      <c r="T267" s="312"/>
      <c r="U267" s="312"/>
      <c r="V267" s="312"/>
      <c r="W267" s="312"/>
      <c r="X267" s="310"/>
      <c r="Y267" s="312"/>
      <c r="Z267" s="312"/>
      <c r="AA267" s="310"/>
      <c r="AB267" s="312"/>
      <c r="AC267" s="312"/>
      <c r="AD267" s="312"/>
      <c r="AE267" s="312"/>
      <c r="AF267" s="312"/>
      <c r="AG267" s="313">
        <f t="shared" si="11"/>
        <v>0</v>
      </c>
    </row>
    <row r="268" ht="15.6" spans="1:35">
      <c r="A268" s="314"/>
      <c r="B268" s="310" t="s">
        <v>16</v>
      </c>
      <c r="C268" s="319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10"/>
      <c r="AG268" s="313">
        <f t="shared" si="11"/>
        <v>0</v>
      </c>
    </row>
    <row r="269" ht="15.6" spans="1:35">
      <c r="A269" s="310"/>
      <c r="B269" s="310" t="s">
        <v>12</v>
      </c>
      <c r="C269" s="312" t="s">
        <v>102</v>
      </c>
      <c r="D269" s="312" t="s">
        <v>102</v>
      </c>
      <c r="E269" s="312"/>
      <c r="F269" s="312" t="s">
        <v>102</v>
      </c>
      <c r="G269" s="312" t="s">
        <v>102</v>
      </c>
      <c r="H269" s="312" t="s">
        <v>102</v>
      </c>
      <c r="I269" s="312" t="s">
        <v>102</v>
      </c>
      <c r="J269" s="312" t="s">
        <v>102</v>
      </c>
      <c r="K269" s="312" t="s">
        <v>102</v>
      </c>
      <c r="L269" s="312"/>
      <c r="M269" s="312" t="s">
        <v>102</v>
      </c>
      <c r="N269" s="312" t="s">
        <v>102</v>
      </c>
      <c r="O269" s="312" t="s">
        <v>102</v>
      </c>
      <c r="P269" s="312" t="s">
        <v>102</v>
      </c>
      <c r="Q269" s="312" t="s">
        <v>102</v>
      </c>
      <c r="R269" s="312" t="s">
        <v>102</v>
      </c>
      <c r="S269" s="312"/>
      <c r="T269" s="312" t="s">
        <v>102</v>
      </c>
      <c r="U269" s="312" t="s">
        <v>102</v>
      </c>
      <c r="V269" s="312" t="s">
        <v>102</v>
      </c>
      <c r="W269" s="312" t="s">
        <v>102</v>
      </c>
      <c r="X269" s="312" t="s">
        <v>102</v>
      </c>
      <c r="Y269" s="312" t="s">
        <v>102</v>
      </c>
      <c r="Z269" s="312"/>
      <c r="AA269" s="312" t="s">
        <v>102</v>
      </c>
      <c r="AB269" s="312" t="s">
        <v>102</v>
      </c>
      <c r="AC269" s="312" t="s">
        <v>102</v>
      </c>
      <c r="AD269" s="312" t="s">
        <v>102</v>
      </c>
      <c r="AE269" s="312" t="s">
        <v>102</v>
      </c>
      <c r="AF269" s="312" t="s">
        <v>102</v>
      </c>
      <c r="AG269" s="313">
        <f t="shared" si="11"/>
        <v>26</v>
      </c>
    </row>
    <row r="270" ht="15.6" spans="1:35">
      <c r="A270" s="310"/>
      <c r="B270" s="310" t="s">
        <v>13</v>
      </c>
      <c r="C270" s="319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10"/>
      <c r="AG270" s="313">
        <f t="shared" si="11"/>
        <v>0</v>
      </c>
    </row>
    <row r="271" ht="15.6" spans="1:35">
      <c r="A271" s="310"/>
      <c r="B271" s="310" t="s">
        <v>14</v>
      </c>
      <c r="C271" s="319"/>
      <c r="D271" s="312"/>
      <c r="E271" s="312"/>
      <c r="F271" s="312"/>
      <c r="G271" s="312"/>
      <c r="H271" s="312"/>
      <c r="I271" s="312"/>
      <c r="J271" s="312"/>
      <c r="K271" s="312"/>
      <c r="L271" s="312"/>
      <c r="M271" s="312"/>
      <c r="N271" s="312"/>
      <c r="O271" s="312"/>
      <c r="P271" s="312"/>
      <c r="Q271" s="312"/>
      <c r="R271" s="312"/>
      <c r="S271" s="312"/>
      <c r="T271" s="312"/>
      <c r="U271" s="312"/>
      <c r="V271" s="312"/>
      <c r="W271" s="312"/>
      <c r="X271" s="310"/>
      <c r="Y271" s="312"/>
      <c r="Z271" s="312"/>
      <c r="AA271" s="310"/>
      <c r="AB271" s="312"/>
      <c r="AC271" s="312"/>
      <c r="AD271" s="310"/>
      <c r="AE271" s="312"/>
      <c r="AF271" s="312"/>
      <c r="AG271" s="313">
        <f t="shared" si="11"/>
        <v>0</v>
      </c>
    </row>
    <row r="272" ht="15.6" spans="1:35">
      <c r="A272" s="310"/>
      <c r="B272" s="310" t="s">
        <v>15</v>
      </c>
      <c r="C272" s="319"/>
      <c r="D272" s="312"/>
      <c r="E272" s="312"/>
      <c r="F272" s="312"/>
      <c r="G272" s="312"/>
      <c r="H272" s="312"/>
      <c r="I272" s="312"/>
      <c r="J272" s="312"/>
      <c r="K272" s="312"/>
      <c r="L272" s="312"/>
      <c r="M272" s="312"/>
      <c r="N272" s="312"/>
      <c r="O272" s="312"/>
      <c r="P272" s="312"/>
      <c r="Q272" s="312"/>
      <c r="R272" s="312"/>
      <c r="S272" s="312"/>
      <c r="T272" s="312"/>
      <c r="U272" s="312"/>
      <c r="V272" s="312"/>
      <c r="W272" s="312"/>
      <c r="X272" s="310"/>
      <c r="Y272" s="312"/>
      <c r="Z272" s="312"/>
      <c r="AA272" s="310"/>
      <c r="AB272" s="312"/>
      <c r="AC272" s="312"/>
      <c r="AD272" s="310"/>
      <c r="AE272" s="312"/>
      <c r="AF272" s="312"/>
      <c r="AG272" s="313">
        <f t="shared" si="11"/>
        <v>0</v>
      </c>
    </row>
    <row r="273" ht="15.6" spans="1:35">
      <c r="A273" s="310"/>
      <c r="B273" s="310" t="s">
        <v>16</v>
      </c>
      <c r="C273" s="319"/>
      <c r="D273" s="312"/>
      <c r="E273" s="312"/>
      <c r="F273" s="312"/>
      <c r="G273" s="312"/>
      <c r="H273" s="312"/>
      <c r="I273" s="312"/>
      <c r="J273" s="312"/>
      <c r="K273" s="312"/>
      <c r="L273" s="312"/>
      <c r="M273" s="312"/>
      <c r="N273" s="312"/>
      <c r="O273" s="312"/>
      <c r="P273" s="312"/>
      <c r="Q273" s="312"/>
      <c r="R273" s="312"/>
      <c r="S273" s="312"/>
      <c r="T273" s="312"/>
      <c r="U273" s="312"/>
      <c r="V273" s="312"/>
      <c r="W273" s="312"/>
      <c r="X273" s="310"/>
      <c r="Y273" s="312"/>
      <c r="Z273" s="312"/>
      <c r="AA273" s="310"/>
      <c r="AB273" s="312"/>
      <c r="AC273" s="312"/>
      <c r="AD273" s="310"/>
      <c r="AE273" s="312"/>
      <c r="AF273" s="312"/>
      <c r="AG273" s="313">
        <f t="shared" si="11"/>
        <v>0</v>
      </c>
    </row>
    <row r="274" ht="15.6" spans="1:35">
      <c r="A274" s="311"/>
      <c r="B274" s="310" t="s">
        <v>12</v>
      </c>
      <c r="C274" s="319"/>
      <c r="D274" s="312"/>
      <c r="E274" s="312"/>
      <c r="F274" s="312"/>
      <c r="G274" s="312"/>
      <c r="H274" s="312"/>
      <c r="I274" s="312"/>
      <c r="J274" s="312"/>
      <c r="K274" s="312"/>
      <c r="L274" s="312"/>
      <c r="M274" s="312"/>
      <c r="N274" s="312"/>
      <c r="O274" s="312"/>
      <c r="P274" s="312"/>
      <c r="Q274" s="312"/>
      <c r="R274" s="312"/>
      <c r="S274" s="312"/>
      <c r="T274" s="312"/>
      <c r="U274" s="312"/>
      <c r="V274" s="312"/>
      <c r="W274" s="312"/>
      <c r="X274" s="310"/>
      <c r="Y274" s="312"/>
      <c r="Z274" s="312"/>
      <c r="AA274" s="310"/>
      <c r="AB274" s="312"/>
      <c r="AC274" s="312"/>
      <c r="AD274" s="310"/>
      <c r="AE274" s="312"/>
      <c r="AF274" s="312"/>
      <c r="AG274" s="313">
        <f t="shared" si="11"/>
        <v>0</v>
      </c>
    </row>
    <row r="275" ht="15.6" spans="1:35">
      <c r="A275" s="314"/>
      <c r="B275" s="310" t="s">
        <v>13</v>
      </c>
      <c r="C275" s="319"/>
      <c r="D275" s="312"/>
      <c r="E275" s="312"/>
      <c r="F275" s="312"/>
      <c r="G275" s="312"/>
      <c r="H275" s="312"/>
      <c r="I275" s="312"/>
      <c r="J275" s="312"/>
      <c r="K275" s="312"/>
      <c r="L275" s="312"/>
      <c r="M275" s="312"/>
      <c r="N275" s="312"/>
      <c r="O275" s="312"/>
      <c r="P275" s="312"/>
      <c r="Q275" s="312"/>
      <c r="R275" s="312"/>
      <c r="S275" s="312"/>
      <c r="T275" s="312"/>
      <c r="U275" s="312"/>
      <c r="V275" s="312"/>
      <c r="W275" s="312"/>
      <c r="X275" s="310"/>
      <c r="Y275" s="312"/>
      <c r="Z275" s="312"/>
      <c r="AA275" s="310"/>
      <c r="AB275" s="312"/>
      <c r="AC275" s="312"/>
      <c r="AD275" s="310"/>
      <c r="AE275" s="312"/>
      <c r="AF275" s="312"/>
      <c r="AG275" s="313">
        <f t="shared" si="11"/>
        <v>0</v>
      </c>
    </row>
    <row r="276" ht="15.6" spans="1:35">
      <c r="A276" s="314"/>
      <c r="B276" s="310" t="s">
        <v>14</v>
      </c>
      <c r="C276" s="319"/>
      <c r="D276" s="312"/>
      <c r="E276" s="312"/>
      <c r="F276" s="312"/>
      <c r="G276" s="312"/>
      <c r="H276" s="312"/>
      <c r="I276" s="312"/>
      <c r="J276" s="312"/>
      <c r="K276" s="312"/>
      <c r="L276" s="312"/>
      <c r="M276" s="312"/>
      <c r="N276" s="312"/>
      <c r="O276" s="312"/>
      <c r="P276" s="312"/>
      <c r="Q276" s="312"/>
      <c r="R276" s="312"/>
      <c r="S276" s="312"/>
      <c r="T276" s="312"/>
      <c r="U276" s="312"/>
      <c r="V276" s="312"/>
      <c r="W276" s="312"/>
      <c r="X276" s="310"/>
      <c r="Y276" s="312"/>
      <c r="Z276" s="312"/>
      <c r="AA276" s="310"/>
      <c r="AB276" s="312"/>
      <c r="AC276" s="312"/>
      <c r="AD276" s="310"/>
      <c r="AE276" s="312"/>
      <c r="AF276" s="312"/>
      <c r="AG276" s="313">
        <f t="shared" si="11"/>
        <v>0</v>
      </c>
    </row>
    <row r="277" ht="15.6" spans="1:35">
      <c r="A277" s="314"/>
      <c r="B277" s="310" t="s">
        <v>15</v>
      </c>
      <c r="C277" s="319"/>
      <c r="D277" s="312"/>
      <c r="E277" s="312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0"/>
      <c r="Y277" s="312"/>
      <c r="Z277" s="312"/>
      <c r="AA277" s="310"/>
      <c r="AB277" s="312"/>
      <c r="AC277" s="312"/>
      <c r="AD277" s="310"/>
      <c r="AE277" s="312"/>
      <c r="AF277" s="312"/>
      <c r="AG277" s="313">
        <f t="shared" si="11"/>
        <v>0</v>
      </c>
    </row>
    <row r="278" ht="15.6" spans="1:35">
      <c r="A278" s="314"/>
      <c r="B278" s="310" t="s">
        <v>16</v>
      </c>
      <c r="C278" s="319"/>
      <c r="D278" s="312"/>
      <c r="E278" s="312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0"/>
      <c r="Y278" s="312"/>
      <c r="Z278" s="312"/>
      <c r="AA278" s="310"/>
      <c r="AB278" s="312"/>
      <c r="AC278" s="312"/>
      <c r="AD278" s="310"/>
      <c r="AE278" s="312"/>
      <c r="AF278" s="312"/>
      <c r="AG278" s="313">
        <f t="shared" si="11"/>
        <v>0</v>
      </c>
    </row>
    <row r="279" ht="15.6" spans="1:35">
      <c r="A279" s="311"/>
      <c r="B279" s="310" t="s">
        <v>12</v>
      </c>
      <c r="C279" s="319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0"/>
      <c r="Y279" s="312"/>
      <c r="Z279" s="312"/>
      <c r="AA279" s="310"/>
      <c r="AB279" s="312"/>
      <c r="AC279" s="312"/>
      <c r="AD279" s="310"/>
      <c r="AE279" s="312"/>
      <c r="AF279" s="312"/>
      <c r="AG279" s="313">
        <f t="shared" si="11"/>
        <v>0</v>
      </c>
    </row>
    <row r="280" ht="15.6" spans="1:35">
      <c r="A280" s="314"/>
      <c r="B280" s="310" t="s">
        <v>13</v>
      </c>
      <c r="C280" s="319"/>
      <c r="D280" s="312"/>
      <c r="E280" s="312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0"/>
      <c r="Y280" s="312"/>
      <c r="Z280" s="312"/>
      <c r="AA280" s="310"/>
      <c r="AB280" s="312"/>
      <c r="AC280" s="312"/>
      <c r="AD280" s="310"/>
      <c r="AE280" s="312"/>
      <c r="AF280" s="312"/>
      <c r="AG280" s="313">
        <f t="shared" si="11"/>
        <v>0</v>
      </c>
    </row>
    <row r="281" ht="15.6" spans="1:35">
      <c r="A281" s="314"/>
      <c r="B281" s="310" t="s">
        <v>14</v>
      </c>
      <c r="C281" s="319"/>
      <c r="D281" s="312"/>
      <c r="E281" s="312"/>
      <c r="F281" s="312"/>
      <c r="G281" s="312"/>
      <c r="H281" s="312"/>
      <c r="I281" s="312"/>
      <c r="J281" s="312"/>
      <c r="K281" s="312"/>
      <c r="L281" s="312"/>
      <c r="M281" s="312"/>
      <c r="N281" s="312"/>
      <c r="O281" s="312"/>
      <c r="P281" s="312"/>
      <c r="Q281" s="312"/>
      <c r="R281" s="312"/>
      <c r="S281" s="312"/>
      <c r="T281" s="312"/>
      <c r="U281" s="312"/>
      <c r="V281" s="312"/>
      <c r="W281" s="312"/>
      <c r="X281" s="310"/>
      <c r="Y281" s="312"/>
      <c r="Z281" s="312"/>
      <c r="AA281" s="310"/>
      <c r="AB281" s="312"/>
      <c r="AC281" s="312"/>
      <c r="AD281" s="310"/>
      <c r="AE281" s="312"/>
      <c r="AF281" s="312"/>
      <c r="AG281" s="313">
        <f t="shared" si="11"/>
        <v>0</v>
      </c>
    </row>
    <row r="282" ht="15.6" spans="1:35">
      <c r="A282" s="314"/>
      <c r="B282" s="310" t="s">
        <v>15</v>
      </c>
      <c r="C282" s="319"/>
      <c r="D282" s="312"/>
      <c r="E282" s="312"/>
      <c r="F282" s="312"/>
      <c r="G282" s="312"/>
      <c r="H282" s="312"/>
      <c r="I282" s="312"/>
      <c r="J282" s="312"/>
      <c r="K282" s="312"/>
      <c r="L282" s="312"/>
      <c r="M282" s="312"/>
      <c r="N282" s="312"/>
      <c r="O282" s="312"/>
      <c r="P282" s="312"/>
      <c r="Q282" s="312"/>
      <c r="R282" s="312"/>
      <c r="S282" s="312"/>
      <c r="T282" s="312"/>
      <c r="U282" s="312"/>
      <c r="V282" s="312"/>
      <c r="W282" s="312"/>
      <c r="X282" s="310"/>
      <c r="Y282" s="312"/>
      <c r="Z282" s="312"/>
      <c r="AA282" s="310"/>
      <c r="AB282" s="312"/>
      <c r="AC282" s="312"/>
      <c r="AD282" s="310"/>
      <c r="AE282" s="312"/>
      <c r="AF282" s="312"/>
      <c r="AG282" s="313">
        <f t="shared" si="11"/>
        <v>0</v>
      </c>
    </row>
    <row r="283" ht="15.6" spans="1:35">
      <c r="A283" s="314"/>
      <c r="B283" s="310" t="s">
        <v>16</v>
      </c>
      <c r="C283" s="319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10"/>
      <c r="AG283" s="313">
        <f t="shared" si="11"/>
        <v>0</v>
      </c>
      <c r="AH283" s="321"/>
    </row>
    <row r="284" ht="15.6" spans="1:35">
      <c r="A284" s="315" t="s">
        <v>103</v>
      </c>
      <c r="B284" s="316"/>
      <c r="C284" s="315"/>
      <c r="D284" s="315"/>
      <c r="E284" s="315"/>
      <c r="F284" s="320"/>
      <c r="G284" s="320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7"/>
    </row>
    <row r="287" ht="17.4" spans="1:35">
      <c r="A287" s="306" t="s">
        <v>68</v>
      </c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307"/>
      <c r="AC287" s="307"/>
      <c r="AD287" s="307"/>
      <c r="AE287" s="307"/>
      <c r="AF287" s="307"/>
      <c r="AG287" s="307"/>
      <c r="AH287" s="307"/>
      <c r="AI287" s="307"/>
    </row>
    <row r="288" ht="15.6" spans="1:35">
      <c r="A288" s="308">
        <v>45992</v>
      </c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  <c r="AA288" s="309"/>
      <c r="AB288" s="309"/>
      <c r="AC288" s="309"/>
      <c r="AD288" s="309"/>
      <c r="AE288" s="309"/>
      <c r="AF288" s="309"/>
      <c r="AG288" s="309"/>
      <c r="AH288" s="309"/>
      <c r="AI288" s="309"/>
    </row>
    <row r="289" ht="15.6" spans="1:35">
      <c r="A289" s="310" t="s">
        <v>69</v>
      </c>
      <c r="B289" s="310" t="s">
        <v>70</v>
      </c>
      <c r="C289" s="310" t="s">
        <v>71</v>
      </c>
      <c r="D289" s="310" t="s">
        <v>72</v>
      </c>
      <c r="E289" s="310" t="s">
        <v>73</v>
      </c>
      <c r="F289" s="310" t="s">
        <v>74</v>
      </c>
      <c r="G289" s="310" t="s">
        <v>75</v>
      </c>
      <c r="H289" s="310" t="s">
        <v>76</v>
      </c>
      <c r="I289" s="310" t="s">
        <v>77</v>
      </c>
      <c r="J289" s="310" t="s">
        <v>78</v>
      </c>
      <c r="K289" s="310" t="s">
        <v>79</v>
      </c>
      <c r="L289" s="310" t="s">
        <v>80</v>
      </c>
      <c r="M289" s="310" t="s">
        <v>81</v>
      </c>
      <c r="N289" s="310" t="s">
        <v>82</v>
      </c>
      <c r="O289" s="310" t="s">
        <v>83</v>
      </c>
      <c r="P289" s="310" t="s">
        <v>84</v>
      </c>
      <c r="Q289" s="310" t="s">
        <v>85</v>
      </c>
      <c r="R289" s="310" t="s">
        <v>86</v>
      </c>
      <c r="S289" s="310" t="s">
        <v>87</v>
      </c>
      <c r="T289" s="310" t="s">
        <v>88</v>
      </c>
      <c r="U289" s="310" t="s">
        <v>89</v>
      </c>
      <c r="V289" s="310" t="s">
        <v>90</v>
      </c>
      <c r="W289" s="310" t="s">
        <v>91</v>
      </c>
      <c r="X289" s="310" t="s">
        <v>92</v>
      </c>
      <c r="Y289" s="310" t="s">
        <v>93</v>
      </c>
      <c r="Z289" s="310" t="s">
        <v>94</v>
      </c>
      <c r="AA289" s="310" t="s">
        <v>94</v>
      </c>
      <c r="AB289" s="310" t="s">
        <v>95</v>
      </c>
      <c r="AC289" s="310" t="s">
        <v>96</v>
      </c>
      <c r="AD289" s="310" t="s">
        <v>97</v>
      </c>
      <c r="AE289" s="310" t="s">
        <v>98</v>
      </c>
      <c r="AF289" s="310" t="s">
        <v>99</v>
      </c>
      <c r="AG289" s="310" t="s">
        <v>100</v>
      </c>
      <c r="AH289" s="310" t="s">
        <v>101</v>
      </c>
      <c r="AI289" s="305">
        <v>22</v>
      </c>
    </row>
    <row r="290" ht="15.6" spans="1:35">
      <c r="A290" s="311"/>
      <c r="B290" s="310" t="s">
        <v>12</v>
      </c>
      <c r="C290" s="312"/>
      <c r="D290" s="312" t="s">
        <v>102</v>
      </c>
      <c r="E290" s="312" t="s">
        <v>102</v>
      </c>
      <c r="F290" s="312" t="s">
        <v>102</v>
      </c>
      <c r="G290" s="312"/>
      <c r="H290" s="312"/>
      <c r="I290" s="312"/>
      <c r="J290" s="312"/>
      <c r="K290" s="312" t="s">
        <v>102</v>
      </c>
      <c r="L290" s="312" t="s">
        <v>102</v>
      </c>
      <c r="M290" s="312" t="s">
        <v>102</v>
      </c>
      <c r="N290" s="312"/>
      <c r="O290" s="312"/>
      <c r="P290" s="312"/>
      <c r="Q290" s="312"/>
      <c r="R290" s="312" t="s">
        <v>102</v>
      </c>
      <c r="S290" s="312" t="s">
        <v>102</v>
      </c>
      <c r="T290" s="312" t="s">
        <v>102</v>
      </c>
      <c r="U290" s="312"/>
      <c r="V290" s="312"/>
      <c r="W290" s="312"/>
      <c r="X290" s="312"/>
      <c r="Y290" s="312" t="s">
        <v>102</v>
      </c>
      <c r="Z290" s="312" t="s">
        <v>102</v>
      </c>
      <c r="AA290" s="312" t="s">
        <v>102</v>
      </c>
      <c r="AB290" s="312" t="s">
        <v>102</v>
      </c>
      <c r="AC290" s="312"/>
      <c r="AD290" s="312"/>
      <c r="AE290" s="312"/>
      <c r="AF290" s="312"/>
      <c r="AG290" s="312"/>
      <c r="AH290" s="313">
        <f t="shared" ref="AH290:AH309" si="12">COUNTIF(C290:AG290,"√")</f>
        <v>13</v>
      </c>
    </row>
    <row r="291" ht="15.6" spans="1:35">
      <c r="A291" s="314"/>
      <c r="B291" s="310" t="s">
        <v>13</v>
      </c>
      <c r="C291" s="310"/>
      <c r="D291" s="310"/>
      <c r="E291" s="310"/>
      <c r="F291" s="312"/>
      <c r="G291" s="312" t="s">
        <v>102</v>
      </c>
      <c r="H291" s="312" t="s">
        <v>102</v>
      </c>
      <c r="I291" s="312" t="s">
        <v>102</v>
      </c>
      <c r="J291" s="310"/>
      <c r="K291" s="310"/>
      <c r="L291" s="310"/>
      <c r="M291" s="312"/>
      <c r="N291" s="312" t="s">
        <v>102</v>
      </c>
      <c r="O291" s="312" t="s">
        <v>102</v>
      </c>
      <c r="P291" s="312" t="s">
        <v>102</v>
      </c>
      <c r="Q291" s="310"/>
      <c r="R291" s="310"/>
      <c r="S291" s="310"/>
      <c r="T291" s="312"/>
      <c r="U291" s="312" t="s">
        <v>102</v>
      </c>
      <c r="V291" s="312" t="s">
        <v>102</v>
      </c>
      <c r="W291" s="312" t="s">
        <v>102</v>
      </c>
      <c r="X291" s="310"/>
      <c r="Y291" s="310"/>
      <c r="Z291" s="310"/>
      <c r="AA291" s="312"/>
      <c r="AB291" s="312"/>
      <c r="AC291" s="312" t="s">
        <v>102</v>
      </c>
      <c r="AD291" s="312" t="s">
        <v>102</v>
      </c>
      <c r="AE291" s="310"/>
      <c r="AF291" s="312" t="s">
        <v>102</v>
      </c>
      <c r="AG291" s="312" t="s">
        <v>102</v>
      </c>
      <c r="AH291" s="313">
        <f t="shared" si="12"/>
        <v>13</v>
      </c>
    </row>
    <row r="292" ht="15.6" spans="1:35">
      <c r="A292" s="314"/>
      <c r="B292" s="310" t="s">
        <v>14</v>
      </c>
      <c r="C292" s="319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312"/>
      <c r="O292" s="312"/>
      <c r="P292" s="312"/>
      <c r="Q292" s="312"/>
      <c r="R292" s="312"/>
      <c r="S292" s="312"/>
      <c r="T292" s="312"/>
      <c r="U292" s="312"/>
      <c r="V292" s="312"/>
      <c r="W292" s="312"/>
      <c r="X292" s="310"/>
      <c r="Y292" s="312"/>
      <c r="Z292" s="312"/>
      <c r="AA292" s="310"/>
      <c r="AB292" s="312"/>
      <c r="AC292" s="312"/>
      <c r="AD292" s="312"/>
      <c r="AE292" s="312"/>
      <c r="AF292" s="312"/>
      <c r="AG292" s="312"/>
      <c r="AH292" s="313">
        <f t="shared" si="12"/>
        <v>0</v>
      </c>
    </row>
    <row r="293" ht="15.6" spans="1:35">
      <c r="A293" s="314"/>
      <c r="B293" s="310" t="s">
        <v>15</v>
      </c>
      <c r="C293" s="319"/>
      <c r="D293" s="312"/>
      <c r="E293" s="312"/>
      <c r="F293" s="312"/>
      <c r="G293" s="312"/>
      <c r="H293" s="312"/>
      <c r="I293" s="312"/>
      <c r="J293" s="312"/>
      <c r="K293" s="312"/>
      <c r="L293" s="312"/>
      <c r="M293" s="312"/>
      <c r="N293" s="312"/>
      <c r="O293" s="312"/>
      <c r="P293" s="312"/>
      <c r="Q293" s="312"/>
      <c r="R293" s="312"/>
      <c r="S293" s="312"/>
      <c r="T293" s="312"/>
      <c r="U293" s="312"/>
      <c r="V293" s="312"/>
      <c r="W293" s="312"/>
      <c r="X293" s="310"/>
      <c r="Y293" s="312"/>
      <c r="Z293" s="312"/>
      <c r="AA293" s="310"/>
      <c r="AB293" s="312"/>
      <c r="AC293" s="312"/>
      <c r="AD293" s="312"/>
      <c r="AE293" s="312"/>
      <c r="AF293" s="312"/>
      <c r="AG293" s="312"/>
      <c r="AH293" s="313">
        <f t="shared" si="12"/>
        <v>0</v>
      </c>
    </row>
    <row r="294" ht="15.6" spans="1:35">
      <c r="A294" s="314"/>
      <c r="B294" s="310" t="s">
        <v>16</v>
      </c>
      <c r="C294" s="319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  <c r="AA294" s="310"/>
      <c r="AB294" s="310"/>
      <c r="AC294" s="310"/>
      <c r="AD294" s="310"/>
      <c r="AE294" s="310"/>
      <c r="AF294" s="310"/>
      <c r="AG294" s="310"/>
      <c r="AH294" s="313">
        <f t="shared" si="12"/>
        <v>0</v>
      </c>
    </row>
    <row r="295" ht="15.6" spans="1:35">
      <c r="A295" s="310"/>
      <c r="B295" s="310" t="s">
        <v>12</v>
      </c>
      <c r="C295" s="312"/>
      <c r="D295" s="312" t="s">
        <v>102</v>
      </c>
      <c r="E295" s="312" t="s">
        <v>102</v>
      </c>
      <c r="F295" s="312" t="s">
        <v>102</v>
      </c>
      <c r="G295" s="312" t="s">
        <v>102</v>
      </c>
      <c r="H295" s="312" t="s">
        <v>102</v>
      </c>
      <c r="I295" s="312" t="s">
        <v>102</v>
      </c>
      <c r="J295" s="312"/>
      <c r="K295" s="312" t="s">
        <v>102</v>
      </c>
      <c r="L295" s="312" t="s">
        <v>102</v>
      </c>
      <c r="M295" s="312" t="s">
        <v>102</v>
      </c>
      <c r="N295" s="312" t="s">
        <v>102</v>
      </c>
      <c r="O295" s="312" t="s">
        <v>102</v>
      </c>
      <c r="P295" s="312" t="s">
        <v>102</v>
      </c>
      <c r="Q295" s="312"/>
      <c r="R295" s="312" t="s">
        <v>102</v>
      </c>
      <c r="S295" s="312" t="s">
        <v>102</v>
      </c>
      <c r="T295" s="312" t="s">
        <v>102</v>
      </c>
      <c r="U295" s="312" t="s">
        <v>102</v>
      </c>
      <c r="V295" s="312" t="s">
        <v>102</v>
      </c>
      <c r="W295" s="312" t="s">
        <v>102</v>
      </c>
      <c r="X295" s="312"/>
      <c r="Y295" s="312" t="s">
        <v>102</v>
      </c>
      <c r="Z295" s="312" t="s">
        <v>102</v>
      </c>
      <c r="AA295" s="312" t="s">
        <v>102</v>
      </c>
      <c r="AB295" s="312" t="s">
        <v>102</v>
      </c>
      <c r="AC295" s="312" t="s">
        <v>102</v>
      </c>
      <c r="AD295" s="312" t="s">
        <v>102</v>
      </c>
      <c r="AE295" s="312"/>
      <c r="AF295" s="312" t="s">
        <v>102</v>
      </c>
      <c r="AG295" s="312" t="s">
        <v>102</v>
      </c>
      <c r="AH295" s="313">
        <f t="shared" si="12"/>
        <v>26</v>
      </c>
    </row>
    <row r="296" ht="15.6" spans="1:35">
      <c r="A296" s="310"/>
      <c r="B296" s="310" t="s">
        <v>13</v>
      </c>
      <c r="C296" s="319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  <c r="R296" s="310"/>
      <c r="S296" s="310"/>
      <c r="T296" s="310"/>
      <c r="U296" s="310"/>
      <c r="V296" s="310"/>
      <c r="W296" s="310"/>
      <c r="X296" s="310"/>
      <c r="Y296" s="310"/>
      <c r="Z296" s="310"/>
      <c r="AA296" s="310"/>
      <c r="AB296" s="310"/>
      <c r="AC296" s="310"/>
      <c r="AD296" s="310"/>
      <c r="AE296" s="310"/>
      <c r="AF296" s="310"/>
      <c r="AG296" s="310"/>
      <c r="AH296" s="313">
        <f t="shared" si="12"/>
        <v>0</v>
      </c>
    </row>
    <row r="297" ht="15.6" spans="1:35">
      <c r="A297" s="310"/>
      <c r="B297" s="310" t="s">
        <v>14</v>
      </c>
      <c r="C297" s="319"/>
      <c r="D297" s="312"/>
      <c r="E297" s="312"/>
      <c r="F297" s="312"/>
      <c r="G297" s="312"/>
      <c r="H297" s="312"/>
      <c r="I297" s="312"/>
      <c r="J297" s="312"/>
      <c r="K297" s="312"/>
      <c r="L297" s="312"/>
      <c r="M297" s="312"/>
      <c r="N297" s="312"/>
      <c r="O297" s="312"/>
      <c r="P297" s="312"/>
      <c r="Q297" s="312"/>
      <c r="R297" s="312"/>
      <c r="S297" s="312"/>
      <c r="T297" s="312"/>
      <c r="U297" s="312"/>
      <c r="V297" s="312"/>
      <c r="W297" s="312"/>
      <c r="X297" s="310"/>
      <c r="Y297" s="312"/>
      <c r="Z297" s="312"/>
      <c r="AA297" s="310"/>
      <c r="AB297" s="312"/>
      <c r="AC297" s="312"/>
      <c r="AD297" s="310"/>
      <c r="AE297" s="312"/>
      <c r="AF297" s="312"/>
      <c r="AG297" s="312"/>
      <c r="AH297" s="313">
        <f t="shared" si="12"/>
        <v>0</v>
      </c>
    </row>
    <row r="298" ht="15.6" spans="1:35">
      <c r="A298" s="310"/>
      <c r="B298" s="310" t="s">
        <v>15</v>
      </c>
      <c r="C298" s="319"/>
      <c r="D298" s="312"/>
      <c r="E298" s="312"/>
      <c r="F298" s="312"/>
      <c r="G298" s="312"/>
      <c r="H298" s="312"/>
      <c r="I298" s="312"/>
      <c r="J298" s="312"/>
      <c r="K298" s="312"/>
      <c r="L298" s="312"/>
      <c r="M298" s="312"/>
      <c r="N298" s="312"/>
      <c r="O298" s="312"/>
      <c r="P298" s="312"/>
      <c r="Q298" s="312"/>
      <c r="R298" s="312"/>
      <c r="S298" s="312"/>
      <c r="T298" s="312"/>
      <c r="U298" s="312"/>
      <c r="V298" s="312"/>
      <c r="W298" s="312"/>
      <c r="X298" s="310"/>
      <c r="Y298" s="312"/>
      <c r="Z298" s="312"/>
      <c r="AA298" s="310"/>
      <c r="AB298" s="312"/>
      <c r="AC298" s="312"/>
      <c r="AD298" s="310"/>
      <c r="AE298" s="312"/>
      <c r="AF298" s="312"/>
      <c r="AG298" s="312"/>
      <c r="AH298" s="313">
        <f t="shared" si="12"/>
        <v>0</v>
      </c>
    </row>
    <row r="299" ht="15.6" spans="1:35">
      <c r="A299" s="310"/>
      <c r="B299" s="310" t="s">
        <v>16</v>
      </c>
      <c r="C299" s="319"/>
      <c r="D299" s="312"/>
      <c r="E299" s="312"/>
      <c r="F299" s="312"/>
      <c r="G299" s="312"/>
      <c r="H299" s="312"/>
      <c r="I299" s="312"/>
      <c r="J299" s="312"/>
      <c r="K299" s="312"/>
      <c r="L299" s="312"/>
      <c r="M299" s="312"/>
      <c r="N299" s="312"/>
      <c r="O299" s="312"/>
      <c r="P299" s="312"/>
      <c r="Q299" s="312"/>
      <c r="R299" s="312"/>
      <c r="S299" s="312"/>
      <c r="T299" s="312"/>
      <c r="U299" s="312"/>
      <c r="V299" s="312"/>
      <c r="W299" s="312"/>
      <c r="X299" s="310"/>
      <c r="Y299" s="312"/>
      <c r="Z299" s="312"/>
      <c r="AA299" s="310"/>
      <c r="AB299" s="312"/>
      <c r="AC299" s="312"/>
      <c r="AD299" s="310"/>
      <c r="AE299" s="312"/>
      <c r="AF299" s="312"/>
      <c r="AG299" s="312"/>
      <c r="AH299" s="313">
        <f t="shared" si="12"/>
        <v>0</v>
      </c>
    </row>
    <row r="300" ht="15.6" spans="1:35">
      <c r="A300" s="311"/>
      <c r="B300" s="310" t="s">
        <v>12</v>
      </c>
      <c r="C300" s="319"/>
      <c r="D300" s="312"/>
      <c r="E300" s="312"/>
      <c r="F300" s="312"/>
      <c r="G300" s="312"/>
      <c r="H300" s="312"/>
      <c r="I300" s="312"/>
      <c r="J300" s="312"/>
      <c r="K300" s="312"/>
      <c r="L300" s="312"/>
      <c r="M300" s="312"/>
      <c r="N300" s="312"/>
      <c r="O300" s="312"/>
      <c r="P300" s="312"/>
      <c r="Q300" s="312"/>
      <c r="R300" s="312"/>
      <c r="S300" s="312"/>
      <c r="T300" s="312"/>
      <c r="U300" s="312"/>
      <c r="V300" s="312"/>
      <c r="W300" s="312"/>
      <c r="X300" s="310"/>
      <c r="Y300" s="312"/>
      <c r="Z300" s="312"/>
      <c r="AA300" s="310"/>
      <c r="AB300" s="312"/>
      <c r="AC300" s="312"/>
      <c r="AD300" s="310"/>
      <c r="AE300" s="312"/>
      <c r="AF300" s="312"/>
      <c r="AG300" s="312"/>
      <c r="AH300" s="313">
        <f t="shared" si="12"/>
        <v>0</v>
      </c>
    </row>
    <row r="301" ht="15.6" spans="1:35">
      <c r="A301" s="314"/>
      <c r="B301" s="310" t="s">
        <v>13</v>
      </c>
      <c r="C301" s="319"/>
      <c r="D301" s="312"/>
      <c r="E301" s="312"/>
      <c r="F301" s="312"/>
      <c r="G301" s="312"/>
      <c r="H301" s="312"/>
      <c r="I301" s="312"/>
      <c r="J301" s="312"/>
      <c r="K301" s="312"/>
      <c r="L301" s="312"/>
      <c r="M301" s="312"/>
      <c r="N301" s="312"/>
      <c r="O301" s="312"/>
      <c r="P301" s="312"/>
      <c r="Q301" s="312"/>
      <c r="R301" s="312"/>
      <c r="S301" s="312"/>
      <c r="T301" s="312"/>
      <c r="U301" s="312"/>
      <c r="V301" s="312"/>
      <c r="W301" s="312"/>
      <c r="X301" s="310"/>
      <c r="Y301" s="312"/>
      <c r="Z301" s="312"/>
      <c r="AA301" s="310"/>
      <c r="AB301" s="312"/>
      <c r="AC301" s="312"/>
      <c r="AD301" s="310"/>
      <c r="AE301" s="312"/>
      <c r="AF301" s="312"/>
      <c r="AG301" s="312"/>
      <c r="AH301" s="313">
        <f t="shared" si="12"/>
        <v>0</v>
      </c>
    </row>
    <row r="302" ht="15.6" spans="1:35">
      <c r="A302" s="314"/>
      <c r="B302" s="310" t="s">
        <v>14</v>
      </c>
      <c r="C302" s="319"/>
      <c r="D302" s="312"/>
      <c r="E302" s="312"/>
      <c r="F302" s="312"/>
      <c r="G302" s="312"/>
      <c r="H302" s="312"/>
      <c r="I302" s="312"/>
      <c r="J302" s="312"/>
      <c r="K302" s="312"/>
      <c r="L302" s="312"/>
      <c r="M302" s="312"/>
      <c r="N302" s="312"/>
      <c r="O302" s="312"/>
      <c r="P302" s="312"/>
      <c r="Q302" s="312"/>
      <c r="R302" s="312"/>
      <c r="S302" s="312"/>
      <c r="T302" s="312"/>
      <c r="U302" s="312"/>
      <c r="V302" s="312"/>
      <c r="W302" s="312"/>
      <c r="X302" s="310"/>
      <c r="Y302" s="312"/>
      <c r="Z302" s="312"/>
      <c r="AA302" s="310"/>
      <c r="AB302" s="312"/>
      <c r="AC302" s="312"/>
      <c r="AD302" s="310"/>
      <c r="AE302" s="312"/>
      <c r="AF302" s="312"/>
      <c r="AG302" s="312"/>
      <c r="AH302" s="313">
        <f t="shared" si="12"/>
        <v>0</v>
      </c>
    </row>
    <row r="303" ht="15.6" spans="1:35">
      <c r="A303" s="314"/>
      <c r="B303" s="310" t="s">
        <v>15</v>
      </c>
      <c r="C303" s="319"/>
      <c r="D303" s="312"/>
      <c r="E303" s="312"/>
      <c r="F303" s="312"/>
      <c r="G303" s="312"/>
      <c r="H303" s="312"/>
      <c r="I303" s="312"/>
      <c r="J303" s="312"/>
      <c r="K303" s="312"/>
      <c r="L303" s="312"/>
      <c r="M303" s="312"/>
      <c r="N303" s="312"/>
      <c r="O303" s="312"/>
      <c r="P303" s="312"/>
      <c r="Q303" s="312"/>
      <c r="R303" s="312"/>
      <c r="S303" s="312"/>
      <c r="T303" s="312"/>
      <c r="U303" s="312"/>
      <c r="V303" s="312"/>
      <c r="W303" s="312"/>
      <c r="X303" s="310"/>
      <c r="Y303" s="312"/>
      <c r="Z303" s="312"/>
      <c r="AA303" s="310"/>
      <c r="AB303" s="312"/>
      <c r="AC303" s="312"/>
      <c r="AD303" s="310"/>
      <c r="AE303" s="312"/>
      <c r="AF303" s="312"/>
      <c r="AG303" s="312"/>
      <c r="AH303" s="313">
        <f t="shared" si="12"/>
        <v>0</v>
      </c>
    </row>
    <row r="304" ht="15.6" spans="1:35">
      <c r="A304" s="314"/>
      <c r="B304" s="310" t="s">
        <v>16</v>
      </c>
      <c r="C304" s="319"/>
      <c r="D304" s="312"/>
      <c r="E304" s="312"/>
      <c r="F304" s="312"/>
      <c r="G304" s="312"/>
      <c r="H304" s="312"/>
      <c r="I304" s="312"/>
      <c r="J304" s="312"/>
      <c r="K304" s="312"/>
      <c r="L304" s="312"/>
      <c r="M304" s="312"/>
      <c r="N304" s="312"/>
      <c r="O304" s="312"/>
      <c r="P304" s="312"/>
      <c r="Q304" s="312"/>
      <c r="R304" s="312"/>
      <c r="S304" s="312"/>
      <c r="T304" s="312"/>
      <c r="U304" s="312"/>
      <c r="V304" s="312"/>
      <c r="W304" s="312"/>
      <c r="X304" s="310"/>
      <c r="Y304" s="312"/>
      <c r="Z304" s="312"/>
      <c r="AA304" s="310"/>
      <c r="AB304" s="312"/>
      <c r="AC304" s="312"/>
      <c r="AD304" s="310"/>
      <c r="AE304" s="312"/>
      <c r="AF304" s="312"/>
      <c r="AG304" s="312"/>
      <c r="AH304" s="313">
        <f t="shared" si="12"/>
        <v>0</v>
      </c>
    </row>
    <row r="305" ht="15.6" spans="1:36">
      <c r="A305" s="311"/>
      <c r="B305" s="310" t="s">
        <v>12</v>
      </c>
      <c r="C305" s="319"/>
      <c r="D305" s="312"/>
      <c r="E305" s="312"/>
      <c r="F305" s="312"/>
      <c r="G305" s="312"/>
      <c r="H305" s="312"/>
      <c r="I305" s="312"/>
      <c r="J305" s="312"/>
      <c r="K305" s="312"/>
      <c r="L305" s="312"/>
      <c r="M305" s="312"/>
      <c r="N305" s="312"/>
      <c r="O305" s="312"/>
      <c r="P305" s="312"/>
      <c r="Q305" s="312"/>
      <c r="R305" s="312"/>
      <c r="S305" s="312"/>
      <c r="T305" s="312"/>
      <c r="U305" s="312"/>
      <c r="V305" s="312"/>
      <c r="W305" s="312"/>
      <c r="X305" s="310"/>
      <c r="Y305" s="312"/>
      <c r="Z305" s="312"/>
      <c r="AA305" s="310"/>
      <c r="AB305" s="312"/>
      <c r="AC305" s="312"/>
      <c r="AD305" s="310"/>
      <c r="AE305" s="312"/>
      <c r="AF305" s="312"/>
      <c r="AG305" s="312"/>
      <c r="AH305" s="313">
        <f t="shared" si="12"/>
        <v>0</v>
      </c>
    </row>
    <row r="306" ht="15.6" spans="1:36">
      <c r="A306" s="314"/>
      <c r="B306" s="310" t="s">
        <v>13</v>
      </c>
      <c r="C306" s="319"/>
      <c r="D306" s="312"/>
      <c r="E306" s="312"/>
      <c r="F306" s="312"/>
      <c r="G306" s="312"/>
      <c r="H306" s="312"/>
      <c r="I306" s="312"/>
      <c r="J306" s="312"/>
      <c r="K306" s="312"/>
      <c r="L306" s="312"/>
      <c r="M306" s="312"/>
      <c r="N306" s="312"/>
      <c r="O306" s="312"/>
      <c r="P306" s="312"/>
      <c r="Q306" s="312"/>
      <c r="R306" s="312"/>
      <c r="S306" s="312"/>
      <c r="T306" s="312"/>
      <c r="U306" s="312"/>
      <c r="V306" s="312"/>
      <c r="W306" s="312"/>
      <c r="X306" s="310"/>
      <c r="Y306" s="312"/>
      <c r="Z306" s="312"/>
      <c r="AA306" s="310"/>
      <c r="AB306" s="312"/>
      <c r="AC306" s="312"/>
      <c r="AD306" s="310"/>
      <c r="AE306" s="312"/>
      <c r="AF306" s="312"/>
      <c r="AG306" s="312"/>
      <c r="AH306" s="313">
        <f t="shared" si="12"/>
        <v>0</v>
      </c>
    </row>
    <row r="307" ht="15.6" spans="1:36">
      <c r="A307" s="314"/>
      <c r="B307" s="310" t="s">
        <v>14</v>
      </c>
      <c r="C307" s="319"/>
      <c r="D307" s="312"/>
      <c r="E307" s="312"/>
      <c r="F307" s="312"/>
      <c r="G307" s="312"/>
      <c r="H307" s="312"/>
      <c r="I307" s="312"/>
      <c r="J307" s="312"/>
      <c r="K307" s="312"/>
      <c r="L307" s="312"/>
      <c r="M307" s="312"/>
      <c r="N307" s="312"/>
      <c r="O307" s="312"/>
      <c r="P307" s="312"/>
      <c r="Q307" s="312"/>
      <c r="R307" s="312"/>
      <c r="S307" s="312"/>
      <c r="T307" s="312"/>
      <c r="U307" s="312"/>
      <c r="V307" s="312"/>
      <c r="W307" s="312"/>
      <c r="X307" s="310"/>
      <c r="Y307" s="312"/>
      <c r="Z307" s="312"/>
      <c r="AA307" s="310"/>
      <c r="AB307" s="312"/>
      <c r="AC307" s="312"/>
      <c r="AD307" s="310"/>
      <c r="AE307" s="312"/>
      <c r="AF307" s="312"/>
      <c r="AG307" s="312"/>
      <c r="AH307" s="313">
        <f t="shared" si="12"/>
        <v>0</v>
      </c>
    </row>
    <row r="308" ht="15.6" spans="1:36">
      <c r="A308" s="314"/>
      <c r="B308" s="310" t="s">
        <v>15</v>
      </c>
      <c r="C308" s="319"/>
      <c r="D308" s="312"/>
      <c r="E308" s="312"/>
      <c r="F308" s="312"/>
      <c r="G308" s="312"/>
      <c r="H308" s="312"/>
      <c r="I308" s="312"/>
      <c r="J308" s="312"/>
      <c r="K308" s="312"/>
      <c r="L308" s="312"/>
      <c r="M308" s="312"/>
      <c r="N308" s="312"/>
      <c r="O308" s="312"/>
      <c r="P308" s="312"/>
      <c r="Q308" s="312"/>
      <c r="R308" s="312"/>
      <c r="S308" s="312"/>
      <c r="T308" s="312"/>
      <c r="U308" s="312"/>
      <c r="V308" s="312"/>
      <c r="W308" s="312"/>
      <c r="X308" s="310"/>
      <c r="Y308" s="312"/>
      <c r="Z308" s="312"/>
      <c r="AA308" s="310"/>
      <c r="AB308" s="312"/>
      <c r="AC308" s="312"/>
      <c r="AD308" s="310"/>
      <c r="AE308" s="312"/>
      <c r="AF308" s="312"/>
      <c r="AG308" s="312"/>
      <c r="AH308" s="313">
        <f t="shared" si="12"/>
        <v>0</v>
      </c>
    </row>
    <row r="309" ht="15.6" spans="1:36">
      <c r="A309" s="314"/>
      <c r="B309" s="310" t="s">
        <v>16</v>
      </c>
      <c r="C309" s="319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  <c r="R309" s="310"/>
      <c r="S309" s="310"/>
      <c r="T309" s="310"/>
      <c r="U309" s="310"/>
      <c r="V309" s="310"/>
      <c r="W309" s="310"/>
      <c r="X309" s="310"/>
      <c r="Y309" s="310"/>
      <c r="Z309" s="310"/>
      <c r="AA309" s="310"/>
      <c r="AB309" s="310"/>
      <c r="AC309" s="310"/>
      <c r="AD309" s="310"/>
      <c r="AE309" s="310"/>
      <c r="AF309" s="310"/>
      <c r="AG309" s="310"/>
      <c r="AH309" s="313">
        <f t="shared" si="12"/>
        <v>0</v>
      </c>
      <c r="AI309" s="321"/>
      <c r="AJ309" s="321"/>
    </row>
    <row r="310" ht="15.6" spans="1:36">
      <c r="A310" s="315" t="s">
        <v>103</v>
      </c>
      <c r="B310" s="316"/>
      <c r="C310" s="315"/>
      <c r="D310" s="315"/>
      <c r="E310" s="315"/>
      <c r="F310" s="320"/>
      <c r="G310" s="320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7"/>
    </row>
  </sheetData>
  <mergeCells count="84">
    <mergeCell ref="A1:AH1"/>
    <mergeCell ref="A2:AH2"/>
    <mergeCell ref="A24:AH24"/>
    <mergeCell ref="A27:AF27"/>
    <mergeCell ref="A28:AF28"/>
    <mergeCell ref="A50:AF50"/>
    <mergeCell ref="A53:AI53"/>
    <mergeCell ref="A54:AI54"/>
    <mergeCell ref="A76:AI76"/>
    <mergeCell ref="A79:AH79"/>
    <mergeCell ref="A80:AH80"/>
    <mergeCell ref="A102:AH102"/>
    <mergeCell ref="A105:AI105"/>
    <mergeCell ref="A106:AI106"/>
    <mergeCell ref="A128:AI128"/>
    <mergeCell ref="A131:AH131"/>
    <mergeCell ref="A132:AH132"/>
    <mergeCell ref="A154:AH154"/>
    <mergeCell ref="A157:AI157"/>
    <mergeCell ref="A158:AI158"/>
    <mergeCell ref="A180:AI180"/>
    <mergeCell ref="A183:AI183"/>
    <mergeCell ref="A184:AI184"/>
    <mergeCell ref="A206:AI206"/>
    <mergeCell ref="A209:AH209"/>
    <mergeCell ref="A210:AH210"/>
    <mergeCell ref="A232:AH232"/>
    <mergeCell ref="A235:AI235"/>
    <mergeCell ref="A236:AI236"/>
    <mergeCell ref="A258:AI258"/>
    <mergeCell ref="A261:AH261"/>
    <mergeCell ref="A262:AH262"/>
    <mergeCell ref="A284:AH284"/>
    <mergeCell ref="A287:AI287"/>
    <mergeCell ref="A288:AI288"/>
    <mergeCell ref="A310:AI310"/>
    <mergeCell ref="A4:A8"/>
    <mergeCell ref="A9:A13"/>
    <mergeCell ref="A14:A18"/>
    <mergeCell ref="A19:A23"/>
    <mergeCell ref="A30:A34"/>
    <mergeCell ref="A35:A39"/>
    <mergeCell ref="A40:A44"/>
    <mergeCell ref="A45:A49"/>
    <mergeCell ref="A56:A60"/>
    <mergeCell ref="A61:A65"/>
    <mergeCell ref="A66:A70"/>
    <mergeCell ref="A71:A75"/>
    <mergeCell ref="A82:A86"/>
    <mergeCell ref="A87:A91"/>
    <mergeCell ref="A92:A96"/>
    <mergeCell ref="A97:A101"/>
    <mergeCell ref="A108:A112"/>
    <mergeCell ref="A113:A117"/>
    <mergeCell ref="A118:A122"/>
    <mergeCell ref="A123:A127"/>
    <mergeCell ref="A134:A138"/>
    <mergeCell ref="A139:A143"/>
    <mergeCell ref="A144:A148"/>
    <mergeCell ref="A149:A153"/>
    <mergeCell ref="A160:A164"/>
    <mergeCell ref="A165:A169"/>
    <mergeCell ref="A170:A174"/>
    <mergeCell ref="A175:A179"/>
    <mergeCell ref="A186:A190"/>
    <mergeCell ref="A191:A195"/>
    <mergeCell ref="A196:A200"/>
    <mergeCell ref="A201:A205"/>
    <mergeCell ref="A212:A216"/>
    <mergeCell ref="A217:A221"/>
    <mergeCell ref="A222:A226"/>
    <mergeCell ref="A227:A231"/>
    <mergeCell ref="A238:A242"/>
    <mergeCell ref="A243:A247"/>
    <mergeCell ref="A248:A252"/>
    <mergeCell ref="A253:A257"/>
    <mergeCell ref="A264:A268"/>
    <mergeCell ref="A269:A273"/>
    <mergeCell ref="A274:A278"/>
    <mergeCell ref="A279:A283"/>
    <mergeCell ref="A290:A294"/>
    <mergeCell ref="A295:A299"/>
    <mergeCell ref="A300:A304"/>
    <mergeCell ref="A305:A309"/>
  </mergeCells>
  <pageMargins left="0.75" right="0.75" top="1" bottom="1" header="0.5" footer="0.5"/>
  <pageSetup paperSize="9" scale="68" orientation="landscape"/>
  <headerFooter/>
  <colBreaks count="1" manualBreakCount="1"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FAB5A"/>
    <pageSetUpPr fitToPage="1"/>
  </sheetPr>
  <dimension ref="A2:AJ454"/>
  <sheetViews>
    <sheetView showZeros="0" view="pageBreakPreview" zoomScaleNormal="100" topLeftCell="A367" workbookViewId="0">
      <selection activeCell="A384" sqref="A384"/>
    </sheetView>
  </sheetViews>
  <sheetFormatPr defaultColWidth="9" defaultRowHeight="16" customHeight="1"/>
  <cols>
    <col min="1" max="1" width="10.3796296296296" style="295" customWidth="1"/>
    <col min="2" max="31" width="5.62962962962963" style="176" customWidth="1"/>
    <col min="32" max="32" width="5.37962962962963" style="176" customWidth="1"/>
    <col min="33" max="33" width="9.25" style="295" customWidth="1"/>
    <col min="34" max="34" width="9" style="295"/>
    <col min="35" max="36" width="8.62962962962963" style="296" customWidth="1"/>
    <col min="37" max="16384" width="9" style="295"/>
  </cols>
  <sheetData>
    <row r="2" customHeight="1" spans="1:36">
      <c r="A2" s="296" t="s">
        <v>104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296"/>
    </row>
    <row r="3" customHeight="1" spans="1:36">
      <c r="A3" s="296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296"/>
    </row>
    <row r="4" customHeight="1" spans="1:36">
      <c r="A4" s="297" t="s">
        <v>32</v>
      </c>
      <c r="B4" s="298" t="s">
        <v>105</v>
      </c>
      <c r="C4" s="298" t="s">
        <v>106</v>
      </c>
      <c r="D4" s="165" t="s">
        <v>107</v>
      </c>
      <c r="E4" s="165" t="s">
        <v>108</v>
      </c>
      <c r="F4" s="165" t="s">
        <v>109</v>
      </c>
      <c r="G4" s="165" t="s">
        <v>110</v>
      </c>
      <c r="H4" s="299" t="s">
        <v>111</v>
      </c>
      <c r="I4" s="299" t="s">
        <v>105</v>
      </c>
      <c r="J4" s="165" t="s">
        <v>106</v>
      </c>
      <c r="K4" s="165" t="s">
        <v>107</v>
      </c>
      <c r="L4" s="165" t="s">
        <v>108</v>
      </c>
      <c r="M4" s="165" t="s">
        <v>109</v>
      </c>
      <c r="N4" s="165" t="s">
        <v>110</v>
      </c>
      <c r="O4" s="299" t="s">
        <v>111</v>
      </c>
      <c r="P4" s="299" t="s">
        <v>105</v>
      </c>
      <c r="Q4" s="165" t="s">
        <v>106</v>
      </c>
      <c r="R4" s="165" t="s">
        <v>107</v>
      </c>
      <c r="S4" s="165" t="s">
        <v>108</v>
      </c>
      <c r="T4" s="165" t="s">
        <v>109</v>
      </c>
      <c r="U4" s="165" t="s">
        <v>110</v>
      </c>
      <c r="V4" s="298" t="s">
        <v>111</v>
      </c>
      <c r="W4" s="298" t="s">
        <v>105</v>
      </c>
      <c r="X4" s="298" t="s">
        <v>106</v>
      </c>
      <c r="Y4" s="298" t="s">
        <v>107</v>
      </c>
      <c r="Z4" s="298" t="s">
        <v>108</v>
      </c>
      <c r="AA4" s="298" t="s">
        <v>109</v>
      </c>
      <c r="AB4" s="298" t="s">
        <v>110</v>
      </c>
      <c r="AC4" s="165" t="s">
        <v>111</v>
      </c>
      <c r="AD4" s="165" t="s">
        <v>105</v>
      </c>
      <c r="AE4" s="165" t="s">
        <v>106</v>
      </c>
      <c r="AF4" s="165" t="s">
        <v>107</v>
      </c>
      <c r="AG4" s="297" t="s">
        <v>39</v>
      </c>
      <c r="AH4" s="297" t="s">
        <v>34</v>
      </c>
      <c r="AI4" s="300" t="s">
        <v>112</v>
      </c>
      <c r="AJ4" s="300" t="s">
        <v>113</v>
      </c>
    </row>
    <row r="5" customHeight="1" spans="1:36">
      <c r="A5" s="301"/>
      <c r="B5" s="298">
        <v>1</v>
      </c>
      <c r="C5" s="298">
        <v>2</v>
      </c>
      <c r="D5" s="165">
        <v>3</v>
      </c>
      <c r="E5" s="165">
        <v>4</v>
      </c>
      <c r="F5" s="165">
        <v>5</v>
      </c>
      <c r="G5" s="165">
        <v>6</v>
      </c>
      <c r="H5" s="299">
        <v>7</v>
      </c>
      <c r="I5" s="299">
        <v>8</v>
      </c>
      <c r="J5" s="165">
        <v>9</v>
      </c>
      <c r="K5" s="165">
        <v>10</v>
      </c>
      <c r="L5" s="165">
        <v>11</v>
      </c>
      <c r="M5" s="165">
        <v>12</v>
      </c>
      <c r="N5" s="165">
        <v>13</v>
      </c>
      <c r="O5" s="299">
        <v>14</v>
      </c>
      <c r="P5" s="299">
        <v>15</v>
      </c>
      <c r="Q5" s="165">
        <v>16</v>
      </c>
      <c r="R5" s="165">
        <v>17</v>
      </c>
      <c r="S5" s="165">
        <v>18</v>
      </c>
      <c r="T5" s="165">
        <v>19</v>
      </c>
      <c r="U5" s="165">
        <v>20</v>
      </c>
      <c r="V5" s="298">
        <v>21</v>
      </c>
      <c r="W5" s="298">
        <v>22</v>
      </c>
      <c r="X5" s="298">
        <v>23</v>
      </c>
      <c r="Y5" s="298">
        <v>24</v>
      </c>
      <c r="Z5" s="298">
        <v>25</v>
      </c>
      <c r="AA5" s="298">
        <v>26</v>
      </c>
      <c r="AB5" s="298">
        <v>27</v>
      </c>
      <c r="AC5" s="165">
        <v>28</v>
      </c>
      <c r="AD5" s="165">
        <v>29</v>
      </c>
      <c r="AE5" s="165">
        <v>30</v>
      </c>
      <c r="AF5" s="165">
        <v>31</v>
      </c>
      <c r="AG5" s="301"/>
      <c r="AH5" s="301"/>
      <c r="AI5" s="300"/>
      <c r="AJ5" s="300"/>
    </row>
    <row r="6" customHeight="1" spans="1:36">
      <c r="A6" s="302">
        <f>'人员人工-研发人员工资'!B6</f>
        <v>0</v>
      </c>
      <c r="B6" s="303" t="s">
        <v>114</v>
      </c>
      <c r="C6" s="303" t="s">
        <v>114</v>
      </c>
      <c r="D6" s="303" t="s">
        <v>115</v>
      </c>
      <c r="E6" s="303" t="s">
        <v>115</v>
      </c>
      <c r="F6" s="303" t="s">
        <v>115</v>
      </c>
      <c r="G6" s="303" t="s">
        <v>102</v>
      </c>
      <c r="H6" s="303" t="s">
        <v>114</v>
      </c>
      <c r="I6" s="303" t="s">
        <v>114</v>
      </c>
      <c r="J6" s="303" t="s">
        <v>115</v>
      </c>
      <c r="K6" s="303" t="s">
        <v>115</v>
      </c>
      <c r="L6" s="303" t="s">
        <v>115</v>
      </c>
      <c r="M6" s="303" t="s">
        <v>115</v>
      </c>
      <c r="N6" s="303" t="s">
        <v>102</v>
      </c>
      <c r="O6" s="303" t="s">
        <v>114</v>
      </c>
      <c r="P6" s="303" t="s">
        <v>114</v>
      </c>
      <c r="Q6" s="303" t="s">
        <v>116</v>
      </c>
      <c r="R6" s="303" t="s">
        <v>116</v>
      </c>
      <c r="S6" s="303" t="s">
        <v>116</v>
      </c>
      <c r="T6" s="303" t="s">
        <v>116</v>
      </c>
      <c r="U6" s="303" t="s">
        <v>116</v>
      </c>
      <c r="V6" s="303" t="s">
        <v>114</v>
      </c>
      <c r="W6" s="303" t="s">
        <v>114</v>
      </c>
      <c r="X6" s="303" t="s">
        <v>114</v>
      </c>
      <c r="Y6" s="303" t="s">
        <v>114</v>
      </c>
      <c r="Z6" s="303" t="s">
        <v>114</v>
      </c>
      <c r="AA6" s="303" t="s">
        <v>114</v>
      </c>
      <c r="AB6" s="303" t="s">
        <v>114</v>
      </c>
      <c r="AC6" s="303" t="s">
        <v>117</v>
      </c>
      <c r="AD6" s="303" t="s">
        <v>117</v>
      </c>
      <c r="AE6" s="303" t="s">
        <v>117</v>
      </c>
      <c r="AF6" s="303" t="s">
        <v>117</v>
      </c>
      <c r="AG6" s="183">
        <f>COUNTIF(B6:AF6,"●")+COUNTIF(B6:AF6,"▲")+COUNTIF(B6:AF6,"■")+COUNTIF(B6:AF6,"★")+COUNTIF(B6:AF6,"◆")+COUNTIF(B6:AF6,"✽")+COUNTIF(B6:AF6,"❖")+COUNTIF(B6:AF6,"✪")+COUNTIF(B6:AF6,"✿")+COUNTIF(B6:AF6,"✤")</f>
        <v>16</v>
      </c>
      <c r="AH6" s="183">
        <f>COUNTIF(B6:AF6,"●")+COUNTIF(B6:AF6,"▲")+COUNTIF(B6:AF6,"■")+COUNTIF(B6:AF6,"★")+COUNTIF(B6:AF6,"◆")+COUNTIF(B6:AF6,"✽")+COUNTIF(B6:AF6,"❖")+COUNTIF(B6:AF6,"✪")+COUNTIF(B6:AF6,"✿")+COUNTIF(B6:AF6,"✤")+COUNTIF(B6:AF6,"√")</f>
        <v>18</v>
      </c>
      <c r="AI6" s="296">
        <f>AG6-'人员人工-研发人员工资'!E6</f>
        <v>16</v>
      </c>
      <c r="AJ6" s="296">
        <f>AH6-'人员人工-研发人员工资'!D6</f>
        <v>18</v>
      </c>
    </row>
    <row r="7" customHeight="1" spans="1:36">
      <c r="A7" s="302">
        <f>'人员人工-研发人员工资'!B7</f>
        <v>0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3">
        <f t="shared" ref="AG7:AG35" si="0">COUNTIF(B7:AF7,"●")+COUNTIF(B7:AF7,"▲")+COUNTIF(B7:AF7,"■")+COUNTIF(B7:AF7,"★")+COUNTIF(B7:AF7,"◆")+COUNTIF(B7:AF7,"✽")+COUNTIF(B7:AF7,"❖")+COUNTIF(B7:AF7,"✪")+COUNTIF(B7:AF7,"✿")+COUNTIF(B7:AF7,"✤")</f>
        <v>0</v>
      </c>
      <c r="AH7" s="183">
        <f t="shared" ref="AH7:AH35" si="1">COUNTIF(B7:AF7,"●")+COUNTIF(B7:AF7,"▲")+COUNTIF(B7:AF7,"■")+COUNTIF(B7:AF7,"★")+COUNTIF(B7:AF7,"◆")+COUNTIF(B7:AF7,"✽")+COUNTIF(B7:AF7,"❖")+COUNTIF(B7:AF7,"✪")+COUNTIF(B7:AF7,"✿")+COUNTIF(B7:AF7,"✤")+COUNTIF(B7:AF7,"√")</f>
        <v>0</v>
      </c>
      <c r="AI7" s="296">
        <f>AG7-'人员人工-研发人员工资'!E7</f>
        <v>0</v>
      </c>
      <c r="AJ7" s="296">
        <f>AH7-'人员人工-研发人员工资'!D7</f>
        <v>0</v>
      </c>
    </row>
    <row r="8" customHeight="1" spans="1:36">
      <c r="A8" s="302">
        <f>'人员人工-研发人员工资'!B8</f>
        <v>0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3">
        <f t="shared" si="0"/>
        <v>0</v>
      </c>
      <c r="AH8" s="183">
        <f t="shared" si="1"/>
        <v>0</v>
      </c>
      <c r="AI8" s="296">
        <f>AG8-'人员人工-研发人员工资'!E8</f>
        <v>0</v>
      </c>
      <c r="AJ8" s="296">
        <f>AH8-'人员人工-研发人员工资'!D8</f>
        <v>0</v>
      </c>
    </row>
    <row r="9" customHeight="1" spans="1:36">
      <c r="A9" s="302">
        <f>'人员人工-研发人员工资'!B9</f>
        <v>0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3">
        <f t="shared" si="0"/>
        <v>0</v>
      </c>
      <c r="AH9" s="183">
        <f t="shared" si="1"/>
        <v>0</v>
      </c>
      <c r="AI9" s="296">
        <f>AG9-'人员人工-研发人员工资'!E9</f>
        <v>0</v>
      </c>
      <c r="AJ9" s="296">
        <f>AH9-'人员人工-研发人员工资'!D9</f>
        <v>0</v>
      </c>
    </row>
    <row r="10" customHeight="1" spans="1:36">
      <c r="A10" s="302">
        <f>'人员人工-研发人员工资'!B10</f>
        <v>0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3">
        <f t="shared" si="0"/>
        <v>0</v>
      </c>
      <c r="AH10" s="183">
        <f t="shared" si="1"/>
        <v>0</v>
      </c>
      <c r="AI10" s="296">
        <f>AG10-'人员人工-研发人员工资'!E10</f>
        <v>0</v>
      </c>
      <c r="AJ10" s="296">
        <f>AH10-'人员人工-研发人员工资'!D10</f>
        <v>0</v>
      </c>
    </row>
    <row r="11" customHeight="1" spans="1:36">
      <c r="A11" s="302">
        <f>'人员人工-研发人员工资'!B11</f>
        <v>0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3">
        <f t="shared" si="0"/>
        <v>0</v>
      </c>
      <c r="AH11" s="183">
        <f t="shared" si="1"/>
        <v>0</v>
      </c>
      <c r="AI11" s="296">
        <f>AG11-'人员人工-研发人员工资'!E11</f>
        <v>0</v>
      </c>
      <c r="AJ11" s="296">
        <f>AH11-'人员人工-研发人员工资'!D11</f>
        <v>0</v>
      </c>
    </row>
    <row r="12" customHeight="1" spans="1:36">
      <c r="A12" s="302">
        <f>'人员人工-研发人员工资'!B12</f>
        <v>0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3">
        <f t="shared" si="0"/>
        <v>0</v>
      </c>
      <c r="AH12" s="183">
        <f t="shared" si="1"/>
        <v>0</v>
      </c>
      <c r="AI12" s="296">
        <f>AG12-'人员人工-研发人员工资'!E12</f>
        <v>0</v>
      </c>
      <c r="AJ12" s="296">
        <f>AH12-'人员人工-研发人员工资'!D12</f>
        <v>0</v>
      </c>
    </row>
    <row r="13" customHeight="1" spans="1:36">
      <c r="A13" s="302">
        <f>'人员人工-研发人员工资'!B13</f>
        <v>0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3">
        <f t="shared" si="0"/>
        <v>0</v>
      </c>
      <c r="AH13" s="183">
        <f t="shared" si="1"/>
        <v>0</v>
      </c>
      <c r="AI13" s="296">
        <f>AG13-'人员人工-研发人员工资'!E13</f>
        <v>0</v>
      </c>
      <c r="AJ13" s="296">
        <f>AH13-'人员人工-研发人员工资'!D13</f>
        <v>0</v>
      </c>
    </row>
    <row r="14" customHeight="1" spans="1:36">
      <c r="A14" s="302">
        <f>'人员人工-研发人员工资'!B14</f>
        <v>0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3">
        <f t="shared" si="0"/>
        <v>0</v>
      </c>
      <c r="AH14" s="183">
        <f t="shared" si="1"/>
        <v>0</v>
      </c>
      <c r="AI14" s="296">
        <f>AG14-'人员人工-研发人员工资'!E14</f>
        <v>0</v>
      </c>
      <c r="AJ14" s="296">
        <f>AH14-'人员人工-研发人员工资'!D14</f>
        <v>0</v>
      </c>
    </row>
    <row r="15" customHeight="1" spans="1:36">
      <c r="A15" s="302">
        <f>'人员人工-研发人员工资'!B15</f>
        <v>0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3">
        <f t="shared" si="0"/>
        <v>0</v>
      </c>
      <c r="AH15" s="183">
        <f t="shared" si="1"/>
        <v>0</v>
      </c>
      <c r="AI15" s="296">
        <f>AG15-'人员人工-研发人员工资'!E15</f>
        <v>0</v>
      </c>
      <c r="AJ15" s="296">
        <f>AH15-'人员人工-研发人员工资'!D15</f>
        <v>0</v>
      </c>
    </row>
    <row r="16" customHeight="1" spans="1:36">
      <c r="A16" s="302">
        <f>'人员人工-研发人员工资'!B16</f>
        <v>0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3">
        <f t="shared" si="0"/>
        <v>0</v>
      </c>
      <c r="AH16" s="183">
        <f t="shared" si="1"/>
        <v>0</v>
      </c>
      <c r="AI16" s="296">
        <f>AG16-'人员人工-研发人员工资'!E16</f>
        <v>0</v>
      </c>
      <c r="AJ16" s="296">
        <f>AH16-'人员人工-研发人员工资'!D16</f>
        <v>0</v>
      </c>
    </row>
    <row r="17" customHeight="1" spans="1:36">
      <c r="A17" s="302">
        <f>'人员人工-研发人员工资'!B17</f>
        <v>0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3">
        <f t="shared" si="0"/>
        <v>0</v>
      </c>
      <c r="AH17" s="183">
        <f t="shared" si="1"/>
        <v>0</v>
      </c>
      <c r="AI17" s="296">
        <f>AG17-'人员人工-研发人员工资'!E17</f>
        <v>0</v>
      </c>
      <c r="AJ17" s="296">
        <f>AH17-'人员人工-研发人员工资'!D17</f>
        <v>0</v>
      </c>
    </row>
    <row r="18" customHeight="1" spans="1:36">
      <c r="A18" s="302">
        <f>'人员人工-研发人员工资'!B18</f>
        <v>0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3">
        <f t="shared" si="0"/>
        <v>0</v>
      </c>
      <c r="AH18" s="183">
        <f t="shared" si="1"/>
        <v>0</v>
      </c>
      <c r="AI18" s="296">
        <f>AG18-'人员人工-研发人员工资'!E18</f>
        <v>0</v>
      </c>
      <c r="AJ18" s="296">
        <f>AH18-'人员人工-研发人员工资'!D18</f>
        <v>0</v>
      </c>
    </row>
    <row r="19" customHeight="1" spans="1:36">
      <c r="A19" s="302">
        <f>'人员人工-研发人员工资'!B19</f>
        <v>0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3">
        <f t="shared" si="0"/>
        <v>0</v>
      </c>
      <c r="AH19" s="183">
        <f t="shared" si="1"/>
        <v>0</v>
      </c>
      <c r="AI19" s="296">
        <f>AG19-'人员人工-研发人员工资'!E19</f>
        <v>0</v>
      </c>
      <c r="AJ19" s="296">
        <f>AH19-'人员人工-研发人员工资'!D19</f>
        <v>0</v>
      </c>
    </row>
    <row r="20" customHeight="1" spans="1:36">
      <c r="A20" s="302">
        <f>'人员人工-研发人员工资'!B20</f>
        <v>0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3">
        <f t="shared" si="0"/>
        <v>0</v>
      </c>
      <c r="AH20" s="183">
        <f t="shared" si="1"/>
        <v>0</v>
      </c>
      <c r="AI20" s="296">
        <f>AG20-'人员人工-研发人员工资'!E20</f>
        <v>0</v>
      </c>
      <c r="AJ20" s="296">
        <f>AH20-'人员人工-研发人员工资'!D20</f>
        <v>0</v>
      </c>
    </row>
    <row r="21" customHeight="1" spans="1:36">
      <c r="A21" s="302">
        <f>'人员人工-研发人员工资'!B21</f>
        <v>0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3">
        <f t="shared" si="0"/>
        <v>0</v>
      </c>
      <c r="AH21" s="183">
        <f t="shared" si="1"/>
        <v>0</v>
      </c>
      <c r="AI21" s="296">
        <f>AG21-'人员人工-研发人员工资'!E21</f>
        <v>0</v>
      </c>
      <c r="AJ21" s="296">
        <f>AH21-'人员人工-研发人员工资'!D21</f>
        <v>0</v>
      </c>
    </row>
    <row r="22" customHeight="1" spans="1:36">
      <c r="A22" s="302">
        <f>'人员人工-研发人员工资'!B22</f>
        <v>0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3">
        <f t="shared" si="0"/>
        <v>0</v>
      </c>
      <c r="AH22" s="183">
        <f t="shared" si="1"/>
        <v>0</v>
      </c>
      <c r="AI22" s="296">
        <f>AG22-'人员人工-研发人员工资'!E22</f>
        <v>0</v>
      </c>
      <c r="AJ22" s="296">
        <f>AH22-'人员人工-研发人员工资'!D22</f>
        <v>0</v>
      </c>
    </row>
    <row r="23" customHeight="1" spans="1:36">
      <c r="A23" s="302">
        <f>'人员人工-研发人员工资'!B23</f>
        <v>0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3">
        <f t="shared" si="0"/>
        <v>0</v>
      </c>
      <c r="AH23" s="183">
        <f t="shared" si="1"/>
        <v>0</v>
      </c>
      <c r="AI23" s="296">
        <f>AG23-'人员人工-研发人员工资'!E23</f>
        <v>0</v>
      </c>
      <c r="AJ23" s="296">
        <f>AH23-'人员人工-研发人员工资'!D23</f>
        <v>0</v>
      </c>
    </row>
    <row r="24" customHeight="1" spans="1:36">
      <c r="A24" s="302">
        <f>'人员人工-研发人员工资'!B24</f>
        <v>0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3">
        <f t="shared" si="0"/>
        <v>0</v>
      </c>
      <c r="AH24" s="183">
        <f t="shared" si="1"/>
        <v>0</v>
      </c>
      <c r="AI24" s="296">
        <f>AG24-'人员人工-研发人员工资'!E24</f>
        <v>0</v>
      </c>
      <c r="AJ24" s="296">
        <f>AH24-'人员人工-研发人员工资'!D24</f>
        <v>0</v>
      </c>
    </row>
    <row r="25" customHeight="1" spans="1:36">
      <c r="A25" s="302">
        <f>'人员人工-研发人员工资'!B25</f>
        <v>0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3">
        <f t="shared" si="0"/>
        <v>0</v>
      </c>
      <c r="AH25" s="183">
        <f t="shared" si="1"/>
        <v>0</v>
      </c>
      <c r="AI25" s="296">
        <f>AG25-'人员人工-研发人员工资'!E25</f>
        <v>0</v>
      </c>
      <c r="AJ25" s="296">
        <f>AH25-'人员人工-研发人员工资'!D25</f>
        <v>0</v>
      </c>
    </row>
    <row r="26" customHeight="1" spans="1:36">
      <c r="A26" s="302">
        <f>'人员人工-研发人员工资'!B26</f>
        <v>0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3">
        <f t="shared" si="0"/>
        <v>0</v>
      </c>
      <c r="AH26" s="183">
        <f t="shared" si="1"/>
        <v>0</v>
      </c>
      <c r="AI26" s="296">
        <f>AG26-'人员人工-研发人员工资'!E26</f>
        <v>0</v>
      </c>
      <c r="AJ26" s="296">
        <f>AH26-'人员人工-研发人员工资'!D26</f>
        <v>0</v>
      </c>
    </row>
    <row r="27" customHeight="1" spans="1:36">
      <c r="A27" s="302">
        <f>'人员人工-研发人员工资'!B27</f>
        <v>0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3">
        <f t="shared" si="0"/>
        <v>0</v>
      </c>
      <c r="AH27" s="183">
        <f t="shared" si="1"/>
        <v>0</v>
      </c>
      <c r="AI27" s="296">
        <f>AG27-'人员人工-研发人员工资'!E27</f>
        <v>0</v>
      </c>
      <c r="AJ27" s="296">
        <f>AH27-'人员人工-研发人员工资'!D27</f>
        <v>0</v>
      </c>
    </row>
    <row r="28" customHeight="1" spans="1:36">
      <c r="A28" s="302">
        <f>'人员人工-研发人员工资'!B28</f>
        <v>0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3">
        <f t="shared" si="0"/>
        <v>0</v>
      </c>
      <c r="AH28" s="183">
        <f t="shared" si="1"/>
        <v>0</v>
      </c>
      <c r="AI28" s="296">
        <f>AG28-'人员人工-研发人员工资'!E28</f>
        <v>0</v>
      </c>
      <c r="AJ28" s="296">
        <f>AH28-'人员人工-研发人员工资'!D28</f>
        <v>0</v>
      </c>
    </row>
    <row r="29" customHeight="1" spans="1:36">
      <c r="A29" s="302">
        <f>'人员人工-研发人员工资'!B29</f>
        <v>0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3">
        <f t="shared" si="0"/>
        <v>0</v>
      </c>
      <c r="AH29" s="183">
        <f t="shared" si="1"/>
        <v>0</v>
      </c>
      <c r="AI29" s="296">
        <f>AG29-'人员人工-研发人员工资'!E29</f>
        <v>0</v>
      </c>
      <c r="AJ29" s="296">
        <f>AH29-'人员人工-研发人员工资'!D29</f>
        <v>0</v>
      </c>
    </row>
    <row r="30" customHeight="1" spans="1:36">
      <c r="A30" s="302">
        <f>'人员人工-研发人员工资'!B30</f>
        <v>0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3">
        <f t="shared" si="0"/>
        <v>0</v>
      </c>
      <c r="AH30" s="183">
        <f t="shared" si="1"/>
        <v>0</v>
      </c>
      <c r="AI30" s="296">
        <f>AG30-'人员人工-研发人员工资'!E30</f>
        <v>0</v>
      </c>
      <c r="AJ30" s="296">
        <f>AH30-'人员人工-研发人员工资'!D30</f>
        <v>0</v>
      </c>
    </row>
    <row r="31" customHeight="1" spans="1:36">
      <c r="A31" s="302">
        <f>'人员人工-研发人员工资'!B31</f>
        <v>0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3">
        <f t="shared" si="0"/>
        <v>0</v>
      </c>
      <c r="AH31" s="183">
        <f t="shared" si="1"/>
        <v>0</v>
      </c>
      <c r="AI31" s="296">
        <f>AG31-'人员人工-研发人员工资'!E31</f>
        <v>0</v>
      </c>
      <c r="AJ31" s="296">
        <f>AH31-'人员人工-研发人员工资'!D31</f>
        <v>0</v>
      </c>
    </row>
    <row r="32" customHeight="1" spans="1:36">
      <c r="A32" s="302">
        <f>'人员人工-研发人员工资'!B32</f>
        <v>0</v>
      </c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3">
        <f t="shared" si="0"/>
        <v>0</v>
      </c>
      <c r="AH32" s="183">
        <f t="shared" si="1"/>
        <v>0</v>
      </c>
      <c r="AI32" s="296">
        <f>AG32-'人员人工-研发人员工资'!E32</f>
        <v>0</v>
      </c>
      <c r="AJ32" s="296">
        <f>AH32-'人员人工-研发人员工资'!D32</f>
        <v>0</v>
      </c>
    </row>
    <row r="33" customHeight="1" spans="1:36">
      <c r="A33" s="302">
        <f>'人员人工-研发人员工资'!B33</f>
        <v>0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3">
        <f t="shared" si="0"/>
        <v>0</v>
      </c>
      <c r="AH33" s="183">
        <f t="shared" si="1"/>
        <v>0</v>
      </c>
      <c r="AI33" s="296">
        <f>AG33-'人员人工-研发人员工资'!E33</f>
        <v>0</v>
      </c>
      <c r="AJ33" s="296">
        <f>AH33-'人员人工-研发人员工资'!D33</f>
        <v>0</v>
      </c>
    </row>
    <row r="34" customHeight="1" spans="1:36">
      <c r="A34" s="302">
        <f>'人员人工-研发人员工资'!B34</f>
        <v>0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3">
        <f t="shared" si="0"/>
        <v>0</v>
      </c>
      <c r="AH34" s="183">
        <f t="shared" si="1"/>
        <v>0</v>
      </c>
      <c r="AI34" s="296">
        <f>AG34-'人员人工-研发人员工资'!E34</f>
        <v>0</v>
      </c>
      <c r="AJ34" s="296">
        <f>AH34-'人员人工-研发人员工资'!D34</f>
        <v>0</v>
      </c>
    </row>
    <row r="35" customHeight="1" spans="1:36">
      <c r="A35" s="302">
        <f>'人员人工-研发人员工资'!B35</f>
        <v>0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3">
        <f t="shared" si="0"/>
        <v>0</v>
      </c>
      <c r="AH35" s="183">
        <f t="shared" si="1"/>
        <v>0</v>
      </c>
      <c r="AI35" s="296">
        <f>AG35-'人员人工-研发人员工资'!E35</f>
        <v>0</v>
      </c>
      <c r="AJ35" s="296">
        <f>AH35-'人员人工-研发人员工资'!D35</f>
        <v>0</v>
      </c>
    </row>
    <row r="36" customHeight="1" spans="1:36">
      <c r="A36" s="295" t="s">
        <v>118</v>
      </c>
      <c r="B36" s="304" t="s">
        <v>115</v>
      </c>
      <c r="C36" s="304" t="s">
        <v>116</v>
      </c>
      <c r="D36" s="304" t="s">
        <v>117</v>
      </c>
      <c r="E36" s="304" t="s">
        <v>119</v>
      </c>
      <c r="F36" s="304" t="s">
        <v>120</v>
      </c>
      <c r="G36" s="304" t="s">
        <v>121</v>
      </c>
      <c r="H36" s="176" t="s">
        <v>122</v>
      </c>
      <c r="I36" s="176" t="s">
        <v>123</v>
      </c>
      <c r="J36" s="304" t="s">
        <v>124</v>
      </c>
      <c r="K36" s="176" t="s">
        <v>125</v>
      </c>
      <c r="L36" s="304" t="s">
        <v>102</v>
      </c>
      <c r="M36" s="304" t="s">
        <v>114</v>
      </c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4"/>
      <c r="AG36" s="184"/>
    </row>
    <row r="37" customHeight="1" spans="1:36">
      <c r="B37" s="142">
        <v>1</v>
      </c>
      <c r="C37" s="142">
        <v>2</v>
      </c>
      <c r="D37" s="142">
        <v>3</v>
      </c>
      <c r="E37" s="142">
        <v>4</v>
      </c>
      <c r="F37" s="142">
        <v>5</v>
      </c>
      <c r="G37" s="142">
        <v>6</v>
      </c>
      <c r="H37" s="142">
        <v>7</v>
      </c>
      <c r="I37" s="142">
        <v>8</v>
      </c>
      <c r="J37" s="142">
        <v>9</v>
      </c>
      <c r="K37" s="142">
        <v>10</v>
      </c>
      <c r="L37" s="142" t="s">
        <v>126</v>
      </c>
      <c r="M37" s="142" t="s">
        <v>127</v>
      </c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84"/>
    </row>
    <row r="38" customHeight="1" spans="1:36">
      <c r="F38" s="304"/>
      <c r="G38" s="304"/>
      <c r="J38" s="304"/>
    </row>
    <row r="39" customHeight="1" spans="1:36">
      <c r="A39" s="296" t="s">
        <v>128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296"/>
    </row>
    <row r="40" customHeight="1" spans="1:36">
      <c r="A40" s="296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296"/>
    </row>
    <row r="41" customHeight="1" spans="1:36">
      <c r="A41" s="297" t="s">
        <v>32</v>
      </c>
      <c r="B41" s="165" t="s">
        <v>108</v>
      </c>
      <c r="C41" s="165" t="s">
        <v>109</v>
      </c>
      <c r="D41" s="165" t="s">
        <v>110</v>
      </c>
      <c r="E41" s="299" t="s">
        <v>111</v>
      </c>
      <c r="F41" s="299" t="s">
        <v>105</v>
      </c>
      <c r="G41" s="165" t="s">
        <v>106</v>
      </c>
      <c r="H41" s="165" t="s">
        <v>107</v>
      </c>
      <c r="I41" s="165" t="s">
        <v>108</v>
      </c>
      <c r="J41" s="165" t="s">
        <v>109</v>
      </c>
      <c r="K41" s="165" t="s">
        <v>110</v>
      </c>
      <c r="L41" s="299" t="s">
        <v>111</v>
      </c>
      <c r="M41" s="299" t="s">
        <v>105</v>
      </c>
      <c r="N41" s="165" t="s">
        <v>106</v>
      </c>
      <c r="O41" s="165" t="s">
        <v>107</v>
      </c>
      <c r="P41" s="165" t="s">
        <v>108</v>
      </c>
      <c r="Q41" s="165" t="s">
        <v>109</v>
      </c>
      <c r="R41" s="165" t="s">
        <v>110</v>
      </c>
      <c r="S41" s="299" t="s">
        <v>111</v>
      </c>
      <c r="T41" s="299" t="s">
        <v>105</v>
      </c>
      <c r="U41" s="165" t="s">
        <v>106</v>
      </c>
      <c r="V41" s="165" t="s">
        <v>107</v>
      </c>
      <c r="W41" s="165" t="s">
        <v>108</v>
      </c>
      <c r="X41" s="165" t="s">
        <v>109</v>
      </c>
      <c r="Y41" s="165" t="s">
        <v>110</v>
      </c>
      <c r="Z41" s="299" t="s">
        <v>111</v>
      </c>
      <c r="AA41" s="299" t="s">
        <v>105</v>
      </c>
      <c r="AB41" s="165" t="s">
        <v>106</v>
      </c>
      <c r="AC41" s="165" t="s">
        <v>107</v>
      </c>
      <c r="AD41" s="165"/>
      <c r="AE41" s="165"/>
      <c r="AF41" s="165"/>
      <c r="AG41" s="297" t="s">
        <v>39</v>
      </c>
      <c r="AH41" s="297" t="s">
        <v>34</v>
      </c>
      <c r="AI41" s="300" t="s">
        <v>112</v>
      </c>
      <c r="AJ41" s="300" t="s">
        <v>113</v>
      </c>
    </row>
    <row r="42" customHeight="1" spans="1:36">
      <c r="A42" s="301"/>
      <c r="B42" s="165">
        <v>1</v>
      </c>
      <c r="C42" s="165">
        <v>2</v>
      </c>
      <c r="D42" s="165">
        <v>3</v>
      </c>
      <c r="E42" s="299">
        <v>4</v>
      </c>
      <c r="F42" s="299">
        <v>5</v>
      </c>
      <c r="G42" s="165">
        <v>6</v>
      </c>
      <c r="H42" s="165">
        <v>7</v>
      </c>
      <c r="I42" s="165">
        <v>8</v>
      </c>
      <c r="J42" s="165">
        <v>9</v>
      </c>
      <c r="K42" s="165">
        <v>10</v>
      </c>
      <c r="L42" s="299">
        <v>11</v>
      </c>
      <c r="M42" s="299">
        <v>12</v>
      </c>
      <c r="N42" s="165">
        <v>13</v>
      </c>
      <c r="O42" s="165">
        <v>14</v>
      </c>
      <c r="P42" s="165">
        <v>15</v>
      </c>
      <c r="Q42" s="165">
        <v>16</v>
      </c>
      <c r="R42" s="165">
        <v>17</v>
      </c>
      <c r="S42" s="299">
        <v>18</v>
      </c>
      <c r="T42" s="299">
        <v>19</v>
      </c>
      <c r="U42" s="165">
        <v>20</v>
      </c>
      <c r="V42" s="165">
        <v>21</v>
      </c>
      <c r="W42" s="165">
        <v>22</v>
      </c>
      <c r="X42" s="165">
        <v>23</v>
      </c>
      <c r="Y42" s="165">
        <v>24</v>
      </c>
      <c r="Z42" s="299">
        <v>25</v>
      </c>
      <c r="AA42" s="299">
        <v>26</v>
      </c>
      <c r="AB42" s="165">
        <v>27</v>
      </c>
      <c r="AC42" s="165">
        <v>28</v>
      </c>
      <c r="AD42" s="165"/>
      <c r="AE42" s="165"/>
      <c r="AF42" s="165"/>
      <c r="AG42" s="301"/>
      <c r="AH42" s="301"/>
      <c r="AI42" s="300"/>
      <c r="AJ42" s="300"/>
    </row>
    <row r="43" customHeight="1" spans="1:36">
      <c r="A43" s="302">
        <f>'人员人工-研发人员工资'!B43</f>
        <v>0</v>
      </c>
      <c r="B43" s="303" t="s">
        <v>115</v>
      </c>
      <c r="C43" s="303" t="s">
        <v>115</v>
      </c>
      <c r="D43" s="303" t="s">
        <v>115</v>
      </c>
      <c r="E43" s="303" t="s">
        <v>114</v>
      </c>
      <c r="F43" s="303" t="s">
        <v>114</v>
      </c>
      <c r="G43" s="303" t="s">
        <v>115</v>
      </c>
      <c r="H43" s="303" t="s">
        <v>115</v>
      </c>
      <c r="I43" s="303" t="s">
        <v>102</v>
      </c>
      <c r="J43" s="303" t="s">
        <v>116</v>
      </c>
      <c r="K43" s="303" t="s">
        <v>116</v>
      </c>
      <c r="L43" s="303" t="s">
        <v>114</v>
      </c>
      <c r="M43" s="303" t="s">
        <v>114</v>
      </c>
      <c r="N43" s="303" t="s">
        <v>116</v>
      </c>
      <c r="O43" s="303" t="s">
        <v>116</v>
      </c>
      <c r="P43" s="303" t="s">
        <v>116</v>
      </c>
      <c r="Q43" s="303" t="s">
        <v>102</v>
      </c>
      <c r="R43" s="303" t="s">
        <v>102</v>
      </c>
      <c r="S43" s="303" t="s">
        <v>114</v>
      </c>
      <c r="T43" s="303" t="s">
        <v>114</v>
      </c>
      <c r="U43" s="303" t="s">
        <v>117</v>
      </c>
      <c r="V43" s="303" t="s">
        <v>117</v>
      </c>
      <c r="W43" s="303" t="s">
        <v>117</v>
      </c>
      <c r="X43" s="303" t="s">
        <v>117</v>
      </c>
      <c r="Y43" s="303" t="s">
        <v>117</v>
      </c>
      <c r="Z43" s="303" t="s">
        <v>114</v>
      </c>
      <c r="AA43" s="303" t="s">
        <v>114</v>
      </c>
      <c r="AB43" s="303" t="s">
        <v>102</v>
      </c>
      <c r="AC43" s="303" t="s">
        <v>102</v>
      </c>
      <c r="AD43" s="303"/>
      <c r="AE43" s="303"/>
      <c r="AF43" s="303"/>
      <c r="AG43" s="183">
        <f t="shared" ref="AG43:AG72" si="2">COUNTIF(B43:AF43,"●")+COUNTIF(B43:AF43,"▲")+COUNTIF(B43:AF43,"■")+COUNTIF(B43:AF43,"★")+COUNTIF(B43:AF43,"◆")+COUNTIF(B43:AF43,"✽")+COUNTIF(B43:AF43,"❖")+COUNTIF(B43:AF43,"✪")+COUNTIF(B43:AF43,"✿")+COUNTIF(B43:AF43,"✤")</f>
        <v>15</v>
      </c>
      <c r="AH43" s="183">
        <f t="shared" ref="AH43:AH72" si="3">COUNTIF(B43:AF43,"●")+COUNTIF(B43:AF43,"▲")+COUNTIF(B43:AF43,"■")+COUNTIF(B43:AF43,"★")+COUNTIF(B43:AF43,"◆")+COUNTIF(B43:AF43,"✽")+COUNTIF(B43:AF43,"❖")+COUNTIF(B43:AF43,"✪")+COUNTIF(B43:AF43,"✿")+COUNTIF(B43:AF43,"✤")+COUNTIF(B43:AF43,"√")</f>
        <v>20</v>
      </c>
      <c r="AI43" s="296">
        <f>AG43-'人员人工-研发人员工资'!E43</f>
        <v>15</v>
      </c>
      <c r="AJ43" s="296">
        <f>AH43-'人员人工-研发人员工资'!D43</f>
        <v>20</v>
      </c>
    </row>
    <row r="44" customHeight="1" spans="1:36">
      <c r="A44" s="302">
        <f>'人员人工-研发人员工资'!B44</f>
        <v>0</v>
      </c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2"/>
      <c r="AE44" s="182"/>
      <c r="AF44" s="182"/>
      <c r="AG44" s="183">
        <f t="shared" si="2"/>
        <v>0</v>
      </c>
      <c r="AH44" s="183">
        <f t="shared" si="3"/>
        <v>0</v>
      </c>
      <c r="AI44" s="296">
        <f>AG44-'人员人工-研发人员工资'!E44</f>
        <v>0</v>
      </c>
      <c r="AJ44" s="296">
        <f>AH44-'人员人工-研发人员工资'!D44</f>
        <v>0</v>
      </c>
    </row>
    <row r="45" customHeight="1" spans="1:36">
      <c r="A45" s="302">
        <f>'人员人工-研发人员工资'!B45</f>
        <v>0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2"/>
      <c r="AE45" s="182"/>
      <c r="AF45" s="182"/>
      <c r="AG45" s="183">
        <f t="shared" si="2"/>
        <v>0</v>
      </c>
      <c r="AH45" s="183">
        <f t="shared" si="3"/>
        <v>0</v>
      </c>
      <c r="AI45" s="296">
        <f>AG45-'人员人工-研发人员工资'!E45</f>
        <v>0</v>
      </c>
      <c r="AJ45" s="296">
        <f>AH45-'人员人工-研发人员工资'!D45</f>
        <v>0</v>
      </c>
    </row>
    <row r="46" customHeight="1" spans="1:36">
      <c r="A46" s="302">
        <f>'人员人工-研发人员工资'!B46</f>
        <v>0</v>
      </c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2"/>
      <c r="AE46" s="182"/>
      <c r="AF46" s="182"/>
      <c r="AG46" s="183">
        <f t="shared" si="2"/>
        <v>0</v>
      </c>
      <c r="AH46" s="183">
        <f t="shared" si="3"/>
        <v>0</v>
      </c>
      <c r="AI46" s="296">
        <f>AG46-'人员人工-研发人员工资'!E46</f>
        <v>0</v>
      </c>
      <c r="AJ46" s="296">
        <f>AH46-'人员人工-研发人员工资'!D46</f>
        <v>0</v>
      </c>
    </row>
    <row r="47" customHeight="1" spans="1:36">
      <c r="A47" s="302">
        <f>'人员人工-研发人员工资'!B47</f>
        <v>0</v>
      </c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2"/>
      <c r="AE47" s="182"/>
      <c r="AF47" s="182"/>
      <c r="AG47" s="183">
        <f t="shared" si="2"/>
        <v>0</v>
      </c>
      <c r="AH47" s="183">
        <f t="shared" si="3"/>
        <v>0</v>
      </c>
      <c r="AI47" s="296">
        <f>AG47-'人员人工-研发人员工资'!E47</f>
        <v>0</v>
      </c>
      <c r="AJ47" s="296">
        <f>AH47-'人员人工-研发人员工资'!D47</f>
        <v>0</v>
      </c>
    </row>
    <row r="48" customHeight="1" spans="1:36">
      <c r="A48" s="302">
        <f>'人员人工-研发人员工资'!B48</f>
        <v>0</v>
      </c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2"/>
      <c r="AE48" s="182"/>
      <c r="AF48" s="182"/>
      <c r="AG48" s="183">
        <f t="shared" si="2"/>
        <v>0</v>
      </c>
      <c r="AH48" s="183">
        <f t="shared" si="3"/>
        <v>0</v>
      </c>
      <c r="AI48" s="296">
        <f>AG48-'人员人工-研发人员工资'!E48</f>
        <v>0</v>
      </c>
      <c r="AJ48" s="296">
        <f>AH48-'人员人工-研发人员工资'!D48</f>
        <v>0</v>
      </c>
    </row>
    <row r="49" customHeight="1" spans="1:36">
      <c r="A49" s="302">
        <f>'人员人工-研发人员工资'!B49</f>
        <v>0</v>
      </c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2"/>
      <c r="AE49" s="182"/>
      <c r="AF49" s="182"/>
      <c r="AG49" s="183">
        <f t="shared" si="2"/>
        <v>0</v>
      </c>
      <c r="AH49" s="183">
        <f t="shared" si="3"/>
        <v>0</v>
      </c>
      <c r="AI49" s="296">
        <f>AG49-'人员人工-研发人员工资'!E49</f>
        <v>0</v>
      </c>
      <c r="AJ49" s="296">
        <f>AH49-'人员人工-研发人员工资'!D49</f>
        <v>0</v>
      </c>
    </row>
    <row r="50" customHeight="1" spans="1:36">
      <c r="A50" s="302">
        <f>'人员人工-研发人员工资'!B50</f>
        <v>0</v>
      </c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2"/>
      <c r="AE50" s="182"/>
      <c r="AF50" s="182"/>
      <c r="AG50" s="183">
        <f t="shared" si="2"/>
        <v>0</v>
      </c>
      <c r="AH50" s="183">
        <f t="shared" si="3"/>
        <v>0</v>
      </c>
      <c r="AI50" s="296">
        <f>AG50-'人员人工-研发人员工资'!E50</f>
        <v>0</v>
      </c>
      <c r="AJ50" s="296">
        <f>AH50-'人员人工-研发人员工资'!D50</f>
        <v>0</v>
      </c>
    </row>
    <row r="51" customHeight="1" spans="1:36">
      <c r="A51" s="302">
        <f>'人员人工-研发人员工资'!B51</f>
        <v>0</v>
      </c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2"/>
      <c r="AE51" s="182"/>
      <c r="AF51" s="182"/>
      <c r="AG51" s="183">
        <f t="shared" si="2"/>
        <v>0</v>
      </c>
      <c r="AH51" s="183">
        <f t="shared" si="3"/>
        <v>0</v>
      </c>
      <c r="AI51" s="296">
        <f>AG51-'人员人工-研发人员工资'!E51</f>
        <v>0</v>
      </c>
      <c r="AJ51" s="296">
        <f>AH51-'人员人工-研发人员工资'!D51</f>
        <v>0</v>
      </c>
    </row>
    <row r="52" customHeight="1" spans="1:36">
      <c r="A52" s="302">
        <f>'人员人工-研发人员工资'!B52</f>
        <v>0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2"/>
      <c r="AE52" s="182"/>
      <c r="AF52" s="182"/>
      <c r="AG52" s="183">
        <f t="shared" si="2"/>
        <v>0</v>
      </c>
      <c r="AH52" s="183">
        <f t="shared" si="3"/>
        <v>0</v>
      </c>
      <c r="AI52" s="296">
        <f>AG52-'人员人工-研发人员工资'!E52</f>
        <v>0</v>
      </c>
      <c r="AJ52" s="296">
        <f>AH52-'人员人工-研发人员工资'!D52</f>
        <v>0</v>
      </c>
    </row>
    <row r="53" customHeight="1" spans="1:36">
      <c r="A53" s="302">
        <f>'人员人工-研发人员工资'!B53</f>
        <v>0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2"/>
      <c r="AE53" s="182"/>
      <c r="AF53" s="182"/>
      <c r="AG53" s="183">
        <f t="shared" si="2"/>
        <v>0</v>
      </c>
      <c r="AH53" s="183">
        <f t="shared" si="3"/>
        <v>0</v>
      </c>
      <c r="AI53" s="296">
        <f>AG53-'人员人工-研发人员工资'!E53</f>
        <v>0</v>
      </c>
      <c r="AJ53" s="296">
        <f>AH53-'人员人工-研发人员工资'!D53</f>
        <v>0</v>
      </c>
    </row>
    <row r="54" customHeight="1" spans="1:36">
      <c r="A54" s="302">
        <f>'人员人工-研发人员工资'!B54</f>
        <v>0</v>
      </c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2"/>
      <c r="AE54" s="182"/>
      <c r="AF54" s="182"/>
      <c r="AG54" s="183">
        <f t="shared" si="2"/>
        <v>0</v>
      </c>
      <c r="AH54" s="183">
        <f t="shared" si="3"/>
        <v>0</v>
      </c>
      <c r="AI54" s="296">
        <f>AG54-'人员人工-研发人员工资'!E54</f>
        <v>0</v>
      </c>
      <c r="AJ54" s="296">
        <f>AH54-'人员人工-研发人员工资'!D54</f>
        <v>0</v>
      </c>
    </row>
    <row r="55" customHeight="1" spans="1:36">
      <c r="A55" s="302">
        <f>'人员人工-研发人员工资'!B55</f>
        <v>0</v>
      </c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2"/>
      <c r="AE55" s="182"/>
      <c r="AF55" s="182"/>
      <c r="AG55" s="183">
        <f t="shared" si="2"/>
        <v>0</v>
      </c>
      <c r="AH55" s="183">
        <f t="shared" si="3"/>
        <v>0</v>
      </c>
      <c r="AI55" s="296">
        <f>AG55-'人员人工-研发人员工资'!E55</f>
        <v>0</v>
      </c>
      <c r="AJ55" s="296">
        <f>AH55-'人员人工-研发人员工资'!D55</f>
        <v>0</v>
      </c>
    </row>
    <row r="56" customHeight="1" spans="1:36">
      <c r="A56" s="302">
        <f>'人员人工-研发人员工资'!B56</f>
        <v>0</v>
      </c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2"/>
      <c r="AE56" s="182"/>
      <c r="AF56" s="182"/>
      <c r="AG56" s="183">
        <f t="shared" si="2"/>
        <v>0</v>
      </c>
      <c r="AH56" s="183">
        <f t="shared" si="3"/>
        <v>0</v>
      </c>
      <c r="AI56" s="296">
        <f>AG56-'人员人工-研发人员工资'!E56</f>
        <v>0</v>
      </c>
      <c r="AJ56" s="296">
        <f>AH56-'人员人工-研发人员工资'!D56</f>
        <v>0</v>
      </c>
    </row>
    <row r="57" customHeight="1" spans="1:36">
      <c r="A57" s="302">
        <f>'人员人工-研发人员工资'!B57</f>
        <v>0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2"/>
      <c r="AE57" s="182"/>
      <c r="AF57" s="182"/>
      <c r="AG57" s="183">
        <f t="shared" si="2"/>
        <v>0</v>
      </c>
      <c r="AH57" s="183">
        <f t="shared" si="3"/>
        <v>0</v>
      </c>
      <c r="AI57" s="296">
        <f>AG57-'人员人工-研发人员工资'!E57</f>
        <v>0</v>
      </c>
      <c r="AJ57" s="296">
        <f>AH57-'人员人工-研发人员工资'!D57</f>
        <v>0</v>
      </c>
    </row>
    <row r="58" customHeight="1" spans="1:36">
      <c r="A58" s="302">
        <f>'人员人工-研发人员工资'!B58</f>
        <v>0</v>
      </c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2"/>
      <c r="AE58" s="182"/>
      <c r="AF58" s="182"/>
      <c r="AG58" s="183">
        <f t="shared" si="2"/>
        <v>0</v>
      </c>
      <c r="AH58" s="183">
        <f t="shared" si="3"/>
        <v>0</v>
      </c>
      <c r="AI58" s="296">
        <f>AG58-'人员人工-研发人员工资'!E58</f>
        <v>0</v>
      </c>
      <c r="AJ58" s="296">
        <f>AH58-'人员人工-研发人员工资'!D58</f>
        <v>0</v>
      </c>
    </row>
    <row r="59" customHeight="1" spans="1:36">
      <c r="A59" s="302">
        <f>'人员人工-研发人员工资'!B59</f>
        <v>0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2"/>
      <c r="AE59" s="182"/>
      <c r="AF59" s="182"/>
      <c r="AG59" s="183">
        <f t="shared" si="2"/>
        <v>0</v>
      </c>
      <c r="AH59" s="183">
        <f t="shared" si="3"/>
        <v>0</v>
      </c>
      <c r="AI59" s="296">
        <f>AG59-'人员人工-研发人员工资'!E59</f>
        <v>0</v>
      </c>
      <c r="AJ59" s="296">
        <f>AH59-'人员人工-研发人员工资'!D59</f>
        <v>0</v>
      </c>
    </row>
    <row r="60" customHeight="1" spans="1:36">
      <c r="A60" s="302">
        <f>'人员人工-研发人员工资'!B60</f>
        <v>0</v>
      </c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2"/>
      <c r="AE60" s="182"/>
      <c r="AF60" s="182"/>
      <c r="AG60" s="183">
        <f t="shared" si="2"/>
        <v>0</v>
      </c>
      <c r="AH60" s="183">
        <f t="shared" si="3"/>
        <v>0</v>
      </c>
      <c r="AI60" s="296">
        <f>AG60-'人员人工-研发人员工资'!E60</f>
        <v>0</v>
      </c>
      <c r="AJ60" s="296">
        <f>AH60-'人员人工-研发人员工资'!D60</f>
        <v>0</v>
      </c>
    </row>
    <row r="61" customHeight="1" spans="1:36">
      <c r="A61" s="302">
        <f>'人员人工-研发人员工资'!B61</f>
        <v>0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2"/>
      <c r="AE61" s="182"/>
      <c r="AF61" s="182"/>
      <c r="AG61" s="183">
        <f t="shared" si="2"/>
        <v>0</v>
      </c>
      <c r="AH61" s="183">
        <f t="shared" si="3"/>
        <v>0</v>
      </c>
      <c r="AI61" s="296">
        <f>AG61-'人员人工-研发人员工资'!E61</f>
        <v>0</v>
      </c>
      <c r="AJ61" s="296">
        <f>AH61-'人员人工-研发人员工资'!D61</f>
        <v>0</v>
      </c>
    </row>
    <row r="62" customHeight="1" spans="1:36">
      <c r="A62" s="302">
        <f>'人员人工-研发人员工资'!B62</f>
        <v>0</v>
      </c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2"/>
      <c r="AE62" s="182"/>
      <c r="AF62" s="182"/>
      <c r="AG62" s="183">
        <f t="shared" si="2"/>
        <v>0</v>
      </c>
      <c r="AH62" s="183">
        <f t="shared" si="3"/>
        <v>0</v>
      </c>
      <c r="AI62" s="296">
        <f>AG62-'人员人工-研发人员工资'!E62</f>
        <v>0</v>
      </c>
      <c r="AJ62" s="296">
        <f>AH62-'人员人工-研发人员工资'!D62</f>
        <v>0</v>
      </c>
    </row>
    <row r="63" customHeight="1" spans="1:36">
      <c r="A63" s="302">
        <f>'人员人工-研发人员工资'!B63</f>
        <v>0</v>
      </c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2"/>
      <c r="AE63" s="182"/>
      <c r="AF63" s="182"/>
      <c r="AG63" s="183">
        <f t="shared" si="2"/>
        <v>0</v>
      </c>
      <c r="AH63" s="183">
        <f t="shared" si="3"/>
        <v>0</v>
      </c>
      <c r="AI63" s="296">
        <f>AG63-'人员人工-研发人员工资'!E63</f>
        <v>0</v>
      </c>
      <c r="AJ63" s="296">
        <f>AH63-'人员人工-研发人员工资'!D63</f>
        <v>0</v>
      </c>
    </row>
    <row r="64" customHeight="1" spans="1:36">
      <c r="A64" s="302">
        <f>'人员人工-研发人员工资'!B64</f>
        <v>0</v>
      </c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2"/>
      <c r="AE64" s="182"/>
      <c r="AF64" s="182"/>
      <c r="AG64" s="183">
        <f t="shared" si="2"/>
        <v>0</v>
      </c>
      <c r="AH64" s="183">
        <f t="shared" si="3"/>
        <v>0</v>
      </c>
      <c r="AI64" s="296">
        <f>AG64-'人员人工-研发人员工资'!E64</f>
        <v>0</v>
      </c>
      <c r="AJ64" s="296">
        <f>AH64-'人员人工-研发人员工资'!D64</f>
        <v>0</v>
      </c>
    </row>
    <row r="65" customHeight="1" spans="1:36">
      <c r="A65" s="302">
        <f>'人员人工-研发人员工资'!B65</f>
        <v>0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2"/>
      <c r="AE65" s="182"/>
      <c r="AF65" s="182"/>
      <c r="AG65" s="183">
        <f t="shared" si="2"/>
        <v>0</v>
      </c>
      <c r="AH65" s="183">
        <f t="shared" si="3"/>
        <v>0</v>
      </c>
      <c r="AI65" s="296">
        <f>AG65-'人员人工-研发人员工资'!E65</f>
        <v>0</v>
      </c>
      <c r="AJ65" s="296">
        <f>AH65-'人员人工-研发人员工资'!D65</f>
        <v>0</v>
      </c>
    </row>
    <row r="66" customHeight="1" spans="1:36">
      <c r="A66" s="302">
        <f>'人员人工-研发人员工资'!B66</f>
        <v>0</v>
      </c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2"/>
      <c r="AE66" s="182"/>
      <c r="AF66" s="182"/>
      <c r="AG66" s="183">
        <f t="shared" si="2"/>
        <v>0</v>
      </c>
      <c r="AH66" s="183">
        <f t="shared" si="3"/>
        <v>0</v>
      </c>
      <c r="AI66" s="296">
        <f>AG66-'人员人工-研发人员工资'!E66</f>
        <v>0</v>
      </c>
      <c r="AJ66" s="296">
        <f>AH66-'人员人工-研发人员工资'!D66</f>
        <v>0</v>
      </c>
    </row>
    <row r="67" customHeight="1" spans="1:36">
      <c r="A67" s="302">
        <f>'人员人工-研发人员工资'!B67</f>
        <v>0</v>
      </c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2"/>
      <c r="AE67" s="182"/>
      <c r="AF67" s="182"/>
      <c r="AG67" s="183">
        <f t="shared" si="2"/>
        <v>0</v>
      </c>
      <c r="AH67" s="183">
        <f t="shared" si="3"/>
        <v>0</v>
      </c>
      <c r="AI67" s="296">
        <f>AG67-'人员人工-研发人员工资'!E67</f>
        <v>0</v>
      </c>
      <c r="AJ67" s="296">
        <f>AH67-'人员人工-研发人员工资'!D67</f>
        <v>0</v>
      </c>
    </row>
    <row r="68" customHeight="1" spans="1:36">
      <c r="A68" s="302">
        <f>'人员人工-研发人员工资'!B68</f>
        <v>0</v>
      </c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2"/>
      <c r="AE68" s="182"/>
      <c r="AF68" s="182"/>
      <c r="AG68" s="183">
        <f t="shared" si="2"/>
        <v>0</v>
      </c>
      <c r="AH68" s="183">
        <f t="shared" si="3"/>
        <v>0</v>
      </c>
      <c r="AI68" s="296">
        <f>AG68-'人员人工-研发人员工资'!E68</f>
        <v>0</v>
      </c>
      <c r="AJ68" s="296">
        <f>AH68-'人员人工-研发人员工资'!D68</f>
        <v>0</v>
      </c>
    </row>
    <row r="69" customHeight="1" spans="1:36">
      <c r="A69" s="302">
        <f>'人员人工-研发人员工资'!B69</f>
        <v>0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2"/>
      <c r="AE69" s="182"/>
      <c r="AF69" s="182"/>
      <c r="AG69" s="183">
        <f t="shared" si="2"/>
        <v>0</v>
      </c>
      <c r="AH69" s="183">
        <f t="shared" si="3"/>
        <v>0</v>
      </c>
      <c r="AI69" s="296">
        <f>AG69-'人员人工-研发人员工资'!E69</f>
        <v>0</v>
      </c>
      <c r="AJ69" s="296">
        <f>AH69-'人员人工-研发人员工资'!D69</f>
        <v>0</v>
      </c>
    </row>
    <row r="70" customHeight="1" spans="1:36">
      <c r="A70" s="302">
        <f>'人员人工-研发人员工资'!B70</f>
        <v>0</v>
      </c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2"/>
      <c r="AE70" s="182"/>
      <c r="AF70" s="182"/>
      <c r="AG70" s="183">
        <f t="shared" si="2"/>
        <v>0</v>
      </c>
      <c r="AH70" s="183">
        <f t="shared" si="3"/>
        <v>0</v>
      </c>
      <c r="AI70" s="296">
        <f>AG70-'人员人工-研发人员工资'!E70</f>
        <v>0</v>
      </c>
      <c r="AJ70" s="296">
        <f>AH70-'人员人工-研发人员工资'!D70</f>
        <v>0</v>
      </c>
    </row>
    <row r="71" customHeight="1" spans="1:36">
      <c r="A71" s="302">
        <f>'人员人工-研发人员工资'!B71</f>
        <v>0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2"/>
      <c r="AE71" s="182"/>
      <c r="AF71" s="182"/>
      <c r="AG71" s="183">
        <f t="shared" si="2"/>
        <v>0</v>
      </c>
      <c r="AH71" s="183">
        <f t="shared" si="3"/>
        <v>0</v>
      </c>
      <c r="AI71" s="296">
        <f>AG71-'人员人工-研发人员工资'!E71</f>
        <v>0</v>
      </c>
      <c r="AJ71" s="296">
        <f>AH71-'人员人工-研发人员工资'!D71</f>
        <v>0</v>
      </c>
    </row>
    <row r="72" customHeight="1" spans="1:36">
      <c r="A72" s="302">
        <f>'人员人工-研发人员工资'!B72</f>
        <v>0</v>
      </c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2"/>
      <c r="AE72" s="182"/>
      <c r="AF72" s="182"/>
      <c r="AG72" s="183">
        <f t="shared" si="2"/>
        <v>0</v>
      </c>
      <c r="AH72" s="183">
        <f t="shared" si="3"/>
        <v>0</v>
      </c>
      <c r="AI72" s="296">
        <f>AG72-'人员人工-研发人员工资'!E72</f>
        <v>0</v>
      </c>
      <c r="AJ72" s="296">
        <f>AH72-'人员人工-研发人员工资'!D72</f>
        <v>0</v>
      </c>
    </row>
    <row r="73" customHeight="1" spans="1:36">
      <c r="A73" s="295" t="s">
        <v>118</v>
      </c>
      <c r="B73" s="304" t="s">
        <v>115</v>
      </c>
      <c r="C73" s="304" t="s">
        <v>116</v>
      </c>
      <c r="D73" s="304" t="s">
        <v>117</v>
      </c>
      <c r="E73" s="304" t="s">
        <v>119</v>
      </c>
      <c r="F73" s="304" t="s">
        <v>120</v>
      </c>
      <c r="G73" s="304" t="s">
        <v>121</v>
      </c>
      <c r="H73" s="176" t="s">
        <v>122</v>
      </c>
      <c r="I73" s="176" t="s">
        <v>123</v>
      </c>
      <c r="J73" s="304" t="s">
        <v>124</v>
      </c>
      <c r="K73" s="176" t="s">
        <v>125</v>
      </c>
      <c r="L73" s="304" t="s">
        <v>102</v>
      </c>
      <c r="M73" s="304" t="s">
        <v>114</v>
      </c>
      <c r="N73" s="304"/>
      <c r="O73" s="304"/>
      <c r="P73" s="304"/>
      <c r="Q73" s="304"/>
      <c r="R73" s="304"/>
      <c r="S73" s="304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184"/>
    </row>
    <row r="74" customHeight="1" spans="1:36">
      <c r="B74" s="142">
        <v>1</v>
      </c>
      <c r="C74" s="142">
        <v>2</v>
      </c>
      <c r="D74" s="142">
        <v>3</v>
      </c>
      <c r="E74" s="142">
        <v>4</v>
      </c>
      <c r="F74" s="142">
        <v>5</v>
      </c>
      <c r="G74" s="142">
        <v>6</v>
      </c>
      <c r="H74" s="142">
        <v>7</v>
      </c>
      <c r="I74" s="142">
        <v>8</v>
      </c>
      <c r="J74" s="142">
        <v>9</v>
      </c>
      <c r="K74" s="142">
        <v>10</v>
      </c>
      <c r="L74" s="142" t="s">
        <v>126</v>
      </c>
      <c r="M74" s="142" t="s">
        <v>127</v>
      </c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84"/>
    </row>
    <row r="77" customHeight="1" spans="1:36">
      <c r="A77" s="296" t="s">
        <v>129</v>
      </c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296"/>
    </row>
    <row r="78" customHeight="1" spans="1:36">
      <c r="A78" s="296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296"/>
    </row>
    <row r="79" s="176" customFormat="1" customHeight="1" spans="1:36">
      <c r="A79" s="297" t="s">
        <v>32</v>
      </c>
      <c r="B79" s="165" t="s">
        <v>108</v>
      </c>
      <c r="C79" s="165" t="s">
        <v>109</v>
      </c>
      <c r="D79" s="165" t="s">
        <v>110</v>
      </c>
      <c r="E79" s="299" t="s">
        <v>111</v>
      </c>
      <c r="F79" s="299" t="s">
        <v>105</v>
      </c>
      <c r="G79" s="165" t="s">
        <v>106</v>
      </c>
      <c r="H79" s="165" t="s">
        <v>107</v>
      </c>
      <c r="I79" s="165" t="s">
        <v>108</v>
      </c>
      <c r="J79" s="165" t="s">
        <v>109</v>
      </c>
      <c r="K79" s="165" t="s">
        <v>110</v>
      </c>
      <c r="L79" s="299" t="s">
        <v>111</v>
      </c>
      <c r="M79" s="299" t="s">
        <v>105</v>
      </c>
      <c r="N79" s="165" t="s">
        <v>106</v>
      </c>
      <c r="O79" s="165" t="s">
        <v>107</v>
      </c>
      <c r="P79" s="165" t="s">
        <v>108</v>
      </c>
      <c r="Q79" s="165" t="s">
        <v>109</v>
      </c>
      <c r="R79" s="165" t="s">
        <v>110</v>
      </c>
      <c r="S79" s="299" t="s">
        <v>111</v>
      </c>
      <c r="T79" s="299" t="s">
        <v>105</v>
      </c>
      <c r="U79" s="165" t="s">
        <v>106</v>
      </c>
      <c r="V79" s="165" t="s">
        <v>107</v>
      </c>
      <c r="W79" s="165" t="s">
        <v>108</v>
      </c>
      <c r="X79" s="165" t="s">
        <v>109</v>
      </c>
      <c r="Y79" s="165" t="s">
        <v>110</v>
      </c>
      <c r="Z79" s="299" t="s">
        <v>111</v>
      </c>
      <c r="AA79" s="299" t="s">
        <v>105</v>
      </c>
      <c r="AB79" s="165" t="s">
        <v>106</v>
      </c>
      <c r="AC79" s="165" t="s">
        <v>107</v>
      </c>
      <c r="AD79" s="165" t="s">
        <v>108</v>
      </c>
      <c r="AE79" s="165" t="s">
        <v>109</v>
      </c>
      <c r="AF79" s="165" t="s">
        <v>110</v>
      </c>
      <c r="AG79" s="297" t="s">
        <v>39</v>
      </c>
      <c r="AH79" s="297" t="s">
        <v>34</v>
      </c>
      <c r="AI79" s="300" t="s">
        <v>112</v>
      </c>
      <c r="AJ79" s="300" t="s">
        <v>113</v>
      </c>
    </row>
    <row r="80" s="176" customFormat="1" customHeight="1" spans="1:36">
      <c r="A80" s="301"/>
      <c r="B80" s="165">
        <v>1</v>
      </c>
      <c r="C80" s="165">
        <v>2</v>
      </c>
      <c r="D80" s="165">
        <v>3</v>
      </c>
      <c r="E80" s="299">
        <v>4</v>
      </c>
      <c r="F80" s="299">
        <v>5</v>
      </c>
      <c r="G80" s="165">
        <v>6</v>
      </c>
      <c r="H80" s="165">
        <v>7</v>
      </c>
      <c r="I80" s="165">
        <v>8</v>
      </c>
      <c r="J80" s="165">
        <v>9</v>
      </c>
      <c r="K80" s="165">
        <v>10</v>
      </c>
      <c r="L80" s="299">
        <v>11</v>
      </c>
      <c r="M80" s="299">
        <v>12</v>
      </c>
      <c r="N80" s="165">
        <v>13</v>
      </c>
      <c r="O80" s="165">
        <v>14</v>
      </c>
      <c r="P80" s="165">
        <v>15</v>
      </c>
      <c r="Q80" s="165">
        <v>16</v>
      </c>
      <c r="R80" s="165">
        <v>17</v>
      </c>
      <c r="S80" s="299">
        <v>18</v>
      </c>
      <c r="T80" s="299">
        <v>19</v>
      </c>
      <c r="U80" s="165">
        <v>20</v>
      </c>
      <c r="V80" s="165">
        <v>21</v>
      </c>
      <c r="W80" s="165">
        <v>22</v>
      </c>
      <c r="X80" s="165">
        <v>23</v>
      </c>
      <c r="Y80" s="165">
        <v>24</v>
      </c>
      <c r="Z80" s="299">
        <v>25</v>
      </c>
      <c r="AA80" s="299">
        <v>26</v>
      </c>
      <c r="AB80" s="165">
        <v>27</v>
      </c>
      <c r="AC80" s="165">
        <v>28</v>
      </c>
      <c r="AD80" s="165">
        <v>29</v>
      </c>
      <c r="AE80" s="165">
        <v>30</v>
      </c>
      <c r="AF80" s="165">
        <v>31</v>
      </c>
      <c r="AG80" s="301"/>
      <c r="AH80" s="301"/>
      <c r="AI80" s="300"/>
      <c r="AJ80" s="300"/>
    </row>
    <row r="81" s="176" customFormat="1" customHeight="1" spans="1:36">
      <c r="A81" s="181">
        <f>'人员人工-研发人员工资'!B81</f>
        <v>0</v>
      </c>
      <c r="B81" s="303" t="s">
        <v>115</v>
      </c>
      <c r="C81" s="303" t="s">
        <v>115</v>
      </c>
      <c r="D81" s="303" t="s">
        <v>115</v>
      </c>
      <c r="E81" s="182" t="s">
        <v>114</v>
      </c>
      <c r="F81" s="182" t="s">
        <v>114</v>
      </c>
      <c r="G81" s="303" t="s">
        <v>115</v>
      </c>
      <c r="H81" s="303" t="s">
        <v>115</v>
      </c>
      <c r="I81" s="182" t="s">
        <v>115</v>
      </c>
      <c r="J81" s="182" t="s">
        <v>102</v>
      </c>
      <c r="K81" s="182" t="s">
        <v>102</v>
      </c>
      <c r="L81" s="182" t="s">
        <v>114</v>
      </c>
      <c r="M81" s="182" t="s">
        <v>114</v>
      </c>
      <c r="N81" s="182" t="s">
        <v>116</v>
      </c>
      <c r="O81" s="182" t="s">
        <v>116</v>
      </c>
      <c r="P81" s="182" t="s">
        <v>116</v>
      </c>
      <c r="Q81" s="182" t="s">
        <v>116</v>
      </c>
      <c r="R81" s="182" t="s">
        <v>116</v>
      </c>
      <c r="S81" s="182" t="s">
        <v>114</v>
      </c>
      <c r="T81" s="182" t="s">
        <v>114</v>
      </c>
      <c r="U81" s="182" t="s">
        <v>102</v>
      </c>
      <c r="V81" s="182" t="s">
        <v>102</v>
      </c>
      <c r="W81" s="182" t="s">
        <v>117</v>
      </c>
      <c r="X81" s="182" t="s">
        <v>117</v>
      </c>
      <c r="Y81" s="182" t="s">
        <v>117</v>
      </c>
      <c r="Z81" s="182" t="s">
        <v>114</v>
      </c>
      <c r="AA81" s="182" t="s">
        <v>114</v>
      </c>
      <c r="AB81" s="182" t="s">
        <v>117</v>
      </c>
      <c r="AC81" s="182" t="s">
        <v>117</v>
      </c>
      <c r="AD81" s="182" t="s">
        <v>117</v>
      </c>
      <c r="AE81" s="182" t="s">
        <v>117</v>
      </c>
      <c r="AF81" s="182" t="s">
        <v>102</v>
      </c>
      <c r="AG81" s="183">
        <f t="shared" ref="AG81:AG110" si="4">COUNTIF(B81:AF81,"●")+COUNTIF(B81:AF81,"▲")+COUNTIF(B81:AF81,"■")+COUNTIF(B81:AF81,"★")+COUNTIF(B81:AF81,"◆")+COUNTIF(B81:AF81,"✽")+COUNTIF(B81:AF81,"❖")+COUNTIF(B81:AF81,"✪")+COUNTIF(B81:AF81,"✿")+COUNTIF(B81:AF81,"✤")</f>
        <v>18</v>
      </c>
      <c r="AH81" s="183">
        <f t="shared" ref="AH81:AH110" si="5">COUNTIF(B81:AF81,"●")+COUNTIF(B81:AF81,"▲")+COUNTIF(B81:AF81,"■")+COUNTIF(B81:AF81,"★")+COUNTIF(B81:AF81,"◆")+COUNTIF(B81:AF81,"✽")+COUNTIF(B81:AF81,"❖")+COUNTIF(B81:AF81,"✪")+COUNTIF(B81:AF81,"✿")+COUNTIF(B81:AF81,"✤")+COUNTIF(B81:AF81,"√")</f>
        <v>23</v>
      </c>
      <c r="AI81" s="296">
        <f>AG81-'人员人工-研发人员工资'!E81</f>
        <v>18</v>
      </c>
      <c r="AJ81" s="296">
        <f>AH81-'人员人工-研发人员工资'!D81</f>
        <v>23</v>
      </c>
    </row>
    <row r="82" s="176" customFormat="1" customHeight="1" spans="1:36">
      <c r="A82" s="181">
        <f>'人员人工-研发人员工资'!B82</f>
        <v>0</v>
      </c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3">
        <f t="shared" si="4"/>
        <v>0</v>
      </c>
      <c r="AH82" s="183">
        <f t="shared" si="5"/>
        <v>0</v>
      </c>
      <c r="AI82" s="296">
        <f>AG82-'人员人工-研发人员工资'!E82</f>
        <v>0</v>
      </c>
      <c r="AJ82" s="296">
        <f>AH82-'人员人工-研发人员工资'!D82</f>
        <v>0</v>
      </c>
    </row>
    <row r="83" s="176" customFormat="1" customHeight="1" spans="1:36">
      <c r="A83" s="181">
        <f>'人员人工-研发人员工资'!B83</f>
        <v>0</v>
      </c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3">
        <f t="shared" si="4"/>
        <v>0</v>
      </c>
      <c r="AH83" s="183">
        <f t="shared" si="5"/>
        <v>0</v>
      </c>
      <c r="AI83" s="296">
        <f>AG83-'人员人工-研发人员工资'!E83</f>
        <v>0</v>
      </c>
      <c r="AJ83" s="296">
        <f>AH83-'人员人工-研发人员工资'!D83</f>
        <v>0</v>
      </c>
    </row>
    <row r="84" s="176" customFormat="1" customHeight="1" spans="1:36">
      <c r="A84" s="181">
        <f>'人员人工-研发人员工资'!B84</f>
        <v>0</v>
      </c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3">
        <f t="shared" si="4"/>
        <v>0</v>
      </c>
      <c r="AH84" s="183">
        <f t="shared" si="5"/>
        <v>0</v>
      </c>
      <c r="AI84" s="296">
        <f>AG84-'人员人工-研发人员工资'!E84</f>
        <v>0</v>
      </c>
      <c r="AJ84" s="296">
        <f>AH84-'人员人工-研发人员工资'!D84</f>
        <v>0</v>
      </c>
    </row>
    <row r="85" s="176" customFormat="1" customHeight="1" spans="1:36">
      <c r="A85" s="181">
        <f>'人员人工-研发人员工资'!B85</f>
        <v>0</v>
      </c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3">
        <f t="shared" si="4"/>
        <v>0</v>
      </c>
      <c r="AH85" s="183">
        <f t="shared" si="5"/>
        <v>0</v>
      </c>
      <c r="AI85" s="296">
        <f>AG85-'人员人工-研发人员工资'!E85</f>
        <v>0</v>
      </c>
      <c r="AJ85" s="296">
        <f>AH85-'人员人工-研发人员工资'!D85</f>
        <v>0</v>
      </c>
    </row>
    <row r="86" s="176" customFormat="1" customHeight="1" spans="1:36">
      <c r="A86" s="181">
        <f>'人员人工-研发人员工资'!B86</f>
        <v>0</v>
      </c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3">
        <f t="shared" si="4"/>
        <v>0</v>
      </c>
      <c r="AH86" s="183">
        <f t="shared" si="5"/>
        <v>0</v>
      </c>
      <c r="AI86" s="296">
        <f>AG86-'人员人工-研发人员工资'!E86</f>
        <v>0</v>
      </c>
      <c r="AJ86" s="296">
        <f>AH86-'人员人工-研发人员工资'!D86</f>
        <v>0</v>
      </c>
    </row>
    <row r="87" s="176" customFormat="1" customHeight="1" spans="1:36">
      <c r="A87" s="181">
        <f>'人员人工-研发人员工资'!B87</f>
        <v>0</v>
      </c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3">
        <f t="shared" si="4"/>
        <v>0</v>
      </c>
      <c r="AH87" s="183">
        <f t="shared" si="5"/>
        <v>0</v>
      </c>
      <c r="AI87" s="296">
        <f>AG87-'人员人工-研发人员工资'!E87</f>
        <v>0</v>
      </c>
      <c r="AJ87" s="296">
        <f>AH87-'人员人工-研发人员工资'!D87</f>
        <v>0</v>
      </c>
    </row>
    <row r="88" s="176" customFormat="1" customHeight="1" spans="1:36">
      <c r="A88" s="181">
        <f>'人员人工-研发人员工资'!B88</f>
        <v>0</v>
      </c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3">
        <f t="shared" si="4"/>
        <v>0</v>
      </c>
      <c r="AH88" s="183">
        <f t="shared" si="5"/>
        <v>0</v>
      </c>
      <c r="AI88" s="296">
        <f>AG88-'人员人工-研发人员工资'!E88</f>
        <v>0</v>
      </c>
      <c r="AJ88" s="296">
        <f>AH88-'人员人工-研发人员工资'!D88</f>
        <v>0</v>
      </c>
    </row>
    <row r="89" s="176" customFormat="1" customHeight="1" spans="1:36">
      <c r="A89" s="181">
        <f>'人员人工-研发人员工资'!B89</f>
        <v>0</v>
      </c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3">
        <f t="shared" si="4"/>
        <v>0</v>
      </c>
      <c r="AH89" s="183">
        <f t="shared" si="5"/>
        <v>0</v>
      </c>
      <c r="AI89" s="296">
        <f>AG89-'人员人工-研发人员工资'!E89</f>
        <v>0</v>
      </c>
      <c r="AJ89" s="296">
        <f>AH89-'人员人工-研发人员工资'!D89</f>
        <v>0</v>
      </c>
    </row>
    <row r="90" s="176" customFormat="1" customHeight="1" spans="1:36">
      <c r="A90" s="181">
        <f>'人员人工-研发人员工资'!B90</f>
        <v>0</v>
      </c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3">
        <f t="shared" si="4"/>
        <v>0</v>
      </c>
      <c r="AH90" s="183">
        <f t="shared" si="5"/>
        <v>0</v>
      </c>
      <c r="AI90" s="296">
        <f>AG90-'人员人工-研发人员工资'!E90</f>
        <v>0</v>
      </c>
      <c r="AJ90" s="296">
        <f>AH90-'人员人工-研发人员工资'!D90</f>
        <v>0</v>
      </c>
    </row>
    <row r="91" s="176" customFormat="1" customHeight="1" spans="1:36">
      <c r="A91" s="181">
        <f>'人员人工-研发人员工资'!B91</f>
        <v>0</v>
      </c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3">
        <f t="shared" si="4"/>
        <v>0</v>
      </c>
      <c r="AH91" s="183">
        <f t="shared" si="5"/>
        <v>0</v>
      </c>
      <c r="AI91" s="296">
        <f>AG91-'人员人工-研发人员工资'!E91</f>
        <v>0</v>
      </c>
      <c r="AJ91" s="296">
        <f>AH91-'人员人工-研发人员工资'!D91</f>
        <v>0</v>
      </c>
    </row>
    <row r="92" s="176" customFormat="1" customHeight="1" spans="1:36">
      <c r="A92" s="181">
        <f>'人员人工-研发人员工资'!B92</f>
        <v>0</v>
      </c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3">
        <f t="shared" si="4"/>
        <v>0</v>
      </c>
      <c r="AH92" s="183">
        <f t="shared" si="5"/>
        <v>0</v>
      </c>
      <c r="AI92" s="296">
        <f>AG92-'人员人工-研发人员工资'!E92</f>
        <v>0</v>
      </c>
      <c r="AJ92" s="296">
        <f>AH92-'人员人工-研发人员工资'!D92</f>
        <v>0</v>
      </c>
    </row>
    <row r="93" s="176" customFormat="1" customHeight="1" spans="1:36">
      <c r="A93" s="181">
        <f>'人员人工-研发人员工资'!B93</f>
        <v>0</v>
      </c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3">
        <f t="shared" si="4"/>
        <v>0</v>
      </c>
      <c r="AH93" s="183">
        <f t="shared" si="5"/>
        <v>0</v>
      </c>
      <c r="AI93" s="296">
        <f>AG93-'人员人工-研发人员工资'!E93</f>
        <v>0</v>
      </c>
      <c r="AJ93" s="296">
        <f>AH93-'人员人工-研发人员工资'!D93</f>
        <v>0</v>
      </c>
    </row>
    <row r="94" s="176" customFormat="1" customHeight="1" spans="1:36">
      <c r="A94" s="181">
        <f>'人员人工-研发人员工资'!B94</f>
        <v>0</v>
      </c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3">
        <f t="shared" si="4"/>
        <v>0</v>
      </c>
      <c r="AH94" s="183">
        <f t="shared" si="5"/>
        <v>0</v>
      </c>
      <c r="AI94" s="296">
        <f>AG94-'人员人工-研发人员工资'!E94</f>
        <v>0</v>
      </c>
      <c r="AJ94" s="296">
        <f>AH94-'人员人工-研发人员工资'!D94</f>
        <v>0</v>
      </c>
    </row>
    <row r="95" s="176" customFormat="1" customHeight="1" spans="1:36">
      <c r="A95" s="181">
        <f>'人员人工-研发人员工资'!B95</f>
        <v>0</v>
      </c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3">
        <f t="shared" si="4"/>
        <v>0</v>
      </c>
      <c r="AH95" s="183">
        <f t="shared" si="5"/>
        <v>0</v>
      </c>
      <c r="AI95" s="296">
        <f>AG95-'人员人工-研发人员工资'!E95</f>
        <v>0</v>
      </c>
      <c r="AJ95" s="296">
        <f>AH95-'人员人工-研发人员工资'!D95</f>
        <v>0</v>
      </c>
    </row>
    <row r="96" s="176" customFormat="1" customHeight="1" spans="1:36">
      <c r="A96" s="181">
        <f>'人员人工-研发人员工资'!B96</f>
        <v>0</v>
      </c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3">
        <f t="shared" si="4"/>
        <v>0</v>
      </c>
      <c r="AH96" s="183">
        <f t="shared" si="5"/>
        <v>0</v>
      </c>
      <c r="AI96" s="296">
        <f>AG96-'人员人工-研发人员工资'!E96</f>
        <v>0</v>
      </c>
      <c r="AJ96" s="296">
        <f>AH96-'人员人工-研发人员工资'!D96</f>
        <v>0</v>
      </c>
    </row>
    <row r="97" s="176" customFormat="1" customHeight="1" spans="1:36">
      <c r="A97" s="181">
        <f>'人员人工-研发人员工资'!B97</f>
        <v>0</v>
      </c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3">
        <f t="shared" si="4"/>
        <v>0</v>
      </c>
      <c r="AH97" s="183">
        <f t="shared" si="5"/>
        <v>0</v>
      </c>
      <c r="AI97" s="296">
        <f>AG97-'人员人工-研发人员工资'!E97</f>
        <v>0</v>
      </c>
      <c r="AJ97" s="296">
        <f>AH97-'人员人工-研发人员工资'!D97</f>
        <v>0</v>
      </c>
    </row>
    <row r="98" s="176" customFormat="1" customHeight="1" spans="1:36">
      <c r="A98" s="181">
        <f>'人员人工-研发人员工资'!B98</f>
        <v>0</v>
      </c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3">
        <f t="shared" si="4"/>
        <v>0</v>
      </c>
      <c r="AH98" s="183">
        <f t="shared" si="5"/>
        <v>0</v>
      </c>
      <c r="AI98" s="296">
        <f>AG98-'人员人工-研发人员工资'!E98</f>
        <v>0</v>
      </c>
      <c r="AJ98" s="296">
        <f>AH98-'人员人工-研发人员工资'!D98</f>
        <v>0</v>
      </c>
    </row>
    <row r="99" s="176" customFormat="1" customHeight="1" spans="1:36">
      <c r="A99" s="181">
        <f>'人员人工-研发人员工资'!B99</f>
        <v>0</v>
      </c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3">
        <f t="shared" si="4"/>
        <v>0</v>
      </c>
      <c r="AH99" s="183">
        <f t="shared" si="5"/>
        <v>0</v>
      </c>
      <c r="AI99" s="296">
        <f>AG99-'人员人工-研发人员工资'!E99</f>
        <v>0</v>
      </c>
      <c r="AJ99" s="296">
        <f>AH99-'人员人工-研发人员工资'!D99</f>
        <v>0</v>
      </c>
    </row>
    <row r="100" s="176" customFormat="1" customHeight="1" spans="1:36">
      <c r="A100" s="181">
        <f>'人员人工-研发人员工资'!B100</f>
        <v>0</v>
      </c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3">
        <f t="shared" si="4"/>
        <v>0</v>
      </c>
      <c r="AH100" s="183">
        <f t="shared" si="5"/>
        <v>0</v>
      </c>
      <c r="AI100" s="296">
        <f>AG100-'人员人工-研发人员工资'!E100</f>
        <v>0</v>
      </c>
      <c r="AJ100" s="296">
        <f>AH100-'人员人工-研发人员工资'!D100</f>
        <v>0</v>
      </c>
    </row>
    <row r="101" s="176" customFormat="1" customHeight="1" spans="1:36">
      <c r="A101" s="181">
        <f>'人员人工-研发人员工资'!B101</f>
        <v>0</v>
      </c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3">
        <f t="shared" si="4"/>
        <v>0</v>
      </c>
      <c r="AH101" s="183">
        <f t="shared" si="5"/>
        <v>0</v>
      </c>
      <c r="AI101" s="296">
        <f>AG101-'人员人工-研发人员工资'!E101</f>
        <v>0</v>
      </c>
      <c r="AJ101" s="296">
        <f>AH101-'人员人工-研发人员工资'!D101</f>
        <v>0</v>
      </c>
    </row>
    <row r="102" s="176" customFormat="1" customHeight="1" spans="1:36">
      <c r="A102" s="181">
        <f>'人员人工-研发人员工资'!B102</f>
        <v>0</v>
      </c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3">
        <f t="shared" si="4"/>
        <v>0</v>
      </c>
      <c r="AH102" s="183">
        <f t="shared" si="5"/>
        <v>0</v>
      </c>
      <c r="AI102" s="296">
        <f>AG102-'人员人工-研发人员工资'!E102</f>
        <v>0</v>
      </c>
      <c r="AJ102" s="296">
        <f>AH102-'人员人工-研发人员工资'!D102</f>
        <v>0</v>
      </c>
    </row>
    <row r="103" s="176" customFormat="1" customHeight="1" spans="1:36">
      <c r="A103" s="181">
        <f>'人员人工-研发人员工资'!B103</f>
        <v>0</v>
      </c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3">
        <f t="shared" si="4"/>
        <v>0</v>
      </c>
      <c r="AH103" s="183">
        <f t="shared" si="5"/>
        <v>0</v>
      </c>
      <c r="AI103" s="296">
        <f>AG103-'人员人工-研发人员工资'!E103</f>
        <v>0</v>
      </c>
      <c r="AJ103" s="296">
        <f>AH103-'人员人工-研发人员工资'!D103</f>
        <v>0</v>
      </c>
    </row>
    <row r="104" s="176" customFormat="1" customHeight="1" spans="1:36">
      <c r="A104" s="181">
        <f>'人员人工-研发人员工资'!B104</f>
        <v>0</v>
      </c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3">
        <f t="shared" si="4"/>
        <v>0</v>
      </c>
      <c r="AH104" s="183">
        <f t="shared" si="5"/>
        <v>0</v>
      </c>
      <c r="AI104" s="296">
        <f>AG104-'人员人工-研发人员工资'!E104</f>
        <v>0</v>
      </c>
      <c r="AJ104" s="296">
        <f>AH104-'人员人工-研发人员工资'!D104</f>
        <v>0</v>
      </c>
    </row>
    <row r="105" s="176" customFormat="1" customHeight="1" spans="1:36">
      <c r="A105" s="181">
        <f>'人员人工-研发人员工资'!B105</f>
        <v>0</v>
      </c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3">
        <f t="shared" si="4"/>
        <v>0</v>
      </c>
      <c r="AH105" s="183">
        <f t="shared" si="5"/>
        <v>0</v>
      </c>
      <c r="AI105" s="296">
        <f>AG105-'人员人工-研发人员工资'!E105</f>
        <v>0</v>
      </c>
      <c r="AJ105" s="296">
        <f>AH105-'人员人工-研发人员工资'!D105</f>
        <v>0</v>
      </c>
    </row>
    <row r="106" s="176" customFormat="1" customHeight="1" spans="1:36">
      <c r="A106" s="181">
        <f>'人员人工-研发人员工资'!B106</f>
        <v>0</v>
      </c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3">
        <f t="shared" si="4"/>
        <v>0</v>
      </c>
      <c r="AH106" s="183">
        <f t="shared" si="5"/>
        <v>0</v>
      </c>
      <c r="AI106" s="296">
        <f>AG106-'人员人工-研发人员工资'!E106</f>
        <v>0</v>
      </c>
      <c r="AJ106" s="296">
        <f>AH106-'人员人工-研发人员工资'!D106</f>
        <v>0</v>
      </c>
    </row>
    <row r="107" s="176" customFormat="1" customHeight="1" spans="1:36">
      <c r="A107" s="181">
        <f>'人员人工-研发人员工资'!B107</f>
        <v>0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3">
        <f t="shared" si="4"/>
        <v>0</v>
      </c>
      <c r="AH107" s="183">
        <f t="shared" si="5"/>
        <v>0</v>
      </c>
      <c r="AI107" s="296">
        <f>AG107-'人员人工-研发人员工资'!E107</f>
        <v>0</v>
      </c>
      <c r="AJ107" s="296">
        <f>AH107-'人员人工-研发人员工资'!D107</f>
        <v>0</v>
      </c>
    </row>
    <row r="108" s="176" customFormat="1" customHeight="1" spans="1:36">
      <c r="A108" s="181">
        <f>'人员人工-研发人员工资'!B108</f>
        <v>0</v>
      </c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3">
        <f t="shared" si="4"/>
        <v>0</v>
      </c>
      <c r="AH108" s="183">
        <f t="shared" si="5"/>
        <v>0</v>
      </c>
      <c r="AI108" s="296">
        <f>AG108-'人员人工-研发人员工资'!E108</f>
        <v>0</v>
      </c>
      <c r="AJ108" s="296">
        <f>AH108-'人员人工-研发人员工资'!D108</f>
        <v>0</v>
      </c>
    </row>
    <row r="109" s="176" customFormat="1" customHeight="1" spans="1:36">
      <c r="A109" s="181">
        <f>'人员人工-研发人员工资'!B109</f>
        <v>0</v>
      </c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3">
        <f t="shared" si="4"/>
        <v>0</v>
      </c>
      <c r="AH109" s="183">
        <f t="shared" si="5"/>
        <v>0</v>
      </c>
      <c r="AI109" s="296">
        <f>AG109-'人员人工-研发人员工资'!E109</f>
        <v>0</v>
      </c>
      <c r="AJ109" s="296">
        <f>AH109-'人员人工-研发人员工资'!D109</f>
        <v>0</v>
      </c>
    </row>
    <row r="110" s="176" customFormat="1" customHeight="1" spans="1:36">
      <c r="A110" s="181">
        <f>'人员人工-研发人员工资'!B110</f>
        <v>0</v>
      </c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3">
        <f t="shared" si="4"/>
        <v>0</v>
      </c>
      <c r="AH110" s="183">
        <f t="shared" si="5"/>
        <v>0</v>
      </c>
      <c r="AI110" s="296">
        <f>AG110-'人员人工-研发人员工资'!E110</f>
        <v>0</v>
      </c>
      <c r="AJ110" s="296">
        <f>AH110-'人员人工-研发人员工资'!D110</f>
        <v>0</v>
      </c>
    </row>
    <row r="111" s="295" customFormat="1" customHeight="1" spans="1:36">
      <c r="A111" s="295" t="s">
        <v>118</v>
      </c>
      <c r="B111" s="304" t="s">
        <v>115</v>
      </c>
      <c r="C111" s="304" t="s">
        <v>116</v>
      </c>
      <c r="D111" s="304" t="s">
        <v>117</v>
      </c>
      <c r="E111" s="304" t="s">
        <v>119</v>
      </c>
      <c r="F111" s="304" t="s">
        <v>120</v>
      </c>
      <c r="G111" s="304" t="s">
        <v>121</v>
      </c>
      <c r="H111" s="176" t="s">
        <v>122</v>
      </c>
      <c r="I111" s="176" t="s">
        <v>123</v>
      </c>
      <c r="J111" s="304" t="s">
        <v>124</v>
      </c>
      <c r="K111" s="176" t="s">
        <v>125</v>
      </c>
      <c r="L111" s="304" t="s">
        <v>102</v>
      </c>
      <c r="M111" s="304" t="s">
        <v>114</v>
      </c>
      <c r="N111" s="304"/>
      <c r="O111" s="304"/>
      <c r="P111" s="304"/>
      <c r="Q111" s="304"/>
      <c r="R111" s="304"/>
      <c r="S111" s="304"/>
      <c r="T111" s="304"/>
      <c r="U111" s="304"/>
      <c r="V111" s="304"/>
      <c r="W111" s="304"/>
      <c r="X111" s="304"/>
      <c r="Y111" s="304"/>
      <c r="Z111" s="304"/>
      <c r="AA111" s="304"/>
      <c r="AB111" s="304"/>
      <c r="AC111" s="304"/>
      <c r="AD111" s="304"/>
      <c r="AE111" s="304"/>
      <c r="AF111" s="304"/>
      <c r="AG111" s="184"/>
      <c r="AI111" s="296"/>
      <c r="AJ111" s="296"/>
    </row>
    <row r="112" s="295" customFormat="1" customHeight="1" spans="1:36">
      <c r="B112" s="142">
        <v>1</v>
      </c>
      <c r="C112" s="142">
        <v>2</v>
      </c>
      <c r="D112" s="142">
        <v>3</v>
      </c>
      <c r="E112" s="142">
        <v>4</v>
      </c>
      <c r="F112" s="142">
        <v>5</v>
      </c>
      <c r="G112" s="142">
        <v>6</v>
      </c>
      <c r="H112" s="142">
        <v>7</v>
      </c>
      <c r="I112" s="142">
        <v>8</v>
      </c>
      <c r="J112" s="142">
        <v>9</v>
      </c>
      <c r="K112" s="142">
        <v>10</v>
      </c>
      <c r="L112" s="142" t="s">
        <v>126</v>
      </c>
      <c r="M112" s="142" t="s">
        <v>127</v>
      </c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84"/>
      <c r="AI112" s="296"/>
      <c r="AJ112" s="296"/>
    </row>
    <row r="113" s="176" customFormat="1" customHeight="1" spans="1:36">
      <c r="AI113" s="142"/>
      <c r="AJ113" s="142"/>
    </row>
    <row r="114" s="176" customFormat="1" customHeight="1" spans="1:36">
      <c r="AI114" s="142"/>
      <c r="AJ114" s="142"/>
    </row>
    <row r="115" s="176" customFormat="1" customHeight="1" spans="1:36">
      <c r="A115" s="296" t="s">
        <v>130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296"/>
      <c r="AI115" s="142"/>
      <c r="AJ115" s="142"/>
    </row>
    <row r="116" s="176" customFormat="1" customHeight="1" spans="1:36">
      <c r="A116" s="296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296"/>
      <c r="AI116" s="142"/>
      <c r="AJ116" s="142"/>
    </row>
    <row r="117" s="176" customFormat="1" customHeight="1" spans="1:36">
      <c r="A117" s="297" t="s">
        <v>32</v>
      </c>
      <c r="B117" s="299" t="s">
        <v>111</v>
      </c>
      <c r="C117" s="299" t="s">
        <v>105</v>
      </c>
      <c r="D117" s="165" t="s">
        <v>106</v>
      </c>
      <c r="E117" s="165" t="s">
        <v>107</v>
      </c>
      <c r="F117" s="298" t="s">
        <v>108</v>
      </c>
      <c r="G117" s="165" t="s">
        <v>109</v>
      </c>
      <c r="H117" s="165" t="s">
        <v>110</v>
      </c>
      <c r="I117" s="299" t="s">
        <v>111</v>
      </c>
      <c r="J117" s="299" t="s">
        <v>105</v>
      </c>
      <c r="K117" s="165" t="s">
        <v>106</v>
      </c>
      <c r="L117" s="165" t="s">
        <v>107</v>
      </c>
      <c r="M117" s="165" t="s">
        <v>108</v>
      </c>
      <c r="N117" s="165" t="s">
        <v>109</v>
      </c>
      <c r="O117" s="165" t="s">
        <v>110</v>
      </c>
      <c r="P117" s="299" t="s">
        <v>111</v>
      </c>
      <c r="Q117" s="299" t="s">
        <v>105</v>
      </c>
      <c r="R117" s="165" t="s">
        <v>106</v>
      </c>
      <c r="S117" s="165" t="s">
        <v>107</v>
      </c>
      <c r="T117" s="165" t="s">
        <v>108</v>
      </c>
      <c r="U117" s="165" t="s">
        <v>109</v>
      </c>
      <c r="V117" s="165" t="s">
        <v>110</v>
      </c>
      <c r="W117" s="299" t="s">
        <v>111</v>
      </c>
      <c r="X117" s="165" t="s">
        <v>105</v>
      </c>
      <c r="Y117" s="165" t="s">
        <v>106</v>
      </c>
      <c r="Z117" s="165" t="s">
        <v>107</v>
      </c>
      <c r="AA117" s="165" t="s">
        <v>108</v>
      </c>
      <c r="AB117" s="165" t="s">
        <v>109</v>
      </c>
      <c r="AC117" s="165" t="s">
        <v>110</v>
      </c>
      <c r="AD117" s="298" t="s">
        <v>111</v>
      </c>
      <c r="AE117" s="298" t="s">
        <v>105</v>
      </c>
      <c r="AF117" s="165"/>
      <c r="AG117" s="297" t="s">
        <v>39</v>
      </c>
      <c r="AH117" s="297" t="s">
        <v>34</v>
      </c>
      <c r="AI117" s="300" t="s">
        <v>112</v>
      </c>
      <c r="AJ117" s="300" t="s">
        <v>113</v>
      </c>
    </row>
    <row r="118" s="176" customFormat="1" customHeight="1" spans="1:36">
      <c r="A118" s="301"/>
      <c r="B118" s="299">
        <v>1</v>
      </c>
      <c r="C118" s="299">
        <v>2</v>
      </c>
      <c r="D118" s="165">
        <v>3</v>
      </c>
      <c r="E118" s="165">
        <v>4</v>
      </c>
      <c r="F118" s="298">
        <v>5</v>
      </c>
      <c r="G118" s="165">
        <v>6</v>
      </c>
      <c r="H118" s="165">
        <v>7</v>
      </c>
      <c r="I118" s="299">
        <v>8</v>
      </c>
      <c r="J118" s="299">
        <v>9</v>
      </c>
      <c r="K118" s="165">
        <v>10</v>
      </c>
      <c r="L118" s="165">
        <v>11</v>
      </c>
      <c r="M118" s="165">
        <v>12</v>
      </c>
      <c r="N118" s="165">
        <v>13</v>
      </c>
      <c r="O118" s="165">
        <v>14</v>
      </c>
      <c r="P118" s="299">
        <v>15</v>
      </c>
      <c r="Q118" s="299">
        <v>16</v>
      </c>
      <c r="R118" s="165">
        <v>17</v>
      </c>
      <c r="S118" s="165">
        <v>18</v>
      </c>
      <c r="T118" s="165">
        <v>19</v>
      </c>
      <c r="U118" s="165">
        <v>20</v>
      </c>
      <c r="V118" s="165">
        <v>21</v>
      </c>
      <c r="W118" s="299">
        <v>22</v>
      </c>
      <c r="X118" s="165">
        <v>23</v>
      </c>
      <c r="Y118" s="165">
        <v>24</v>
      </c>
      <c r="Z118" s="165">
        <v>25</v>
      </c>
      <c r="AA118" s="165">
        <v>26</v>
      </c>
      <c r="AB118" s="165">
        <v>27</v>
      </c>
      <c r="AC118" s="165">
        <v>28</v>
      </c>
      <c r="AD118" s="298">
        <v>29</v>
      </c>
      <c r="AE118" s="298">
        <v>30</v>
      </c>
      <c r="AF118" s="165"/>
      <c r="AG118" s="301"/>
      <c r="AH118" s="301"/>
      <c r="AI118" s="300"/>
      <c r="AJ118" s="300"/>
    </row>
    <row r="119" s="176" customFormat="1" customHeight="1" spans="1:36">
      <c r="A119" s="181">
        <f>'人员人工-研发人员工资'!B119</f>
        <v>0</v>
      </c>
      <c r="B119" s="182" t="s">
        <v>114</v>
      </c>
      <c r="C119" s="182" t="s">
        <v>114</v>
      </c>
      <c r="D119" s="303" t="s">
        <v>115</v>
      </c>
      <c r="E119" s="303" t="s">
        <v>115</v>
      </c>
      <c r="F119" s="182" t="s">
        <v>114</v>
      </c>
      <c r="G119" s="303" t="s">
        <v>115</v>
      </c>
      <c r="H119" s="303" t="s">
        <v>115</v>
      </c>
      <c r="I119" s="182" t="s">
        <v>114</v>
      </c>
      <c r="J119" s="182" t="s">
        <v>114</v>
      </c>
      <c r="K119" s="182" t="s">
        <v>116</v>
      </c>
      <c r="L119" s="182" t="s">
        <v>116</v>
      </c>
      <c r="M119" s="182" t="s">
        <v>116</v>
      </c>
      <c r="N119" s="182" t="s">
        <v>116</v>
      </c>
      <c r="O119" s="182" t="s">
        <v>116</v>
      </c>
      <c r="P119" s="182" t="s">
        <v>114</v>
      </c>
      <c r="Q119" s="182" t="s">
        <v>114</v>
      </c>
      <c r="R119" s="182" t="s">
        <v>102</v>
      </c>
      <c r="S119" s="182" t="s">
        <v>102</v>
      </c>
      <c r="T119" s="182" t="s">
        <v>117</v>
      </c>
      <c r="U119" s="182" t="s">
        <v>117</v>
      </c>
      <c r="V119" s="182" t="s">
        <v>117</v>
      </c>
      <c r="W119" s="182" t="s">
        <v>114</v>
      </c>
      <c r="X119" s="182" t="s">
        <v>117</v>
      </c>
      <c r="Y119" s="182" t="s">
        <v>117</v>
      </c>
      <c r="Z119" s="182" t="s">
        <v>117</v>
      </c>
      <c r="AA119" s="182" t="s">
        <v>117</v>
      </c>
      <c r="AB119" s="182" t="s">
        <v>117</v>
      </c>
      <c r="AC119" s="182" t="s">
        <v>102</v>
      </c>
      <c r="AD119" s="182" t="s">
        <v>114</v>
      </c>
      <c r="AE119" s="182" t="s">
        <v>114</v>
      </c>
      <c r="AF119" s="183"/>
      <c r="AG119" s="183">
        <f t="shared" ref="AG119:AG148" si="6">COUNTIF(B119:AF119,"●")+COUNTIF(B119:AF119,"▲")+COUNTIF(B119:AF119,"■")+COUNTIF(B119:AF119,"★")+COUNTIF(B119:AF119,"◆")+COUNTIF(B119:AF119,"✽")+COUNTIF(B119:AF119,"❖")+COUNTIF(B119:AF119,"✪")+COUNTIF(B119:AF119,"✿")+COUNTIF(B119:AF119,"✤")</f>
        <v>17</v>
      </c>
      <c r="AH119" s="183">
        <f t="shared" ref="AH119:AH148" si="7">COUNTIF(B119:AF119,"●")+COUNTIF(B119:AF119,"▲")+COUNTIF(B119:AF119,"■")+COUNTIF(B119:AF119,"★")+COUNTIF(B119:AF119,"◆")+COUNTIF(B119:AF119,"✽")+COUNTIF(B119:AF119,"❖")+COUNTIF(B119:AF119,"✪")+COUNTIF(B119:AF119,"✿")+COUNTIF(B119:AF119,"✤")+COUNTIF(B119:AF119,"√")</f>
        <v>20</v>
      </c>
      <c r="AI119" s="296">
        <f>AG119-'人员人工-研发人员工资'!E119</f>
        <v>17</v>
      </c>
      <c r="AJ119" s="296">
        <f>AH119-'人员人工-研发人员工资'!D119</f>
        <v>20</v>
      </c>
    </row>
    <row r="120" s="176" customFormat="1" customHeight="1" spans="1:36">
      <c r="A120" s="181">
        <f>'人员人工-研发人员工资'!B120</f>
        <v>0</v>
      </c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3"/>
      <c r="AG120" s="183">
        <f t="shared" si="6"/>
        <v>0</v>
      </c>
      <c r="AH120" s="183">
        <f t="shared" si="7"/>
        <v>0</v>
      </c>
      <c r="AI120" s="296">
        <f>AG120-'人员人工-研发人员工资'!E120</f>
        <v>0</v>
      </c>
      <c r="AJ120" s="296">
        <f>AH120-'人员人工-研发人员工资'!D120</f>
        <v>0</v>
      </c>
    </row>
    <row r="121" s="176" customFormat="1" customHeight="1" spans="1:36">
      <c r="A121" s="181">
        <f>'人员人工-研发人员工资'!B121</f>
        <v>0</v>
      </c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3"/>
      <c r="AG121" s="183">
        <f t="shared" si="6"/>
        <v>0</v>
      </c>
      <c r="AH121" s="183">
        <f t="shared" si="7"/>
        <v>0</v>
      </c>
      <c r="AI121" s="296">
        <f>AG121-'人员人工-研发人员工资'!E121</f>
        <v>0</v>
      </c>
      <c r="AJ121" s="296">
        <f>AH121-'人员人工-研发人员工资'!D121</f>
        <v>0</v>
      </c>
    </row>
    <row r="122" s="176" customFormat="1" customHeight="1" spans="1:36">
      <c r="A122" s="181">
        <f>'人员人工-研发人员工资'!B122</f>
        <v>0</v>
      </c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3"/>
      <c r="AG122" s="183">
        <f t="shared" si="6"/>
        <v>0</v>
      </c>
      <c r="AH122" s="183">
        <f t="shared" si="7"/>
        <v>0</v>
      </c>
      <c r="AI122" s="296">
        <f>AG122-'人员人工-研发人员工资'!E122</f>
        <v>0</v>
      </c>
      <c r="AJ122" s="296">
        <f>AH122-'人员人工-研发人员工资'!D122</f>
        <v>0</v>
      </c>
    </row>
    <row r="123" s="176" customFormat="1" customHeight="1" spans="1:36">
      <c r="A123" s="181">
        <f>'人员人工-研发人员工资'!B123</f>
        <v>0</v>
      </c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3"/>
      <c r="AG123" s="183">
        <f t="shared" si="6"/>
        <v>0</v>
      </c>
      <c r="AH123" s="183">
        <f t="shared" si="7"/>
        <v>0</v>
      </c>
      <c r="AI123" s="296">
        <f>AG123-'人员人工-研发人员工资'!E123</f>
        <v>0</v>
      </c>
      <c r="AJ123" s="296">
        <f>AH123-'人员人工-研发人员工资'!D123</f>
        <v>0</v>
      </c>
    </row>
    <row r="124" s="176" customFormat="1" customHeight="1" spans="1:36">
      <c r="A124" s="181">
        <f>'人员人工-研发人员工资'!B124</f>
        <v>0</v>
      </c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3"/>
      <c r="AG124" s="183">
        <f t="shared" si="6"/>
        <v>0</v>
      </c>
      <c r="AH124" s="183">
        <f t="shared" si="7"/>
        <v>0</v>
      </c>
      <c r="AI124" s="296">
        <f>AG124-'人员人工-研发人员工资'!E124</f>
        <v>0</v>
      </c>
      <c r="AJ124" s="296">
        <f>AH124-'人员人工-研发人员工资'!D124</f>
        <v>0</v>
      </c>
    </row>
    <row r="125" s="176" customFormat="1" customHeight="1" spans="1:36">
      <c r="A125" s="181">
        <f>'人员人工-研发人员工资'!B125</f>
        <v>0</v>
      </c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3"/>
      <c r="AG125" s="183">
        <f t="shared" si="6"/>
        <v>0</v>
      </c>
      <c r="AH125" s="183">
        <f t="shared" si="7"/>
        <v>0</v>
      </c>
      <c r="AI125" s="296">
        <f>AG125-'人员人工-研发人员工资'!E125</f>
        <v>0</v>
      </c>
      <c r="AJ125" s="296">
        <f>AH125-'人员人工-研发人员工资'!D125</f>
        <v>0</v>
      </c>
    </row>
    <row r="126" s="176" customFormat="1" customHeight="1" spans="1:36">
      <c r="A126" s="181">
        <f>'人员人工-研发人员工资'!B126</f>
        <v>0</v>
      </c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3"/>
      <c r="AG126" s="183">
        <f t="shared" si="6"/>
        <v>0</v>
      </c>
      <c r="AH126" s="183">
        <f t="shared" si="7"/>
        <v>0</v>
      </c>
      <c r="AI126" s="296">
        <f>AG126-'人员人工-研发人员工资'!E126</f>
        <v>0</v>
      </c>
      <c r="AJ126" s="296">
        <f>AH126-'人员人工-研发人员工资'!D126</f>
        <v>0</v>
      </c>
    </row>
    <row r="127" s="176" customFormat="1" customHeight="1" spans="1:36">
      <c r="A127" s="181">
        <f>'人员人工-研发人员工资'!B127</f>
        <v>0</v>
      </c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3"/>
      <c r="AG127" s="183">
        <f t="shared" si="6"/>
        <v>0</v>
      </c>
      <c r="AH127" s="183">
        <f t="shared" si="7"/>
        <v>0</v>
      </c>
      <c r="AI127" s="296">
        <f>AG127-'人员人工-研发人员工资'!E127</f>
        <v>0</v>
      </c>
      <c r="AJ127" s="296">
        <f>AH127-'人员人工-研发人员工资'!D127</f>
        <v>0</v>
      </c>
    </row>
    <row r="128" s="176" customFormat="1" customHeight="1" spans="1:36">
      <c r="A128" s="181">
        <f>'人员人工-研发人员工资'!B128</f>
        <v>0</v>
      </c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3"/>
      <c r="AG128" s="183">
        <f t="shared" si="6"/>
        <v>0</v>
      </c>
      <c r="AH128" s="183">
        <f t="shared" si="7"/>
        <v>0</v>
      </c>
      <c r="AI128" s="296">
        <f>AG128-'人员人工-研发人员工资'!E128</f>
        <v>0</v>
      </c>
      <c r="AJ128" s="296">
        <f>AH128-'人员人工-研发人员工资'!D128</f>
        <v>0</v>
      </c>
    </row>
    <row r="129" s="176" customFormat="1" customHeight="1" spans="1:36">
      <c r="A129" s="181">
        <f>'人员人工-研发人员工资'!B129</f>
        <v>0</v>
      </c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3"/>
      <c r="AG129" s="183">
        <f t="shared" si="6"/>
        <v>0</v>
      </c>
      <c r="AH129" s="183">
        <f t="shared" si="7"/>
        <v>0</v>
      </c>
      <c r="AI129" s="296">
        <f>AG129-'人员人工-研发人员工资'!E129</f>
        <v>0</v>
      </c>
      <c r="AJ129" s="296">
        <f>AH129-'人员人工-研发人员工资'!D129</f>
        <v>0</v>
      </c>
    </row>
    <row r="130" s="176" customFormat="1" customHeight="1" spans="1:36">
      <c r="A130" s="181">
        <f>'人员人工-研发人员工资'!B130</f>
        <v>0</v>
      </c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3"/>
      <c r="AG130" s="183">
        <f t="shared" si="6"/>
        <v>0</v>
      </c>
      <c r="AH130" s="183">
        <f t="shared" si="7"/>
        <v>0</v>
      </c>
      <c r="AI130" s="296">
        <f>AG130-'人员人工-研发人员工资'!E130</f>
        <v>0</v>
      </c>
      <c r="AJ130" s="296">
        <f>AH130-'人员人工-研发人员工资'!D130</f>
        <v>0</v>
      </c>
    </row>
    <row r="131" s="176" customFormat="1" customHeight="1" spans="1:36">
      <c r="A131" s="181">
        <f>'人员人工-研发人员工资'!B131</f>
        <v>0</v>
      </c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3"/>
      <c r="AG131" s="183">
        <f t="shared" si="6"/>
        <v>0</v>
      </c>
      <c r="AH131" s="183">
        <f t="shared" si="7"/>
        <v>0</v>
      </c>
      <c r="AI131" s="296">
        <f>AG131-'人员人工-研发人员工资'!E131</f>
        <v>0</v>
      </c>
      <c r="AJ131" s="296">
        <f>AH131-'人员人工-研发人员工资'!D131</f>
        <v>0</v>
      </c>
    </row>
    <row r="132" s="176" customFormat="1" customHeight="1" spans="1:36">
      <c r="A132" s="181">
        <f>'人员人工-研发人员工资'!B132</f>
        <v>0</v>
      </c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3"/>
      <c r="AG132" s="183">
        <f t="shared" si="6"/>
        <v>0</v>
      </c>
      <c r="AH132" s="183">
        <f t="shared" si="7"/>
        <v>0</v>
      </c>
      <c r="AI132" s="296">
        <f>AG132-'人员人工-研发人员工资'!E132</f>
        <v>0</v>
      </c>
      <c r="AJ132" s="296">
        <f>AH132-'人员人工-研发人员工资'!D132</f>
        <v>0</v>
      </c>
    </row>
    <row r="133" s="176" customFormat="1" customHeight="1" spans="1:36">
      <c r="A133" s="181">
        <f>'人员人工-研发人员工资'!B133</f>
        <v>0</v>
      </c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3"/>
      <c r="AG133" s="183">
        <f t="shared" si="6"/>
        <v>0</v>
      </c>
      <c r="AH133" s="183">
        <f t="shared" si="7"/>
        <v>0</v>
      </c>
      <c r="AI133" s="296">
        <f>AG133-'人员人工-研发人员工资'!E133</f>
        <v>0</v>
      </c>
      <c r="AJ133" s="296">
        <f>AH133-'人员人工-研发人员工资'!D133</f>
        <v>0</v>
      </c>
    </row>
    <row r="134" s="176" customFormat="1" customHeight="1" spans="1:36">
      <c r="A134" s="181">
        <f>'人员人工-研发人员工资'!B134</f>
        <v>0</v>
      </c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3"/>
      <c r="AG134" s="183">
        <f t="shared" si="6"/>
        <v>0</v>
      </c>
      <c r="AH134" s="183">
        <f t="shared" si="7"/>
        <v>0</v>
      </c>
      <c r="AI134" s="296">
        <f>AG134-'人员人工-研发人员工资'!E134</f>
        <v>0</v>
      </c>
      <c r="AJ134" s="296">
        <f>AH134-'人员人工-研发人员工资'!D134</f>
        <v>0</v>
      </c>
    </row>
    <row r="135" s="176" customFormat="1" customHeight="1" spans="1:36">
      <c r="A135" s="181">
        <f>'人员人工-研发人员工资'!B135</f>
        <v>0</v>
      </c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3"/>
      <c r="AG135" s="183">
        <f t="shared" si="6"/>
        <v>0</v>
      </c>
      <c r="AH135" s="183">
        <f t="shared" si="7"/>
        <v>0</v>
      </c>
      <c r="AI135" s="296">
        <f>AG135-'人员人工-研发人员工资'!E135</f>
        <v>0</v>
      </c>
      <c r="AJ135" s="296">
        <f>AH135-'人员人工-研发人员工资'!D135</f>
        <v>0</v>
      </c>
    </row>
    <row r="136" s="176" customFormat="1" customHeight="1" spans="1:36">
      <c r="A136" s="181">
        <f>'人员人工-研发人员工资'!B136</f>
        <v>0</v>
      </c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3"/>
      <c r="AG136" s="183">
        <f t="shared" si="6"/>
        <v>0</v>
      </c>
      <c r="AH136" s="183">
        <f t="shared" si="7"/>
        <v>0</v>
      </c>
      <c r="AI136" s="296">
        <f>AG136-'人员人工-研发人员工资'!E136</f>
        <v>0</v>
      </c>
      <c r="AJ136" s="296">
        <f>AH136-'人员人工-研发人员工资'!D136</f>
        <v>0</v>
      </c>
    </row>
    <row r="137" s="176" customFormat="1" customHeight="1" spans="1:36">
      <c r="A137" s="181">
        <f>'人员人工-研发人员工资'!B137</f>
        <v>0</v>
      </c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3"/>
      <c r="AG137" s="183">
        <f t="shared" si="6"/>
        <v>0</v>
      </c>
      <c r="AH137" s="183">
        <f t="shared" si="7"/>
        <v>0</v>
      </c>
      <c r="AI137" s="296">
        <f>AG137-'人员人工-研发人员工资'!E137</f>
        <v>0</v>
      </c>
      <c r="AJ137" s="296">
        <f>AH137-'人员人工-研发人员工资'!D137</f>
        <v>0</v>
      </c>
    </row>
    <row r="138" s="176" customFormat="1" customHeight="1" spans="1:36">
      <c r="A138" s="181">
        <f>'人员人工-研发人员工资'!B138</f>
        <v>0</v>
      </c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3"/>
      <c r="AG138" s="183">
        <f t="shared" si="6"/>
        <v>0</v>
      </c>
      <c r="AH138" s="183">
        <f t="shared" si="7"/>
        <v>0</v>
      </c>
      <c r="AI138" s="296">
        <f>AG138-'人员人工-研发人员工资'!E138</f>
        <v>0</v>
      </c>
      <c r="AJ138" s="296">
        <f>AH138-'人员人工-研发人员工资'!D138</f>
        <v>0</v>
      </c>
    </row>
    <row r="139" s="176" customFormat="1" customHeight="1" spans="1:36">
      <c r="A139" s="181">
        <f>'人员人工-研发人员工资'!B139</f>
        <v>0</v>
      </c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3"/>
      <c r="AG139" s="183">
        <f t="shared" si="6"/>
        <v>0</v>
      </c>
      <c r="AH139" s="183">
        <f t="shared" si="7"/>
        <v>0</v>
      </c>
      <c r="AI139" s="296">
        <f>AG139-'人员人工-研发人员工资'!E139</f>
        <v>0</v>
      </c>
      <c r="AJ139" s="296">
        <f>AH139-'人员人工-研发人员工资'!D139</f>
        <v>0</v>
      </c>
    </row>
    <row r="140" s="176" customFormat="1" customHeight="1" spans="1:36">
      <c r="A140" s="181">
        <f>'人员人工-研发人员工资'!B140</f>
        <v>0</v>
      </c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3"/>
      <c r="AG140" s="183">
        <f t="shared" si="6"/>
        <v>0</v>
      </c>
      <c r="AH140" s="183">
        <f t="shared" si="7"/>
        <v>0</v>
      </c>
      <c r="AI140" s="296">
        <f>AG140-'人员人工-研发人员工资'!E140</f>
        <v>0</v>
      </c>
      <c r="AJ140" s="296">
        <f>AH140-'人员人工-研发人员工资'!D140</f>
        <v>0</v>
      </c>
    </row>
    <row r="141" s="176" customFormat="1" customHeight="1" spans="1:36">
      <c r="A141" s="181">
        <f>'人员人工-研发人员工资'!B141</f>
        <v>0</v>
      </c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3"/>
      <c r="AG141" s="183">
        <f t="shared" si="6"/>
        <v>0</v>
      </c>
      <c r="AH141" s="183">
        <f t="shared" si="7"/>
        <v>0</v>
      </c>
      <c r="AI141" s="296">
        <f>AG141-'人员人工-研发人员工资'!E141</f>
        <v>0</v>
      </c>
      <c r="AJ141" s="296">
        <f>AH141-'人员人工-研发人员工资'!D141</f>
        <v>0</v>
      </c>
    </row>
    <row r="142" s="176" customFormat="1" customHeight="1" spans="1:36">
      <c r="A142" s="181">
        <f>'人员人工-研发人员工资'!B142</f>
        <v>0</v>
      </c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3"/>
      <c r="AG142" s="183">
        <f t="shared" si="6"/>
        <v>0</v>
      </c>
      <c r="AH142" s="183">
        <f t="shared" si="7"/>
        <v>0</v>
      </c>
      <c r="AI142" s="296">
        <f>AG142-'人员人工-研发人员工资'!E142</f>
        <v>0</v>
      </c>
      <c r="AJ142" s="296">
        <f>AH142-'人员人工-研发人员工资'!D142</f>
        <v>0</v>
      </c>
    </row>
    <row r="143" s="176" customFormat="1" customHeight="1" spans="1:36">
      <c r="A143" s="181">
        <f>'人员人工-研发人员工资'!B143</f>
        <v>0</v>
      </c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3"/>
      <c r="AG143" s="183">
        <f t="shared" si="6"/>
        <v>0</v>
      </c>
      <c r="AH143" s="183">
        <f t="shared" si="7"/>
        <v>0</v>
      </c>
      <c r="AI143" s="296">
        <f>AG143-'人员人工-研发人员工资'!E143</f>
        <v>0</v>
      </c>
      <c r="AJ143" s="296">
        <f>AH143-'人员人工-研发人员工资'!D143</f>
        <v>0</v>
      </c>
    </row>
    <row r="144" s="176" customFormat="1" customHeight="1" spans="1:36">
      <c r="A144" s="181">
        <f>'人员人工-研发人员工资'!B144</f>
        <v>0</v>
      </c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3"/>
      <c r="AG144" s="183">
        <f t="shared" si="6"/>
        <v>0</v>
      </c>
      <c r="AH144" s="183">
        <f t="shared" si="7"/>
        <v>0</v>
      </c>
      <c r="AI144" s="296">
        <f>AG144-'人员人工-研发人员工资'!E144</f>
        <v>0</v>
      </c>
      <c r="AJ144" s="296">
        <f>AH144-'人员人工-研发人员工资'!D144</f>
        <v>0</v>
      </c>
    </row>
    <row r="145" s="176" customFormat="1" customHeight="1" spans="1:36">
      <c r="A145" s="181">
        <f>'人员人工-研发人员工资'!B145</f>
        <v>0</v>
      </c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3"/>
      <c r="AG145" s="183">
        <f t="shared" si="6"/>
        <v>0</v>
      </c>
      <c r="AH145" s="183">
        <f t="shared" si="7"/>
        <v>0</v>
      </c>
      <c r="AI145" s="296">
        <f>AG145-'人员人工-研发人员工资'!E145</f>
        <v>0</v>
      </c>
      <c r="AJ145" s="296">
        <f>AH145-'人员人工-研发人员工资'!D145</f>
        <v>0</v>
      </c>
    </row>
    <row r="146" s="176" customFormat="1" customHeight="1" spans="1:36">
      <c r="A146" s="181">
        <f>'人员人工-研发人员工资'!B146</f>
        <v>0</v>
      </c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3"/>
      <c r="AG146" s="183">
        <f t="shared" si="6"/>
        <v>0</v>
      </c>
      <c r="AH146" s="183">
        <f t="shared" si="7"/>
        <v>0</v>
      </c>
      <c r="AI146" s="296">
        <f>AG146-'人员人工-研发人员工资'!E146</f>
        <v>0</v>
      </c>
      <c r="AJ146" s="296">
        <f>AH146-'人员人工-研发人员工资'!D146</f>
        <v>0</v>
      </c>
    </row>
    <row r="147" s="176" customFormat="1" customHeight="1" spans="1:36">
      <c r="A147" s="181">
        <f>'人员人工-研发人员工资'!B147</f>
        <v>0</v>
      </c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3"/>
      <c r="AG147" s="183">
        <f t="shared" si="6"/>
        <v>0</v>
      </c>
      <c r="AH147" s="183">
        <f t="shared" si="7"/>
        <v>0</v>
      </c>
      <c r="AI147" s="296">
        <f>AG147-'人员人工-研发人员工资'!E147</f>
        <v>0</v>
      </c>
      <c r="AJ147" s="296">
        <f>AH147-'人员人工-研发人员工资'!D147</f>
        <v>0</v>
      </c>
    </row>
    <row r="148" s="176" customFormat="1" customHeight="1" spans="1:36">
      <c r="A148" s="181">
        <f>'人员人工-研发人员工资'!B148</f>
        <v>0</v>
      </c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3"/>
      <c r="AG148" s="183">
        <f t="shared" si="6"/>
        <v>0</v>
      </c>
      <c r="AH148" s="183">
        <f t="shared" si="7"/>
        <v>0</v>
      </c>
      <c r="AI148" s="296">
        <f>AG148-'人员人工-研发人员工资'!E148</f>
        <v>0</v>
      </c>
      <c r="AJ148" s="296">
        <f>AH148-'人员人工-研发人员工资'!D148</f>
        <v>0</v>
      </c>
    </row>
    <row r="149" s="295" customFormat="1" customHeight="1" spans="1:36">
      <c r="A149" s="295" t="s">
        <v>118</v>
      </c>
      <c r="B149" s="304" t="s">
        <v>115</v>
      </c>
      <c r="C149" s="304" t="s">
        <v>116</v>
      </c>
      <c r="D149" s="304" t="s">
        <v>117</v>
      </c>
      <c r="E149" s="304" t="s">
        <v>119</v>
      </c>
      <c r="F149" s="304" t="s">
        <v>120</v>
      </c>
      <c r="G149" s="304" t="s">
        <v>121</v>
      </c>
      <c r="H149" s="176" t="s">
        <v>122</v>
      </c>
      <c r="I149" s="176" t="s">
        <v>123</v>
      </c>
      <c r="J149" s="304" t="s">
        <v>124</v>
      </c>
      <c r="K149" s="176" t="s">
        <v>125</v>
      </c>
      <c r="L149" s="304" t="s">
        <v>102</v>
      </c>
      <c r="M149" s="304" t="s">
        <v>114</v>
      </c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04"/>
      <c r="AE149" s="304"/>
      <c r="AF149" s="304"/>
      <c r="AG149" s="184"/>
      <c r="AI149" s="296"/>
      <c r="AJ149" s="296"/>
    </row>
    <row r="150" s="295" customFormat="1" customHeight="1" spans="1:36">
      <c r="B150" s="142">
        <v>1</v>
      </c>
      <c r="C150" s="142">
        <v>2</v>
      </c>
      <c r="D150" s="142">
        <v>3</v>
      </c>
      <c r="E150" s="142">
        <v>4</v>
      </c>
      <c r="F150" s="142">
        <v>5</v>
      </c>
      <c r="G150" s="142">
        <v>6</v>
      </c>
      <c r="H150" s="142">
        <v>7</v>
      </c>
      <c r="I150" s="142">
        <v>8</v>
      </c>
      <c r="J150" s="142">
        <v>9</v>
      </c>
      <c r="K150" s="142">
        <v>10</v>
      </c>
      <c r="L150" s="142" t="s">
        <v>126</v>
      </c>
      <c r="M150" s="142" t="s">
        <v>127</v>
      </c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84"/>
      <c r="AI150" s="296"/>
      <c r="AJ150" s="296"/>
    </row>
    <row r="151" s="176" customFormat="1" customHeight="1" spans="1:36">
      <c r="AI151" s="142"/>
      <c r="AJ151" s="142"/>
    </row>
    <row r="152" s="176" customFormat="1" customHeight="1" spans="1:36">
      <c r="AI152" s="142"/>
      <c r="AJ152" s="142"/>
    </row>
    <row r="153" s="176" customFormat="1" customHeight="1" spans="1:36">
      <c r="A153" s="296" t="s">
        <v>131</v>
      </c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296"/>
      <c r="AI153" s="142"/>
      <c r="AJ153" s="142"/>
    </row>
    <row r="154" s="176" customFormat="1" customHeight="1" spans="1:36">
      <c r="A154" s="296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296"/>
      <c r="AI154" s="142"/>
      <c r="AJ154" s="142"/>
    </row>
    <row r="155" s="176" customFormat="1" customHeight="1" spans="1:36">
      <c r="A155" s="297" t="s">
        <v>32</v>
      </c>
      <c r="B155" s="298" t="s">
        <v>106</v>
      </c>
      <c r="C155" s="298" t="s">
        <v>107</v>
      </c>
      <c r="D155" s="298" t="s">
        <v>108</v>
      </c>
      <c r="E155" s="165" t="s">
        <v>109</v>
      </c>
      <c r="F155" s="165" t="s">
        <v>110</v>
      </c>
      <c r="G155" s="165" t="s">
        <v>111</v>
      </c>
      <c r="H155" s="299" t="s">
        <v>105</v>
      </c>
      <c r="I155" s="165" t="s">
        <v>106</v>
      </c>
      <c r="J155" s="165" t="s">
        <v>107</v>
      </c>
      <c r="K155" s="165" t="s">
        <v>108</v>
      </c>
      <c r="L155" s="165" t="s">
        <v>109</v>
      </c>
      <c r="M155" s="165" t="s">
        <v>110</v>
      </c>
      <c r="N155" s="299" t="s">
        <v>111</v>
      </c>
      <c r="O155" s="299" t="s">
        <v>105</v>
      </c>
      <c r="P155" s="165" t="s">
        <v>106</v>
      </c>
      <c r="Q155" s="165" t="s">
        <v>107</v>
      </c>
      <c r="R155" s="165" t="s">
        <v>108</v>
      </c>
      <c r="S155" s="165" t="s">
        <v>109</v>
      </c>
      <c r="T155" s="165" t="s">
        <v>110</v>
      </c>
      <c r="U155" s="299" t="s">
        <v>111</v>
      </c>
      <c r="V155" s="299" t="s">
        <v>105</v>
      </c>
      <c r="W155" s="165" t="s">
        <v>106</v>
      </c>
      <c r="X155" s="165" t="s">
        <v>107</v>
      </c>
      <c r="Y155" s="165" t="s">
        <v>108</v>
      </c>
      <c r="Z155" s="165" t="s">
        <v>109</v>
      </c>
      <c r="AA155" s="165" t="s">
        <v>110</v>
      </c>
      <c r="AB155" s="299" t="s">
        <v>111</v>
      </c>
      <c r="AC155" s="299" t="s">
        <v>105</v>
      </c>
      <c r="AD155" s="165" t="s">
        <v>106</v>
      </c>
      <c r="AE155" s="165" t="s">
        <v>107</v>
      </c>
      <c r="AF155" s="165" t="s">
        <v>108</v>
      </c>
      <c r="AG155" s="297" t="s">
        <v>39</v>
      </c>
      <c r="AH155" s="297" t="s">
        <v>34</v>
      </c>
      <c r="AI155" s="300" t="s">
        <v>112</v>
      </c>
      <c r="AJ155" s="300" t="s">
        <v>113</v>
      </c>
    </row>
    <row r="156" s="176" customFormat="1" customHeight="1" spans="1:36">
      <c r="A156" s="301"/>
      <c r="B156" s="298">
        <v>1</v>
      </c>
      <c r="C156" s="298">
        <v>2</v>
      </c>
      <c r="D156" s="298">
        <v>3</v>
      </c>
      <c r="E156" s="165">
        <v>4</v>
      </c>
      <c r="F156" s="165">
        <v>5</v>
      </c>
      <c r="G156" s="165">
        <v>6</v>
      </c>
      <c r="H156" s="299">
        <v>7</v>
      </c>
      <c r="I156" s="165">
        <v>8</v>
      </c>
      <c r="J156" s="165">
        <v>9</v>
      </c>
      <c r="K156" s="165">
        <v>10</v>
      </c>
      <c r="L156" s="165">
        <v>11</v>
      </c>
      <c r="M156" s="165">
        <v>12</v>
      </c>
      <c r="N156" s="299">
        <v>13</v>
      </c>
      <c r="O156" s="299">
        <v>14</v>
      </c>
      <c r="P156" s="165">
        <v>15</v>
      </c>
      <c r="Q156" s="165">
        <v>16</v>
      </c>
      <c r="R156" s="165">
        <v>17</v>
      </c>
      <c r="S156" s="165">
        <v>18</v>
      </c>
      <c r="T156" s="165">
        <v>19</v>
      </c>
      <c r="U156" s="299">
        <v>20</v>
      </c>
      <c r="V156" s="299">
        <v>21</v>
      </c>
      <c r="W156" s="165">
        <v>22</v>
      </c>
      <c r="X156" s="165">
        <v>23</v>
      </c>
      <c r="Y156" s="165">
        <v>24</v>
      </c>
      <c r="Z156" s="165">
        <v>25</v>
      </c>
      <c r="AA156" s="165">
        <v>26</v>
      </c>
      <c r="AB156" s="299">
        <v>27</v>
      </c>
      <c r="AC156" s="299">
        <v>28</v>
      </c>
      <c r="AD156" s="165">
        <v>29</v>
      </c>
      <c r="AE156" s="165">
        <v>30</v>
      </c>
      <c r="AF156" s="165">
        <v>31</v>
      </c>
      <c r="AG156" s="301"/>
      <c r="AH156" s="301"/>
      <c r="AI156" s="300"/>
      <c r="AJ156" s="300"/>
    </row>
    <row r="157" s="176" customFormat="1" customHeight="1" spans="1:36">
      <c r="A157" s="181">
        <f>'人员人工-研发人员工资'!B157</f>
        <v>0</v>
      </c>
      <c r="B157" s="182" t="s">
        <v>114</v>
      </c>
      <c r="C157" s="182" t="s">
        <v>114</v>
      </c>
      <c r="D157" s="182" t="s">
        <v>114</v>
      </c>
      <c r="E157" s="303" t="s">
        <v>115</v>
      </c>
      <c r="F157" s="303" t="s">
        <v>115</v>
      </c>
      <c r="G157" s="303" t="s">
        <v>115</v>
      </c>
      <c r="H157" s="182" t="s">
        <v>114</v>
      </c>
      <c r="I157" s="303" t="s">
        <v>115</v>
      </c>
      <c r="J157" s="303" t="s">
        <v>115</v>
      </c>
      <c r="K157" s="303" t="s">
        <v>115</v>
      </c>
      <c r="L157" s="182" t="s">
        <v>102</v>
      </c>
      <c r="M157" s="182" t="s">
        <v>102</v>
      </c>
      <c r="N157" s="182" t="s">
        <v>114</v>
      </c>
      <c r="O157" s="182" t="s">
        <v>114</v>
      </c>
      <c r="P157" s="182" t="s">
        <v>116</v>
      </c>
      <c r="Q157" s="182" t="s">
        <v>116</v>
      </c>
      <c r="R157" s="182" t="s">
        <v>116</v>
      </c>
      <c r="S157" s="182" t="s">
        <v>116</v>
      </c>
      <c r="T157" s="182" t="s">
        <v>116</v>
      </c>
      <c r="U157" s="182" t="s">
        <v>114</v>
      </c>
      <c r="V157" s="182" t="s">
        <v>114</v>
      </c>
      <c r="W157" s="182" t="s">
        <v>102</v>
      </c>
      <c r="X157" s="182" t="s">
        <v>102</v>
      </c>
      <c r="Y157" s="182" t="s">
        <v>117</v>
      </c>
      <c r="Z157" s="182" t="s">
        <v>117</v>
      </c>
      <c r="AA157" s="182" t="s">
        <v>117</v>
      </c>
      <c r="AB157" s="182" t="s">
        <v>114</v>
      </c>
      <c r="AC157" s="182" t="s">
        <v>114</v>
      </c>
      <c r="AD157" s="182" t="s">
        <v>117</v>
      </c>
      <c r="AE157" s="182" t="s">
        <v>117</v>
      </c>
      <c r="AF157" s="182" t="s">
        <v>117</v>
      </c>
      <c r="AG157" s="183">
        <f t="shared" ref="AG157:AG186" si="8">COUNTIF(B157:AF157,"●")+COUNTIF(B157:AF157,"▲")+COUNTIF(B157:AF157,"■")+COUNTIF(B157:AF157,"★")+COUNTIF(B157:AF157,"◆")+COUNTIF(B157:AF157,"✽")+COUNTIF(B157:AF157,"❖")+COUNTIF(B157:AF157,"✪")+COUNTIF(B157:AF157,"✿")+COUNTIF(B157:AF157,"✤")</f>
        <v>17</v>
      </c>
      <c r="AH157" s="183">
        <f t="shared" ref="AH157:AH186" si="9">COUNTIF(B157:AF157,"●")+COUNTIF(B157:AF157,"▲")+COUNTIF(B157:AF157,"■")+COUNTIF(B157:AF157,"★")+COUNTIF(B157:AF157,"◆")+COUNTIF(B157:AF157,"✽")+COUNTIF(B157:AF157,"❖")+COUNTIF(B157:AF157,"✪")+COUNTIF(B157:AF157,"✿")+COUNTIF(B157:AF157,"✤")+COUNTIF(B157:AF157,"√")</f>
        <v>21</v>
      </c>
      <c r="AI157" s="296">
        <f>AG157-'人员人工-研发人员工资'!E157</f>
        <v>17</v>
      </c>
      <c r="AJ157" s="296">
        <f>AH157-'人员人工-研发人员工资'!D157</f>
        <v>21</v>
      </c>
    </row>
    <row r="158" s="176" customFormat="1" customHeight="1" spans="1:36">
      <c r="A158" s="181">
        <f>'人员人工-研发人员工资'!B158</f>
        <v>0</v>
      </c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3">
        <f t="shared" si="8"/>
        <v>0</v>
      </c>
      <c r="AH158" s="183">
        <f t="shared" si="9"/>
        <v>0</v>
      </c>
      <c r="AI158" s="296">
        <f>AG158-'人员人工-研发人员工资'!E158</f>
        <v>0</v>
      </c>
      <c r="AJ158" s="296">
        <f>AH158-'人员人工-研发人员工资'!D158</f>
        <v>0</v>
      </c>
    </row>
    <row r="159" s="176" customFormat="1" customHeight="1" spans="1:36">
      <c r="A159" s="181">
        <f>'人员人工-研发人员工资'!B159</f>
        <v>0</v>
      </c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3">
        <f t="shared" si="8"/>
        <v>0</v>
      </c>
      <c r="AH159" s="183">
        <f t="shared" si="9"/>
        <v>0</v>
      </c>
      <c r="AI159" s="296">
        <f>AG159-'人员人工-研发人员工资'!E159</f>
        <v>0</v>
      </c>
      <c r="AJ159" s="296">
        <f>AH159-'人员人工-研发人员工资'!D159</f>
        <v>0</v>
      </c>
    </row>
    <row r="160" s="176" customFormat="1" customHeight="1" spans="1:36">
      <c r="A160" s="181">
        <f>'人员人工-研发人员工资'!B160</f>
        <v>0</v>
      </c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3">
        <f t="shared" si="8"/>
        <v>0</v>
      </c>
      <c r="AH160" s="183">
        <f t="shared" si="9"/>
        <v>0</v>
      </c>
      <c r="AI160" s="296">
        <f>AG160-'人员人工-研发人员工资'!E160</f>
        <v>0</v>
      </c>
      <c r="AJ160" s="296">
        <f>AH160-'人员人工-研发人员工资'!D160</f>
        <v>0</v>
      </c>
    </row>
    <row r="161" s="176" customFormat="1" customHeight="1" spans="1:36">
      <c r="A161" s="181">
        <f>'人员人工-研发人员工资'!B161</f>
        <v>0</v>
      </c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3">
        <f t="shared" si="8"/>
        <v>0</v>
      </c>
      <c r="AH161" s="183">
        <f t="shared" si="9"/>
        <v>0</v>
      </c>
      <c r="AI161" s="296">
        <f>AG161-'人员人工-研发人员工资'!E161</f>
        <v>0</v>
      </c>
      <c r="AJ161" s="296">
        <f>AH161-'人员人工-研发人员工资'!D161</f>
        <v>0</v>
      </c>
    </row>
    <row r="162" s="176" customFormat="1" customHeight="1" spans="1:36">
      <c r="A162" s="181">
        <f>'人员人工-研发人员工资'!B162</f>
        <v>0</v>
      </c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3">
        <f t="shared" si="8"/>
        <v>0</v>
      </c>
      <c r="AH162" s="183">
        <f t="shared" si="9"/>
        <v>0</v>
      </c>
      <c r="AI162" s="296">
        <f>AG162-'人员人工-研发人员工资'!E162</f>
        <v>0</v>
      </c>
      <c r="AJ162" s="296">
        <f>AH162-'人员人工-研发人员工资'!D162</f>
        <v>0</v>
      </c>
    </row>
    <row r="163" s="176" customFormat="1" customHeight="1" spans="1:36">
      <c r="A163" s="181">
        <f>'人员人工-研发人员工资'!B163</f>
        <v>0</v>
      </c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3">
        <f t="shared" si="8"/>
        <v>0</v>
      </c>
      <c r="AH163" s="183">
        <f t="shared" si="9"/>
        <v>0</v>
      </c>
      <c r="AI163" s="296">
        <f>AG163-'人员人工-研发人员工资'!E163</f>
        <v>0</v>
      </c>
      <c r="AJ163" s="296">
        <f>AH163-'人员人工-研发人员工资'!D163</f>
        <v>0</v>
      </c>
    </row>
    <row r="164" s="176" customFormat="1" customHeight="1" spans="1:36">
      <c r="A164" s="181">
        <f>'人员人工-研发人员工资'!B164</f>
        <v>0</v>
      </c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3">
        <f t="shared" si="8"/>
        <v>0</v>
      </c>
      <c r="AH164" s="183">
        <f t="shared" si="9"/>
        <v>0</v>
      </c>
      <c r="AI164" s="296">
        <f>AG164-'人员人工-研发人员工资'!E164</f>
        <v>0</v>
      </c>
      <c r="AJ164" s="296">
        <f>AH164-'人员人工-研发人员工资'!D164</f>
        <v>0</v>
      </c>
    </row>
    <row r="165" s="176" customFormat="1" customHeight="1" spans="1:36">
      <c r="A165" s="181">
        <f>'人员人工-研发人员工资'!B165</f>
        <v>0</v>
      </c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3">
        <f t="shared" si="8"/>
        <v>0</v>
      </c>
      <c r="AH165" s="183">
        <f t="shared" si="9"/>
        <v>0</v>
      </c>
      <c r="AI165" s="296">
        <f>AG165-'人员人工-研发人员工资'!E165</f>
        <v>0</v>
      </c>
      <c r="AJ165" s="296">
        <f>AH165-'人员人工-研发人员工资'!D165</f>
        <v>0</v>
      </c>
    </row>
    <row r="166" s="176" customFormat="1" customHeight="1" spans="1:36">
      <c r="A166" s="181">
        <f>'人员人工-研发人员工资'!B166</f>
        <v>0</v>
      </c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3">
        <f t="shared" si="8"/>
        <v>0</v>
      </c>
      <c r="AH166" s="183">
        <f t="shared" si="9"/>
        <v>0</v>
      </c>
      <c r="AI166" s="296">
        <f>AG166-'人员人工-研发人员工资'!E166</f>
        <v>0</v>
      </c>
      <c r="AJ166" s="296">
        <f>AH166-'人员人工-研发人员工资'!D166</f>
        <v>0</v>
      </c>
    </row>
    <row r="167" s="176" customFormat="1" customHeight="1" spans="1:36">
      <c r="A167" s="181">
        <f>'人员人工-研发人员工资'!B167</f>
        <v>0</v>
      </c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3">
        <f t="shared" si="8"/>
        <v>0</v>
      </c>
      <c r="AH167" s="183">
        <f t="shared" si="9"/>
        <v>0</v>
      </c>
      <c r="AI167" s="296">
        <f>AG167-'人员人工-研发人员工资'!E167</f>
        <v>0</v>
      </c>
      <c r="AJ167" s="296">
        <f>AH167-'人员人工-研发人员工资'!D167</f>
        <v>0</v>
      </c>
    </row>
    <row r="168" s="176" customFormat="1" customHeight="1" spans="1:36">
      <c r="A168" s="181">
        <f>'人员人工-研发人员工资'!B168</f>
        <v>0</v>
      </c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3">
        <f t="shared" si="8"/>
        <v>0</v>
      </c>
      <c r="AH168" s="183">
        <f t="shared" si="9"/>
        <v>0</v>
      </c>
      <c r="AI168" s="296">
        <f>AG168-'人员人工-研发人员工资'!E168</f>
        <v>0</v>
      </c>
      <c r="AJ168" s="296">
        <f>AH168-'人员人工-研发人员工资'!D168</f>
        <v>0</v>
      </c>
    </row>
    <row r="169" s="176" customFormat="1" customHeight="1" spans="1:36">
      <c r="A169" s="181">
        <f>'人员人工-研发人员工资'!B169</f>
        <v>0</v>
      </c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3">
        <f t="shared" si="8"/>
        <v>0</v>
      </c>
      <c r="AH169" s="183">
        <f t="shared" si="9"/>
        <v>0</v>
      </c>
      <c r="AI169" s="296">
        <f>AG169-'人员人工-研发人员工资'!E169</f>
        <v>0</v>
      </c>
      <c r="AJ169" s="296">
        <f>AH169-'人员人工-研发人员工资'!D169</f>
        <v>0</v>
      </c>
    </row>
    <row r="170" s="176" customFormat="1" customHeight="1" spans="1:36">
      <c r="A170" s="181">
        <f>'人员人工-研发人员工资'!B170</f>
        <v>0</v>
      </c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3">
        <f t="shared" si="8"/>
        <v>0</v>
      </c>
      <c r="AH170" s="183">
        <f t="shared" si="9"/>
        <v>0</v>
      </c>
      <c r="AI170" s="296">
        <f>AG170-'人员人工-研发人员工资'!E170</f>
        <v>0</v>
      </c>
      <c r="AJ170" s="296">
        <f>AH170-'人员人工-研发人员工资'!D170</f>
        <v>0</v>
      </c>
    </row>
    <row r="171" s="176" customFormat="1" customHeight="1" spans="1:36">
      <c r="A171" s="181">
        <f>'人员人工-研发人员工资'!B171</f>
        <v>0</v>
      </c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3">
        <f t="shared" si="8"/>
        <v>0</v>
      </c>
      <c r="AH171" s="183">
        <f t="shared" si="9"/>
        <v>0</v>
      </c>
      <c r="AI171" s="296">
        <f>AG171-'人员人工-研发人员工资'!E171</f>
        <v>0</v>
      </c>
      <c r="AJ171" s="296">
        <f>AH171-'人员人工-研发人员工资'!D171</f>
        <v>0</v>
      </c>
    </row>
    <row r="172" s="176" customFormat="1" customHeight="1" spans="1:36">
      <c r="A172" s="181">
        <f>'人员人工-研发人员工资'!B172</f>
        <v>0</v>
      </c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3">
        <f t="shared" si="8"/>
        <v>0</v>
      </c>
      <c r="AH172" s="183">
        <f t="shared" si="9"/>
        <v>0</v>
      </c>
      <c r="AI172" s="296">
        <f>AG172-'人员人工-研发人员工资'!E172</f>
        <v>0</v>
      </c>
      <c r="AJ172" s="296">
        <f>AH172-'人员人工-研发人员工资'!D172</f>
        <v>0</v>
      </c>
    </row>
    <row r="173" s="176" customFormat="1" customHeight="1" spans="1:36">
      <c r="A173" s="181">
        <f>'人员人工-研发人员工资'!B173</f>
        <v>0</v>
      </c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3">
        <f t="shared" si="8"/>
        <v>0</v>
      </c>
      <c r="AH173" s="183">
        <f t="shared" si="9"/>
        <v>0</v>
      </c>
      <c r="AI173" s="296">
        <f>AG173-'人员人工-研发人员工资'!E173</f>
        <v>0</v>
      </c>
      <c r="AJ173" s="296">
        <f>AH173-'人员人工-研发人员工资'!D173</f>
        <v>0</v>
      </c>
    </row>
    <row r="174" s="176" customFormat="1" customHeight="1" spans="1:36">
      <c r="A174" s="181">
        <f>'人员人工-研发人员工资'!B174</f>
        <v>0</v>
      </c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3">
        <f t="shared" si="8"/>
        <v>0</v>
      </c>
      <c r="AH174" s="183">
        <f t="shared" si="9"/>
        <v>0</v>
      </c>
      <c r="AI174" s="296">
        <f>AG174-'人员人工-研发人员工资'!E174</f>
        <v>0</v>
      </c>
      <c r="AJ174" s="296">
        <f>AH174-'人员人工-研发人员工资'!D174</f>
        <v>0</v>
      </c>
    </row>
    <row r="175" s="176" customFormat="1" customHeight="1" spans="1:36">
      <c r="A175" s="181">
        <f>'人员人工-研发人员工资'!B175</f>
        <v>0</v>
      </c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3">
        <f t="shared" si="8"/>
        <v>0</v>
      </c>
      <c r="AH175" s="183">
        <f t="shared" si="9"/>
        <v>0</v>
      </c>
      <c r="AI175" s="296">
        <f>AG175-'人员人工-研发人员工资'!E175</f>
        <v>0</v>
      </c>
      <c r="AJ175" s="296">
        <f>AH175-'人员人工-研发人员工资'!D175</f>
        <v>0</v>
      </c>
    </row>
    <row r="176" s="176" customFormat="1" customHeight="1" spans="1:36">
      <c r="A176" s="181">
        <f>'人员人工-研发人员工资'!B176</f>
        <v>0</v>
      </c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3">
        <f t="shared" si="8"/>
        <v>0</v>
      </c>
      <c r="AH176" s="183">
        <f t="shared" si="9"/>
        <v>0</v>
      </c>
      <c r="AI176" s="296">
        <f>AG176-'人员人工-研发人员工资'!E176</f>
        <v>0</v>
      </c>
      <c r="AJ176" s="296">
        <f>AH176-'人员人工-研发人员工资'!D176</f>
        <v>0</v>
      </c>
    </row>
    <row r="177" s="176" customFormat="1" customHeight="1" spans="1:36">
      <c r="A177" s="181">
        <f>'人员人工-研发人员工资'!B177</f>
        <v>0</v>
      </c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3">
        <f t="shared" si="8"/>
        <v>0</v>
      </c>
      <c r="AH177" s="183">
        <f t="shared" si="9"/>
        <v>0</v>
      </c>
      <c r="AI177" s="296">
        <f>AG177-'人员人工-研发人员工资'!E177</f>
        <v>0</v>
      </c>
      <c r="AJ177" s="296">
        <f>AH177-'人员人工-研发人员工资'!D177</f>
        <v>0</v>
      </c>
    </row>
    <row r="178" s="176" customFormat="1" customHeight="1" spans="1:36">
      <c r="A178" s="181">
        <f>'人员人工-研发人员工资'!B178</f>
        <v>0</v>
      </c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3">
        <f t="shared" si="8"/>
        <v>0</v>
      </c>
      <c r="AH178" s="183">
        <f t="shared" si="9"/>
        <v>0</v>
      </c>
      <c r="AI178" s="296">
        <f>AG178-'人员人工-研发人员工资'!E178</f>
        <v>0</v>
      </c>
      <c r="AJ178" s="296">
        <f>AH178-'人员人工-研发人员工资'!D178</f>
        <v>0</v>
      </c>
    </row>
    <row r="179" s="176" customFormat="1" customHeight="1" spans="1:36">
      <c r="A179" s="181">
        <f>'人员人工-研发人员工资'!B179</f>
        <v>0</v>
      </c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3">
        <f t="shared" si="8"/>
        <v>0</v>
      </c>
      <c r="AH179" s="183">
        <f t="shared" si="9"/>
        <v>0</v>
      </c>
      <c r="AI179" s="296">
        <f>AG179-'人员人工-研发人员工资'!E179</f>
        <v>0</v>
      </c>
      <c r="AJ179" s="296">
        <f>AH179-'人员人工-研发人员工资'!D179</f>
        <v>0</v>
      </c>
    </row>
    <row r="180" s="176" customFormat="1" customHeight="1" spans="1:36">
      <c r="A180" s="181">
        <f>'人员人工-研发人员工资'!B180</f>
        <v>0</v>
      </c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3">
        <f t="shared" si="8"/>
        <v>0</v>
      </c>
      <c r="AH180" s="183">
        <f t="shared" si="9"/>
        <v>0</v>
      </c>
      <c r="AI180" s="296">
        <f>AG180-'人员人工-研发人员工资'!E180</f>
        <v>0</v>
      </c>
      <c r="AJ180" s="296">
        <f>AH180-'人员人工-研发人员工资'!D180</f>
        <v>0</v>
      </c>
    </row>
    <row r="181" s="176" customFormat="1" customHeight="1" spans="1:36">
      <c r="A181" s="181">
        <f>'人员人工-研发人员工资'!B181</f>
        <v>0</v>
      </c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3">
        <f t="shared" si="8"/>
        <v>0</v>
      </c>
      <c r="AH181" s="183">
        <f t="shared" si="9"/>
        <v>0</v>
      </c>
      <c r="AI181" s="296">
        <f>AG181-'人员人工-研发人员工资'!E181</f>
        <v>0</v>
      </c>
      <c r="AJ181" s="296">
        <f>AH181-'人员人工-研发人员工资'!D181</f>
        <v>0</v>
      </c>
    </row>
    <row r="182" s="176" customFormat="1" customHeight="1" spans="1:36">
      <c r="A182" s="181">
        <f>'人员人工-研发人员工资'!B182</f>
        <v>0</v>
      </c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3">
        <f t="shared" si="8"/>
        <v>0</v>
      </c>
      <c r="AH182" s="183">
        <f t="shared" si="9"/>
        <v>0</v>
      </c>
      <c r="AI182" s="296">
        <f>AG182-'人员人工-研发人员工资'!E182</f>
        <v>0</v>
      </c>
      <c r="AJ182" s="296">
        <f>AH182-'人员人工-研发人员工资'!D182</f>
        <v>0</v>
      </c>
    </row>
    <row r="183" s="176" customFormat="1" customHeight="1" spans="1:36">
      <c r="A183" s="181">
        <f>'人员人工-研发人员工资'!B183</f>
        <v>0</v>
      </c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83">
        <f t="shared" si="8"/>
        <v>0</v>
      </c>
      <c r="AH183" s="183">
        <f t="shared" si="9"/>
        <v>0</v>
      </c>
      <c r="AI183" s="296">
        <f>AG183-'人员人工-研发人员工资'!E183</f>
        <v>0</v>
      </c>
      <c r="AJ183" s="296">
        <f>AH183-'人员人工-研发人员工资'!D183</f>
        <v>0</v>
      </c>
    </row>
    <row r="184" s="176" customFormat="1" customHeight="1" spans="1:36">
      <c r="A184" s="181">
        <f>'人员人工-研发人员工资'!B184</f>
        <v>0</v>
      </c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83">
        <f t="shared" si="8"/>
        <v>0</v>
      </c>
      <c r="AH184" s="183">
        <f t="shared" si="9"/>
        <v>0</v>
      </c>
      <c r="AI184" s="296">
        <f>AG184-'人员人工-研发人员工资'!E184</f>
        <v>0</v>
      </c>
      <c r="AJ184" s="296">
        <f>AH184-'人员人工-研发人员工资'!D184</f>
        <v>0</v>
      </c>
    </row>
    <row r="185" s="176" customFormat="1" customHeight="1" spans="1:36">
      <c r="A185" s="181">
        <f>'人员人工-研发人员工资'!B185</f>
        <v>0</v>
      </c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83">
        <f t="shared" si="8"/>
        <v>0</v>
      </c>
      <c r="AH185" s="183">
        <f t="shared" si="9"/>
        <v>0</v>
      </c>
      <c r="AI185" s="296">
        <f>AG185-'人员人工-研发人员工资'!E185</f>
        <v>0</v>
      </c>
      <c r="AJ185" s="296">
        <f>AH185-'人员人工-研发人员工资'!D185</f>
        <v>0</v>
      </c>
    </row>
    <row r="186" s="176" customFormat="1" customHeight="1" spans="1:36">
      <c r="A186" s="181">
        <f>'人员人工-研发人员工资'!B186</f>
        <v>0</v>
      </c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83">
        <f t="shared" si="8"/>
        <v>0</v>
      </c>
      <c r="AH186" s="183">
        <f t="shared" si="9"/>
        <v>0</v>
      </c>
      <c r="AI186" s="296">
        <f>AG186-'人员人工-研发人员工资'!E186</f>
        <v>0</v>
      </c>
      <c r="AJ186" s="296">
        <f>AH186-'人员人工-研发人员工资'!D186</f>
        <v>0</v>
      </c>
    </row>
    <row r="187" s="295" customFormat="1" customHeight="1" spans="1:36">
      <c r="A187" s="295" t="s">
        <v>118</v>
      </c>
      <c r="B187" s="304" t="s">
        <v>115</v>
      </c>
      <c r="C187" s="304" t="s">
        <v>116</v>
      </c>
      <c r="D187" s="304" t="s">
        <v>117</v>
      </c>
      <c r="E187" s="304" t="s">
        <v>119</v>
      </c>
      <c r="F187" s="304" t="s">
        <v>120</v>
      </c>
      <c r="G187" s="304" t="s">
        <v>121</v>
      </c>
      <c r="H187" s="176" t="s">
        <v>122</v>
      </c>
      <c r="I187" s="176" t="s">
        <v>123</v>
      </c>
      <c r="J187" s="304" t="s">
        <v>124</v>
      </c>
      <c r="K187" s="176" t="s">
        <v>125</v>
      </c>
      <c r="L187" s="304" t="s">
        <v>102</v>
      </c>
      <c r="M187" s="304" t="s">
        <v>114</v>
      </c>
      <c r="N187" s="304"/>
      <c r="O187" s="304"/>
      <c r="P187" s="304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  <c r="AA187" s="304"/>
      <c r="AB187" s="304"/>
      <c r="AC187" s="304"/>
      <c r="AD187" s="304"/>
      <c r="AE187" s="304"/>
      <c r="AF187" s="304"/>
      <c r="AG187" s="184"/>
      <c r="AI187" s="296"/>
      <c r="AJ187" s="296"/>
    </row>
    <row r="188" s="295" customFormat="1" customHeight="1" spans="1:36">
      <c r="B188" s="142">
        <v>1</v>
      </c>
      <c r="C188" s="142">
        <v>2</v>
      </c>
      <c r="D188" s="142">
        <v>3</v>
      </c>
      <c r="E188" s="142">
        <v>4</v>
      </c>
      <c r="F188" s="142">
        <v>5</v>
      </c>
      <c r="G188" s="142">
        <v>6</v>
      </c>
      <c r="H188" s="142">
        <v>7</v>
      </c>
      <c r="I188" s="142">
        <v>8</v>
      </c>
      <c r="J188" s="142">
        <v>9</v>
      </c>
      <c r="K188" s="142">
        <v>10</v>
      </c>
      <c r="L188" s="142" t="s">
        <v>126</v>
      </c>
      <c r="M188" s="142" t="s">
        <v>127</v>
      </c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84"/>
      <c r="AI188" s="296"/>
      <c r="AJ188" s="296"/>
    </row>
    <row r="189" s="176" customFormat="1" customHeight="1" spans="1:36">
      <c r="AI189" s="142"/>
      <c r="AJ189" s="142"/>
    </row>
    <row r="190" s="176" customFormat="1" customHeight="1" spans="1:36">
      <c r="A190" s="296" t="s">
        <v>132</v>
      </c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296"/>
      <c r="AI190" s="142"/>
      <c r="AJ190" s="142"/>
    </row>
    <row r="191" s="176" customFormat="1" customHeight="1" spans="1:36">
      <c r="A191" s="296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296"/>
      <c r="AI191" s="142"/>
      <c r="AJ191" s="142"/>
    </row>
    <row r="192" s="176" customFormat="1" customHeight="1" spans="1:36">
      <c r="A192" s="297" t="s">
        <v>32</v>
      </c>
      <c r="B192" s="165" t="s">
        <v>109</v>
      </c>
      <c r="C192" s="165" t="s">
        <v>110</v>
      </c>
      <c r="D192" s="299" t="s">
        <v>111</v>
      </c>
      <c r="E192" s="299" t="s">
        <v>105</v>
      </c>
      <c r="F192" s="165" t="s">
        <v>106</v>
      </c>
      <c r="G192" s="165" t="s">
        <v>107</v>
      </c>
      <c r="H192" s="165" t="s">
        <v>108</v>
      </c>
      <c r="I192" s="165" t="s">
        <v>109</v>
      </c>
      <c r="J192" s="165" t="s">
        <v>110</v>
      </c>
      <c r="K192" s="299" t="s">
        <v>111</v>
      </c>
      <c r="L192" s="299" t="s">
        <v>105</v>
      </c>
      <c r="M192" s="165" t="s">
        <v>106</v>
      </c>
      <c r="N192" s="165" t="s">
        <v>107</v>
      </c>
      <c r="O192" s="165" t="s">
        <v>108</v>
      </c>
      <c r="P192" s="165" t="s">
        <v>109</v>
      </c>
      <c r="Q192" s="165" t="s">
        <v>110</v>
      </c>
      <c r="R192" s="299" t="s">
        <v>111</v>
      </c>
      <c r="S192" s="299" t="s">
        <v>105</v>
      </c>
      <c r="T192" s="165" t="s">
        <v>106</v>
      </c>
      <c r="U192" s="165" t="s">
        <v>107</v>
      </c>
      <c r="V192" s="165" t="s">
        <v>108</v>
      </c>
      <c r="W192" s="298" t="s">
        <v>109</v>
      </c>
      <c r="X192" s="298" t="s">
        <v>110</v>
      </c>
      <c r="Y192" s="298" t="s">
        <v>111</v>
      </c>
      <c r="Z192" s="165" t="s">
        <v>105</v>
      </c>
      <c r="AA192" s="165" t="s">
        <v>106</v>
      </c>
      <c r="AB192" s="165" t="s">
        <v>107</v>
      </c>
      <c r="AC192" s="165" t="s">
        <v>108</v>
      </c>
      <c r="AD192" s="165" t="s">
        <v>109</v>
      </c>
      <c r="AE192" s="165" t="s">
        <v>110</v>
      </c>
      <c r="AF192" s="165"/>
      <c r="AG192" s="297" t="s">
        <v>39</v>
      </c>
      <c r="AH192" s="297" t="s">
        <v>34</v>
      </c>
      <c r="AI192" s="300" t="s">
        <v>112</v>
      </c>
      <c r="AJ192" s="300" t="s">
        <v>113</v>
      </c>
    </row>
    <row r="193" s="176" customFormat="1" customHeight="1" spans="1:36">
      <c r="A193" s="301"/>
      <c r="B193" s="165">
        <v>1</v>
      </c>
      <c r="C193" s="165">
        <v>2</v>
      </c>
      <c r="D193" s="299">
        <v>3</v>
      </c>
      <c r="E193" s="299">
        <v>4</v>
      </c>
      <c r="F193" s="165">
        <v>5</v>
      </c>
      <c r="G193" s="165">
        <v>6</v>
      </c>
      <c r="H193" s="165">
        <v>7</v>
      </c>
      <c r="I193" s="165">
        <v>8</v>
      </c>
      <c r="J193" s="165">
        <v>9</v>
      </c>
      <c r="K193" s="299">
        <v>10</v>
      </c>
      <c r="L193" s="299">
        <v>11</v>
      </c>
      <c r="M193" s="165">
        <v>12</v>
      </c>
      <c r="N193" s="165">
        <v>13</v>
      </c>
      <c r="O193" s="165">
        <v>14</v>
      </c>
      <c r="P193" s="165">
        <v>15</v>
      </c>
      <c r="Q193" s="165">
        <v>16</v>
      </c>
      <c r="R193" s="299">
        <v>17</v>
      </c>
      <c r="S193" s="299">
        <v>18</v>
      </c>
      <c r="T193" s="165">
        <v>19</v>
      </c>
      <c r="U193" s="165">
        <v>20</v>
      </c>
      <c r="V193" s="165">
        <v>21</v>
      </c>
      <c r="W193" s="298">
        <v>22</v>
      </c>
      <c r="X193" s="298">
        <v>23</v>
      </c>
      <c r="Y193" s="298">
        <v>24</v>
      </c>
      <c r="Z193" s="165">
        <v>25</v>
      </c>
      <c r="AA193" s="165">
        <v>26</v>
      </c>
      <c r="AB193" s="165">
        <v>27</v>
      </c>
      <c r="AC193" s="165">
        <v>28</v>
      </c>
      <c r="AD193" s="165">
        <v>29</v>
      </c>
      <c r="AE193" s="165">
        <v>30</v>
      </c>
      <c r="AF193" s="165"/>
      <c r="AG193" s="301"/>
      <c r="AH193" s="301"/>
      <c r="AI193" s="300"/>
      <c r="AJ193" s="300"/>
    </row>
    <row r="194" s="176" customFormat="1" customHeight="1" spans="1:36">
      <c r="A194" s="181">
        <f>'人员人工-研发人员工资'!B194</f>
        <v>0</v>
      </c>
      <c r="B194" s="182" t="s">
        <v>102</v>
      </c>
      <c r="C194" s="182" t="s">
        <v>102</v>
      </c>
      <c r="D194" s="182" t="s">
        <v>114</v>
      </c>
      <c r="E194" s="182" t="s">
        <v>114</v>
      </c>
      <c r="F194" s="303" t="s">
        <v>115</v>
      </c>
      <c r="G194" s="303" t="s">
        <v>115</v>
      </c>
      <c r="H194" s="303" t="s">
        <v>115</v>
      </c>
      <c r="I194" s="303" t="s">
        <v>115</v>
      </c>
      <c r="J194" s="303" t="s">
        <v>115</v>
      </c>
      <c r="K194" s="182" t="s">
        <v>114</v>
      </c>
      <c r="L194" s="182" t="s">
        <v>114</v>
      </c>
      <c r="M194" s="182" t="s">
        <v>116</v>
      </c>
      <c r="N194" s="182" t="s">
        <v>116</v>
      </c>
      <c r="O194" s="182" t="s">
        <v>116</v>
      </c>
      <c r="P194" s="182" t="s">
        <v>116</v>
      </c>
      <c r="Q194" s="182" t="s">
        <v>116</v>
      </c>
      <c r="R194" s="182" t="s">
        <v>114</v>
      </c>
      <c r="S194" s="182" t="s">
        <v>114</v>
      </c>
      <c r="T194" s="182" t="s">
        <v>116</v>
      </c>
      <c r="U194" s="182" t="s">
        <v>116</v>
      </c>
      <c r="V194" s="182" t="s">
        <v>102</v>
      </c>
      <c r="W194" s="182" t="s">
        <v>114</v>
      </c>
      <c r="X194" s="182" t="s">
        <v>114</v>
      </c>
      <c r="Y194" s="182" t="s">
        <v>114</v>
      </c>
      <c r="Z194" s="182" t="s">
        <v>102</v>
      </c>
      <c r="AA194" s="182" t="s">
        <v>117</v>
      </c>
      <c r="AB194" s="182" t="s">
        <v>117</v>
      </c>
      <c r="AC194" s="182" t="s">
        <v>117</v>
      </c>
      <c r="AD194" s="182" t="s">
        <v>117</v>
      </c>
      <c r="AE194" s="182" t="s">
        <v>117</v>
      </c>
      <c r="AF194" s="183"/>
      <c r="AG194" s="183">
        <f t="shared" ref="AG194:AG223" si="10">COUNTIF(B194:AF194,"●")+COUNTIF(B194:AF194,"▲")+COUNTIF(B194:AF194,"■")+COUNTIF(B194:AF194,"★")+COUNTIF(B194:AF194,"◆")+COUNTIF(B194:AF194,"✽")+COUNTIF(B194:AF194,"❖")+COUNTIF(B194:AF194,"✪")+COUNTIF(B194:AF194,"✿")+COUNTIF(B194:AF194,"✤")</f>
        <v>17</v>
      </c>
      <c r="AH194" s="183">
        <f t="shared" ref="AH194:AH223" si="11">COUNTIF(B194:AF194,"●")+COUNTIF(B194:AF194,"▲")+COUNTIF(B194:AF194,"■")+COUNTIF(B194:AF194,"★")+COUNTIF(B194:AF194,"◆")+COUNTIF(B194:AF194,"✽")+COUNTIF(B194:AF194,"❖")+COUNTIF(B194:AF194,"✪")+COUNTIF(B194:AF194,"✿")+COUNTIF(B194:AF194,"✤")+COUNTIF(B194:AF194,"√")</f>
        <v>21</v>
      </c>
      <c r="AI194" s="296">
        <f>AG194-'人员人工-研发人员工资'!E194</f>
        <v>17</v>
      </c>
      <c r="AJ194" s="296">
        <f>AH194-'人员人工-研发人员工资'!D194</f>
        <v>21</v>
      </c>
    </row>
    <row r="195" s="176" customFormat="1" customHeight="1" spans="1:36">
      <c r="A195" s="181">
        <f>'人员人工-研发人员工资'!B195</f>
        <v>0</v>
      </c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3"/>
      <c r="AG195" s="183">
        <f t="shared" si="10"/>
        <v>0</v>
      </c>
      <c r="AH195" s="183">
        <f t="shared" si="11"/>
        <v>0</v>
      </c>
      <c r="AI195" s="296">
        <f>AG195-'人员人工-研发人员工资'!E195</f>
        <v>0</v>
      </c>
      <c r="AJ195" s="296">
        <f>AH195-'人员人工-研发人员工资'!D195</f>
        <v>0</v>
      </c>
    </row>
    <row r="196" s="176" customFormat="1" customHeight="1" spans="1:36">
      <c r="A196" s="181">
        <f>'人员人工-研发人员工资'!B196</f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3"/>
      <c r="AG196" s="183">
        <f t="shared" si="10"/>
        <v>0</v>
      </c>
      <c r="AH196" s="183">
        <f t="shared" si="11"/>
        <v>0</v>
      </c>
      <c r="AI196" s="296">
        <f>AG196-'人员人工-研发人员工资'!E196</f>
        <v>0</v>
      </c>
      <c r="AJ196" s="296">
        <f>AH196-'人员人工-研发人员工资'!D196</f>
        <v>0</v>
      </c>
    </row>
    <row r="197" s="176" customFormat="1" customHeight="1" spans="1:36">
      <c r="A197" s="181">
        <f>'人员人工-研发人员工资'!B197</f>
        <v>0</v>
      </c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3"/>
      <c r="AG197" s="183">
        <f t="shared" si="10"/>
        <v>0</v>
      </c>
      <c r="AH197" s="183">
        <f t="shared" si="11"/>
        <v>0</v>
      </c>
      <c r="AI197" s="296">
        <f>AG197-'人员人工-研发人员工资'!E197</f>
        <v>0</v>
      </c>
      <c r="AJ197" s="296">
        <f>AH197-'人员人工-研发人员工资'!D197</f>
        <v>0</v>
      </c>
    </row>
    <row r="198" s="176" customFormat="1" customHeight="1" spans="1:36">
      <c r="A198" s="181">
        <f>'人员人工-研发人员工资'!B198</f>
        <v>0</v>
      </c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3"/>
      <c r="AG198" s="183">
        <f t="shared" si="10"/>
        <v>0</v>
      </c>
      <c r="AH198" s="183">
        <f t="shared" si="11"/>
        <v>0</v>
      </c>
      <c r="AI198" s="296">
        <f>AG198-'人员人工-研发人员工资'!E198</f>
        <v>0</v>
      </c>
      <c r="AJ198" s="296">
        <f>AH198-'人员人工-研发人员工资'!D198</f>
        <v>0</v>
      </c>
    </row>
    <row r="199" s="176" customFormat="1" customHeight="1" spans="1:36">
      <c r="A199" s="181">
        <f>'人员人工-研发人员工资'!B199</f>
        <v>0</v>
      </c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3"/>
      <c r="AG199" s="183">
        <f t="shared" si="10"/>
        <v>0</v>
      </c>
      <c r="AH199" s="183">
        <f t="shared" si="11"/>
        <v>0</v>
      </c>
      <c r="AI199" s="296">
        <f>AG199-'人员人工-研发人员工资'!E199</f>
        <v>0</v>
      </c>
      <c r="AJ199" s="296">
        <f>AH199-'人员人工-研发人员工资'!D199</f>
        <v>0</v>
      </c>
    </row>
    <row r="200" s="176" customFormat="1" customHeight="1" spans="1:36">
      <c r="A200" s="181">
        <f>'人员人工-研发人员工资'!B200</f>
        <v>0</v>
      </c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3"/>
      <c r="AG200" s="183">
        <f t="shared" si="10"/>
        <v>0</v>
      </c>
      <c r="AH200" s="183">
        <f t="shared" si="11"/>
        <v>0</v>
      </c>
      <c r="AI200" s="296">
        <f>AG200-'人员人工-研发人员工资'!E200</f>
        <v>0</v>
      </c>
      <c r="AJ200" s="296">
        <f>AH200-'人员人工-研发人员工资'!D200</f>
        <v>0</v>
      </c>
    </row>
    <row r="201" s="176" customFormat="1" customHeight="1" spans="1:36">
      <c r="A201" s="181">
        <f>'人员人工-研发人员工资'!B201</f>
        <v>0</v>
      </c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3"/>
      <c r="AG201" s="183">
        <f t="shared" si="10"/>
        <v>0</v>
      </c>
      <c r="AH201" s="183">
        <f t="shared" si="11"/>
        <v>0</v>
      </c>
      <c r="AI201" s="296">
        <f>AG201-'人员人工-研发人员工资'!E201</f>
        <v>0</v>
      </c>
      <c r="AJ201" s="296">
        <f>AH201-'人员人工-研发人员工资'!D201</f>
        <v>0</v>
      </c>
    </row>
    <row r="202" s="176" customFormat="1" customHeight="1" spans="1:36">
      <c r="A202" s="181">
        <f>'人员人工-研发人员工资'!B202</f>
        <v>0</v>
      </c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3"/>
      <c r="AG202" s="183">
        <f t="shared" si="10"/>
        <v>0</v>
      </c>
      <c r="AH202" s="183">
        <f t="shared" si="11"/>
        <v>0</v>
      </c>
      <c r="AI202" s="296">
        <f>AG202-'人员人工-研发人员工资'!E202</f>
        <v>0</v>
      </c>
      <c r="AJ202" s="296">
        <f>AH202-'人员人工-研发人员工资'!D202</f>
        <v>0</v>
      </c>
    </row>
    <row r="203" s="176" customFormat="1" customHeight="1" spans="1:36">
      <c r="A203" s="181">
        <f>'人员人工-研发人员工资'!B203</f>
        <v>0</v>
      </c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3"/>
      <c r="AG203" s="183">
        <f t="shared" si="10"/>
        <v>0</v>
      </c>
      <c r="AH203" s="183">
        <f t="shared" si="11"/>
        <v>0</v>
      </c>
      <c r="AI203" s="296">
        <f>AG203-'人员人工-研发人员工资'!E203</f>
        <v>0</v>
      </c>
      <c r="AJ203" s="296">
        <f>AH203-'人员人工-研发人员工资'!D203</f>
        <v>0</v>
      </c>
    </row>
    <row r="204" s="176" customFormat="1" customHeight="1" spans="1:36">
      <c r="A204" s="181">
        <f>'人员人工-研发人员工资'!B204</f>
        <v>0</v>
      </c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3"/>
      <c r="AG204" s="183">
        <f t="shared" si="10"/>
        <v>0</v>
      </c>
      <c r="AH204" s="183">
        <f t="shared" si="11"/>
        <v>0</v>
      </c>
      <c r="AI204" s="296">
        <f>AG204-'人员人工-研发人员工资'!E204</f>
        <v>0</v>
      </c>
      <c r="AJ204" s="296">
        <f>AH204-'人员人工-研发人员工资'!D204</f>
        <v>0</v>
      </c>
    </row>
    <row r="205" s="176" customFormat="1" customHeight="1" spans="1:36">
      <c r="A205" s="181">
        <f>'人员人工-研发人员工资'!B205</f>
        <v>0</v>
      </c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3"/>
      <c r="AG205" s="183">
        <f t="shared" si="10"/>
        <v>0</v>
      </c>
      <c r="AH205" s="183">
        <f t="shared" si="11"/>
        <v>0</v>
      </c>
      <c r="AI205" s="296">
        <f>AG205-'人员人工-研发人员工资'!E205</f>
        <v>0</v>
      </c>
      <c r="AJ205" s="296">
        <f>AH205-'人员人工-研发人员工资'!D205</f>
        <v>0</v>
      </c>
    </row>
    <row r="206" s="176" customFormat="1" customHeight="1" spans="1:36">
      <c r="A206" s="181">
        <f>'人员人工-研发人员工资'!B206</f>
        <v>0</v>
      </c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  <c r="AD206" s="181"/>
      <c r="AE206" s="181"/>
      <c r="AF206" s="183"/>
      <c r="AG206" s="183">
        <f t="shared" si="10"/>
        <v>0</v>
      </c>
      <c r="AH206" s="183">
        <f t="shared" si="11"/>
        <v>0</v>
      </c>
      <c r="AI206" s="296">
        <f>AG206-'人员人工-研发人员工资'!E206</f>
        <v>0</v>
      </c>
      <c r="AJ206" s="296">
        <f>AH206-'人员人工-研发人员工资'!D206</f>
        <v>0</v>
      </c>
    </row>
    <row r="207" s="176" customFormat="1" customHeight="1" spans="1:36">
      <c r="A207" s="181">
        <f>'人员人工-研发人员工资'!B207</f>
        <v>0</v>
      </c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3"/>
      <c r="AG207" s="183">
        <f t="shared" si="10"/>
        <v>0</v>
      </c>
      <c r="AH207" s="183">
        <f t="shared" si="11"/>
        <v>0</v>
      </c>
      <c r="AI207" s="296">
        <f>AG207-'人员人工-研发人员工资'!E207</f>
        <v>0</v>
      </c>
      <c r="AJ207" s="296">
        <f>AH207-'人员人工-研发人员工资'!D207</f>
        <v>0</v>
      </c>
    </row>
    <row r="208" s="176" customFormat="1" customHeight="1" spans="1:36">
      <c r="A208" s="181">
        <f>'人员人工-研发人员工资'!B208</f>
        <v>0</v>
      </c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3"/>
      <c r="AG208" s="183">
        <f t="shared" si="10"/>
        <v>0</v>
      </c>
      <c r="AH208" s="183">
        <f t="shared" si="11"/>
        <v>0</v>
      </c>
      <c r="AI208" s="296">
        <f>AG208-'人员人工-研发人员工资'!E208</f>
        <v>0</v>
      </c>
      <c r="AJ208" s="296">
        <f>AH208-'人员人工-研发人员工资'!D208</f>
        <v>0</v>
      </c>
    </row>
    <row r="209" s="176" customFormat="1" customHeight="1" spans="1:36">
      <c r="A209" s="181">
        <f>'人员人工-研发人员工资'!B209</f>
        <v>0</v>
      </c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3"/>
      <c r="AG209" s="183">
        <f t="shared" si="10"/>
        <v>0</v>
      </c>
      <c r="AH209" s="183">
        <f t="shared" si="11"/>
        <v>0</v>
      </c>
      <c r="AI209" s="296">
        <f>AG209-'人员人工-研发人员工资'!E209</f>
        <v>0</v>
      </c>
      <c r="AJ209" s="296">
        <f>AH209-'人员人工-研发人员工资'!D209</f>
        <v>0</v>
      </c>
    </row>
    <row r="210" s="176" customFormat="1" customHeight="1" spans="1:36">
      <c r="A210" s="181">
        <f>'人员人工-研发人员工资'!B210</f>
        <v>0</v>
      </c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3"/>
      <c r="AG210" s="183">
        <f t="shared" si="10"/>
        <v>0</v>
      </c>
      <c r="AH210" s="183">
        <f t="shared" si="11"/>
        <v>0</v>
      </c>
      <c r="AI210" s="296">
        <f>AG210-'人员人工-研发人员工资'!E210</f>
        <v>0</v>
      </c>
      <c r="AJ210" s="296">
        <f>AH210-'人员人工-研发人员工资'!D210</f>
        <v>0</v>
      </c>
    </row>
    <row r="211" s="176" customFormat="1" customHeight="1" spans="1:36">
      <c r="A211" s="181">
        <f>'人员人工-研发人员工资'!B211</f>
        <v>0</v>
      </c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3"/>
      <c r="AG211" s="183">
        <f t="shared" si="10"/>
        <v>0</v>
      </c>
      <c r="AH211" s="183">
        <f t="shared" si="11"/>
        <v>0</v>
      </c>
      <c r="AI211" s="296">
        <f>AG211-'人员人工-研发人员工资'!E211</f>
        <v>0</v>
      </c>
      <c r="AJ211" s="296">
        <f>AH211-'人员人工-研发人员工资'!D211</f>
        <v>0</v>
      </c>
    </row>
    <row r="212" s="176" customFormat="1" customHeight="1" spans="1:36">
      <c r="A212" s="181">
        <f>'人员人工-研发人员工资'!B212</f>
        <v>0</v>
      </c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3"/>
      <c r="AG212" s="183">
        <f t="shared" si="10"/>
        <v>0</v>
      </c>
      <c r="AH212" s="183">
        <f t="shared" si="11"/>
        <v>0</v>
      </c>
      <c r="AI212" s="296">
        <f>AG212-'人员人工-研发人员工资'!E212</f>
        <v>0</v>
      </c>
      <c r="AJ212" s="296">
        <f>AH212-'人员人工-研发人员工资'!D212</f>
        <v>0</v>
      </c>
    </row>
    <row r="213" s="176" customFormat="1" customHeight="1" spans="1:36">
      <c r="A213" s="181">
        <f>'人员人工-研发人员工资'!B213</f>
        <v>0</v>
      </c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3"/>
      <c r="AG213" s="183">
        <f t="shared" si="10"/>
        <v>0</v>
      </c>
      <c r="AH213" s="183">
        <f t="shared" si="11"/>
        <v>0</v>
      </c>
      <c r="AI213" s="296">
        <f>AG213-'人员人工-研发人员工资'!E213</f>
        <v>0</v>
      </c>
      <c r="AJ213" s="296">
        <f>AH213-'人员人工-研发人员工资'!D213</f>
        <v>0</v>
      </c>
    </row>
    <row r="214" s="176" customFormat="1" customHeight="1" spans="1:36">
      <c r="A214" s="181">
        <f>'人员人工-研发人员工资'!B214</f>
        <v>0</v>
      </c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3"/>
      <c r="AG214" s="183">
        <f t="shared" si="10"/>
        <v>0</v>
      </c>
      <c r="AH214" s="183">
        <f t="shared" si="11"/>
        <v>0</v>
      </c>
      <c r="AI214" s="296">
        <f>AG214-'人员人工-研发人员工资'!E214</f>
        <v>0</v>
      </c>
      <c r="AJ214" s="296">
        <f>AH214-'人员人工-研发人员工资'!D214</f>
        <v>0</v>
      </c>
    </row>
    <row r="215" s="176" customFormat="1" customHeight="1" spans="1:36">
      <c r="A215" s="181">
        <f>'人员人工-研发人员工资'!B215</f>
        <v>0</v>
      </c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3"/>
      <c r="AG215" s="183">
        <f t="shared" si="10"/>
        <v>0</v>
      </c>
      <c r="AH215" s="183">
        <f t="shared" si="11"/>
        <v>0</v>
      </c>
      <c r="AI215" s="296">
        <f>AG215-'人员人工-研发人员工资'!E215</f>
        <v>0</v>
      </c>
      <c r="AJ215" s="296">
        <f>AH215-'人员人工-研发人员工资'!D215</f>
        <v>0</v>
      </c>
    </row>
    <row r="216" s="176" customFormat="1" customHeight="1" spans="1:36">
      <c r="A216" s="181">
        <f>'人员人工-研发人员工资'!B216</f>
        <v>0</v>
      </c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3"/>
      <c r="AG216" s="183">
        <f t="shared" si="10"/>
        <v>0</v>
      </c>
      <c r="AH216" s="183">
        <f t="shared" si="11"/>
        <v>0</v>
      </c>
      <c r="AI216" s="296">
        <f>AG216-'人员人工-研发人员工资'!E216</f>
        <v>0</v>
      </c>
      <c r="AJ216" s="296">
        <f>AH216-'人员人工-研发人员工资'!D216</f>
        <v>0</v>
      </c>
    </row>
    <row r="217" s="176" customFormat="1" customHeight="1" spans="1:36">
      <c r="A217" s="181">
        <f>'人员人工-研发人员工资'!B217</f>
        <v>0</v>
      </c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3"/>
      <c r="AG217" s="183">
        <f t="shared" si="10"/>
        <v>0</v>
      </c>
      <c r="AH217" s="183">
        <f t="shared" si="11"/>
        <v>0</v>
      </c>
      <c r="AI217" s="296">
        <f>AG217-'人员人工-研发人员工资'!E217</f>
        <v>0</v>
      </c>
      <c r="AJ217" s="296">
        <f>AH217-'人员人工-研发人员工资'!D217</f>
        <v>0</v>
      </c>
    </row>
    <row r="218" s="176" customFormat="1" customHeight="1" spans="1:36">
      <c r="A218" s="181">
        <f>'人员人工-研发人员工资'!B218</f>
        <v>0</v>
      </c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3"/>
      <c r="AG218" s="183">
        <f t="shared" si="10"/>
        <v>0</v>
      </c>
      <c r="AH218" s="183">
        <f t="shared" si="11"/>
        <v>0</v>
      </c>
      <c r="AI218" s="296">
        <f>AG218-'人员人工-研发人员工资'!E218</f>
        <v>0</v>
      </c>
      <c r="AJ218" s="296">
        <f>AH218-'人员人工-研发人员工资'!D218</f>
        <v>0</v>
      </c>
    </row>
    <row r="219" s="176" customFormat="1" customHeight="1" spans="1:36">
      <c r="A219" s="181">
        <f>'人员人工-研发人员工资'!B219</f>
        <v>0</v>
      </c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3"/>
      <c r="AG219" s="183">
        <f t="shared" si="10"/>
        <v>0</v>
      </c>
      <c r="AH219" s="183">
        <f t="shared" si="11"/>
        <v>0</v>
      </c>
      <c r="AI219" s="296">
        <f>AG219-'人员人工-研发人员工资'!E219</f>
        <v>0</v>
      </c>
      <c r="AJ219" s="296">
        <f>AH219-'人员人工-研发人员工资'!D219</f>
        <v>0</v>
      </c>
    </row>
    <row r="220" s="176" customFormat="1" customHeight="1" spans="1:36">
      <c r="A220" s="181">
        <f>'人员人工-研发人员工资'!B220</f>
        <v>0</v>
      </c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3"/>
      <c r="AG220" s="183">
        <f t="shared" si="10"/>
        <v>0</v>
      </c>
      <c r="AH220" s="183">
        <f t="shared" si="11"/>
        <v>0</v>
      </c>
      <c r="AI220" s="296">
        <f>AG220-'人员人工-研发人员工资'!E220</f>
        <v>0</v>
      </c>
      <c r="AJ220" s="296">
        <f>AH220-'人员人工-研发人员工资'!D220</f>
        <v>0</v>
      </c>
    </row>
    <row r="221" s="176" customFormat="1" customHeight="1" spans="1:36">
      <c r="A221" s="181">
        <f>'人员人工-研发人员工资'!B221</f>
        <v>0</v>
      </c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3"/>
      <c r="AG221" s="183">
        <f t="shared" si="10"/>
        <v>0</v>
      </c>
      <c r="AH221" s="183">
        <f t="shared" si="11"/>
        <v>0</v>
      </c>
      <c r="AI221" s="296">
        <f>AG221-'人员人工-研发人员工资'!E221</f>
        <v>0</v>
      </c>
      <c r="AJ221" s="296">
        <f>AH221-'人员人工-研发人员工资'!D221</f>
        <v>0</v>
      </c>
    </row>
    <row r="222" s="176" customFormat="1" customHeight="1" spans="1:36">
      <c r="A222" s="181">
        <f>'人员人工-研发人员工资'!B222</f>
        <v>0</v>
      </c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3"/>
      <c r="AG222" s="183">
        <f t="shared" si="10"/>
        <v>0</v>
      </c>
      <c r="AH222" s="183">
        <f t="shared" si="11"/>
        <v>0</v>
      </c>
      <c r="AI222" s="296">
        <f>AG222-'人员人工-研发人员工资'!E222</f>
        <v>0</v>
      </c>
      <c r="AJ222" s="296">
        <f>AH222-'人员人工-研发人员工资'!D222</f>
        <v>0</v>
      </c>
    </row>
    <row r="223" s="176" customFormat="1" customHeight="1" spans="1:36">
      <c r="A223" s="181">
        <f>'人员人工-研发人员工资'!B223</f>
        <v>0</v>
      </c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3"/>
      <c r="AG223" s="183">
        <f t="shared" si="10"/>
        <v>0</v>
      </c>
      <c r="AH223" s="183">
        <f t="shared" si="11"/>
        <v>0</v>
      </c>
      <c r="AI223" s="296">
        <f>AG223-'人员人工-研发人员工资'!E223</f>
        <v>0</v>
      </c>
      <c r="AJ223" s="296">
        <f>AH223-'人员人工-研发人员工资'!D223</f>
        <v>0</v>
      </c>
    </row>
    <row r="224" s="295" customFormat="1" customHeight="1" spans="1:36">
      <c r="A224" s="295" t="s">
        <v>118</v>
      </c>
      <c r="B224" s="304" t="s">
        <v>115</v>
      </c>
      <c r="C224" s="304" t="s">
        <v>116</v>
      </c>
      <c r="D224" s="304" t="s">
        <v>117</v>
      </c>
      <c r="E224" s="304" t="s">
        <v>119</v>
      </c>
      <c r="F224" s="304" t="s">
        <v>120</v>
      </c>
      <c r="G224" s="304" t="s">
        <v>121</v>
      </c>
      <c r="H224" s="176" t="s">
        <v>122</v>
      </c>
      <c r="I224" s="176" t="s">
        <v>123</v>
      </c>
      <c r="J224" s="304" t="s">
        <v>124</v>
      </c>
      <c r="K224" s="176" t="s">
        <v>125</v>
      </c>
      <c r="L224" s="304" t="s">
        <v>102</v>
      </c>
      <c r="M224" s="304" t="s">
        <v>114</v>
      </c>
      <c r="N224" s="304"/>
      <c r="O224" s="304"/>
      <c r="P224" s="304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  <c r="AE224" s="304"/>
      <c r="AF224" s="304"/>
      <c r="AG224" s="184"/>
      <c r="AI224" s="296"/>
      <c r="AJ224" s="296"/>
    </row>
    <row r="225" s="295" customFormat="1" customHeight="1" spans="1:36">
      <c r="B225" s="142">
        <v>1</v>
      </c>
      <c r="C225" s="142">
        <v>2</v>
      </c>
      <c r="D225" s="142">
        <v>3</v>
      </c>
      <c r="E225" s="142">
        <v>4</v>
      </c>
      <c r="F225" s="142">
        <v>5</v>
      </c>
      <c r="G225" s="142">
        <v>6</v>
      </c>
      <c r="H225" s="142">
        <v>7</v>
      </c>
      <c r="I225" s="142">
        <v>8</v>
      </c>
      <c r="J225" s="142">
        <v>9</v>
      </c>
      <c r="K225" s="142">
        <v>10</v>
      </c>
      <c r="L225" s="142" t="s">
        <v>126</v>
      </c>
      <c r="M225" s="142" t="s">
        <v>127</v>
      </c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84"/>
      <c r="AI225" s="296"/>
      <c r="AJ225" s="296"/>
    </row>
    <row r="226" s="176" customFormat="1" customHeight="1" spans="1:36">
      <c r="AI226" s="142"/>
      <c r="AJ226" s="142"/>
    </row>
    <row r="227" s="176" customFormat="1" customHeight="1" spans="1:36">
      <c r="AI227" s="142"/>
      <c r="AJ227" s="142"/>
    </row>
    <row r="228" s="176" customFormat="1" customHeight="1" spans="1:36">
      <c r="A228" s="296" t="s">
        <v>133</v>
      </c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296"/>
      <c r="AI228" s="142"/>
      <c r="AJ228" s="142"/>
    </row>
    <row r="229" s="176" customFormat="1" customHeight="1" spans="1:36">
      <c r="A229" s="296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296"/>
      <c r="AI229" s="142"/>
      <c r="AJ229" s="142"/>
    </row>
    <row r="230" s="176" customFormat="1" customHeight="1" spans="1:36">
      <c r="A230" s="297" t="s">
        <v>32</v>
      </c>
      <c r="B230" s="299" t="s">
        <v>111</v>
      </c>
      <c r="C230" s="299" t="s">
        <v>105</v>
      </c>
      <c r="D230" s="165" t="s">
        <v>106</v>
      </c>
      <c r="E230" s="165" t="s">
        <v>107</v>
      </c>
      <c r="F230" s="165" t="s">
        <v>108</v>
      </c>
      <c r="G230" s="165" t="s">
        <v>109</v>
      </c>
      <c r="H230" s="165" t="s">
        <v>110</v>
      </c>
      <c r="I230" s="299" t="s">
        <v>111</v>
      </c>
      <c r="J230" s="299" t="s">
        <v>105</v>
      </c>
      <c r="K230" s="165" t="s">
        <v>106</v>
      </c>
      <c r="L230" s="165" t="s">
        <v>107</v>
      </c>
      <c r="M230" s="165" t="s">
        <v>108</v>
      </c>
      <c r="N230" s="165" t="s">
        <v>109</v>
      </c>
      <c r="O230" s="165" t="s">
        <v>110</v>
      </c>
      <c r="P230" s="299" t="s">
        <v>111</v>
      </c>
      <c r="Q230" s="299" t="s">
        <v>105</v>
      </c>
      <c r="R230" s="165" t="s">
        <v>106</v>
      </c>
      <c r="S230" s="165" t="s">
        <v>107</v>
      </c>
      <c r="T230" s="165" t="s">
        <v>108</v>
      </c>
      <c r="U230" s="165" t="s">
        <v>109</v>
      </c>
      <c r="V230" s="165" t="s">
        <v>110</v>
      </c>
      <c r="W230" s="299" t="s">
        <v>111</v>
      </c>
      <c r="X230" s="299" t="s">
        <v>105</v>
      </c>
      <c r="Y230" s="165" t="s">
        <v>106</v>
      </c>
      <c r="Z230" s="165" t="s">
        <v>107</v>
      </c>
      <c r="AA230" s="165" t="s">
        <v>108</v>
      </c>
      <c r="AB230" s="165" t="s">
        <v>109</v>
      </c>
      <c r="AC230" s="165" t="s">
        <v>110</v>
      </c>
      <c r="AD230" s="299" t="s">
        <v>111</v>
      </c>
      <c r="AE230" s="299" t="s">
        <v>105</v>
      </c>
      <c r="AF230" s="165" t="s">
        <v>106</v>
      </c>
      <c r="AG230" s="297" t="s">
        <v>39</v>
      </c>
      <c r="AH230" s="297" t="s">
        <v>34</v>
      </c>
      <c r="AI230" s="300" t="s">
        <v>112</v>
      </c>
      <c r="AJ230" s="300" t="s">
        <v>113</v>
      </c>
    </row>
    <row r="231" s="176" customFormat="1" customHeight="1" spans="1:36">
      <c r="A231" s="301"/>
      <c r="B231" s="299">
        <v>1</v>
      </c>
      <c r="C231" s="299">
        <v>2</v>
      </c>
      <c r="D231" s="165">
        <v>3</v>
      </c>
      <c r="E231" s="165">
        <v>4</v>
      </c>
      <c r="F231" s="165">
        <v>5</v>
      </c>
      <c r="G231" s="165">
        <v>6</v>
      </c>
      <c r="H231" s="165">
        <v>7</v>
      </c>
      <c r="I231" s="299">
        <v>8</v>
      </c>
      <c r="J231" s="299">
        <v>9</v>
      </c>
      <c r="K231" s="165">
        <v>10</v>
      </c>
      <c r="L231" s="165">
        <v>11</v>
      </c>
      <c r="M231" s="165">
        <v>12</v>
      </c>
      <c r="N231" s="165">
        <v>13</v>
      </c>
      <c r="O231" s="165">
        <v>14</v>
      </c>
      <c r="P231" s="299">
        <v>15</v>
      </c>
      <c r="Q231" s="299">
        <v>16</v>
      </c>
      <c r="R231" s="165">
        <v>17</v>
      </c>
      <c r="S231" s="165">
        <v>18</v>
      </c>
      <c r="T231" s="165">
        <v>19</v>
      </c>
      <c r="U231" s="165">
        <v>20</v>
      </c>
      <c r="V231" s="165">
        <v>21</v>
      </c>
      <c r="W231" s="299">
        <v>22</v>
      </c>
      <c r="X231" s="299">
        <v>23</v>
      </c>
      <c r="Y231" s="165">
        <v>24</v>
      </c>
      <c r="Z231" s="165">
        <v>25</v>
      </c>
      <c r="AA231" s="165">
        <v>26</v>
      </c>
      <c r="AB231" s="165">
        <v>27</v>
      </c>
      <c r="AC231" s="165">
        <v>28</v>
      </c>
      <c r="AD231" s="299">
        <v>29</v>
      </c>
      <c r="AE231" s="299">
        <v>30</v>
      </c>
      <c r="AF231" s="165">
        <v>31</v>
      </c>
      <c r="AG231" s="301"/>
      <c r="AH231" s="301"/>
      <c r="AI231" s="300"/>
      <c r="AJ231" s="300"/>
    </row>
    <row r="232" s="176" customFormat="1" customHeight="1" spans="1:36">
      <c r="A232" s="181">
        <f>'人员人工-研发人员工资'!B232</f>
        <v>0</v>
      </c>
      <c r="B232" s="182" t="s">
        <v>114</v>
      </c>
      <c r="C232" s="182" t="s">
        <v>114</v>
      </c>
      <c r="D232" s="182" t="s">
        <v>134</v>
      </c>
      <c r="E232" s="182" t="s">
        <v>134</v>
      </c>
      <c r="F232" s="182" t="s">
        <v>134</v>
      </c>
      <c r="G232" s="182" t="s">
        <v>134</v>
      </c>
      <c r="H232" s="182" t="s">
        <v>134</v>
      </c>
      <c r="I232" s="182" t="s">
        <v>114</v>
      </c>
      <c r="J232" s="182" t="s">
        <v>114</v>
      </c>
      <c r="K232" s="182" t="s">
        <v>102</v>
      </c>
      <c r="L232" s="182" t="s">
        <v>102</v>
      </c>
      <c r="M232" s="182" t="s">
        <v>120</v>
      </c>
      <c r="N232" s="182" t="s">
        <v>120</v>
      </c>
      <c r="O232" s="182" t="s">
        <v>120</v>
      </c>
      <c r="P232" s="182" t="s">
        <v>114</v>
      </c>
      <c r="Q232" s="182" t="s">
        <v>114</v>
      </c>
      <c r="R232" s="182" t="s">
        <v>120</v>
      </c>
      <c r="S232" s="182" t="s">
        <v>120</v>
      </c>
      <c r="T232" s="182" t="s">
        <v>120</v>
      </c>
      <c r="U232" s="182" t="s">
        <v>102</v>
      </c>
      <c r="V232" s="182" t="s">
        <v>102</v>
      </c>
      <c r="W232" s="182" t="s">
        <v>114</v>
      </c>
      <c r="X232" s="182" t="s">
        <v>114</v>
      </c>
      <c r="Y232" s="182" t="s">
        <v>121</v>
      </c>
      <c r="Z232" s="182" t="s">
        <v>121</v>
      </c>
      <c r="AA232" s="182" t="s">
        <v>121</v>
      </c>
      <c r="AB232" s="182" t="s">
        <v>121</v>
      </c>
      <c r="AC232" s="182" t="s">
        <v>121</v>
      </c>
      <c r="AD232" s="182" t="s">
        <v>114</v>
      </c>
      <c r="AE232" s="182" t="s">
        <v>114</v>
      </c>
      <c r="AF232" s="182" t="s">
        <v>102</v>
      </c>
      <c r="AG232" s="183">
        <f t="shared" ref="AG232:AG261" si="12">COUNTIF(B232:AF232,"●")+COUNTIF(B232:AF232,"▲")+COUNTIF(B232:AF232,"■")+COUNTIF(B232:AF232,"★")+COUNTIF(B232:AF232,"◆")+COUNTIF(B232:AF232,"✽")+COUNTIF(B232:AF232,"❖")+COUNTIF(B232:AF232,"✪")+COUNTIF(B232:AF232,"✿")+COUNTIF(B232:AF232,"✤")</f>
        <v>16</v>
      </c>
      <c r="AH232" s="183">
        <f t="shared" ref="AH232:AH261" si="13">COUNTIF(B232:AF232,"●")+COUNTIF(B232:AF232,"▲")+COUNTIF(B232:AF232,"■")+COUNTIF(B232:AF232,"★")+COUNTIF(B232:AF232,"◆")+COUNTIF(B232:AF232,"✽")+COUNTIF(B232:AF232,"❖")+COUNTIF(B232:AF232,"✪")+COUNTIF(B232:AF232,"✿")+COUNTIF(B232:AF232,"✤")+COUNTIF(B232:AF232,"√")</f>
        <v>21</v>
      </c>
      <c r="AI232" s="296">
        <f>AG232-'人员人工-研发人员工资'!E232</f>
        <v>16</v>
      </c>
      <c r="AJ232" s="296">
        <f>AH232-'人员人工-研发人员工资'!D232</f>
        <v>21</v>
      </c>
    </row>
    <row r="233" s="176" customFormat="1" customHeight="1" spans="1:36">
      <c r="A233" s="181">
        <f>'人员人工-研发人员工资'!B233</f>
        <v>0</v>
      </c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3">
        <f t="shared" si="12"/>
        <v>0</v>
      </c>
      <c r="AH233" s="183">
        <f t="shared" si="13"/>
        <v>0</v>
      </c>
      <c r="AI233" s="296">
        <f>AG233-'人员人工-研发人员工资'!E233</f>
        <v>0</v>
      </c>
      <c r="AJ233" s="296">
        <f>AH233-'人员人工-研发人员工资'!D233</f>
        <v>0</v>
      </c>
    </row>
    <row r="234" s="176" customFormat="1" customHeight="1" spans="1:36">
      <c r="A234" s="181">
        <f>'人员人工-研发人员工资'!B234</f>
        <v>0</v>
      </c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3">
        <f t="shared" si="12"/>
        <v>0</v>
      </c>
      <c r="AH234" s="183">
        <f t="shared" si="13"/>
        <v>0</v>
      </c>
      <c r="AI234" s="296">
        <f>AG234-'人员人工-研发人员工资'!E234</f>
        <v>0</v>
      </c>
      <c r="AJ234" s="296">
        <f>AH234-'人员人工-研发人员工资'!D234</f>
        <v>0</v>
      </c>
    </row>
    <row r="235" s="176" customFormat="1" customHeight="1" spans="1:36">
      <c r="A235" s="181">
        <f>'人员人工-研发人员工资'!B235</f>
        <v>0</v>
      </c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3">
        <f t="shared" si="12"/>
        <v>0</v>
      </c>
      <c r="AH235" s="183">
        <f t="shared" si="13"/>
        <v>0</v>
      </c>
      <c r="AI235" s="296">
        <f>AG235-'人员人工-研发人员工资'!E235</f>
        <v>0</v>
      </c>
      <c r="AJ235" s="296">
        <f>AH235-'人员人工-研发人员工资'!D235</f>
        <v>0</v>
      </c>
    </row>
    <row r="236" s="176" customFormat="1" customHeight="1" spans="1:36">
      <c r="A236" s="181">
        <f>'人员人工-研发人员工资'!B236</f>
        <v>0</v>
      </c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3">
        <f t="shared" si="12"/>
        <v>0</v>
      </c>
      <c r="AH236" s="183">
        <f t="shared" si="13"/>
        <v>0</v>
      </c>
      <c r="AI236" s="296">
        <f>AG236-'人员人工-研发人员工资'!E236</f>
        <v>0</v>
      </c>
      <c r="AJ236" s="296">
        <f>AH236-'人员人工-研发人员工资'!D236</f>
        <v>0</v>
      </c>
    </row>
    <row r="237" s="176" customFormat="1" customHeight="1" spans="1:36">
      <c r="A237" s="181">
        <f>'人员人工-研发人员工资'!B237</f>
        <v>0</v>
      </c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3">
        <f t="shared" si="12"/>
        <v>0</v>
      </c>
      <c r="AH237" s="183">
        <f t="shared" si="13"/>
        <v>0</v>
      </c>
      <c r="AI237" s="296">
        <f>AG237-'人员人工-研发人员工资'!E237</f>
        <v>0</v>
      </c>
      <c r="AJ237" s="296">
        <f>AH237-'人员人工-研发人员工资'!D237</f>
        <v>0</v>
      </c>
    </row>
    <row r="238" s="176" customFormat="1" customHeight="1" spans="1:36">
      <c r="A238" s="181">
        <f>'人员人工-研发人员工资'!B238</f>
        <v>0</v>
      </c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3">
        <f t="shared" si="12"/>
        <v>0</v>
      </c>
      <c r="AH238" s="183">
        <f t="shared" si="13"/>
        <v>0</v>
      </c>
      <c r="AI238" s="296">
        <f>AG238-'人员人工-研发人员工资'!E238</f>
        <v>0</v>
      </c>
      <c r="AJ238" s="296">
        <f>AH238-'人员人工-研发人员工资'!D238</f>
        <v>0</v>
      </c>
    </row>
    <row r="239" s="176" customFormat="1" customHeight="1" spans="1:36">
      <c r="A239" s="181">
        <f>'人员人工-研发人员工资'!B239</f>
        <v>0</v>
      </c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3">
        <f t="shared" si="12"/>
        <v>0</v>
      </c>
      <c r="AH239" s="183">
        <f t="shared" si="13"/>
        <v>0</v>
      </c>
      <c r="AI239" s="296">
        <f>AG239-'人员人工-研发人员工资'!E239</f>
        <v>0</v>
      </c>
      <c r="AJ239" s="296">
        <f>AH239-'人员人工-研发人员工资'!D239</f>
        <v>0</v>
      </c>
    </row>
    <row r="240" s="176" customFormat="1" customHeight="1" spans="1:36">
      <c r="A240" s="181">
        <f>'人员人工-研发人员工资'!B240</f>
        <v>0</v>
      </c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3">
        <f t="shared" si="12"/>
        <v>0</v>
      </c>
      <c r="AH240" s="183">
        <f t="shared" si="13"/>
        <v>0</v>
      </c>
      <c r="AI240" s="296">
        <f>AG240-'人员人工-研发人员工资'!E240</f>
        <v>0</v>
      </c>
      <c r="AJ240" s="296">
        <f>AH240-'人员人工-研发人员工资'!D240</f>
        <v>0</v>
      </c>
    </row>
    <row r="241" s="176" customFormat="1" customHeight="1" spans="1:36">
      <c r="A241" s="181">
        <f>'人员人工-研发人员工资'!B241</f>
        <v>0</v>
      </c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3">
        <f t="shared" si="12"/>
        <v>0</v>
      </c>
      <c r="AH241" s="183">
        <f t="shared" si="13"/>
        <v>0</v>
      </c>
      <c r="AI241" s="296">
        <f>AG241-'人员人工-研发人员工资'!E241</f>
        <v>0</v>
      </c>
      <c r="AJ241" s="296">
        <f>AH241-'人员人工-研发人员工资'!D241</f>
        <v>0</v>
      </c>
    </row>
    <row r="242" s="176" customFormat="1" customHeight="1" spans="1:36">
      <c r="A242" s="181">
        <f>'人员人工-研发人员工资'!B242</f>
        <v>0</v>
      </c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3">
        <f t="shared" si="12"/>
        <v>0</v>
      </c>
      <c r="AH242" s="183">
        <f t="shared" si="13"/>
        <v>0</v>
      </c>
      <c r="AI242" s="296">
        <f>AG242-'人员人工-研发人员工资'!E242</f>
        <v>0</v>
      </c>
      <c r="AJ242" s="296">
        <f>AH242-'人员人工-研发人员工资'!D242</f>
        <v>0</v>
      </c>
    </row>
    <row r="243" s="176" customFormat="1" customHeight="1" spans="1:36">
      <c r="A243" s="181">
        <f>'人员人工-研发人员工资'!B243</f>
        <v>0</v>
      </c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3">
        <f t="shared" si="12"/>
        <v>0</v>
      </c>
      <c r="AH243" s="183">
        <f t="shared" si="13"/>
        <v>0</v>
      </c>
      <c r="AI243" s="296">
        <f>AG243-'人员人工-研发人员工资'!E243</f>
        <v>0</v>
      </c>
      <c r="AJ243" s="296">
        <f>AH243-'人员人工-研发人员工资'!D243</f>
        <v>0</v>
      </c>
    </row>
    <row r="244" s="176" customFormat="1" customHeight="1" spans="1:36">
      <c r="A244" s="181">
        <f>'人员人工-研发人员工资'!B244</f>
        <v>0</v>
      </c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3">
        <f t="shared" si="12"/>
        <v>0</v>
      </c>
      <c r="AH244" s="183">
        <f t="shared" si="13"/>
        <v>0</v>
      </c>
      <c r="AI244" s="296">
        <f>AG244-'人员人工-研发人员工资'!E244</f>
        <v>0</v>
      </c>
      <c r="AJ244" s="296">
        <f>AH244-'人员人工-研发人员工资'!D244</f>
        <v>0</v>
      </c>
    </row>
    <row r="245" s="176" customFormat="1" customHeight="1" spans="1:36">
      <c r="A245" s="181">
        <f>'人员人工-研发人员工资'!B245</f>
        <v>0</v>
      </c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3">
        <f t="shared" si="12"/>
        <v>0</v>
      </c>
      <c r="AH245" s="183">
        <f t="shared" si="13"/>
        <v>0</v>
      </c>
      <c r="AI245" s="296">
        <f>AG245-'人员人工-研发人员工资'!E245</f>
        <v>0</v>
      </c>
      <c r="AJ245" s="296">
        <f>AH245-'人员人工-研发人员工资'!D245</f>
        <v>0</v>
      </c>
    </row>
    <row r="246" s="176" customFormat="1" customHeight="1" spans="1:36">
      <c r="A246" s="181">
        <f>'人员人工-研发人员工资'!B246</f>
        <v>0</v>
      </c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3">
        <f t="shared" si="12"/>
        <v>0</v>
      </c>
      <c r="AH246" s="183">
        <f t="shared" si="13"/>
        <v>0</v>
      </c>
      <c r="AI246" s="296">
        <f>AG246-'人员人工-研发人员工资'!E246</f>
        <v>0</v>
      </c>
      <c r="AJ246" s="296">
        <f>AH246-'人员人工-研发人员工资'!D246</f>
        <v>0</v>
      </c>
    </row>
    <row r="247" s="176" customFormat="1" customHeight="1" spans="1:36">
      <c r="A247" s="181">
        <f>'人员人工-研发人员工资'!B247</f>
        <v>0</v>
      </c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3">
        <f t="shared" si="12"/>
        <v>0</v>
      </c>
      <c r="AH247" s="183">
        <f t="shared" si="13"/>
        <v>0</v>
      </c>
      <c r="AI247" s="296">
        <f>AG247-'人员人工-研发人员工资'!E247</f>
        <v>0</v>
      </c>
      <c r="AJ247" s="296">
        <f>AH247-'人员人工-研发人员工资'!D247</f>
        <v>0</v>
      </c>
    </row>
    <row r="248" s="176" customFormat="1" customHeight="1" spans="1:36">
      <c r="A248" s="181">
        <f>'人员人工-研发人员工资'!B248</f>
        <v>0</v>
      </c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3">
        <f t="shared" si="12"/>
        <v>0</v>
      </c>
      <c r="AH248" s="183">
        <f t="shared" si="13"/>
        <v>0</v>
      </c>
      <c r="AI248" s="296">
        <f>AG248-'人员人工-研发人员工资'!E248</f>
        <v>0</v>
      </c>
      <c r="AJ248" s="296">
        <f>AH248-'人员人工-研发人员工资'!D248</f>
        <v>0</v>
      </c>
    </row>
    <row r="249" s="176" customFormat="1" customHeight="1" spans="1:36">
      <c r="A249" s="181">
        <f>'人员人工-研发人员工资'!B249</f>
        <v>0</v>
      </c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3">
        <f t="shared" si="12"/>
        <v>0</v>
      </c>
      <c r="AH249" s="183">
        <f t="shared" si="13"/>
        <v>0</v>
      </c>
      <c r="AI249" s="296">
        <f>AG249-'人员人工-研发人员工资'!E249</f>
        <v>0</v>
      </c>
      <c r="AJ249" s="296">
        <f>AH249-'人员人工-研发人员工资'!D249</f>
        <v>0</v>
      </c>
    </row>
    <row r="250" s="176" customFormat="1" customHeight="1" spans="1:36">
      <c r="A250" s="181">
        <f>'人员人工-研发人员工资'!B250</f>
        <v>0</v>
      </c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3">
        <f t="shared" si="12"/>
        <v>0</v>
      </c>
      <c r="AH250" s="183">
        <f t="shared" si="13"/>
        <v>0</v>
      </c>
      <c r="AI250" s="296">
        <f>AG250-'人员人工-研发人员工资'!E250</f>
        <v>0</v>
      </c>
      <c r="AJ250" s="296">
        <f>AH250-'人员人工-研发人员工资'!D250</f>
        <v>0</v>
      </c>
    </row>
    <row r="251" s="176" customFormat="1" customHeight="1" spans="1:36">
      <c r="A251" s="181">
        <f>'人员人工-研发人员工资'!B251</f>
        <v>0</v>
      </c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3">
        <f t="shared" si="12"/>
        <v>0</v>
      </c>
      <c r="AH251" s="183">
        <f t="shared" si="13"/>
        <v>0</v>
      </c>
      <c r="AI251" s="296">
        <f>AG251-'人员人工-研发人员工资'!E251</f>
        <v>0</v>
      </c>
      <c r="AJ251" s="296">
        <f>AH251-'人员人工-研发人员工资'!D251</f>
        <v>0</v>
      </c>
    </row>
    <row r="252" s="176" customFormat="1" customHeight="1" spans="1:36">
      <c r="A252" s="181">
        <f>'人员人工-研发人员工资'!B252</f>
        <v>0</v>
      </c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3">
        <f t="shared" si="12"/>
        <v>0</v>
      </c>
      <c r="AH252" s="183">
        <f t="shared" si="13"/>
        <v>0</v>
      </c>
      <c r="AI252" s="296">
        <f>AG252-'人员人工-研发人员工资'!E252</f>
        <v>0</v>
      </c>
      <c r="AJ252" s="296">
        <f>AH252-'人员人工-研发人员工资'!D252</f>
        <v>0</v>
      </c>
    </row>
    <row r="253" s="176" customFormat="1" customHeight="1" spans="1:36">
      <c r="A253" s="181">
        <f>'人员人工-研发人员工资'!B253</f>
        <v>0</v>
      </c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3">
        <f t="shared" si="12"/>
        <v>0</v>
      </c>
      <c r="AH253" s="183">
        <f t="shared" si="13"/>
        <v>0</v>
      </c>
      <c r="AI253" s="296">
        <f>AG253-'人员人工-研发人员工资'!E253</f>
        <v>0</v>
      </c>
      <c r="AJ253" s="296">
        <f>AH253-'人员人工-研发人员工资'!D253</f>
        <v>0</v>
      </c>
    </row>
    <row r="254" s="176" customFormat="1" customHeight="1" spans="1:36">
      <c r="A254" s="181">
        <f>'人员人工-研发人员工资'!B254</f>
        <v>0</v>
      </c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3">
        <f t="shared" si="12"/>
        <v>0</v>
      </c>
      <c r="AH254" s="183">
        <f t="shared" si="13"/>
        <v>0</v>
      </c>
      <c r="AI254" s="296">
        <f>AG254-'人员人工-研发人员工资'!E254</f>
        <v>0</v>
      </c>
      <c r="AJ254" s="296">
        <f>AH254-'人员人工-研发人员工资'!D254</f>
        <v>0</v>
      </c>
    </row>
    <row r="255" s="176" customFormat="1" customHeight="1" spans="1:36">
      <c r="A255" s="181">
        <f>'人员人工-研发人员工资'!B255</f>
        <v>0</v>
      </c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3">
        <f t="shared" si="12"/>
        <v>0</v>
      </c>
      <c r="AH255" s="183">
        <f t="shared" si="13"/>
        <v>0</v>
      </c>
      <c r="AI255" s="296">
        <f>AG255-'人员人工-研发人员工资'!E255</f>
        <v>0</v>
      </c>
      <c r="AJ255" s="296">
        <f>AH255-'人员人工-研发人员工资'!D255</f>
        <v>0</v>
      </c>
    </row>
    <row r="256" s="176" customFormat="1" customHeight="1" spans="1:36">
      <c r="A256" s="181">
        <f>'人员人工-研发人员工资'!B256</f>
        <v>0</v>
      </c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3">
        <f t="shared" si="12"/>
        <v>0</v>
      </c>
      <c r="AH256" s="183">
        <f t="shared" si="13"/>
        <v>0</v>
      </c>
      <c r="AI256" s="296">
        <f>AG256-'人员人工-研发人员工资'!E256</f>
        <v>0</v>
      </c>
      <c r="AJ256" s="296">
        <f>AH256-'人员人工-研发人员工资'!D256</f>
        <v>0</v>
      </c>
    </row>
    <row r="257" s="176" customFormat="1" customHeight="1" spans="1:36">
      <c r="A257" s="181">
        <f>'人员人工-研发人员工资'!B257</f>
        <v>0</v>
      </c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3">
        <f t="shared" si="12"/>
        <v>0</v>
      </c>
      <c r="AH257" s="183">
        <f t="shared" si="13"/>
        <v>0</v>
      </c>
      <c r="AI257" s="296">
        <f>AG257-'人员人工-研发人员工资'!E257</f>
        <v>0</v>
      </c>
      <c r="AJ257" s="296">
        <f>AH257-'人员人工-研发人员工资'!D257</f>
        <v>0</v>
      </c>
    </row>
    <row r="258" s="176" customFormat="1" customHeight="1" spans="1:36">
      <c r="A258" s="181">
        <f>'人员人工-研发人员工资'!B258</f>
        <v>0</v>
      </c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3">
        <f t="shared" si="12"/>
        <v>0</v>
      </c>
      <c r="AH258" s="183">
        <f t="shared" si="13"/>
        <v>0</v>
      </c>
      <c r="AI258" s="296">
        <f>AG258-'人员人工-研发人员工资'!E258</f>
        <v>0</v>
      </c>
      <c r="AJ258" s="296">
        <f>AH258-'人员人工-研发人员工资'!D258</f>
        <v>0</v>
      </c>
    </row>
    <row r="259" s="176" customFormat="1" customHeight="1" spans="1:36">
      <c r="A259" s="181">
        <f>'人员人工-研发人员工资'!B259</f>
        <v>0</v>
      </c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3">
        <f t="shared" si="12"/>
        <v>0</v>
      </c>
      <c r="AH259" s="183">
        <f t="shared" si="13"/>
        <v>0</v>
      </c>
      <c r="AI259" s="296">
        <f>AG259-'人员人工-研发人员工资'!E259</f>
        <v>0</v>
      </c>
      <c r="AJ259" s="296">
        <f>AH259-'人员人工-研发人员工资'!D259</f>
        <v>0</v>
      </c>
    </row>
    <row r="260" s="176" customFormat="1" customHeight="1" spans="1:36">
      <c r="A260" s="181">
        <f>'人员人工-研发人员工资'!B260</f>
        <v>0</v>
      </c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3">
        <f t="shared" si="12"/>
        <v>0</v>
      </c>
      <c r="AH260" s="183">
        <f t="shared" si="13"/>
        <v>0</v>
      </c>
      <c r="AI260" s="296">
        <f>AG260-'人员人工-研发人员工资'!E260</f>
        <v>0</v>
      </c>
      <c r="AJ260" s="296">
        <f>AH260-'人员人工-研发人员工资'!D260</f>
        <v>0</v>
      </c>
    </row>
    <row r="261" s="176" customFormat="1" customHeight="1" spans="1:36">
      <c r="A261" s="181">
        <f>'人员人工-研发人员工资'!B261</f>
        <v>0</v>
      </c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3">
        <f t="shared" si="12"/>
        <v>0</v>
      </c>
      <c r="AH261" s="183">
        <f t="shared" si="13"/>
        <v>0</v>
      </c>
      <c r="AI261" s="296">
        <f>AG261-'人员人工-研发人员工资'!E261</f>
        <v>0</v>
      </c>
      <c r="AJ261" s="296">
        <f>AH261-'人员人工-研发人员工资'!D261</f>
        <v>0</v>
      </c>
    </row>
    <row r="262" s="295" customFormat="1" customHeight="1" spans="1:36">
      <c r="A262" s="295" t="s">
        <v>118</v>
      </c>
      <c r="B262" s="304" t="s">
        <v>115</v>
      </c>
      <c r="C262" s="304" t="s">
        <v>116</v>
      </c>
      <c r="D262" s="304" t="s">
        <v>117</v>
      </c>
      <c r="E262" s="304" t="s">
        <v>119</v>
      </c>
      <c r="F262" s="304" t="s">
        <v>120</v>
      </c>
      <c r="G262" s="304" t="s">
        <v>121</v>
      </c>
      <c r="H262" s="176" t="s">
        <v>122</v>
      </c>
      <c r="I262" s="176" t="s">
        <v>123</v>
      </c>
      <c r="J262" s="304" t="s">
        <v>124</v>
      </c>
      <c r="K262" s="176" t="s">
        <v>125</v>
      </c>
      <c r="L262" s="304" t="s">
        <v>102</v>
      </c>
      <c r="M262" s="304" t="s">
        <v>114</v>
      </c>
      <c r="N262" s="304"/>
      <c r="O262" s="304"/>
      <c r="P262" s="304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184"/>
      <c r="AI262" s="296"/>
      <c r="AJ262" s="296"/>
    </row>
    <row r="263" s="295" customFormat="1" customHeight="1" spans="1:36">
      <c r="B263" s="142">
        <v>1</v>
      </c>
      <c r="C263" s="142">
        <v>2</v>
      </c>
      <c r="D263" s="142">
        <v>3</v>
      </c>
      <c r="E263" s="142">
        <v>4</v>
      </c>
      <c r="F263" s="142">
        <v>5</v>
      </c>
      <c r="G263" s="142">
        <v>6</v>
      </c>
      <c r="H263" s="142">
        <v>7</v>
      </c>
      <c r="I263" s="142">
        <v>8</v>
      </c>
      <c r="J263" s="142">
        <v>9</v>
      </c>
      <c r="K263" s="142">
        <v>10</v>
      </c>
      <c r="L263" s="142" t="s">
        <v>126</v>
      </c>
      <c r="M263" s="142" t="s">
        <v>127</v>
      </c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84"/>
      <c r="AI263" s="296"/>
      <c r="AJ263" s="296"/>
    </row>
    <row r="264" s="176" customFormat="1" customHeight="1" spans="1:36">
      <c r="AI264" s="142"/>
      <c r="AJ264" s="142"/>
    </row>
    <row r="265" s="176" customFormat="1" customHeight="1" spans="1:36">
      <c r="AI265" s="142"/>
      <c r="AJ265" s="142"/>
    </row>
    <row r="266" s="176" customFormat="1" customHeight="1" spans="1:36">
      <c r="A266" s="296" t="s">
        <v>135</v>
      </c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296"/>
      <c r="AI266" s="142"/>
      <c r="AJ266" s="142"/>
    </row>
    <row r="267" s="176" customFormat="1" customHeight="1" spans="1:36">
      <c r="A267" s="296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296"/>
      <c r="AI267" s="142"/>
      <c r="AJ267" s="142"/>
    </row>
    <row r="268" s="176" customFormat="1" customHeight="1" spans="1:36">
      <c r="A268" s="297" t="s">
        <v>32</v>
      </c>
      <c r="B268" s="165" t="s">
        <v>107</v>
      </c>
      <c r="C268" s="165" t="s">
        <v>108</v>
      </c>
      <c r="D268" s="165" t="s">
        <v>109</v>
      </c>
      <c r="E268" s="165" t="s">
        <v>110</v>
      </c>
      <c r="F268" s="299" t="s">
        <v>111</v>
      </c>
      <c r="G268" s="299" t="s">
        <v>105</v>
      </c>
      <c r="H268" s="165" t="s">
        <v>106</v>
      </c>
      <c r="I268" s="165" t="s">
        <v>107</v>
      </c>
      <c r="J268" s="165" t="s">
        <v>108</v>
      </c>
      <c r="K268" s="165" t="s">
        <v>109</v>
      </c>
      <c r="L268" s="165" t="s">
        <v>110</v>
      </c>
      <c r="M268" s="299" t="s">
        <v>111</v>
      </c>
      <c r="N268" s="299" t="s">
        <v>105</v>
      </c>
      <c r="O268" s="165" t="s">
        <v>106</v>
      </c>
      <c r="P268" s="165" t="s">
        <v>107</v>
      </c>
      <c r="Q268" s="165" t="s">
        <v>108</v>
      </c>
      <c r="R268" s="165" t="s">
        <v>109</v>
      </c>
      <c r="S268" s="165" t="s">
        <v>110</v>
      </c>
      <c r="T268" s="299" t="s">
        <v>111</v>
      </c>
      <c r="U268" s="299" t="s">
        <v>105</v>
      </c>
      <c r="V268" s="165" t="s">
        <v>106</v>
      </c>
      <c r="W268" s="165" t="s">
        <v>107</v>
      </c>
      <c r="X268" s="165" t="s">
        <v>108</v>
      </c>
      <c r="Y268" s="165" t="s">
        <v>109</v>
      </c>
      <c r="Z268" s="165" t="s">
        <v>110</v>
      </c>
      <c r="AA268" s="299" t="s">
        <v>111</v>
      </c>
      <c r="AB268" s="299" t="s">
        <v>105</v>
      </c>
      <c r="AC268" s="165" t="s">
        <v>106</v>
      </c>
      <c r="AD268" s="165" t="s">
        <v>107</v>
      </c>
      <c r="AE268" s="165" t="s">
        <v>108</v>
      </c>
      <c r="AF268" s="165" t="s">
        <v>109</v>
      </c>
      <c r="AG268" s="297" t="s">
        <v>39</v>
      </c>
      <c r="AH268" s="297" t="s">
        <v>34</v>
      </c>
      <c r="AI268" s="300" t="s">
        <v>112</v>
      </c>
      <c r="AJ268" s="300" t="s">
        <v>113</v>
      </c>
    </row>
    <row r="269" s="176" customFormat="1" customHeight="1" spans="1:36">
      <c r="A269" s="301"/>
      <c r="B269" s="165">
        <v>1</v>
      </c>
      <c r="C269" s="165">
        <v>2</v>
      </c>
      <c r="D269" s="165">
        <v>3</v>
      </c>
      <c r="E269" s="165">
        <v>4</v>
      </c>
      <c r="F269" s="299">
        <v>5</v>
      </c>
      <c r="G269" s="299">
        <v>6</v>
      </c>
      <c r="H269" s="165">
        <v>7</v>
      </c>
      <c r="I269" s="165">
        <v>8</v>
      </c>
      <c r="J269" s="165">
        <v>9</v>
      </c>
      <c r="K269" s="165">
        <v>10</v>
      </c>
      <c r="L269" s="165">
        <v>11</v>
      </c>
      <c r="M269" s="299">
        <v>12</v>
      </c>
      <c r="N269" s="299">
        <v>13</v>
      </c>
      <c r="O269" s="165">
        <v>14</v>
      </c>
      <c r="P269" s="165">
        <v>15</v>
      </c>
      <c r="Q269" s="165">
        <v>16</v>
      </c>
      <c r="R269" s="165">
        <v>17</v>
      </c>
      <c r="S269" s="165">
        <v>18</v>
      </c>
      <c r="T269" s="299">
        <v>19</v>
      </c>
      <c r="U269" s="299">
        <v>20</v>
      </c>
      <c r="V269" s="165">
        <v>21</v>
      </c>
      <c r="W269" s="165">
        <v>22</v>
      </c>
      <c r="X269" s="165">
        <v>23</v>
      </c>
      <c r="Y269" s="165">
        <v>24</v>
      </c>
      <c r="Z269" s="165">
        <v>25</v>
      </c>
      <c r="AA269" s="299">
        <v>26</v>
      </c>
      <c r="AB269" s="299">
        <v>27</v>
      </c>
      <c r="AC269" s="165">
        <v>28</v>
      </c>
      <c r="AD269" s="165">
        <v>29</v>
      </c>
      <c r="AE269" s="165">
        <v>30</v>
      </c>
      <c r="AF269" s="165">
        <v>31</v>
      </c>
      <c r="AG269" s="301"/>
      <c r="AH269" s="301"/>
      <c r="AI269" s="300"/>
      <c r="AJ269" s="300"/>
    </row>
    <row r="270" s="176" customFormat="1" customHeight="1" spans="1:36">
      <c r="A270" s="181">
        <f>'人员人工-研发人员工资'!B270</f>
        <v>0</v>
      </c>
      <c r="B270" s="182" t="s">
        <v>134</v>
      </c>
      <c r="C270" s="182" t="s">
        <v>134</v>
      </c>
      <c r="D270" s="182" t="s">
        <v>134</v>
      </c>
      <c r="E270" s="182" t="s">
        <v>134</v>
      </c>
      <c r="F270" s="182" t="s">
        <v>114</v>
      </c>
      <c r="G270" s="182" t="s">
        <v>114</v>
      </c>
      <c r="H270" s="182" t="s">
        <v>134</v>
      </c>
      <c r="I270" s="182" t="s">
        <v>134</v>
      </c>
      <c r="J270" s="182" t="s">
        <v>134</v>
      </c>
      <c r="K270" s="182" t="s">
        <v>102</v>
      </c>
      <c r="L270" s="182" t="s">
        <v>102</v>
      </c>
      <c r="M270" s="182" t="s">
        <v>114</v>
      </c>
      <c r="N270" s="182" t="s">
        <v>114</v>
      </c>
      <c r="O270" s="182" t="s">
        <v>120</v>
      </c>
      <c r="P270" s="182" t="s">
        <v>120</v>
      </c>
      <c r="Q270" s="182" t="s">
        <v>120</v>
      </c>
      <c r="R270" s="182" t="s">
        <v>120</v>
      </c>
      <c r="S270" s="182" t="s">
        <v>120</v>
      </c>
      <c r="T270" s="182" t="s">
        <v>114</v>
      </c>
      <c r="U270" s="182" t="s">
        <v>114</v>
      </c>
      <c r="V270" s="182" t="s">
        <v>102</v>
      </c>
      <c r="W270" s="182" t="s">
        <v>102</v>
      </c>
      <c r="X270" s="182" t="s">
        <v>121</v>
      </c>
      <c r="Y270" s="182" t="s">
        <v>121</v>
      </c>
      <c r="Z270" s="182" t="s">
        <v>121</v>
      </c>
      <c r="AA270" s="182" t="s">
        <v>114</v>
      </c>
      <c r="AB270" s="182" t="s">
        <v>114</v>
      </c>
      <c r="AC270" s="182" t="s">
        <v>121</v>
      </c>
      <c r="AD270" s="182" t="s">
        <v>121</v>
      </c>
      <c r="AE270" s="182" t="s">
        <v>121</v>
      </c>
      <c r="AF270" s="182" t="s">
        <v>102</v>
      </c>
      <c r="AG270" s="183">
        <f t="shared" ref="AG270:AG299" si="14">COUNTIF(B270:AF270,"●")+COUNTIF(B270:AF270,"▲")+COUNTIF(B270:AF270,"■")+COUNTIF(B270:AF270,"★")+COUNTIF(B270:AF270,"◆")+COUNTIF(B270:AF270,"✽")+COUNTIF(B270:AF270,"❖")+COUNTIF(B270:AF270,"✪")+COUNTIF(B270:AF270,"✿")+COUNTIF(B270:AF270,"✤")</f>
        <v>18</v>
      </c>
      <c r="AH270" s="183">
        <f t="shared" ref="AH270:AH299" si="15">COUNTIF(B270:AF270,"●")+COUNTIF(B270:AF270,"▲")+COUNTIF(B270:AF270,"■")+COUNTIF(B270:AF270,"★")+COUNTIF(B270:AF270,"◆")+COUNTIF(B270:AF270,"✽")+COUNTIF(B270:AF270,"❖")+COUNTIF(B270:AF270,"✪")+COUNTIF(B270:AF270,"✿")+COUNTIF(B270:AF270,"✤")+COUNTIF(B270:AF270,"√")</f>
        <v>23</v>
      </c>
      <c r="AI270" s="296">
        <f>AG270-'人员人工-研发人员工资'!E270</f>
        <v>18</v>
      </c>
      <c r="AJ270" s="296">
        <f>AH270-'人员人工-研发人员工资'!D270</f>
        <v>23</v>
      </c>
    </row>
    <row r="271" s="176" customFormat="1" customHeight="1" spans="1:36">
      <c r="A271" s="181">
        <f>'人员人工-研发人员工资'!B271</f>
        <v>0</v>
      </c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3">
        <f t="shared" si="14"/>
        <v>0</v>
      </c>
      <c r="AH271" s="183">
        <f t="shared" si="15"/>
        <v>0</v>
      </c>
      <c r="AI271" s="296">
        <f>AG271-'人员人工-研发人员工资'!E271</f>
        <v>0</v>
      </c>
      <c r="AJ271" s="296">
        <f>AH271-'人员人工-研发人员工资'!D271</f>
        <v>0</v>
      </c>
    </row>
    <row r="272" s="176" customFormat="1" customHeight="1" spans="1:36">
      <c r="A272" s="181">
        <f>'人员人工-研发人员工资'!B272</f>
        <v>0</v>
      </c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3">
        <f t="shared" si="14"/>
        <v>0</v>
      </c>
      <c r="AH272" s="183">
        <f t="shared" si="15"/>
        <v>0</v>
      </c>
      <c r="AI272" s="296">
        <f>AG272-'人员人工-研发人员工资'!E272</f>
        <v>0</v>
      </c>
      <c r="AJ272" s="296">
        <f>AH272-'人员人工-研发人员工资'!D272</f>
        <v>0</v>
      </c>
    </row>
    <row r="273" s="176" customFormat="1" customHeight="1" spans="1:36">
      <c r="A273" s="181">
        <f>'人员人工-研发人员工资'!B273</f>
        <v>0</v>
      </c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3">
        <f t="shared" si="14"/>
        <v>0</v>
      </c>
      <c r="AH273" s="183">
        <f t="shared" si="15"/>
        <v>0</v>
      </c>
      <c r="AI273" s="296">
        <f>AG273-'人员人工-研发人员工资'!E273</f>
        <v>0</v>
      </c>
      <c r="AJ273" s="296">
        <f>AH273-'人员人工-研发人员工资'!D273</f>
        <v>0</v>
      </c>
    </row>
    <row r="274" s="176" customFormat="1" customHeight="1" spans="1:36">
      <c r="A274" s="181">
        <f>'人员人工-研发人员工资'!B274</f>
        <v>0</v>
      </c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3">
        <f t="shared" si="14"/>
        <v>0</v>
      </c>
      <c r="AH274" s="183">
        <f t="shared" si="15"/>
        <v>0</v>
      </c>
      <c r="AI274" s="296">
        <f>AG274-'人员人工-研发人员工资'!E274</f>
        <v>0</v>
      </c>
      <c r="AJ274" s="296">
        <f>AH274-'人员人工-研发人员工资'!D274</f>
        <v>0</v>
      </c>
    </row>
    <row r="275" s="176" customFormat="1" customHeight="1" spans="1:36">
      <c r="A275" s="181">
        <f>'人员人工-研发人员工资'!B275</f>
        <v>0</v>
      </c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3">
        <f t="shared" si="14"/>
        <v>0</v>
      </c>
      <c r="AH275" s="183">
        <f t="shared" si="15"/>
        <v>0</v>
      </c>
      <c r="AI275" s="296">
        <f>AG275-'人员人工-研发人员工资'!E275</f>
        <v>0</v>
      </c>
      <c r="AJ275" s="296">
        <f>AH275-'人员人工-研发人员工资'!D275</f>
        <v>0</v>
      </c>
    </row>
    <row r="276" s="176" customFormat="1" customHeight="1" spans="1:36">
      <c r="A276" s="181">
        <f>'人员人工-研发人员工资'!B276</f>
        <v>0</v>
      </c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3">
        <f t="shared" si="14"/>
        <v>0</v>
      </c>
      <c r="AH276" s="183">
        <f t="shared" si="15"/>
        <v>0</v>
      </c>
      <c r="AI276" s="296">
        <f>AG276-'人员人工-研发人员工资'!E276</f>
        <v>0</v>
      </c>
      <c r="AJ276" s="296">
        <f>AH276-'人员人工-研发人员工资'!D276</f>
        <v>0</v>
      </c>
    </row>
    <row r="277" s="176" customFormat="1" customHeight="1" spans="1:36">
      <c r="A277" s="181">
        <f>'人员人工-研发人员工资'!B277</f>
        <v>0</v>
      </c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3">
        <f t="shared" si="14"/>
        <v>0</v>
      </c>
      <c r="AH277" s="183">
        <f t="shared" si="15"/>
        <v>0</v>
      </c>
      <c r="AI277" s="296">
        <f>AG277-'人员人工-研发人员工资'!E277</f>
        <v>0</v>
      </c>
      <c r="AJ277" s="296">
        <f>AH277-'人员人工-研发人员工资'!D277</f>
        <v>0</v>
      </c>
    </row>
    <row r="278" s="176" customFormat="1" customHeight="1" spans="1:36">
      <c r="A278" s="181">
        <f>'人员人工-研发人员工资'!B278</f>
        <v>0</v>
      </c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3">
        <f t="shared" si="14"/>
        <v>0</v>
      </c>
      <c r="AH278" s="183">
        <f t="shared" si="15"/>
        <v>0</v>
      </c>
      <c r="AI278" s="296">
        <f>AG278-'人员人工-研发人员工资'!E278</f>
        <v>0</v>
      </c>
      <c r="AJ278" s="296">
        <f>AH278-'人员人工-研发人员工资'!D278</f>
        <v>0</v>
      </c>
    </row>
    <row r="279" s="176" customFormat="1" customHeight="1" spans="1:36">
      <c r="A279" s="181">
        <f>'人员人工-研发人员工资'!B279</f>
        <v>0</v>
      </c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3">
        <f t="shared" si="14"/>
        <v>0</v>
      </c>
      <c r="AH279" s="183">
        <f t="shared" si="15"/>
        <v>0</v>
      </c>
      <c r="AI279" s="296">
        <f>AG279-'人员人工-研发人员工资'!E279</f>
        <v>0</v>
      </c>
      <c r="AJ279" s="296">
        <f>AH279-'人员人工-研发人员工资'!D279</f>
        <v>0</v>
      </c>
    </row>
    <row r="280" s="176" customFormat="1" customHeight="1" spans="1:36">
      <c r="A280" s="181">
        <f>'人员人工-研发人员工资'!B280</f>
        <v>0</v>
      </c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3">
        <f t="shared" si="14"/>
        <v>0</v>
      </c>
      <c r="AH280" s="183">
        <f t="shared" si="15"/>
        <v>0</v>
      </c>
      <c r="AI280" s="296">
        <f>AG280-'人员人工-研发人员工资'!E280</f>
        <v>0</v>
      </c>
      <c r="AJ280" s="296">
        <f>AH280-'人员人工-研发人员工资'!D280</f>
        <v>0</v>
      </c>
    </row>
    <row r="281" s="176" customFormat="1" customHeight="1" spans="1:36">
      <c r="A281" s="181">
        <f>'人员人工-研发人员工资'!B281</f>
        <v>0</v>
      </c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3">
        <f t="shared" si="14"/>
        <v>0</v>
      </c>
      <c r="AH281" s="183">
        <f t="shared" si="15"/>
        <v>0</v>
      </c>
      <c r="AI281" s="296">
        <f>AG281-'人员人工-研发人员工资'!E281</f>
        <v>0</v>
      </c>
      <c r="AJ281" s="296">
        <f>AH281-'人员人工-研发人员工资'!D281</f>
        <v>0</v>
      </c>
    </row>
    <row r="282" s="176" customFormat="1" customHeight="1" spans="1:36">
      <c r="A282" s="181">
        <f>'人员人工-研发人员工资'!B282</f>
        <v>0</v>
      </c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3">
        <f t="shared" si="14"/>
        <v>0</v>
      </c>
      <c r="AH282" s="183">
        <f t="shared" si="15"/>
        <v>0</v>
      </c>
      <c r="AI282" s="296">
        <f>AG282-'人员人工-研发人员工资'!E282</f>
        <v>0</v>
      </c>
      <c r="AJ282" s="296">
        <f>AH282-'人员人工-研发人员工资'!D282</f>
        <v>0</v>
      </c>
    </row>
    <row r="283" s="176" customFormat="1" customHeight="1" spans="1:36">
      <c r="A283" s="181">
        <f>'人员人工-研发人员工资'!B283</f>
        <v>0</v>
      </c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3">
        <f t="shared" si="14"/>
        <v>0</v>
      </c>
      <c r="AH283" s="183">
        <f t="shared" si="15"/>
        <v>0</v>
      </c>
      <c r="AI283" s="296">
        <f>AG283-'人员人工-研发人员工资'!E283</f>
        <v>0</v>
      </c>
      <c r="AJ283" s="296">
        <f>AH283-'人员人工-研发人员工资'!D283</f>
        <v>0</v>
      </c>
    </row>
    <row r="284" s="176" customFormat="1" customHeight="1" spans="1:36">
      <c r="A284" s="181">
        <f>'人员人工-研发人员工资'!B284</f>
        <v>0</v>
      </c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3">
        <f t="shared" si="14"/>
        <v>0</v>
      </c>
      <c r="AH284" s="183">
        <f t="shared" si="15"/>
        <v>0</v>
      </c>
      <c r="AI284" s="296">
        <f>AG284-'人员人工-研发人员工资'!E284</f>
        <v>0</v>
      </c>
      <c r="AJ284" s="296">
        <f>AH284-'人员人工-研发人员工资'!D284</f>
        <v>0</v>
      </c>
    </row>
    <row r="285" s="176" customFormat="1" customHeight="1" spans="1:36">
      <c r="A285" s="181">
        <f>'人员人工-研发人员工资'!B285</f>
        <v>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3">
        <f t="shared" si="14"/>
        <v>0</v>
      </c>
      <c r="AH285" s="183">
        <f t="shared" si="15"/>
        <v>0</v>
      </c>
      <c r="AI285" s="296">
        <f>AG285-'人员人工-研发人员工资'!E285</f>
        <v>0</v>
      </c>
      <c r="AJ285" s="296">
        <f>AH285-'人员人工-研发人员工资'!D285</f>
        <v>0</v>
      </c>
    </row>
    <row r="286" s="176" customFormat="1" customHeight="1" spans="1:36">
      <c r="A286" s="181">
        <f>'人员人工-研发人员工资'!B286</f>
        <v>0</v>
      </c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3">
        <f t="shared" si="14"/>
        <v>0</v>
      </c>
      <c r="AH286" s="183">
        <f t="shared" si="15"/>
        <v>0</v>
      </c>
      <c r="AI286" s="296">
        <f>AG286-'人员人工-研发人员工资'!E286</f>
        <v>0</v>
      </c>
      <c r="AJ286" s="296">
        <f>AH286-'人员人工-研发人员工资'!D286</f>
        <v>0</v>
      </c>
    </row>
    <row r="287" s="176" customFormat="1" customHeight="1" spans="1:36">
      <c r="A287" s="181">
        <f>'人员人工-研发人员工资'!B287</f>
        <v>0</v>
      </c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3">
        <f t="shared" si="14"/>
        <v>0</v>
      </c>
      <c r="AH287" s="183">
        <f t="shared" si="15"/>
        <v>0</v>
      </c>
      <c r="AI287" s="296">
        <f>AG287-'人员人工-研发人员工资'!E287</f>
        <v>0</v>
      </c>
      <c r="AJ287" s="296">
        <f>AH287-'人员人工-研发人员工资'!D287</f>
        <v>0</v>
      </c>
    </row>
    <row r="288" s="176" customFormat="1" customHeight="1" spans="1:36">
      <c r="A288" s="181">
        <f>'人员人工-研发人员工资'!B288</f>
        <v>0</v>
      </c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3">
        <f t="shared" si="14"/>
        <v>0</v>
      </c>
      <c r="AH288" s="183">
        <f t="shared" si="15"/>
        <v>0</v>
      </c>
      <c r="AI288" s="296">
        <f>AG288-'人员人工-研发人员工资'!E288</f>
        <v>0</v>
      </c>
      <c r="AJ288" s="296">
        <f>AH288-'人员人工-研发人员工资'!D288</f>
        <v>0</v>
      </c>
    </row>
    <row r="289" s="176" customFormat="1" customHeight="1" spans="1:36">
      <c r="A289" s="181">
        <f>'人员人工-研发人员工资'!B289</f>
        <v>0</v>
      </c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3">
        <f t="shared" si="14"/>
        <v>0</v>
      </c>
      <c r="AH289" s="183">
        <f t="shared" si="15"/>
        <v>0</v>
      </c>
      <c r="AI289" s="296">
        <f>AG289-'人员人工-研发人员工资'!E289</f>
        <v>0</v>
      </c>
      <c r="AJ289" s="296">
        <f>AH289-'人员人工-研发人员工资'!D289</f>
        <v>0</v>
      </c>
    </row>
    <row r="290" s="176" customFormat="1" customHeight="1" spans="1:36">
      <c r="A290" s="181">
        <f>'人员人工-研发人员工资'!B290</f>
        <v>0</v>
      </c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3">
        <f t="shared" si="14"/>
        <v>0</v>
      </c>
      <c r="AH290" s="183">
        <f t="shared" si="15"/>
        <v>0</v>
      </c>
      <c r="AI290" s="296">
        <f>AG290-'人员人工-研发人员工资'!E290</f>
        <v>0</v>
      </c>
      <c r="AJ290" s="296">
        <f>AH290-'人员人工-研发人员工资'!D290</f>
        <v>0</v>
      </c>
    </row>
    <row r="291" s="176" customFormat="1" customHeight="1" spans="1:36">
      <c r="A291" s="181">
        <f>'人员人工-研发人员工资'!B291</f>
        <v>0</v>
      </c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3">
        <f t="shared" si="14"/>
        <v>0</v>
      </c>
      <c r="AH291" s="183">
        <f t="shared" si="15"/>
        <v>0</v>
      </c>
      <c r="AI291" s="296">
        <f>AG291-'人员人工-研发人员工资'!E291</f>
        <v>0</v>
      </c>
      <c r="AJ291" s="296">
        <f>AH291-'人员人工-研发人员工资'!D291</f>
        <v>0</v>
      </c>
    </row>
    <row r="292" s="176" customFormat="1" customHeight="1" spans="1:36">
      <c r="A292" s="181">
        <f>'人员人工-研发人员工资'!B292</f>
        <v>0</v>
      </c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3">
        <f t="shared" si="14"/>
        <v>0</v>
      </c>
      <c r="AH292" s="183">
        <f t="shared" si="15"/>
        <v>0</v>
      </c>
      <c r="AI292" s="296">
        <f>AG292-'人员人工-研发人员工资'!E292</f>
        <v>0</v>
      </c>
      <c r="AJ292" s="296">
        <f>AH292-'人员人工-研发人员工资'!D292</f>
        <v>0</v>
      </c>
    </row>
    <row r="293" s="176" customFormat="1" customHeight="1" spans="1:36">
      <c r="A293" s="181">
        <f>'人员人工-研发人员工资'!B293</f>
        <v>0</v>
      </c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3">
        <f t="shared" si="14"/>
        <v>0</v>
      </c>
      <c r="AH293" s="183">
        <f t="shared" si="15"/>
        <v>0</v>
      </c>
      <c r="AI293" s="296">
        <f>AG293-'人员人工-研发人员工资'!E293</f>
        <v>0</v>
      </c>
      <c r="AJ293" s="296">
        <f>AH293-'人员人工-研发人员工资'!D293</f>
        <v>0</v>
      </c>
    </row>
    <row r="294" s="176" customFormat="1" customHeight="1" spans="1:36">
      <c r="A294" s="181">
        <f>'人员人工-研发人员工资'!B294</f>
        <v>0</v>
      </c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3">
        <f t="shared" si="14"/>
        <v>0</v>
      </c>
      <c r="AH294" s="183">
        <f t="shared" si="15"/>
        <v>0</v>
      </c>
      <c r="AI294" s="296">
        <f>AG294-'人员人工-研发人员工资'!E294</f>
        <v>0</v>
      </c>
      <c r="AJ294" s="296">
        <f>AH294-'人员人工-研发人员工资'!D294</f>
        <v>0</v>
      </c>
    </row>
    <row r="295" s="176" customFormat="1" customHeight="1" spans="1:36">
      <c r="A295" s="181">
        <f>'人员人工-研发人员工资'!B295</f>
        <v>0</v>
      </c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3">
        <f t="shared" si="14"/>
        <v>0</v>
      </c>
      <c r="AH295" s="183">
        <f t="shared" si="15"/>
        <v>0</v>
      </c>
      <c r="AI295" s="296">
        <f>AG295-'人员人工-研发人员工资'!E295</f>
        <v>0</v>
      </c>
      <c r="AJ295" s="296">
        <f>AH295-'人员人工-研发人员工资'!D295</f>
        <v>0</v>
      </c>
    </row>
    <row r="296" s="176" customFormat="1" customHeight="1" spans="1:36">
      <c r="A296" s="181">
        <f>'人员人工-研发人员工资'!B296</f>
        <v>0</v>
      </c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3">
        <f t="shared" si="14"/>
        <v>0</v>
      </c>
      <c r="AH296" s="183">
        <f t="shared" si="15"/>
        <v>0</v>
      </c>
      <c r="AI296" s="296">
        <f>AG296-'人员人工-研发人员工资'!E296</f>
        <v>0</v>
      </c>
      <c r="AJ296" s="296">
        <f>AH296-'人员人工-研发人员工资'!D296</f>
        <v>0</v>
      </c>
    </row>
    <row r="297" s="176" customFormat="1" customHeight="1" spans="1:36">
      <c r="A297" s="181">
        <f>'人员人工-研发人员工资'!B297</f>
        <v>0</v>
      </c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3">
        <f t="shared" si="14"/>
        <v>0</v>
      </c>
      <c r="AH297" s="183">
        <f t="shared" si="15"/>
        <v>0</v>
      </c>
      <c r="AI297" s="296">
        <f>AG297-'人员人工-研发人员工资'!E297</f>
        <v>0</v>
      </c>
      <c r="AJ297" s="296">
        <f>AH297-'人员人工-研发人员工资'!D297</f>
        <v>0</v>
      </c>
    </row>
    <row r="298" s="176" customFormat="1" customHeight="1" spans="1:36">
      <c r="A298" s="181">
        <f>'人员人工-研发人员工资'!B298</f>
        <v>0</v>
      </c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3">
        <f t="shared" si="14"/>
        <v>0</v>
      </c>
      <c r="AH298" s="183">
        <f t="shared" si="15"/>
        <v>0</v>
      </c>
      <c r="AI298" s="296">
        <f>AG298-'人员人工-研发人员工资'!E298</f>
        <v>0</v>
      </c>
      <c r="AJ298" s="296">
        <f>AH298-'人员人工-研发人员工资'!D298</f>
        <v>0</v>
      </c>
    </row>
    <row r="299" s="176" customFormat="1" customHeight="1" spans="1:36">
      <c r="A299" s="181">
        <f>'人员人工-研发人员工资'!B299</f>
        <v>0</v>
      </c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3">
        <f t="shared" si="14"/>
        <v>0</v>
      </c>
      <c r="AH299" s="183">
        <f t="shared" si="15"/>
        <v>0</v>
      </c>
      <c r="AI299" s="296">
        <f>AG299-'人员人工-研发人员工资'!E299</f>
        <v>0</v>
      </c>
      <c r="AJ299" s="296">
        <f>AH299-'人员人工-研发人员工资'!D299</f>
        <v>0</v>
      </c>
    </row>
    <row r="300" s="295" customFormat="1" customHeight="1" spans="1:36">
      <c r="A300" s="295" t="s">
        <v>118</v>
      </c>
      <c r="B300" s="304" t="s">
        <v>115</v>
      </c>
      <c r="C300" s="304" t="s">
        <v>116</v>
      </c>
      <c r="D300" s="304" t="s">
        <v>117</v>
      </c>
      <c r="E300" s="304" t="s">
        <v>119</v>
      </c>
      <c r="F300" s="304" t="s">
        <v>120</v>
      </c>
      <c r="G300" s="304" t="s">
        <v>121</v>
      </c>
      <c r="H300" s="176" t="s">
        <v>122</v>
      </c>
      <c r="I300" s="176" t="s">
        <v>123</v>
      </c>
      <c r="J300" s="304" t="s">
        <v>124</v>
      </c>
      <c r="K300" s="176" t="s">
        <v>125</v>
      </c>
      <c r="L300" s="304" t="s">
        <v>102</v>
      </c>
      <c r="M300" s="304" t="s">
        <v>114</v>
      </c>
      <c r="N300" s="304"/>
      <c r="O300" s="304"/>
      <c r="P300" s="304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184"/>
      <c r="AI300" s="296"/>
      <c r="AJ300" s="296"/>
    </row>
    <row r="301" s="295" customFormat="1" customHeight="1" spans="1:36">
      <c r="B301" s="142">
        <v>1</v>
      </c>
      <c r="C301" s="142">
        <v>2</v>
      </c>
      <c r="D301" s="142">
        <v>3</v>
      </c>
      <c r="E301" s="142">
        <v>4</v>
      </c>
      <c r="F301" s="142">
        <v>5</v>
      </c>
      <c r="G301" s="142">
        <v>6</v>
      </c>
      <c r="H301" s="142">
        <v>7</v>
      </c>
      <c r="I301" s="142">
        <v>8</v>
      </c>
      <c r="J301" s="142">
        <v>9</v>
      </c>
      <c r="K301" s="142">
        <v>10</v>
      </c>
      <c r="L301" s="142" t="s">
        <v>126</v>
      </c>
      <c r="M301" s="142" t="s">
        <v>127</v>
      </c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84"/>
      <c r="AI301" s="296"/>
      <c r="AJ301" s="296"/>
    </row>
    <row r="302" s="176" customFormat="1" customHeight="1" spans="1:36">
      <c r="AI302" s="142"/>
      <c r="AJ302" s="142"/>
    </row>
    <row r="303" s="176" customFormat="1" customHeight="1" spans="1:36">
      <c r="AI303" s="142"/>
      <c r="AJ303" s="142"/>
    </row>
    <row r="304" s="176" customFormat="1" customHeight="1" spans="1:36">
      <c r="A304" s="296" t="s">
        <v>136</v>
      </c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296"/>
      <c r="AI304" s="142"/>
      <c r="AJ304" s="142"/>
    </row>
    <row r="305" s="176" customFormat="1" customHeight="1" spans="1:36">
      <c r="A305" s="296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296"/>
      <c r="AI305" s="142"/>
      <c r="AJ305" s="142"/>
    </row>
    <row r="306" s="176" customFormat="1" customHeight="1" spans="1:36">
      <c r="A306" s="297" t="s">
        <v>32</v>
      </c>
      <c r="B306" s="165" t="s">
        <v>110</v>
      </c>
      <c r="C306" s="299" t="s">
        <v>111</v>
      </c>
      <c r="D306" s="299" t="s">
        <v>105</v>
      </c>
      <c r="E306" s="165" t="s">
        <v>106</v>
      </c>
      <c r="F306" s="165" t="s">
        <v>107</v>
      </c>
      <c r="G306" s="165" t="s">
        <v>108</v>
      </c>
      <c r="H306" s="165" t="s">
        <v>109</v>
      </c>
      <c r="I306" s="165" t="s">
        <v>110</v>
      </c>
      <c r="J306" s="299" t="s">
        <v>111</v>
      </c>
      <c r="K306" s="299" t="s">
        <v>105</v>
      </c>
      <c r="L306" s="165" t="s">
        <v>106</v>
      </c>
      <c r="M306" s="165" t="s">
        <v>107</v>
      </c>
      <c r="N306" s="165" t="s">
        <v>108</v>
      </c>
      <c r="O306" s="165" t="s">
        <v>109</v>
      </c>
      <c r="P306" s="165" t="s">
        <v>110</v>
      </c>
      <c r="Q306" s="299" t="s">
        <v>111</v>
      </c>
      <c r="R306" s="299" t="s">
        <v>105</v>
      </c>
      <c r="S306" s="165" t="s">
        <v>106</v>
      </c>
      <c r="T306" s="165" t="s">
        <v>107</v>
      </c>
      <c r="U306" s="165" t="s">
        <v>108</v>
      </c>
      <c r="V306" s="165" t="s">
        <v>109</v>
      </c>
      <c r="W306" s="165" t="s">
        <v>110</v>
      </c>
      <c r="X306" s="299" t="s">
        <v>111</v>
      </c>
      <c r="Y306" s="299" t="s">
        <v>105</v>
      </c>
      <c r="Z306" s="165" t="s">
        <v>106</v>
      </c>
      <c r="AA306" s="165" t="s">
        <v>107</v>
      </c>
      <c r="AB306" s="165" t="s">
        <v>108</v>
      </c>
      <c r="AC306" s="165" t="s">
        <v>109</v>
      </c>
      <c r="AD306" s="298" t="s">
        <v>110</v>
      </c>
      <c r="AE306" s="298" t="s">
        <v>111</v>
      </c>
      <c r="AF306" s="165"/>
      <c r="AG306" s="297" t="s">
        <v>39</v>
      </c>
      <c r="AH306" s="297" t="s">
        <v>34</v>
      </c>
      <c r="AI306" s="300" t="s">
        <v>112</v>
      </c>
      <c r="AJ306" s="300" t="s">
        <v>113</v>
      </c>
    </row>
    <row r="307" s="176" customFormat="1" customHeight="1" spans="1:36">
      <c r="A307" s="301"/>
      <c r="B307" s="165">
        <v>1</v>
      </c>
      <c r="C307" s="299">
        <v>2</v>
      </c>
      <c r="D307" s="299">
        <v>3</v>
      </c>
      <c r="E307" s="165">
        <v>4</v>
      </c>
      <c r="F307" s="165">
        <v>5</v>
      </c>
      <c r="G307" s="165">
        <v>6</v>
      </c>
      <c r="H307" s="165">
        <v>7</v>
      </c>
      <c r="I307" s="165">
        <v>8</v>
      </c>
      <c r="J307" s="299">
        <v>9</v>
      </c>
      <c r="K307" s="299">
        <v>10</v>
      </c>
      <c r="L307" s="165">
        <v>11</v>
      </c>
      <c r="M307" s="165">
        <v>12</v>
      </c>
      <c r="N307" s="165">
        <v>13</v>
      </c>
      <c r="O307" s="165">
        <v>14</v>
      </c>
      <c r="P307" s="165">
        <v>15</v>
      </c>
      <c r="Q307" s="299">
        <v>16</v>
      </c>
      <c r="R307" s="299">
        <v>17</v>
      </c>
      <c r="S307" s="165">
        <v>18</v>
      </c>
      <c r="T307" s="165">
        <v>19</v>
      </c>
      <c r="U307" s="165">
        <v>20</v>
      </c>
      <c r="V307" s="165">
        <v>21</v>
      </c>
      <c r="W307" s="165">
        <v>22</v>
      </c>
      <c r="X307" s="299">
        <v>23</v>
      </c>
      <c r="Y307" s="299">
        <v>24</v>
      </c>
      <c r="Z307" s="165">
        <v>25</v>
      </c>
      <c r="AA307" s="165">
        <v>26</v>
      </c>
      <c r="AB307" s="165">
        <v>27</v>
      </c>
      <c r="AC307" s="165">
        <v>28</v>
      </c>
      <c r="AD307" s="298">
        <v>29</v>
      </c>
      <c r="AE307" s="298">
        <v>30</v>
      </c>
      <c r="AF307" s="165"/>
      <c r="AG307" s="301"/>
      <c r="AH307" s="301"/>
      <c r="AI307" s="300"/>
      <c r="AJ307" s="300"/>
    </row>
    <row r="308" s="176" customFormat="1" customHeight="1" spans="1:36">
      <c r="A308" s="181">
        <f>'人员人工-研发人员工资'!B308</f>
        <v>0</v>
      </c>
      <c r="B308" s="182" t="s">
        <v>102</v>
      </c>
      <c r="C308" s="182" t="s">
        <v>114</v>
      </c>
      <c r="D308" s="182" t="s">
        <v>114</v>
      </c>
      <c r="E308" s="182" t="s">
        <v>134</v>
      </c>
      <c r="F308" s="182" t="s">
        <v>134</v>
      </c>
      <c r="G308" s="182" t="s">
        <v>134</v>
      </c>
      <c r="H308" s="182" t="s">
        <v>134</v>
      </c>
      <c r="I308" s="182" t="s">
        <v>134</v>
      </c>
      <c r="J308" s="182" t="s">
        <v>114</v>
      </c>
      <c r="K308" s="182" t="s">
        <v>114</v>
      </c>
      <c r="L308" s="182" t="s">
        <v>102</v>
      </c>
      <c r="M308" s="182" t="s">
        <v>102</v>
      </c>
      <c r="N308" s="182" t="s">
        <v>102</v>
      </c>
      <c r="O308" s="182" t="s">
        <v>120</v>
      </c>
      <c r="P308" s="182" t="s">
        <v>120</v>
      </c>
      <c r="Q308" s="182" t="s">
        <v>114</v>
      </c>
      <c r="R308" s="182" t="s">
        <v>114</v>
      </c>
      <c r="S308" s="182" t="s">
        <v>120</v>
      </c>
      <c r="T308" s="182" t="s">
        <v>120</v>
      </c>
      <c r="U308" s="182" t="s">
        <v>120</v>
      </c>
      <c r="V308" s="182" t="s">
        <v>102</v>
      </c>
      <c r="W308" s="182" t="s">
        <v>102</v>
      </c>
      <c r="X308" s="182" t="s">
        <v>114</v>
      </c>
      <c r="Y308" s="182" t="s">
        <v>114</v>
      </c>
      <c r="Z308" s="182" t="s">
        <v>121</v>
      </c>
      <c r="AA308" s="182" t="s">
        <v>121</v>
      </c>
      <c r="AB308" s="182" t="s">
        <v>121</v>
      </c>
      <c r="AC308" s="182" t="s">
        <v>121</v>
      </c>
      <c r="AD308" s="182" t="s">
        <v>114</v>
      </c>
      <c r="AE308" s="182" t="s">
        <v>114</v>
      </c>
      <c r="AF308" s="183"/>
      <c r="AG308" s="183">
        <f t="shared" ref="AG308:AG337" si="16">COUNTIF(B308:AF308,"●")+COUNTIF(B308:AF308,"▲")+COUNTIF(B308:AF308,"■")+COUNTIF(B308:AF308,"★")+COUNTIF(B308:AF308,"◆")+COUNTIF(B308:AF308,"✽")+COUNTIF(B308:AF308,"❖")+COUNTIF(B308:AF308,"✪")+COUNTIF(B308:AF308,"✿")+COUNTIF(B308:AF308,"✤")</f>
        <v>14</v>
      </c>
      <c r="AH308" s="183">
        <f t="shared" ref="AH308:AH337" si="17">COUNTIF(B308:AF308,"●")+COUNTIF(B308:AF308,"▲")+COUNTIF(B308:AF308,"■")+COUNTIF(B308:AF308,"★")+COUNTIF(B308:AF308,"◆")+COUNTIF(B308:AF308,"✽")+COUNTIF(B308:AF308,"❖")+COUNTIF(B308:AF308,"✪")+COUNTIF(B308:AF308,"✿")+COUNTIF(B308:AF308,"✤")+COUNTIF(B308:AF308,"√")</f>
        <v>20</v>
      </c>
      <c r="AI308" s="296">
        <f>AG308-'人员人工-研发人员工资'!E308</f>
        <v>14</v>
      </c>
      <c r="AJ308" s="296">
        <f>AH308-'人员人工-研发人员工资'!D308</f>
        <v>20</v>
      </c>
    </row>
    <row r="309" s="176" customFormat="1" customHeight="1" spans="1:36">
      <c r="A309" s="181">
        <f>'人员人工-研发人员工资'!B309</f>
        <v>0</v>
      </c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3"/>
      <c r="AG309" s="183">
        <f t="shared" si="16"/>
        <v>0</v>
      </c>
      <c r="AH309" s="183">
        <f t="shared" si="17"/>
        <v>0</v>
      </c>
      <c r="AI309" s="296">
        <f>AG309-'人员人工-研发人员工资'!E309</f>
        <v>0</v>
      </c>
      <c r="AJ309" s="296">
        <f>AH309-'人员人工-研发人员工资'!D309</f>
        <v>0</v>
      </c>
    </row>
    <row r="310" s="176" customFormat="1" customHeight="1" spans="1:36">
      <c r="A310" s="181">
        <f>'人员人工-研发人员工资'!B310</f>
        <v>0</v>
      </c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3"/>
      <c r="AG310" s="183">
        <f t="shared" si="16"/>
        <v>0</v>
      </c>
      <c r="AH310" s="183">
        <f t="shared" si="17"/>
        <v>0</v>
      </c>
      <c r="AI310" s="296">
        <f>AG310-'人员人工-研发人员工资'!E310</f>
        <v>0</v>
      </c>
      <c r="AJ310" s="296">
        <f>AH310-'人员人工-研发人员工资'!D310</f>
        <v>0</v>
      </c>
    </row>
    <row r="311" s="176" customFormat="1" customHeight="1" spans="1:36">
      <c r="A311" s="181">
        <f>'人员人工-研发人员工资'!B311</f>
        <v>0</v>
      </c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3"/>
      <c r="AG311" s="183">
        <f t="shared" si="16"/>
        <v>0</v>
      </c>
      <c r="AH311" s="183">
        <f t="shared" si="17"/>
        <v>0</v>
      </c>
      <c r="AI311" s="296">
        <f>AG311-'人员人工-研发人员工资'!E311</f>
        <v>0</v>
      </c>
      <c r="AJ311" s="296">
        <f>AH311-'人员人工-研发人员工资'!D311</f>
        <v>0</v>
      </c>
    </row>
    <row r="312" s="176" customFormat="1" customHeight="1" spans="1:36">
      <c r="A312" s="181">
        <f>'人员人工-研发人员工资'!B312</f>
        <v>0</v>
      </c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3"/>
      <c r="AG312" s="183">
        <f t="shared" si="16"/>
        <v>0</v>
      </c>
      <c r="AH312" s="183">
        <f t="shared" si="17"/>
        <v>0</v>
      </c>
      <c r="AI312" s="296">
        <f>AG312-'人员人工-研发人员工资'!E312</f>
        <v>0</v>
      </c>
      <c r="AJ312" s="296">
        <f>AH312-'人员人工-研发人员工资'!D312</f>
        <v>0</v>
      </c>
    </row>
    <row r="313" s="176" customFormat="1" customHeight="1" spans="1:36">
      <c r="A313" s="181">
        <f>'人员人工-研发人员工资'!B313</f>
        <v>0</v>
      </c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3"/>
      <c r="AG313" s="183">
        <f t="shared" si="16"/>
        <v>0</v>
      </c>
      <c r="AH313" s="183">
        <f t="shared" si="17"/>
        <v>0</v>
      </c>
      <c r="AI313" s="296">
        <f>AG313-'人员人工-研发人员工资'!E313</f>
        <v>0</v>
      </c>
      <c r="AJ313" s="296">
        <f>AH313-'人员人工-研发人员工资'!D313</f>
        <v>0</v>
      </c>
    </row>
    <row r="314" s="176" customFormat="1" customHeight="1" spans="1:36">
      <c r="A314" s="181">
        <f>'人员人工-研发人员工资'!B314</f>
        <v>0</v>
      </c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3"/>
      <c r="AG314" s="183">
        <f t="shared" si="16"/>
        <v>0</v>
      </c>
      <c r="AH314" s="183">
        <f t="shared" si="17"/>
        <v>0</v>
      </c>
      <c r="AI314" s="296">
        <f>AG314-'人员人工-研发人员工资'!E314</f>
        <v>0</v>
      </c>
      <c r="AJ314" s="296">
        <f>AH314-'人员人工-研发人员工资'!D314</f>
        <v>0</v>
      </c>
    </row>
    <row r="315" s="176" customFormat="1" customHeight="1" spans="1:36">
      <c r="A315" s="181">
        <f>'人员人工-研发人员工资'!B315</f>
        <v>0</v>
      </c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3"/>
      <c r="AG315" s="183">
        <f t="shared" si="16"/>
        <v>0</v>
      </c>
      <c r="AH315" s="183">
        <f t="shared" si="17"/>
        <v>0</v>
      </c>
      <c r="AI315" s="296">
        <f>AG315-'人员人工-研发人员工资'!E315</f>
        <v>0</v>
      </c>
      <c r="AJ315" s="296">
        <f>AH315-'人员人工-研发人员工资'!D315</f>
        <v>0</v>
      </c>
    </row>
    <row r="316" s="176" customFormat="1" customHeight="1" spans="1:36">
      <c r="A316" s="181">
        <f>'人员人工-研发人员工资'!B316</f>
        <v>0</v>
      </c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3"/>
      <c r="AG316" s="183">
        <f t="shared" si="16"/>
        <v>0</v>
      </c>
      <c r="AH316" s="183">
        <f t="shared" si="17"/>
        <v>0</v>
      </c>
      <c r="AI316" s="296">
        <f>AG316-'人员人工-研发人员工资'!E316</f>
        <v>0</v>
      </c>
      <c r="AJ316" s="296">
        <f>AH316-'人员人工-研发人员工资'!D316</f>
        <v>0</v>
      </c>
    </row>
    <row r="317" s="176" customFormat="1" customHeight="1" spans="1:36">
      <c r="A317" s="181">
        <f>'人员人工-研发人员工资'!B317</f>
        <v>0</v>
      </c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3"/>
      <c r="AG317" s="183">
        <f t="shared" si="16"/>
        <v>0</v>
      </c>
      <c r="AH317" s="183">
        <f t="shared" si="17"/>
        <v>0</v>
      </c>
      <c r="AI317" s="296">
        <f>AG317-'人员人工-研发人员工资'!E317</f>
        <v>0</v>
      </c>
      <c r="AJ317" s="296">
        <f>AH317-'人员人工-研发人员工资'!D317</f>
        <v>0</v>
      </c>
    </row>
    <row r="318" s="176" customFormat="1" customHeight="1" spans="1:36">
      <c r="A318" s="181">
        <f>'人员人工-研发人员工资'!B318</f>
        <v>0</v>
      </c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3"/>
      <c r="AG318" s="183">
        <f t="shared" si="16"/>
        <v>0</v>
      </c>
      <c r="AH318" s="183">
        <f t="shared" si="17"/>
        <v>0</v>
      </c>
      <c r="AI318" s="296">
        <f>AG318-'人员人工-研发人员工资'!E318</f>
        <v>0</v>
      </c>
      <c r="AJ318" s="296">
        <f>AH318-'人员人工-研发人员工资'!D318</f>
        <v>0</v>
      </c>
    </row>
    <row r="319" s="176" customFormat="1" customHeight="1" spans="1:36">
      <c r="A319" s="181">
        <f>'人员人工-研发人员工资'!B319</f>
        <v>0</v>
      </c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3"/>
      <c r="AG319" s="183">
        <f t="shared" si="16"/>
        <v>0</v>
      </c>
      <c r="AH319" s="183">
        <f t="shared" si="17"/>
        <v>0</v>
      </c>
      <c r="AI319" s="296">
        <f>AG319-'人员人工-研发人员工资'!E319</f>
        <v>0</v>
      </c>
      <c r="AJ319" s="296">
        <f>AH319-'人员人工-研发人员工资'!D319</f>
        <v>0</v>
      </c>
    </row>
    <row r="320" s="176" customFormat="1" customHeight="1" spans="1:36">
      <c r="A320" s="181">
        <f>'人员人工-研发人员工资'!B320</f>
        <v>0</v>
      </c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3"/>
      <c r="AG320" s="183">
        <f t="shared" si="16"/>
        <v>0</v>
      </c>
      <c r="AH320" s="183">
        <f t="shared" si="17"/>
        <v>0</v>
      </c>
      <c r="AI320" s="296">
        <f>AG320-'人员人工-研发人员工资'!E320</f>
        <v>0</v>
      </c>
      <c r="AJ320" s="296">
        <f>AH320-'人员人工-研发人员工资'!D320</f>
        <v>0</v>
      </c>
    </row>
    <row r="321" s="176" customFormat="1" customHeight="1" spans="1:36">
      <c r="A321" s="181">
        <f>'人员人工-研发人员工资'!B321</f>
        <v>0</v>
      </c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3"/>
      <c r="AG321" s="183">
        <f t="shared" si="16"/>
        <v>0</v>
      </c>
      <c r="AH321" s="183">
        <f t="shared" si="17"/>
        <v>0</v>
      </c>
      <c r="AI321" s="296">
        <f>AG321-'人员人工-研发人员工资'!E321</f>
        <v>0</v>
      </c>
      <c r="AJ321" s="296">
        <f>AH321-'人员人工-研发人员工资'!D321</f>
        <v>0</v>
      </c>
    </row>
    <row r="322" s="176" customFormat="1" customHeight="1" spans="1:36">
      <c r="A322" s="181">
        <f>'人员人工-研发人员工资'!B322</f>
        <v>0</v>
      </c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3"/>
      <c r="AG322" s="183">
        <f t="shared" si="16"/>
        <v>0</v>
      </c>
      <c r="AH322" s="183">
        <f t="shared" si="17"/>
        <v>0</v>
      </c>
      <c r="AI322" s="296">
        <f>AG322-'人员人工-研发人员工资'!E322</f>
        <v>0</v>
      </c>
      <c r="AJ322" s="296">
        <f>AH322-'人员人工-研发人员工资'!D322</f>
        <v>0</v>
      </c>
    </row>
    <row r="323" s="176" customFormat="1" customHeight="1" spans="1:36">
      <c r="A323" s="181">
        <f>'人员人工-研发人员工资'!B323</f>
        <v>0</v>
      </c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3"/>
      <c r="AG323" s="183">
        <f t="shared" si="16"/>
        <v>0</v>
      </c>
      <c r="AH323" s="183">
        <f t="shared" si="17"/>
        <v>0</v>
      </c>
      <c r="AI323" s="296">
        <f>AG323-'人员人工-研发人员工资'!E323</f>
        <v>0</v>
      </c>
      <c r="AJ323" s="296">
        <f>AH323-'人员人工-研发人员工资'!D323</f>
        <v>0</v>
      </c>
    </row>
    <row r="324" s="176" customFormat="1" customHeight="1" spans="1:36">
      <c r="A324" s="181">
        <f>'人员人工-研发人员工资'!B324</f>
        <v>0</v>
      </c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3"/>
      <c r="AG324" s="183">
        <f t="shared" si="16"/>
        <v>0</v>
      </c>
      <c r="AH324" s="183">
        <f t="shared" si="17"/>
        <v>0</v>
      </c>
      <c r="AI324" s="296">
        <f>AG324-'人员人工-研发人员工资'!E324</f>
        <v>0</v>
      </c>
      <c r="AJ324" s="296">
        <f>AH324-'人员人工-研发人员工资'!D324</f>
        <v>0</v>
      </c>
    </row>
    <row r="325" s="176" customFormat="1" customHeight="1" spans="1:36">
      <c r="A325" s="181">
        <f>'人员人工-研发人员工资'!B325</f>
        <v>0</v>
      </c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3"/>
      <c r="AG325" s="183">
        <f t="shared" si="16"/>
        <v>0</v>
      </c>
      <c r="AH325" s="183">
        <f t="shared" si="17"/>
        <v>0</v>
      </c>
      <c r="AI325" s="296">
        <f>AG325-'人员人工-研发人员工资'!E325</f>
        <v>0</v>
      </c>
      <c r="AJ325" s="296">
        <f>AH325-'人员人工-研发人员工资'!D325</f>
        <v>0</v>
      </c>
    </row>
    <row r="326" s="176" customFormat="1" customHeight="1" spans="1:36">
      <c r="A326" s="181">
        <f>'人员人工-研发人员工资'!B326</f>
        <v>0</v>
      </c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3"/>
      <c r="AG326" s="183">
        <f t="shared" si="16"/>
        <v>0</v>
      </c>
      <c r="AH326" s="183">
        <f t="shared" si="17"/>
        <v>0</v>
      </c>
      <c r="AI326" s="296">
        <f>AG326-'人员人工-研发人员工资'!E326</f>
        <v>0</v>
      </c>
      <c r="AJ326" s="296">
        <f>AH326-'人员人工-研发人员工资'!D326</f>
        <v>0</v>
      </c>
    </row>
    <row r="327" s="176" customFormat="1" customHeight="1" spans="1:36">
      <c r="A327" s="181">
        <f>'人员人工-研发人员工资'!B327</f>
        <v>0</v>
      </c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3"/>
      <c r="AG327" s="183">
        <f t="shared" si="16"/>
        <v>0</v>
      </c>
      <c r="AH327" s="183">
        <f t="shared" si="17"/>
        <v>0</v>
      </c>
      <c r="AI327" s="296">
        <f>AG327-'人员人工-研发人员工资'!E327</f>
        <v>0</v>
      </c>
      <c r="AJ327" s="296">
        <f>AH327-'人员人工-研发人员工资'!D327</f>
        <v>0</v>
      </c>
    </row>
    <row r="328" s="176" customFormat="1" customHeight="1" spans="1:36">
      <c r="A328" s="181">
        <f>'人员人工-研发人员工资'!B328</f>
        <v>0</v>
      </c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3"/>
      <c r="AG328" s="183">
        <f t="shared" si="16"/>
        <v>0</v>
      </c>
      <c r="AH328" s="183">
        <f t="shared" si="17"/>
        <v>0</v>
      </c>
      <c r="AI328" s="296">
        <f>AG328-'人员人工-研发人员工资'!E328</f>
        <v>0</v>
      </c>
      <c r="AJ328" s="296">
        <f>AH328-'人员人工-研发人员工资'!D328</f>
        <v>0</v>
      </c>
    </row>
    <row r="329" s="176" customFormat="1" customHeight="1" spans="1:36">
      <c r="A329" s="181">
        <f>'人员人工-研发人员工资'!B329</f>
        <v>0</v>
      </c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3"/>
      <c r="AG329" s="183">
        <f t="shared" si="16"/>
        <v>0</v>
      </c>
      <c r="AH329" s="183">
        <f t="shared" si="17"/>
        <v>0</v>
      </c>
      <c r="AI329" s="296">
        <f>AG329-'人员人工-研发人员工资'!E329</f>
        <v>0</v>
      </c>
      <c r="AJ329" s="296">
        <f>AH329-'人员人工-研发人员工资'!D329</f>
        <v>0</v>
      </c>
    </row>
    <row r="330" s="176" customFormat="1" customHeight="1" spans="1:36">
      <c r="A330" s="181">
        <f>'人员人工-研发人员工资'!B330</f>
        <v>0</v>
      </c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3"/>
      <c r="AG330" s="183">
        <f t="shared" si="16"/>
        <v>0</v>
      </c>
      <c r="AH330" s="183">
        <f t="shared" si="17"/>
        <v>0</v>
      </c>
      <c r="AI330" s="296">
        <f>AG330-'人员人工-研发人员工资'!E330</f>
        <v>0</v>
      </c>
      <c r="AJ330" s="296">
        <f>AH330-'人员人工-研发人员工资'!D330</f>
        <v>0</v>
      </c>
    </row>
    <row r="331" s="176" customFormat="1" customHeight="1" spans="1:36">
      <c r="A331" s="181">
        <f>'人员人工-研发人员工资'!B331</f>
        <v>0</v>
      </c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3"/>
      <c r="AG331" s="183">
        <f t="shared" si="16"/>
        <v>0</v>
      </c>
      <c r="AH331" s="183">
        <f t="shared" si="17"/>
        <v>0</v>
      </c>
      <c r="AI331" s="296">
        <f>AG331-'人员人工-研发人员工资'!E331</f>
        <v>0</v>
      </c>
      <c r="AJ331" s="296">
        <f>AH331-'人员人工-研发人员工资'!D331</f>
        <v>0</v>
      </c>
    </row>
    <row r="332" s="176" customFormat="1" customHeight="1" spans="1:36">
      <c r="A332" s="181">
        <f>'人员人工-研发人员工资'!B332</f>
        <v>0</v>
      </c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3"/>
      <c r="AG332" s="183">
        <f t="shared" si="16"/>
        <v>0</v>
      </c>
      <c r="AH332" s="183">
        <f t="shared" si="17"/>
        <v>0</v>
      </c>
      <c r="AI332" s="296">
        <f>AG332-'人员人工-研发人员工资'!E332</f>
        <v>0</v>
      </c>
      <c r="AJ332" s="296">
        <f>AH332-'人员人工-研发人员工资'!D332</f>
        <v>0</v>
      </c>
    </row>
    <row r="333" s="176" customFormat="1" customHeight="1" spans="1:36">
      <c r="A333" s="181">
        <f>'人员人工-研发人员工资'!B333</f>
        <v>0</v>
      </c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3"/>
      <c r="AG333" s="183">
        <f t="shared" si="16"/>
        <v>0</v>
      </c>
      <c r="AH333" s="183">
        <f t="shared" si="17"/>
        <v>0</v>
      </c>
      <c r="AI333" s="296">
        <f>AG333-'人员人工-研发人员工资'!E333</f>
        <v>0</v>
      </c>
      <c r="AJ333" s="296">
        <f>AH333-'人员人工-研发人员工资'!D333</f>
        <v>0</v>
      </c>
    </row>
    <row r="334" s="176" customFormat="1" customHeight="1" spans="1:36">
      <c r="A334" s="181">
        <f>'人员人工-研发人员工资'!B334</f>
        <v>0</v>
      </c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3"/>
      <c r="AG334" s="183">
        <f t="shared" si="16"/>
        <v>0</v>
      </c>
      <c r="AH334" s="183">
        <f t="shared" si="17"/>
        <v>0</v>
      </c>
      <c r="AI334" s="296">
        <f>AG334-'人员人工-研发人员工资'!E334</f>
        <v>0</v>
      </c>
      <c r="AJ334" s="296">
        <f>AH334-'人员人工-研发人员工资'!D334</f>
        <v>0</v>
      </c>
    </row>
    <row r="335" s="176" customFormat="1" customHeight="1" spans="1:36">
      <c r="A335" s="181">
        <f>'人员人工-研发人员工资'!B335</f>
        <v>0</v>
      </c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3"/>
      <c r="AG335" s="183">
        <f t="shared" si="16"/>
        <v>0</v>
      </c>
      <c r="AH335" s="183">
        <f t="shared" si="17"/>
        <v>0</v>
      </c>
      <c r="AI335" s="296">
        <f>AG335-'人员人工-研发人员工资'!E335</f>
        <v>0</v>
      </c>
      <c r="AJ335" s="296">
        <f>AH335-'人员人工-研发人员工资'!D335</f>
        <v>0</v>
      </c>
    </row>
    <row r="336" s="176" customFormat="1" customHeight="1" spans="1:36">
      <c r="A336" s="181">
        <f>'人员人工-研发人员工资'!B336</f>
        <v>0</v>
      </c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3"/>
      <c r="AG336" s="183">
        <f t="shared" si="16"/>
        <v>0</v>
      </c>
      <c r="AH336" s="183">
        <f t="shared" si="17"/>
        <v>0</v>
      </c>
      <c r="AI336" s="296">
        <f>AG336-'人员人工-研发人员工资'!E336</f>
        <v>0</v>
      </c>
      <c r="AJ336" s="296">
        <f>AH336-'人员人工-研发人员工资'!D336</f>
        <v>0</v>
      </c>
    </row>
    <row r="337" s="176" customFormat="1" customHeight="1" spans="1:36">
      <c r="A337" s="181">
        <f>'人员人工-研发人员工资'!B337</f>
        <v>0</v>
      </c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3"/>
      <c r="AG337" s="183">
        <f t="shared" si="16"/>
        <v>0</v>
      </c>
      <c r="AH337" s="183">
        <f t="shared" si="17"/>
        <v>0</v>
      </c>
      <c r="AI337" s="296">
        <f>AG337-'人员人工-研发人员工资'!E337</f>
        <v>0</v>
      </c>
      <c r="AJ337" s="296">
        <f>AH337-'人员人工-研发人员工资'!D337</f>
        <v>0</v>
      </c>
    </row>
    <row r="338" s="295" customFormat="1" customHeight="1" spans="1:36">
      <c r="A338" s="295" t="s">
        <v>118</v>
      </c>
      <c r="B338" s="304" t="s">
        <v>115</v>
      </c>
      <c r="C338" s="304" t="s">
        <v>116</v>
      </c>
      <c r="D338" s="304" t="s">
        <v>117</v>
      </c>
      <c r="E338" s="304" t="s">
        <v>119</v>
      </c>
      <c r="F338" s="304" t="s">
        <v>120</v>
      </c>
      <c r="G338" s="304" t="s">
        <v>121</v>
      </c>
      <c r="H338" s="176" t="s">
        <v>122</v>
      </c>
      <c r="I338" s="176" t="s">
        <v>123</v>
      </c>
      <c r="J338" s="304" t="s">
        <v>124</v>
      </c>
      <c r="K338" s="176" t="s">
        <v>125</v>
      </c>
      <c r="L338" s="304" t="s">
        <v>102</v>
      </c>
      <c r="M338" s="304" t="s">
        <v>114</v>
      </c>
      <c r="N338" s="304"/>
      <c r="O338" s="304"/>
      <c r="P338" s="304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184"/>
      <c r="AI338" s="296"/>
      <c r="AJ338" s="296"/>
    </row>
    <row r="339" s="295" customFormat="1" customHeight="1" spans="1:36">
      <c r="B339" s="142">
        <v>1</v>
      </c>
      <c r="C339" s="142">
        <v>2</v>
      </c>
      <c r="D339" s="142">
        <v>3</v>
      </c>
      <c r="E339" s="142">
        <v>4</v>
      </c>
      <c r="F339" s="142">
        <v>5</v>
      </c>
      <c r="G339" s="142">
        <v>6</v>
      </c>
      <c r="H339" s="142">
        <v>7</v>
      </c>
      <c r="I339" s="142">
        <v>8</v>
      </c>
      <c r="J339" s="142">
        <v>9</v>
      </c>
      <c r="K339" s="142">
        <v>10</v>
      </c>
      <c r="L339" s="142" t="s">
        <v>126</v>
      </c>
      <c r="M339" s="142" t="s">
        <v>127</v>
      </c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84"/>
      <c r="AI339" s="296"/>
      <c r="AJ339" s="296"/>
    </row>
    <row r="340" s="176" customFormat="1" customHeight="1" spans="1:36">
      <c r="AI340" s="142"/>
      <c r="AJ340" s="142"/>
    </row>
    <row r="341" s="176" customFormat="1" customHeight="1" spans="1:36">
      <c r="AI341" s="142"/>
      <c r="AJ341" s="142"/>
    </row>
    <row r="342" s="176" customFormat="1" customHeight="1" spans="1:36">
      <c r="A342" s="296" t="s">
        <v>137</v>
      </c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296"/>
      <c r="AI342" s="142"/>
      <c r="AJ342" s="142"/>
    </row>
    <row r="343" s="176" customFormat="1" customHeight="1" spans="1:36">
      <c r="A343" s="296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296"/>
      <c r="AI343" s="142"/>
      <c r="AJ343" s="142"/>
    </row>
    <row r="344" s="176" customFormat="1" customHeight="1" spans="1:36">
      <c r="A344" s="297" t="s">
        <v>32</v>
      </c>
      <c r="B344" s="298" t="s">
        <v>105</v>
      </c>
      <c r="C344" s="298" t="s">
        <v>106</v>
      </c>
      <c r="D344" s="298" t="s">
        <v>107</v>
      </c>
      <c r="E344" s="298" t="s">
        <v>108</v>
      </c>
      <c r="F344" s="298" t="s">
        <v>109</v>
      </c>
      <c r="G344" s="298" t="s">
        <v>110</v>
      </c>
      <c r="H344" s="165" t="s">
        <v>111</v>
      </c>
      <c r="I344" s="165" t="s">
        <v>105</v>
      </c>
      <c r="J344" s="165" t="s">
        <v>106</v>
      </c>
      <c r="K344" s="165" t="s">
        <v>107</v>
      </c>
      <c r="L344" s="165" t="s">
        <v>108</v>
      </c>
      <c r="M344" s="165" t="s">
        <v>109</v>
      </c>
      <c r="N344" s="165" t="s">
        <v>110</v>
      </c>
      <c r="O344" s="299" t="s">
        <v>111</v>
      </c>
      <c r="P344" s="299" t="s">
        <v>105</v>
      </c>
      <c r="Q344" s="165" t="s">
        <v>106</v>
      </c>
      <c r="R344" s="165" t="s">
        <v>107</v>
      </c>
      <c r="S344" s="165" t="s">
        <v>108</v>
      </c>
      <c r="T344" s="165" t="s">
        <v>109</v>
      </c>
      <c r="U344" s="165" t="s">
        <v>110</v>
      </c>
      <c r="V344" s="299" t="s">
        <v>111</v>
      </c>
      <c r="W344" s="299" t="s">
        <v>105</v>
      </c>
      <c r="X344" s="165" t="s">
        <v>106</v>
      </c>
      <c r="Y344" s="165" t="s">
        <v>107</v>
      </c>
      <c r="Z344" s="165" t="s">
        <v>108</v>
      </c>
      <c r="AA344" s="165" t="s">
        <v>109</v>
      </c>
      <c r="AB344" s="165" t="s">
        <v>110</v>
      </c>
      <c r="AC344" s="299" t="s">
        <v>111</v>
      </c>
      <c r="AD344" s="299" t="s">
        <v>105</v>
      </c>
      <c r="AE344" s="165" t="s">
        <v>106</v>
      </c>
      <c r="AF344" s="165" t="s">
        <v>107</v>
      </c>
      <c r="AG344" s="297" t="s">
        <v>39</v>
      </c>
      <c r="AH344" s="297" t="s">
        <v>34</v>
      </c>
      <c r="AI344" s="300" t="s">
        <v>112</v>
      </c>
      <c r="AJ344" s="300" t="s">
        <v>113</v>
      </c>
    </row>
    <row r="345" s="176" customFormat="1" customHeight="1" spans="1:36">
      <c r="A345" s="301"/>
      <c r="B345" s="298">
        <v>1</v>
      </c>
      <c r="C345" s="298">
        <v>2</v>
      </c>
      <c r="D345" s="298">
        <v>3</v>
      </c>
      <c r="E345" s="298">
        <v>4</v>
      </c>
      <c r="F345" s="298">
        <v>5</v>
      </c>
      <c r="G345" s="298">
        <v>6</v>
      </c>
      <c r="H345" s="165">
        <v>7</v>
      </c>
      <c r="I345" s="165">
        <v>8</v>
      </c>
      <c r="J345" s="165">
        <v>9</v>
      </c>
      <c r="K345" s="165">
        <v>10</v>
      </c>
      <c r="L345" s="165">
        <v>11</v>
      </c>
      <c r="M345" s="165">
        <v>12</v>
      </c>
      <c r="N345" s="165">
        <v>13</v>
      </c>
      <c r="O345" s="299">
        <v>14</v>
      </c>
      <c r="P345" s="299">
        <v>15</v>
      </c>
      <c r="Q345" s="165">
        <v>16</v>
      </c>
      <c r="R345" s="165">
        <v>17</v>
      </c>
      <c r="S345" s="165">
        <v>18</v>
      </c>
      <c r="T345" s="165">
        <v>19</v>
      </c>
      <c r="U345" s="165">
        <v>20</v>
      </c>
      <c r="V345" s="299">
        <v>21</v>
      </c>
      <c r="W345" s="299">
        <v>22</v>
      </c>
      <c r="X345" s="165">
        <v>23</v>
      </c>
      <c r="Y345" s="165">
        <v>24</v>
      </c>
      <c r="Z345" s="165">
        <v>25</v>
      </c>
      <c r="AA345" s="165">
        <v>26</v>
      </c>
      <c r="AB345" s="165">
        <v>27</v>
      </c>
      <c r="AC345" s="299">
        <v>28</v>
      </c>
      <c r="AD345" s="299">
        <v>29</v>
      </c>
      <c r="AE345" s="165">
        <v>30</v>
      </c>
      <c r="AF345" s="165">
        <v>31</v>
      </c>
      <c r="AG345" s="301"/>
      <c r="AH345" s="301"/>
      <c r="AI345" s="300"/>
      <c r="AJ345" s="300"/>
    </row>
    <row r="346" customHeight="1" spans="1:36">
      <c r="A346" s="302">
        <f>'人员人工-研发人员工资'!B346</f>
        <v>0</v>
      </c>
      <c r="B346" s="182" t="s">
        <v>114</v>
      </c>
      <c r="C346" s="182" t="s">
        <v>114</v>
      </c>
      <c r="D346" s="182" t="s">
        <v>114</v>
      </c>
      <c r="E346" s="182" t="s">
        <v>114</v>
      </c>
      <c r="F346" s="182" t="s">
        <v>114</v>
      </c>
      <c r="G346" s="182" t="s">
        <v>114</v>
      </c>
      <c r="H346" s="302" t="s">
        <v>102</v>
      </c>
      <c r="I346" s="302" t="s">
        <v>102</v>
      </c>
      <c r="J346" s="182" t="s">
        <v>134</v>
      </c>
      <c r="K346" s="182" t="s">
        <v>134</v>
      </c>
      <c r="L346" s="182" t="s">
        <v>134</v>
      </c>
      <c r="M346" s="182" t="s">
        <v>134</v>
      </c>
      <c r="N346" s="182" t="s">
        <v>134</v>
      </c>
      <c r="O346" s="182" t="s">
        <v>114</v>
      </c>
      <c r="P346" s="182" t="s">
        <v>114</v>
      </c>
      <c r="Q346" s="302" t="s">
        <v>120</v>
      </c>
      <c r="R346" s="302" t="s">
        <v>120</v>
      </c>
      <c r="S346" s="302" t="s">
        <v>120</v>
      </c>
      <c r="T346" s="302" t="s">
        <v>120</v>
      </c>
      <c r="U346" s="302" t="s">
        <v>120</v>
      </c>
      <c r="V346" s="182" t="s">
        <v>114</v>
      </c>
      <c r="W346" s="182" t="s">
        <v>114</v>
      </c>
      <c r="X346" s="302" t="s">
        <v>121</v>
      </c>
      <c r="Y346" s="302" t="s">
        <v>121</v>
      </c>
      <c r="Z346" s="302" t="s">
        <v>121</v>
      </c>
      <c r="AA346" s="302" t="s">
        <v>121</v>
      </c>
      <c r="AB346" s="302" t="s">
        <v>121</v>
      </c>
      <c r="AC346" s="182" t="s">
        <v>114</v>
      </c>
      <c r="AD346" s="182" t="s">
        <v>114</v>
      </c>
      <c r="AE346" s="302" t="s">
        <v>102</v>
      </c>
      <c r="AF346" s="302" t="s">
        <v>102</v>
      </c>
      <c r="AG346" s="183">
        <f t="shared" ref="AG346:AG375" si="18">COUNTIF(B346:AF346,"●")+COUNTIF(B346:AF346,"▲")+COUNTIF(B346:AF346,"■")+COUNTIF(B346:AF346,"★")+COUNTIF(B346:AF346,"◆")+COUNTIF(B346:AF346,"✽")+COUNTIF(B346:AF346,"❖")+COUNTIF(B346:AF346,"✪")+COUNTIF(B346:AF346,"✿")+COUNTIF(B346:AF346,"✤")</f>
        <v>15</v>
      </c>
      <c r="AH346" s="183">
        <f t="shared" ref="AH346:AH375" si="19">COUNTIF(B346:AF346,"●")+COUNTIF(B346:AF346,"▲")+COUNTIF(B346:AF346,"■")+COUNTIF(B346:AF346,"★")+COUNTIF(B346:AF346,"◆")+COUNTIF(B346:AF346,"✽")+COUNTIF(B346:AF346,"❖")+COUNTIF(B346:AF346,"✪")+COUNTIF(B346:AF346,"✿")+COUNTIF(B346:AF346,"✤")+COUNTIF(B346:AF346,"√")</f>
        <v>19</v>
      </c>
      <c r="AI346" s="296">
        <f>AG346-'人员人工-研发人员工资'!E346</f>
        <v>15</v>
      </c>
      <c r="AJ346" s="296">
        <f>AH346-'人员人工-研发人员工资'!D346</f>
        <v>19</v>
      </c>
    </row>
    <row r="347" customHeight="1" spans="1:36">
      <c r="A347" s="302">
        <f>'人员人工-研发人员工资'!B347</f>
        <v>0</v>
      </c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3">
        <f t="shared" si="18"/>
        <v>0</v>
      </c>
      <c r="AH347" s="183">
        <f t="shared" si="19"/>
        <v>0</v>
      </c>
      <c r="AI347" s="296">
        <f>AG347-'人员人工-研发人员工资'!E347</f>
        <v>0</v>
      </c>
      <c r="AJ347" s="296">
        <f>AH347-'人员人工-研发人员工资'!D347</f>
        <v>0</v>
      </c>
    </row>
    <row r="348" customHeight="1" spans="1:36">
      <c r="A348" s="302">
        <f>'人员人工-研发人员工资'!B348</f>
        <v>0</v>
      </c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3">
        <f t="shared" si="18"/>
        <v>0</v>
      </c>
      <c r="AH348" s="183">
        <f t="shared" si="19"/>
        <v>0</v>
      </c>
      <c r="AI348" s="296">
        <f>AG348-'人员人工-研发人员工资'!E348</f>
        <v>0</v>
      </c>
      <c r="AJ348" s="296">
        <f>AH348-'人员人工-研发人员工资'!D348</f>
        <v>0</v>
      </c>
    </row>
    <row r="349" customHeight="1" spans="1:36">
      <c r="A349" s="302">
        <f>'人员人工-研发人员工资'!B349</f>
        <v>0</v>
      </c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3">
        <f t="shared" si="18"/>
        <v>0</v>
      </c>
      <c r="AH349" s="183">
        <f t="shared" si="19"/>
        <v>0</v>
      </c>
      <c r="AI349" s="296">
        <f>AG349-'人员人工-研发人员工资'!E349</f>
        <v>0</v>
      </c>
      <c r="AJ349" s="296">
        <f>AH349-'人员人工-研发人员工资'!D349</f>
        <v>0</v>
      </c>
    </row>
    <row r="350" customHeight="1" spans="1:36">
      <c r="A350" s="302">
        <f>'人员人工-研发人员工资'!B350</f>
        <v>0</v>
      </c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3">
        <f t="shared" si="18"/>
        <v>0</v>
      </c>
      <c r="AH350" s="183">
        <f t="shared" si="19"/>
        <v>0</v>
      </c>
      <c r="AI350" s="296">
        <f>AG350-'人员人工-研发人员工资'!E350</f>
        <v>0</v>
      </c>
      <c r="AJ350" s="296">
        <f>AH350-'人员人工-研发人员工资'!D350</f>
        <v>0</v>
      </c>
    </row>
    <row r="351" customHeight="1" spans="1:36">
      <c r="A351" s="302">
        <f>'人员人工-研发人员工资'!B351</f>
        <v>0</v>
      </c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3">
        <f t="shared" si="18"/>
        <v>0</v>
      </c>
      <c r="AH351" s="183">
        <f t="shared" si="19"/>
        <v>0</v>
      </c>
      <c r="AI351" s="296">
        <f>AG351-'人员人工-研发人员工资'!E351</f>
        <v>0</v>
      </c>
      <c r="AJ351" s="296">
        <f>AH351-'人员人工-研发人员工资'!D351</f>
        <v>0</v>
      </c>
    </row>
    <row r="352" customHeight="1" spans="1:36">
      <c r="A352" s="302">
        <f>'人员人工-研发人员工资'!B352</f>
        <v>0</v>
      </c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3">
        <f t="shared" si="18"/>
        <v>0</v>
      </c>
      <c r="AH352" s="183">
        <f t="shared" si="19"/>
        <v>0</v>
      </c>
      <c r="AI352" s="296">
        <f>AG352-'人员人工-研发人员工资'!E352</f>
        <v>0</v>
      </c>
      <c r="AJ352" s="296">
        <f>AH352-'人员人工-研发人员工资'!D352</f>
        <v>0</v>
      </c>
    </row>
    <row r="353" customHeight="1" spans="1:36">
      <c r="A353" s="302">
        <f>'人员人工-研发人员工资'!B353</f>
        <v>0</v>
      </c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3">
        <f t="shared" si="18"/>
        <v>0</v>
      </c>
      <c r="AH353" s="183">
        <f t="shared" si="19"/>
        <v>0</v>
      </c>
      <c r="AI353" s="296">
        <f>AG353-'人员人工-研发人员工资'!E353</f>
        <v>0</v>
      </c>
      <c r="AJ353" s="296">
        <f>AH353-'人员人工-研发人员工资'!D353</f>
        <v>0</v>
      </c>
    </row>
    <row r="354" customHeight="1" spans="1:36">
      <c r="A354" s="302">
        <f>'人员人工-研发人员工资'!B354</f>
        <v>0</v>
      </c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3">
        <f t="shared" si="18"/>
        <v>0</v>
      </c>
      <c r="AH354" s="183">
        <f t="shared" si="19"/>
        <v>0</v>
      </c>
      <c r="AI354" s="296">
        <f>AG354-'人员人工-研发人员工资'!E354</f>
        <v>0</v>
      </c>
      <c r="AJ354" s="296">
        <f>AH354-'人员人工-研发人员工资'!D354</f>
        <v>0</v>
      </c>
    </row>
    <row r="355" customHeight="1" spans="1:36">
      <c r="A355" s="302">
        <f>'人员人工-研发人员工资'!B355</f>
        <v>0</v>
      </c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3">
        <f t="shared" si="18"/>
        <v>0</v>
      </c>
      <c r="AH355" s="183">
        <f t="shared" si="19"/>
        <v>0</v>
      </c>
      <c r="AI355" s="296">
        <f>AG355-'人员人工-研发人员工资'!E355</f>
        <v>0</v>
      </c>
      <c r="AJ355" s="296">
        <f>AH355-'人员人工-研发人员工资'!D355</f>
        <v>0</v>
      </c>
    </row>
    <row r="356" customHeight="1" spans="1:36">
      <c r="A356" s="302">
        <f>'人员人工-研发人员工资'!B356</f>
        <v>0</v>
      </c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3">
        <f t="shared" si="18"/>
        <v>0</v>
      </c>
      <c r="AH356" s="183">
        <f t="shared" si="19"/>
        <v>0</v>
      </c>
      <c r="AI356" s="296">
        <f>AG356-'人员人工-研发人员工资'!E356</f>
        <v>0</v>
      </c>
      <c r="AJ356" s="296">
        <f>AH356-'人员人工-研发人员工资'!D356</f>
        <v>0</v>
      </c>
    </row>
    <row r="357" customHeight="1" spans="1:36">
      <c r="A357" s="302">
        <f>'人员人工-研发人员工资'!B357</f>
        <v>0</v>
      </c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3">
        <f t="shared" si="18"/>
        <v>0</v>
      </c>
      <c r="AH357" s="183">
        <f t="shared" si="19"/>
        <v>0</v>
      </c>
      <c r="AI357" s="296">
        <f>AG357-'人员人工-研发人员工资'!E357</f>
        <v>0</v>
      </c>
      <c r="AJ357" s="296">
        <f>AH357-'人员人工-研发人员工资'!D357</f>
        <v>0</v>
      </c>
    </row>
    <row r="358" customHeight="1" spans="1:36">
      <c r="A358" s="302">
        <f>'人员人工-研发人员工资'!B358</f>
        <v>0</v>
      </c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3">
        <f t="shared" si="18"/>
        <v>0</v>
      </c>
      <c r="AH358" s="183">
        <f t="shared" si="19"/>
        <v>0</v>
      </c>
      <c r="AI358" s="296">
        <f>AG358-'人员人工-研发人员工资'!E358</f>
        <v>0</v>
      </c>
      <c r="AJ358" s="296">
        <f>AH358-'人员人工-研发人员工资'!D358</f>
        <v>0</v>
      </c>
    </row>
    <row r="359" customHeight="1" spans="1:36">
      <c r="A359" s="302">
        <f>'人员人工-研发人员工资'!B359</f>
        <v>0</v>
      </c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3">
        <f t="shared" si="18"/>
        <v>0</v>
      </c>
      <c r="AH359" s="183">
        <f t="shared" si="19"/>
        <v>0</v>
      </c>
      <c r="AI359" s="296">
        <f>AG359-'人员人工-研发人员工资'!E359</f>
        <v>0</v>
      </c>
      <c r="AJ359" s="296">
        <f>AH359-'人员人工-研发人员工资'!D359</f>
        <v>0</v>
      </c>
    </row>
    <row r="360" customHeight="1" spans="1:36">
      <c r="A360" s="302">
        <f>'人员人工-研发人员工资'!B360</f>
        <v>0</v>
      </c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3">
        <f t="shared" si="18"/>
        <v>0</v>
      </c>
      <c r="AH360" s="183">
        <f t="shared" si="19"/>
        <v>0</v>
      </c>
      <c r="AI360" s="296">
        <f>AG360-'人员人工-研发人员工资'!E360</f>
        <v>0</v>
      </c>
      <c r="AJ360" s="296">
        <f>AH360-'人员人工-研发人员工资'!D360</f>
        <v>0</v>
      </c>
    </row>
    <row r="361" customHeight="1" spans="1:36">
      <c r="A361" s="302">
        <f>'人员人工-研发人员工资'!B361</f>
        <v>0</v>
      </c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3">
        <f t="shared" si="18"/>
        <v>0</v>
      </c>
      <c r="AH361" s="183">
        <f t="shared" si="19"/>
        <v>0</v>
      </c>
      <c r="AI361" s="296">
        <f>AG361-'人员人工-研发人员工资'!E361</f>
        <v>0</v>
      </c>
      <c r="AJ361" s="296">
        <f>AH361-'人员人工-研发人员工资'!D361</f>
        <v>0</v>
      </c>
    </row>
    <row r="362" customHeight="1" spans="1:36">
      <c r="A362" s="302">
        <f>'人员人工-研发人员工资'!B362</f>
        <v>0</v>
      </c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3">
        <f t="shared" si="18"/>
        <v>0</v>
      </c>
      <c r="AH362" s="183">
        <f t="shared" si="19"/>
        <v>0</v>
      </c>
      <c r="AI362" s="296">
        <f>AG362-'人员人工-研发人员工资'!E362</f>
        <v>0</v>
      </c>
      <c r="AJ362" s="296">
        <f>AH362-'人员人工-研发人员工资'!D362</f>
        <v>0</v>
      </c>
    </row>
    <row r="363" customHeight="1" spans="1:36">
      <c r="A363" s="302">
        <f>'人员人工-研发人员工资'!B363</f>
        <v>0</v>
      </c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3">
        <f t="shared" si="18"/>
        <v>0</v>
      </c>
      <c r="AH363" s="183">
        <f t="shared" si="19"/>
        <v>0</v>
      </c>
      <c r="AI363" s="296">
        <f>AG363-'人员人工-研发人员工资'!E363</f>
        <v>0</v>
      </c>
      <c r="AJ363" s="296">
        <f>AH363-'人员人工-研发人员工资'!D363</f>
        <v>0</v>
      </c>
    </row>
    <row r="364" customHeight="1" spans="1:36">
      <c r="A364" s="302">
        <f>'人员人工-研发人员工资'!B364</f>
        <v>0</v>
      </c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3">
        <f t="shared" si="18"/>
        <v>0</v>
      </c>
      <c r="AH364" s="183">
        <f t="shared" si="19"/>
        <v>0</v>
      </c>
      <c r="AI364" s="296">
        <f>AG364-'人员人工-研发人员工资'!E364</f>
        <v>0</v>
      </c>
      <c r="AJ364" s="296">
        <f>AH364-'人员人工-研发人员工资'!D364</f>
        <v>0</v>
      </c>
    </row>
    <row r="365" customHeight="1" spans="1:36">
      <c r="A365" s="302">
        <f>'人员人工-研发人员工资'!B365</f>
        <v>0</v>
      </c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3">
        <f t="shared" si="18"/>
        <v>0</v>
      </c>
      <c r="AH365" s="183">
        <f t="shared" si="19"/>
        <v>0</v>
      </c>
      <c r="AI365" s="296">
        <f>AG365-'人员人工-研发人员工资'!E365</f>
        <v>0</v>
      </c>
      <c r="AJ365" s="296">
        <f>AH365-'人员人工-研发人员工资'!D365</f>
        <v>0</v>
      </c>
    </row>
    <row r="366" customHeight="1" spans="1:36">
      <c r="A366" s="302">
        <f>'人员人工-研发人员工资'!B366</f>
        <v>0</v>
      </c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3">
        <f t="shared" si="18"/>
        <v>0</v>
      </c>
      <c r="AH366" s="183">
        <f t="shared" si="19"/>
        <v>0</v>
      </c>
      <c r="AI366" s="296">
        <f>AG366-'人员人工-研发人员工资'!E366</f>
        <v>0</v>
      </c>
      <c r="AJ366" s="296">
        <f>AH366-'人员人工-研发人员工资'!D366</f>
        <v>0</v>
      </c>
    </row>
    <row r="367" customHeight="1" spans="1:36">
      <c r="A367" s="302">
        <f>'人员人工-研发人员工资'!B367</f>
        <v>0</v>
      </c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3">
        <f t="shared" si="18"/>
        <v>0</v>
      </c>
      <c r="AH367" s="183">
        <f t="shared" si="19"/>
        <v>0</v>
      </c>
      <c r="AI367" s="296">
        <f>AG367-'人员人工-研发人员工资'!E367</f>
        <v>0</v>
      </c>
      <c r="AJ367" s="296">
        <f>AH367-'人员人工-研发人员工资'!D367</f>
        <v>0</v>
      </c>
    </row>
    <row r="368" customHeight="1" spans="1:36">
      <c r="A368" s="302">
        <f>'人员人工-研发人员工资'!B368</f>
        <v>0</v>
      </c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3">
        <f t="shared" si="18"/>
        <v>0</v>
      </c>
      <c r="AH368" s="183">
        <f t="shared" si="19"/>
        <v>0</v>
      </c>
      <c r="AI368" s="296">
        <f>AG368-'人员人工-研发人员工资'!E368</f>
        <v>0</v>
      </c>
      <c r="AJ368" s="296">
        <f>AH368-'人员人工-研发人员工资'!D368</f>
        <v>0</v>
      </c>
    </row>
    <row r="369" customHeight="1" spans="1:36">
      <c r="A369" s="302">
        <f>'人员人工-研发人员工资'!B369</f>
        <v>0</v>
      </c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3">
        <f t="shared" si="18"/>
        <v>0</v>
      </c>
      <c r="AH369" s="183">
        <f t="shared" si="19"/>
        <v>0</v>
      </c>
      <c r="AI369" s="296">
        <f>AG369-'人员人工-研发人员工资'!E369</f>
        <v>0</v>
      </c>
      <c r="AJ369" s="296">
        <f>AH369-'人员人工-研发人员工资'!D369</f>
        <v>0</v>
      </c>
    </row>
    <row r="370" customHeight="1" spans="1:36">
      <c r="A370" s="302">
        <f>'人员人工-研发人员工资'!B370</f>
        <v>0</v>
      </c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3">
        <f t="shared" si="18"/>
        <v>0</v>
      </c>
      <c r="AH370" s="183">
        <f t="shared" si="19"/>
        <v>0</v>
      </c>
      <c r="AI370" s="296">
        <f>AG370-'人员人工-研发人员工资'!E370</f>
        <v>0</v>
      </c>
      <c r="AJ370" s="296">
        <f>AH370-'人员人工-研发人员工资'!D370</f>
        <v>0</v>
      </c>
    </row>
    <row r="371" customHeight="1" spans="1:36">
      <c r="A371" s="302">
        <f>'人员人工-研发人员工资'!B371</f>
        <v>0</v>
      </c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3">
        <f t="shared" si="18"/>
        <v>0</v>
      </c>
      <c r="AH371" s="183">
        <f t="shared" si="19"/>
        <v>0</v>
      </c>
      <c r="AI371" s="296">
        <f>AG371-'人员人工-研发人员工资'!E371</f>
        <v>0</v>
      </c>
      <c r="AJ371" s="296">
        <f>AH371-'人员人工-研发人员工资'!D371</f>
        <v>0</v>
      </c>
    </row>
    <row r="372" customHeight="1" spans="1:36">
      <c r="A372" s="302">
        <f>'人员人工-研发人员工资'!B372</f>
        <v>0</v>
      </c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3">
        <f t="shared" si="18"/>
        <v>0</v>
      </c>
      <c r="AH372" s="183">
        <f t="shared" si="19"/>
        <v>0</v>
      </c>
      <c r="AI372" s="296">
        <f>AG372-'人员人工-研发人员工资'!E372</f>
        <v>0</v>
      </c>
      <c r="AJ372" s="296">
        <f>AH372-'人员人工-研发人员工资'!D372</f>
        <v>0</v>
      </c>
    </row>
    <row r="373" customHeight="1" spans="1:36">
      <c r="A373" s="302">
        <f>'人员人工-研发人员工资'!B373</f>
        <v>0</v>
      </c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3">
        <f t="shared" si="18"/>
        <v>0</v>
      </c>
      <c r="AH373" s="183">
        <f t="shared" si="19"/>
        <v>0</v>
      </c>
      <c r="AI373" s="296">
        <f>AG373-'人员人工-研发人员工资'!E373</f>
        <v>0</v>
      </c>
      <c r="AJ373" s="296">
        <f>AH373-'人员人工-研发人员工资'!D373</f>
        <v>0</v>
      </c>
    </row>
    <row r="374" customHeight="1" spans="1:36">
      <c r="A374" s="302">
        <f>'人员人工-研发人员工资'!B374</f>
        <v>0</v>
      </c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3">
        <f t="shared" si="18"/>
        <v>0</v>
      </c>
      <c r="AH374" s="183">
        <f t="shared" si="19"/>
        <v>0</v>
      </c>
      <c r="AI374" s="296">
        <f>AG374-'人员人工-研发人员工资'!E374</f>
        <v>0</v>
      </c>
      <c r="AJ374" s="296">
        <f>AH374-'人员人工-研发人员工资'!D374</f>
        <v>0</v>
      </c>
    </row>
    <row r="375" customHeight="1" spans="1:36">
      <c r="A375" s="302">
        <f>'人员人工-研发人员工资'!B375</f>
        <v>0</v>
      </c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3">
        <f t="shared" si="18"/>
        <v>0</v>
      </c>
      <c r="AH375" s="183">
        <f t="shared" si="19"/>
        <v>0</v>
      </c>
      <c r="AI375" s="296">
        <f>AG375-'人员人工-研发人员工资'!E375</f>
        <v>0</v>
      </c>
      <c r="AJ375" s="296">
        <f>AH375-'人员人工-研发人员工资'!D375</f>
        <v>0</v>
      </c>
    </row>
    <row r="376" customHeight="1" spans="1:36">
      <c r="A376" s="295" t="s">
        <v>118</v>
      </c>
      <c r="B376" s="304" t="s">
        <v>115</v>
      </c>
      <c r="C376" s="304" t="s">
        <v>116</v>
      </c>
      <c r="D376" s="304" t="s">
        <v>117</v>
      </c>
      <c r="E376" s="304" t="s">
        <v>119</v>
      </c>
      <c r="F376" s="304" t="s">
        <v>120</v>
      </c>
      <c r="G376" s="304" t="s">
        <v>121</v>
      </c>
      <c r="H376" s="176" t="s">
        <v>122</v>
      </c>
      <c r="I376" s="176" t="s">
        <v>123</v>
      </c>
      <c r="J376" s="304" t="s">
        <v>124</v>
      </c>
      <c r="K376" s="176" t="s">
        <v>125</v>
      </c>
      <c r="L376" s="304" t="s">
        <v>102</v>
      </c>
      <c r="M376" s="304" t="s">
        <v>114</v>
      </c>
      <c r="N376" s="304"/>
      <c r="O376" s="304"/>
      <c r="P376" s="304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184"/>
    </row>
    <row r="377" customHeight="1" spans="1:36">
      <c r="B377" s="142">
        <v>1</v>
      </c>
      <c r="C377" s="142">
        <v>2</v>
      </c>
      <c r="D377" s="142">
        <v>3</v>
      </c>
      <c r="E377" s="142">
        <v>4</v>
      </c>
      <c r="F377" s="142">
        <v>5</v>
      </c>
      <c r="G377" s="142">
        <v>6</v>
      </c>
      <c r="H377" s="142">
        <v>7</v>
      </c>
      <c r="I377" s="142">
        <v>8</v>
      </c>
      <c r="J377" s="142">
        <v>9</v>
      </c>
      <c r="K377" s="142">
        <v>10</v>
      </c>
      <c r="L377" s="142" t="s">
        <v>126</v>
      </c>
      <c r="M377" s="142" t="s">
        <v>127</v>
      </c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84"/>
    </row>
    <row r="380" customHeight="1" spans="1:36">
      <c r="A380" s="296" t="s">
        <v>138</v>
      </c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296"/>
    </row>
    <row r="381" customHeight="1" spans="1:36">
      <c r="A381" s="296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296"/>
    </row>
    <row r="382" customHeight="1" spans="1:36">
      <c r="A382" s="297" t="s">
        <v>32</v>
      </c>
      <c r="B382" s="165" t="s">
        <v>108</v>
      </c>
      <c r="C382" s="165" t="s">
        <v>109</v>
      </c>
      <c r="D382" s="165" t="s">
        <v>110</v>
      </c>
      <c r="E382" s="299" t="s">
        <v>111</v>
      </c>
      <c r="F382" s="299" t="s">
        <v>105</v>
      </c>
      <c r="G382" s="165" t="s">
        <v>106</v>
      </c>
      <c r="H382" s="165" t="s">
        <v>107</v>
      </c>
      <c r="I382" s="165" t="s">
        <v>108</v>
      </c>
      <c r="J382" s="165" t="s">
        <v>109</v>
      </c>
      <c r="K382" s="165" t="s">
        <v>110</v>
      </c>
      <c r="L382" s="299" t="s">
        <v>111</v>
      </c>
      <c r="M382" s="299" t="s">
        <v>105</v>
      </c>
      <c r="N382" s="165" t="s">
        <v>106</v>
      </c>
      <c r="O382" s="165" t="s">
        <v>107</v>
      </c>
      <c r="P382" s="165" t="s">
        <v>108</v>
      </c>
      <c r="Q382" s="165" t="s">
        <v>109</v>
      </c>
      <c r="R382" s="165" t="s">
        <v>110</v>
      </c>
      <c r="S382" s="299" t="s">
        <v>111</v>
      </c>
      <c r="T382" s="299" t="s">
        <v>105</v>
      </c>
      <c r="U382" s="165" t="s">
        <v>106</v>
      </c>
      <c r="V382" s="165" t="s">
        <v>107</v>
      </c>
      <c r="W382" s="165" t="s">
        <v>108</v>
      </c>
      <c r="X382" s="165" t="s">
        <v>109</v>
      </c>
      <c r="Y382" s="165" t="s">
        <v>110</v>
      </c>
      <c r="Z382" s="299" t="s">
        <v>111</v>
      </c>
      <c r="AA382" s="299" t="s">
        <v>105</v>
      </c>
      <c r="AB382" s="165" t="s">
        <v>106</v>
      </c>
      <c r="AC382" s="165" t="s">
        <v>107</v>
      </c>
      <c r="AD382" s="165" t="s">
        <v>108</v>
      </c>
      <c r="AE382" s="165" t="s">
        <v>109</v>
      </c>
      <c r="AF382" s="165"/>
      <c r="AG382" s="297" t="s">
        <v>39</v>
      </c>
      <c r="AH382" s="297" t="s">
        <v>34</v>
      </c>
      <c r="AI382" s="300" t="s">
        <v>112</v>
      </c>
      <c r="AJ382" s="300" t="s">
        <v>113</v>
      </c>
    </row>
    <row r="383" customHeight="1" spans="1:36">
      <c r="A383" s="301"/>
      <c r="B383" s="165">
        <v>1</v>
      </c>
      <c r="C383" s="165">
        <v>2</v>
      </c>
      <c r="D383" s="165">
        <v>3</v>
      </c>
      <c r="E383" s="299">
        <v>4</v>
      </c>
      <c r="F383" s="299">
        <v>5</v>
      </c>
      <c r="G383" s="165">
        <v>6</v>
      </c>
      <c r="H383" s="165">
        <v>7</v>
      </c>
      <c r="I383" s="165">
        <v>8</v>
      </c>
      <c r="J383" s="165">
        <v>9</v>
      </c>
      <c r="K383" s="165">
        <v>10</v>
      </c>
      <c r="L383" s="299">
        <v>11</v>
      </c>
      <c r="M383" s="299">
        <v>12</v>
      </c>
      <c r="N383" s="165">
        <v>13</v>
      </c>
      <c r="O383" s="165">
        <v>14</v>
      </c>
      <c r="P383" s="165">
        <v>15</v>
      </c>
      <c r="Q383" s="165">
        <v>16</v>
      </c>
      <c r="R383" s="165">
        <v>17</v>
      </c>
      <c r="S383" s="299">
        <v>18</v>
      </c>
      <c r="T383" s="299">
        <v>19</v>
      </c>
      <c r="U383" s="165">
        <v>20</v>
      </c>
      <c r="V383" s="165">
        <v>21</v>
      </c>
      <c r="W383" s="165">
        <v>22</v>
      </c>
      <c r="X383" s="165">
        <v>23</v>
      </c>
      <c r="Y383" s="165">
        <v>24</v>
      </c>
      <c r="Z383" s="299">
        <v>25</v>
      </c>
      <c r="AA383" s="299">
        <v>26</v>
      </c>
      <c r="AB383" s="165">
        <v>27</v>
      </c>
      <c r="AC383" s="165">
        <v>28</v>
      </c>
      <c r="AD383" s="165">
        <v>29</v>
      </c>
      <c r="AE383" s="165">
        <v>30</v>
      </c>
      <c r="AF383" s="165"/>
      <c r="AG383" s="301"/>
      <c r="AH383" s="301"/>
      <c r="AI383" s="300"/>
      <c r="AJ383" s="300"/>
    </row>
    <row r="384" customHeight="1" spans="1:36">
      <c r="A384" s="302">
        <f>'人员人工-研发人员工资'!B384</f>
        <v>0</v>
      </c>
      <c r="B384" s="182" t="s">
        <v>134</v>
      </c>
      <c r="C384" s="182" t="s">
        <v>134</v>
      </c>
      <c r="D384" s="182" t="s">
        <v>134</v>
      </c>
      <c r="E384" s="182" t="s">
        <v>114</v>
      </c>
      <c r="F384" s="182" t="s">
        <v>114</v>
      </c>
      <c r="G384" s="182" t="s">
        <v>134</v>
      </c>
      <c r="H384" s="182" t="s">
        <v>134</v>
      </c>
      <c r="I384" s="182" t="s">
        <v>134</v>
      </c>
      <c r="J384" s="303" t="s">
        <v>102</v>
      </c>
      <c r="K384" s="303" t="s">
        <v>102</v>
      </c>
      <c r="L384" s="182" t="s">
        <v>114</v>
      </c>
      <c r="M384" s="182" t="s">
        <v>114</v>
      </c>
      <c r="N384" s="302" t="s">
        <v>120</v>
      </c>
      <c r="O384" s="302" t="s">
        <v>120</v>
      </c>
      <c r="P384" s="302" t="s">
        <v>120</v>
      </c>
      <c r="Q384" s="302" t="s">
        <v>120</v>
      </c>
      <c r="R384" s="302" t="s">
        <v>120</v>
      </c>
      <c r="S384" s="182" t="s">
        <v>114</v>
      </c>
      <c r="T384" s="182" t="s">
        <v>114</v>
      </c>
      <c r="U384" s="303" t="s">
        <v>102</v>
      </c>
      <c r="V384" s="303" t="s">
        <v>102</v>
      </c>
      <c r="W384" s="302" t="s">
        <v>121</v>
      </c>
      <c r="X384" s="302" t="s">
        <v>121</v>
      </c>
      <c r="Y384" s="302" t="s">
        <v>121</v>
      </c>
      <c r="Z384" s="182" t="s">
        <v>114</v>
      </c>
      <c r="AA384" s="182" t="s">
        <v>114</v>
      </c>
      <c r="AB384" s="302" t="s">
        <v>121</v>
      </c>
      <c r="AC384" s="302" t="s">
        <v>121</v>
      </c>
      <c r="AD384" s="303" t="s">
        <v>102</v>
      </c>
      <c r="AE384" s="303" t="s">
        <v>102</v>
      </c>
      <c r="AF384" s="183"/>
      <c r="AG384" s="183">
        <f t="shared" ref="AG384:AG413" si="20">COUNTIF(B384:AF384,"●")+COUNTIF(B384:AF384,"▲")+COUNTIF(B384:AF384,"■")+COUNTIF(B384:AF384,"★")+COUNTIF(B384:AF384,"◆")+COUNTIF(B384:AF384,"✽")+COUNTIF(B384:AF384,"❖")+COUNTIF(B384:AF384,"✪")+COUNTIF(B384:AF384,"✿")+COUNTIF(B384:AF384,"✤")</f>
        <v>16</v>
      </c>
      <c r="AH384" s="183">
        <f t="shared" ref="AH384:AH413" si="21">COUNTIF(B384:AF384,"●")+COUNTIF(B384:AF384,"▲")+COUNTIF(B384:AF384,"■")+COUNTIF(B384:AF384,"★")+COUNTIF(B384:AF384,"◆")+COUNTIF(B384:AF384,"✽")+COUNTIF(B384:AF384,"❖")+COUNTIF(B384:AF384,"✪")+COUNTIF(B384:AF384,"✿")+COUNTIF(B384:AF384,"✤")+COUNTIF(B384:AF384,"√")</f>
        <v>22</v>
      </c>
      <c r="AI384" s="296">
        <f>AG384-'人员人工-研发人员工资'!E384</f>
        <v>16</v>
      </c>
      <c r="AJ384" s="296">
        <f>AH384-'人员人工-研发人员工资'!D384</f>
        <v>22</v>
      </c>
    </row>
    <row r="385" customHeight="1" spans="1:36">
      <c r="A385" s="302">
        <f>'人员人工-研发人员工资'!B385</f>
        <v>0</v>
      </c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3"/>
      <c r="AG385" s="183">
        <f t="shared" si="20"/>
        <v>0</v>
      </c>
      <c r="AH385" s="183">
        <f t="shared" si="21"/>
        <v>0</v>
      </c>
      <c r="AI385" s="296">
        <f>AG385-'人员人工-研发人员工资'!E385</f>
        <v>0</v>
      </c>
      <c r="AJ385" s="296">
        <f>AH385-'人员人工-研发人员工资'!D385</f>
        <v>0</v>
      </c>
    </row>
    <row r="386" customHeight="1" spans="1:36">
      <c r="A386" s="302">
        <f>'人员人工-研发人员工资'!B386</f>
        <v>0</v>
      </c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3"/>
      <c r="AG386" s="183">
        <f t="shared" si="20"/>
        <v>0</v>
      </c>
      <c r="AH386" s="183">
        <f t="shared" si="21"/>
        <v>0</v>
      </c>
      <c r="AI386" s="296">
        <f>AG386-'人员人工-研发人员工资'!E386</f>
        <v>0</v>
      </c>
      <c r="AJ386" s="296">
        <f>AH386-'人员人工-研发人员工资'!D386</f>
        <v>0</v>
      </c>
    </row>
    <row r="387" customHeight="1" spans="1:36">
      <c r="A387" s="302">
        <f>'人员人工-研发人员工资'!B387</f>
        <v>0</v>
      </c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3"/>
      <c r="AG387" s="183">
        <f t="shared" si="20"/>
        <v>0</v>
      </c>
      <c r="AH387" s="183">
        <f t="shared" si="21"/>
        <v>0</v>
      </c>
      <c r="AI387" s="296">
        <f>AG387-'人员人工-研发人员工资'!E387</f>
        <v>0</v>
      </c>
      <c r="AJ387" s="296">
        <f>AH387-'人员人工-研发人员工资'!D387</f>
        <v>0</v>
      </c>
    </row>
    <row r="388" customHeight="1" spans="1:36">
      <c r="A388" s="302">
        <f>'人员人工-研发人员工资'!B388</f>
        <v>0</v>
      </c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3"/>
      <c r="AG388" s="183">
        <f t="shared" si="20"/>
        <v>0</v>
      </c>
      <c r="AH388" s="183">
        <f t="shared" si="21"/>
        <v>0</v>
      </c>
      <c r="AI388" s="296">
        <f>AG388-'人员人工-研发人员工资'!E388</f>
        <v>0</v>
      </c>
      <c r="AJ388" s="296">
        <f>AH388-'人员人工-研发人员工资'!D388</f>
        <v>0</v>
      </c>
    </row>
    <row r="389" customHeight="1" spans="1:36">
      <c r="A389" s="302">
        <f>'人员人工-研发人员工资'!B389</f>
        <v>0</v>
      </c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3"/>
      <c r="AG389" s="183">
        <f t="shared" si="20"/>
        <v>0</v>
      </c>
      <c r="AH389" s="183">
        <f t="shared" si="21"/>
        <v>0</v>
      </c>
      <c r="AI389" s="296">
        <f>AG389-'人员人工-研发人员工资'!E389</f>
        <v>0</v>
      </c>
      <c r="AJ389" s="296">
        <f>AH389-'人员人工-研发人员工资'!D389</f>
        <v>0</v>
      </c>
    </row>
    <row r="390" customHeight="1" spans="1:36">
      <c r="A390" s="302">
        <f>'人员人工-研发人员工资'!B390</f>
        <v>0</v>
      </c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3"/>
      <c r="AG390" s="183">
        <f t="shared" si="20"/>
        <v>0</v>
      </c>
      <c r="AH390" s="183">
        <f t="shared" si="21"/>
        <v>0</v>
      </c>
      <c r="AI390" s="296">
        <f>AG390-'人员人工-研发人员工资'!E390</f>
        <v>0</v>
      </c>
      <c r="AJ390" s="296">
        <f>AH390-'人员人工-研发人员工资'!D390</f>
        <v>0</v>
      </c>
    </row>
    <row r="391" customHeight="1" spans="1:36">
      <c r="A391" s="302">
        <f>'人员人工-研发人员工资'!B391</f>
        <v>0</v>
      </c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3"/>
      <c r="AG391" s="183">
        <f t="shared" si="20"/>
        <v>0</v>
      </c>
      <c r="AH391" s="183">
        <f t="shared" si="21"/>
        <v>0</v>
      </c>
      <c r="AI391" s="296">
        <f>AG391-'人员人工-研发人员工资'!E391</f>
        <v>0</v>
      </c>
      <c r="AJ391" s="296">
        <f>AH391-'人员人工-研发人员工资'!D391</f>
        <v>0</v>
      </c>
    </row>
    <row r="392" customHeight="1" spans="1:36">
      <c r="A392" s="302">
        <f>'人员人工-研发人员工资'!B392</f>
        <v>0</v>
      </c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3"/>
      <c r="AG392" s="183">
        <f t="shared" si="20"/>
        <v>0</v>
      </c>
      <c r="AH392" s="183">
        <f t="shared" si="21"/>
        <v>0</v>
      </c>
      <c r="AI392" s="296">
        <f>AG392-'人员人工-研发人员工资'!E392</f>
        <v>0</v>
      </c>
      <c r="AJ392" s="296">
        <f>AH392-'人员人工-研发人员工资'!D392</f>
        <v>0</v>
      </c>
    </row>
    <row r="393" customHeight="1" spans="1:36">
      <c r="A393" s="302">
        <f>'人员人工-研发人员工资'!B393</f>
        <v>0</v>
      </c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3"/>
      <c r="AG393" s="183">
        <f t="shared" si="20"/>
        <v>0</v>
      </c>
      <c r="AH393" s="183">
        <f t="shared" si="21"/>
        <v>0</v>
      </c>
      <c r="AI393" s="296">
        <f>AG393-'人员人工-研发人员工资'!E393</f>
        <v>0</v>
      </c>
      <c r="AJ393" s="296">
        <f>AH393-'人员人工-研发人员工资'!D393</f>
        <v>0</v>
      </c>
    </row>
    <row r="394" customHeight="1" spans="1:36">
      <c r="A394" s="302">
        <f>'人员人工-研发人员工资'!B394</f>
        <v>0</v>
      </c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3"/>
      <c r="AG394" s="183">
        <f t="shared" si="20"/>
        <v>0</v>
      </c>
      <c r="AH394" s="183">
        <f t="shared" si="21"/>
        <v>0</v>
      </c>
      <c r="AI394" s="296">
        <f>AG394-'人员人工-研发人员工资'!E394</f>
        <v>0</v>
      </c>
      <c r="AJ394" s="296">
        <f>AH394-'人员人工-研发人员工资'!D394</f>
        <v>0</v>
      </c>
    </row>
    <row r="395" customHeight="1" spans="1:36">
      <c r="A395" s="302">
        <f>'人员人工-研发人员工资'!B395</f>
        <v>0</v>
      </c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3"/>
      <c r="AG395" s="183">
        <f t="shared" si="20"/>
        <v>0</v>
      </c>
      <c r="AH395" s="183">
        <f t="shared" si="21"/>
        <v>0</v>
      </c>
      <c r="AI395" s="296">
        <f>AG395-'人员人工-研发人员工资'!E395</f>
        <v>0</v>
      </c>
      <c r="AJ395" s="296">
        <f>AH395-'人员人工-研发人员工资'!D395</f>
        <v>0</v>
      </c>
    </row>
    <row r="396" customHeight="1" spans="1:36">
      <c r="A396" s="302">
        <f>'人员人工-研发人员工资'!B396</f>
        <v>0</v>
      </c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3"/>
      <c r="AG396" s="183">
        <f t="shared" si="20"/>
        <v>0</v>
      </c>
      <c r="AH396" s="183">
        <f t="shared" si="21"/>
        <v>0</v>
      </c>
      <c r="AI396" s="296">
        <f>AG396-'人员人工-研发人员工资'!E396</f>
        <v>0</v>
      </c>
      <c r="AJ396" s="296">
        <f>AH396-'人员人工-研发人员工资'!D396</f>
        <v>0</v>
      </c>
    </row>
    <row r="397" customHeight="1" spans="1:36">
      <c r="A397" s="302">
        <f>'人员人工-研发人员工资'!B397</f>
        <v>0</v>
      </c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3"/>
      <c r="AG397" s="183">
        <f t="shared" si="20"/>
        <v>0</v>
      </c>
      <c r="AH397" s="183">
        <f t="shared" si="21"/>
        <v>0</v>
      </c>
      <c r="AI397" s="296">
        <f>AG397-'人员人工-研发人员工资'!E397</f>
        <v>0</v>
      </c>
      <c r="AJ397" s="296">
        <f>AH397-'人员人工-研发人员工资'!D397</f>
        <v>0</v>
      </c>
    </row>
    <row r="398" customHeight="1" spans="1:36">
      <c r="A398" s="302">
        <f>'人员人工-研发人员工资'!B398</f>
        <v>0</v>
      </c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3"/>
      <c r="AG398" s="183">
        <f t="shared" si="20"/>
        <v>0</v>
      </c>
      <c r="AH398" s="183">
        <f t="shared" si="21"/>
        <v>0</v>
      </c>
      <c r="AI398" s="296">
        <f>AG398-'人员人工-研发人员工资'!E398</f>
        <v>0</v>
      </c>
      <c r="AJ398" s="296">
        <f>AH398-'人员人工-研发人员工资'!D398</f>
        <v>0</v>
      </c>
    </row>
    <row r="399" customHeight="1" spans="1:36">
      <c r="A399" s="302">
        <f>'人员人工-研发人员工资'!B399</f>
        <v>0</v>
      </c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3"/>
      <c r="AG399" s="183">
        <f t="shared" si="20"/>
        <v>0</v>
      </c>
      <c r="AH399" s="183">
        <f t="shared" si="21"/>
        <v>0</v>
      </c>
      <c r="AI399" s="296">
        <f>AG399-'人员人工-研发人员工资'!E399</f>
        <v>0</v>
      </c>
      <c r="AJ399" s="296">
        <f>AH399-'人员人工-研发人员工资'!D399</f>
        <v>0</v>
      </c>
    </row>
    <row r="400" customHeight="1" spans="1:36">
      <c r="A400" s="302">
        <f>'人员人工-研发人员工资'!B400</f>
        <v>0</v>
      </c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3"/>
      <c r="AG400" s="183">
        <f t="shared" si="20"/>
        <v>0</v>
      </c>
      <c r="AH400" s="183">
        <f t="shared" si="21"/>
        <v>0</v>
      </c>
      <c r="AI400" s="296">
        <f>AG400-'人员人工-研发人员工资'!E400</f>
        <v>0</v>
      </c>
      <c r="AJ400" s="296">
        <f>AH400-'人员人工-研发人员工资'!D400</f>
        <v>0</v>
      </c>
    </row>
    <row r="401" customHeight="1" spans="1:36">
      <c r="A401" s="302">
        <f>'人员人工-研发人员工资'!B401</f>
        <v>0</v>
      </c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3"/>
      <c r="AG401" s="183">
        <f t="shared" si="20"/>
        <v>0</v>
      </c>
      <c r="AH401" s="183">
        <f t="shared" si="21"/>
        <v>0</v>
      </c>
      <c r="AI401" s="296">
        <f>AG401-'人员人工-研发人员工资'!E401</f>
        <v>0</v>
      </c>
      <c r="AJ401" s="296">
        <f>AH401-'人员人工-研发人员工资'!D401</f>
        <v>0</v>
      </c>
    </row>
    <row r="402" customHeight="1" spans="1:36">
      <c r="A402" s="302">
        <f>'人员人工-研发人员工资'!B402</f>
        <v>0</v>
      </c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3"/>
      <c r="AG402" s="183">
        <f t="shared" si="20"/>
        <v>0</v>
      </c>
      <c r="AH402" s="183">
        <f t="shared" si="21"/>
        <v>0</v>
      </c>
      <c r="AI402" s="296">
        <f>AG402-'人员人工-研发人员工资'!E402</f>
        <v>0</v>
      </c>
      <c r="AJ402" s="296">
        <f>AH402-'人员人工-研发人员工资'!D402</f>
        <v>0</v>
      </c>
    </row>
    <row r="403" customHeight="1" spans="1:36">
      <c r="A403" s="302">
        <f>'人员人工-研发人员工资'!B403</f>
        <v>0</v>
      </c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3"/>
      <c r="AG403" s="183">
        <f t="shared" si="20"/>
        <v>0</v>
      </c>
      <c r="AH403" s="183">
        <f t="shared" si="21"/>
        <v>0</v>
      </c>
      <c r="AI403" s="296">
        <f>AG403-'人员人工-研发人员工资'!E403</f>
        <v>0</v>
      </c>
      <c r="AJ403" s="296">
        <f>AH403-'人员人工-研发人员工资'!D403</f>
        <v>0</v>
      </c>
    </row>
    <row r="404" customHeight="1" spans="1:36">
      <c r="A404" s="302">
        <f>'人员人工-研发人员工资'!B404</f>
        <v>0</v>
      </c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3"/>
      <c r="AG404" s="183">
        <f t="shared" si="20"/>
        <v>0</v>
      </c>
      <c r="AH404" s="183">
        <f t="shared" si="21"/>
        <v>0</v>
      </c>
      <c r="AI404" s="296">
        <f>AG404-'人员人工-研发人员工资'!E404</f>
        <v>0</v>
      </c>
      <c r="AJ404" s="296">
        <f>AH404-'人员人工-研发人员工资'!D404</f>
        <v>0</v>
      </c>
    </row>
    <row r="405" customHeight="1" spans="1:36">
      <c r="A405" s="302">
        <f>'人员人工-研发人员工资'!B405</f>
        <v>0</v>
      </c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3"/>
      <c r="AG405" s="183">
        <f t="shared" si="20"/>
        <v>0</v>
      </c>
      <c r="AH405" s="183">
        <f t="shared" si="21"/>
        <v>0</v>
      </c>
      <c r="AI405" s="296">
        <f>AG405-'人员人工-研发人员工资'!E405</f>
        <v>0</v>
      </c>
      <c r="AJ405" s="296">
        <f>AH405-'人员人工-研发人员工资'!D405</f>
        <v>0</v>
      </c>
    </row>
    <row r="406" customHeight="1" spans="1:36">
      <c r="A406" s="302">
        <f>'人员人工-研发人员工资'!B406</f>
        <v>0</v>
      </c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3"/>
      <c r="AG406" s="183">
        <f t="shared" si="20"/>
        <v>0</v>
      </c>
      <c r="AH406" s="183">
        <f t="shared" si="21"/>
        <v>0</v>
      </c>
      <c r="AI406" s="296">
        <f>AG406-'人员人工-研发人员工资'!E406</f>
        <v>0</v>
      </c>
      <c r="AJ406" s="296">
        <f>AH406-'人员人工-研发人员工资'!D406</f>
        <v>0</v>
      </c>
    </row>
    <row r="407" customHeight="1" spans="1:36">
      <c r="A407" s="302">
        <f>'人员人工-研发人员工资'!B407</f>
        <v>0</v>
      </c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3"/>
      <c r="AG407" s="183">
        <f t="shared" si="20"/>
        <v>0</v>
      </c>
      <c r="AH407" s="183">
        <f t="shared" si="21"/>
        <v>0</v>
      </c>
      <c r="AI407" s="296">
        <f>AG407-'人员人工-研发人员工资'!E407</f>
        <v>0</v>
      </c>
      <c r="AJ407" s="296">
        <f>AH407-'人员人工-研发人员工资'!D407</f>
        <v>0</v>
      </c>
    </row>
    <row r="408" customHeight="1" spans="1:36">
      <c r="A408" s="302">
        <f>'人员人工-研发人员工资'!B408</f>
        <v>0</v>
      </c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3"/>
      <c r="AG408" s="183">
        <f t="shared" si="20"/>
        <v>0</v>
      </c>
      <c r="AH408" s="183">
        <f t="shared" si="21"/>
        <v>0</v>
      </c>
      <c r="AI408" s="296">
        <f>AG408-'人员人工-研发人员工资'!E408</f>
        <v>0</v>
      </c>
      <c r="AJ408" s="296">
        <f>AH408-'人员人工-研发人员工资'!D408</f>
        <v>0</v>
      </c>
    </row>
    <row r="409" customHeight="1" spans="1:36">
      <c r="A409" s="302">
        <f>'人员人工-研发人员工资'!B409</f>
        <v>0</v>
      </c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3"/>
      <c r="AG409" s="183">
        <f t="shared" si="20"/>
        <v>0</v>
      </c>
      <c r="AH409" s="183">
        <f t="shared" si="21"/>
        <v>0</v>
      </c>
      <c r="AI409" s="296">
        <f>AG409-'人员人工-研发人员工资'!E409</f>
        <v>0</v>
      </c>
      <c r="AJ409" s="296">
        <f>AH409-'人员人工-研发人员工资'!D409</f>
        <v>0</v>
      </c>
    </row>
    <row r="410" customHeight="1" spans="1:36">
      <c r="A410" s="302">
        <f>'人员人工-研发人员工资'!B410</f>
        <v>0</v>
      </c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3"/>
      <c r="AG410" s="183">
        <f t="shared" si="20"/>
        <v>0</v>
      </c>
      <c r="AH410" s="183">
        <f t="shared" si="21"/>
        <v>0</v>
      </c>
      <c r="AI410" s="296">
        <f>AG410-'人员人工-研发人员工资'!E410</f>
        <v>0</v>
      </c>
      <c r="AJ410" s="296">
        <f>AH410-'人员人工-研发人员工资'!D410</f>
        <v>0</v>
      </c>
    </row>
    <row r="411" customHeight="1" spans="1:36">
      <c r="A411" s="302">
        <f>'人员人工-研发人员工资'!B411</f>
        <v>0</v>
      </c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3"/>
      <c r="AG411" s="183">
        <f t="shared" si="20"/>
        <v>0</v>
      </c>
      <c r="AH411" s="183">
        <f t="shared" si="21"/>
        <v>0</v>
      </c>
      <c r="AI411" s="296">
        <f>AG411-'人员人工-研发人员工资'!E411</f>
        <v>0</v>
      </c>
      <c r="AJ411" s="296">
        <f>AH411-'人员人工-研发人员工资'!D411</f>
        <v>0</v>
      </c>
    </row>
    <row r="412" customHeight="1" spans="1:36">
      <c r="A412" s="302">
        <f>'人员人工-研发人员工资'!B412</f>
        <v>0</v>
      </c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3"/>
      <c r="AG412" s="183">
        <f t="shared" si="20"/>
        <v>0</v>
      </c>
      <c r="AH412" s="183">
        <f t="shared" si="21"/>
        <v>0</v>
      </c>
      <c r="AI412" s="296">
        <f>AG412-'人员人工-研发人员工资'!E412</f>
        <v>0</v>
      </c>
      <c r="AJ412" s="296">
        <f>AH412-'人员人工-研发人员工资'!D412</f>
        <v>0</v>
      </c>
    </row>
    <row r="413" customHeight="1" spans="1:36">
      <c r="A413" s="302">
        <f>'人员人工-研发人员工资'!B413</f>
        <v>0</v>
      </c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3"/>
      <c r="AG413" s="183">
        <f t="shared" si="20"/>
        <v>0</v>
      </c>
      <c r="AH413" s="183">
        <f t="shared" si="21"/>
        <v>0</v>
      </c>
      <c r="AI413" s="296">
        <f>AG413-'人员人工-研发人员工资'!E413</f>
        <v>0</v>
      </c>
      <c r="AJ413" s="296">
        <f>AH413-'人员人工-研发人员工资'!D413</f>
        <v>0</v>
      </c>
    </row>
    <row r="414" customHeight="1" spans="1:36">
      <c r="A414" s="295" t="s">
        <v>118</v>
      </c>
      <c r="B414" s="304" t="s">
        <v>115</v>
      </c>
      <c r="C414" s="304" t="s">
        <v>116</v>
      </c>
      <c r="D414" s="304" t="s">
        <v>117</v>
      </c>
      <c r="E414" s="304" t="s">
        <v>119</v>
      </c>
      <c r="F414" s="304" t="s">
        <v>120</v>
      </c>
      <c r="G414" s="304" t="s">
        <v>121</v>
      </c>
      <c r="H414" s="176" t="s">
        <v>122</v>
      </c>
      <c r="I414" s="176" t="s">
        <v>123</v>
      </c>
      <c r="J414" s="304" t="s">
        <v>124</v>
      </c>
      <c r="K414" s="176" t="s">
        <v>125</v>
      </c>
      <c r="L414" s="304" t="s">
        <v>102</v>
      </c>
      <c r="M414" s="304" t="s">
        <v>114</v>
      </c>
      <c r="N414" s="304"/>
      <c r="O414" s="304"/>
      <c r="P414" s="304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184"/>
    </row>
    <row r="415" customHeight="1" spans="1:36">
      <c r="B415" s="142">
        <v>1</v>
      </c>
      <c r="C415" s="142">
        <v>2</v>
      </c>
      <c r="D415" s="142">
        <v>3</v>
      </c>
      <c r="E415" s="142">
        <v>4</v>
      </c>
      <c r="F415" s="142">
        <v>5</v>
      </c>
      <c r="G415" s="142">
        <v>6</v>
      </c>
      <c r="H415" s="142">
        <v>7</v>
      </c>
      <c r="I415" s="142">
        <v>8</v>
      </c>
      <c r="J415" s="142">
        <v>9</v>
      </c>
      <c r="K415" s="142">
        <v>10</v>
      </c>
      <c r="L415" s="142" t="s">
        <v>126</v>
      </c>
      <c r="M415" s="142" t="s">
        <v>127</v>
      </c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84"/>
    </row>
    <row r="419" customHeight="1" spans="1:36">
      <c r="A419" s="296" t="s">
        <v>139</v>
      </c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296"/>
    </row>
    <row r="420" customHeight="1" spans="1:36">
      <c r="A420" s="296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296"/>
    </row>
    <row r="421" customHeight="1" spans="1:36">
      <c r="A421" s="297" t="s">
        <v>32</v>
      </c>
      <c r="B421" s="165" t="s">
        <v>110</v>
      </c>
      <c r="C421" s="299" t="s">
        <v>111</v>
      </c>
      <c r="D421" s="299" t="s">
        <v>105</v>
      </c>
      <c r="E421" s="165" t="s">
        <v>106</v>
      </c>
      <c r="F421" s="165" t="s">
        <v>107</v>
      </c>
      <c r="G421" s="165" t="s">
        <v>108</v>
      </c>
      <c r="H421" s="165" t="s">
        <v>109</v>
      </c>
      <c r="I421" s="165" t="s">
        <v>110</v>
      </c>
      <c r="J421" s="299" t="s">
        <v>111</v>
      </c>
      <c r="K421" s="299" t="s">
        <v>105</v>
      </c>
      <c r="L421" s="165" t="s">
        <v>106</v>
      </c>
      <c r="M421" s="165" t="s">
        <v>107</v>
      </c>
      <c r="N421" s="165" t="s">
        <v>108</v>
      </c>
      <c r="O421" s="165" t="s">
        <v>109</v>
      </c>
      <c r="P421" s="165" t="s">
        <v>110</v>
      </c>
      <c r="Q421" s="299" t="s">
        <v>111</v>
      </c>
      <c r="R421" s="299" t="s">
        <v>105</v>
      </c>
      <c r="S421" s="165" t="s">
        <v>106</v>
      </c>
      <c r="T421" s="165" t="s">
        <v>107</v>
      </c>
      <c r="U421" s="165" t="s">
        <v>108</v>
      </c>
      <c r="V421" s="165" t="s">
        <v>109</v>
      </c>
      <c r="W421" s="165" t="s">
        <v>110</v>
      </c>
      <c r="X421" s="299" t="s">
        <v>111</v>
      </c>
      <c r="Y421" s="299" t="s">
        <v>105</v>
      </c>
      <c r="Z421" s="165" t="s">
        <v>106</v>
      </c>
      <c r="AA421" s="165" t="s">
        <v>107</v>
      </c>
      <c r="AB421" s="165" t="s">
        <v>108</v>
      </c>
      <c r="AC421" s="165" t="s">
        <v>109</v>
      </c>
      <c r="AD421" s="165" t="s">
        <v>110</v>
      </c>
      <c r="AE421" s="298" t="s">
        <v>111</v>
      </c>
      <c r="AF421" s="298" t="s">
        <v>105</v>
      </c>
      <c r="AG421" s="297" t="s">
        <v>39</v>
      </c>
      <c r="AH421" s="297" t="s">
        <v>34</v>
      </c>
      <c r="AI421" s="300" t="s">
        <v>112</v>
      </c>
      <c r="AJ421" s="300" t="s">
        <v>113</v>
      </c>
    </row>
    <row r="422" customHeight="1" spans="1:36">
      <c r="A422" s="301"/>
      <c r="B422" s="165">
        <v>1</v>
      </c>
      <c r="C422" s="299">
        <v>2</v>
      </c>
      <c r="D422" s="299">
        <v>3</v>
      </c>
      <c r="E422" s="165">
        <v>4</v>
      </c>
      <c r="F422" s="165">
        <v>5</v>
      </c>
      <c r="G422" s="165">
        <v>6</v>
      </c>
      <c r="H422" s="165">
        <v>7</v>
      </c>
      <c r="I422" s="165">
        <v>8</v>
      </c>
      <c r="J422" s="299">
        <v>9</v>
      </c>
      <c r="K422" s="299">
        <v>10</v>
      </c>
      <c r="L422" s="165">
        <v>11</v>
      </c>
      <c r="M422" s="165">
        <v>12</v>
      </c>
      <c r="N422" s="165">
        <v>13</v>
      </c>
      <c r="O422" s="165">
        <v>14</v>
      </c>
      <c r="P422" s="165">
        <v>15</v>
      </c>
      <c r="Q422" s="299">
        <v>16</v>
      </c>
      <c r="R422" s="299">
        <v>17</v>
      </c>
      <c r="S422" s="165">
        <v>18</v>
      </c>
      <c r="T422" s="165">
        <v>19</v>
      </c>
      <c r="U422" s="165">
        <v>20</v>
      </c>
      <c r="V422" s="165">
        <v>21</v>
      </c>
      <c r="W422" s="165">
        <v>22</v>
      </c>
      <c r="X422" s="299">
        <v>23</v>
      </c>
      <c r="Y422" s="299">
        <v>24</v>
      </c>
      <c r="Z422" s="165">
        <v>25</v>
      </c>
      <c r="AA422" s="165">
        <v>26</v>
      </c>
      <c r="AB422" s="165">
        <v>27</v>
      </c>
      <c r="AC422" s="165">
        <v>28</v>
      </c>
      <c r="AD422" s="165">
        <v>29</v>
      </c>
      <c r="AE422" s="298">
        <v>30</v>
      </c>
      <c r="AF422" s="298">
        <v>31</v>
      </c>
      <c r="AG422" s="301"/>
      <c r="AH422" s="301"/>
      <c r="AI422" s="300"/>
      <c r="AJ422" s="300"/>
    </row>
    <row r="423" customHeight="1" spans="1:36">
      <c r="A423" s="302">
        <f>'人员人工-研发人员工资'!B423</f>
        <v>0</v>
      </c>
      <c r="B423" s="303" t="s">
        <v>102</v>
      </c>
      <c r="C423" s="182" t="s">
        <v>114</v>
      </c>
      <c r="D423" s="182" t="s">
        <v>114</v>
      </c>
      <c r="E423" s="182" t="s">
        <v>134</v>
      </c>
      <c r="F423" s="182" t="s">
        <v>134</v>
      </c>
      <c r="G423" s="182" t="s">
        <v>134</v>
      </c>
      <c r="H423" s="182" t="s">
        <v>134</v>
      </c>
      <c r="I423" s="182" t="s">
        <v>134</v>
      </c>
      <c r="J423" s="182" t="s">
        <v>114</v>
      </c>
      <c r="K423" s="182" t="s">
        <v>114</v>
      </c>
      <c r="L423" s="303" t="s">
        <v>102</v>
      </c>
      <c r="M423" s="303" t="s">
        <v>102</v>
      </c>
      <c r="N423" s="302" t="s">
        <v>120</v>
      </c>
      <c r="O423" s="302" t="s">
        <v>120</v>
      </c>
      <c r="P423" s="302" t="s">
        <v>120</v>
      </c>
      <c r="Q423" s="182" t="s">
        <v>114</v>
      </c>
      <c r="R423" s="182" t="s">
        <v>114</v>
      </c>
      <c r="S423" s="302" t="s">
        <v>120</v>
      </c>
      <c r="T423" s="302" t="s">
        <v>120</v>
      </c>
      <c r="U423" s="302" t="s">
        <v>120</v>
      </c>
      <c r="V423" s="303" t="s">
        <v>102</v>
      </c>
      <c r="W423" s="303" t="s">
        <v>102</v>
      </c>
      <c r="X423" s="182" t="s">
        <v>114</v>
      </c>
      <c r="Y423" s="182" t="s">
        <v>114</v>
      </c>
      <c r="Z423" s="302" t="s">
        <v>121</v>
      </c>
      <c r="AA423" s="302" t="s">
        <v>121</v>
      </c>
      <c r="AB423" s="302" t="s">
        <v>121</v>
      </c>
      <c r="AC423" s="302" t="s">
        <v>121</v>
      </c>
      <c r="AD423" s="302" t="s">
        <v>121</v>
      </c>
      <c r="AE423" s="182" t="s">
        <v>114</v>
      </c>
      <c r="AF423" s="182" t="s">
        <v>114</v>
      </c>
      <c r="AG423" s="183">
        <f t="shared" ref="AG423:AG452" si="22">COUNTIF(B423:AF423,"●")+COUNTIF(B423:AF423,"▲")+COUNTIF(B423:AF423,"■")+COUNTIF(B423:AF423,"★")+COUNTIF(B423:AF423,"◆")+COUNTIF(B423:AF423,"✽")+COUNTIF(B423:AF423,"❖")+COUNTIF(B423:AF423,"✪")+COUNTIF(B423:AF423,"✿")+COUNTIF(B423:AF423,"✤")</f>
        <v>16</v>
      </c>
      <c r="AH423" s="183">
        <f t="shared" ref="AH423:AH452" si="23">COUNTIF(B423:AF423,"●")+COUNTIF(B423:AF423,"▲")+COUNTIF(B423:AF423,"■")+COUNTIF(B423:AF423,"★")+COUNTIF(B423:AF423,"◆")+COUNTIF(B423:AF423,"✽")+COUNTIF(B423:AF423,"❖")+COUNTIF(B423:AF423,"✪")+COUNTIF(B423:AF423,"✿")+COUNTIF(B423:AF423,"✤")+COUNTIF(B423:AF423,"√")</f>
        <v>21</v>
      </c>
      <c r="AI423" s="296">
        <f>AG423-'人员人工-研发人员工资'!E423</f>
        <v>16</v>
      </c>
      <c r="AJ423" s="296">
        <f>AH423-'人员人工-研发人员工资'!D423</f>
        <v>21</v>
      </c>
    </row>
    <row r="424" customHeight="1" spans="1:36">
      <c r="A424" s="302">
        <f>'人员人工-研发人员工资'!B424</f>
        <v>0</v>
      </c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3">
        <f t="shared" si="22"/>
        <v>0</v>
      </c>
      <c r="AH424" s="183">
        <f t="shared" si="23"/>
        <v>0</v>
      </c>
      <c r="AI424" s="296">
        <f>AG424-'人员人工-研发人员工资'!E424</f>
        <v>0</v>
      </c>
      <c r="AJ424" s="296">
        <f>AH424-'人员人工-研发人员工资'!D424</f>
        <v>0</v>
      </c>
    </row>
    <row r="425" customHeight="1" spans="1:36">
      <c r="A425" s="302">
        <f>'人员人工-研发人员工资'!B425</f>
        <v>0</v>
      </c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3">
        <f t="shared" si="22"/>
        <v>0</v>
      </c>
      <c r="AH425" s="183">
        <f t="shared" si="23"/>
        <v>0</v>
      </c>
      <c r="AI425" s="296">
        <f>AG425-'人员人工-研发人员工资'!E425</f>
        <v>0</v>
      </c>
      <c r="AJ425" s="296">
        <f>AH425-'人员人工-研发人员工资'!D425</f>
        <v>0</v>
      </c>
    </row>
    <row r="426" customHeight="1" spans="1:36">
      <c r="A426" s="302">
        <f>'人员人工-研发人员工资'!B426</f>
        <v>0</v>
      </c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3">
        <f t="shared" si="22"/>
        <v>0</v>
      </c>
      <c r="AH426" s="183">
        <f t="shared" si="23"/>
        <v>0</v>
      </c>
      <c r="AI426" s="296">
        <f>AG426-'人员人工-研发人员工资'!E426</f>
        <v>0</v>
      </c>
      <c r="AJ426" s="296">
        <f>AH426-'人员人工-研发人员工资'!D426</f>
        <v>0</v>
      </c>
    </row>
    <row r="427" customHeight="1" spans="1:36">
      <c r="A427" s="302">
        <f>'人员人工-研发人员工资'!B427</f>
        <v>0</v>
      </c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3">
        <f t="shared" si="22"/>
        <v>0</v>
      </c>
      <c r="AH427" s="183">
        <f t="shared" si="23"/>
        <v>0</v>
      </c>
      <c r="AI427" s="296">
        <f>AG427-'人员人工-研发人员工资'!E427</f>
        <v>0</v>
      </c>
      <c r="AJ427" s="296">
        <f>AH427-'人员人工-研发人员工资'!D427</f>
        <v>0</v>
      </c>
    </row>
    <row r="428" customHeight="1" spans="1:36">
      <c r="A428" s="302">
        <f>'人员人工-研发人员工资'!B428</f>
        <v>0</v>
      </c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3">
        <f t="shared" si="22"/>
        <v>0</v>
      </c>
      <c r="AH428" s="183">
        <f t="shared" si="23"/>
        <v>0</v>
      </c>
      <c r="AI428" s="296">
        <f>AG428-'人员人工-研发人员工资'!E428</f>
        <v>0</v>
      </c>
      <c r="AJ428" s="296">
        <f>AH428-'人员人工-研发人员工资'!D428</f>
        <v>0</v>
      </c>
    </row>
    <row r="429" customHeight="1" spans="1:36">
      <c r="A429" s="302">
        <f>'人员人工-研发人员工资'!B429</f>
        <v>0</v>
      </c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3">
        <f t="shared" si="22"/>
        <v>0</v>
      </c>
      <c r="AH429" s="183">
        <f t="shared" si="23"/>
        <v>0</v>
      </c>
      <c r="AI429" s="296">
        <f>AG429-'人员人工-研发人员工资'!E429</f>
        <v>0</v>
      </c>
      <c r="AJ429" s="296">
        <f>AH429-'人员人工-研发人员工资'!D429</f>
        <v>0</v>
      </c>
    </row>
    <row r="430" customHeight="1" spans="1:36">
      <c r="A430" s="302">
        <f>'人员人工-研发人员工资'!B430</f>
        <v>0</v>
      </c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3">
        <f t="shared" si="22"/>
        <v>0</v>
      </c>
      <c r="AH430" s="183">
        <f t="shared" si="23"/>
        <v>0</v>
      </c>
      <c r="AI430" s="296">
        <f>AG430-'人员人工-研发人员工资'!E430</f>
        <v>0</v>
      </c>
      <c r="AJ430" s="296">
        <f>AH430-'人员人工-研发人员工资'!D430</f>
        <v>0</v>
      </c>
    </row>
    <row r="431" customHeight="1" spans="1:36">
      <c r="A431" s="302">
        <f>'人员人工-研发人员工资'!B431</f>
        <v>0</v>
      </c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3">
        <f t="shared" si="22"/>
        <v>0</v>
      </c>
      <c r="AH431" s="183">
        <f t="shared" si="23"/>
        <v>0</v>
      </c>
      <c r="AI431" s="296">
        <f>AG431-'人员人工-研发人员工资'!E431</f>
        <v>0</v>
      </c>
      <c r="AJ431" s="296">
        <f>AH431-'人员人工-研发人员工资'!D431</f>
        <v>0</v>
      </c>
    </row>
    <row r="432" customHeight="1" spans="1:36">
      <c r="A432" s="302">
        <f>'人员人工-研发人员工资'!B432</f>
        <v>0</v>
      </c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3">
        <f t="shared" si="22"/>
        <v>0</v>
      </c>
      <c r="AH432" s="183">
        <f t="shared" si="23"/>
        <v>0</v>
      </c>
      <c r="AI432" s="296">
        <f>AG432-'人员人工-研发人员工资'!E432</f>
        <v>0</v>
      </c>
      <c r="AJ432" s="296">
        <f>AH432-'人员人工-研发人员工资'!D432</f>
        <v>0</v>
      </c>
    </row>
    <row r="433" customHeight="1" spans="1:36">
      <c r="A433" s="302">
        <f>'人员人工-研发人员工资'!B433</f>
        <v>0</v>
      </c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3">
        <f t="shared" si="22"/>
        <v>0</v>
      </c>
      <c r="AH433" s="183">
        <f t="shared" si="23"/>
        <v>0</v>
      </c>
      <c r="AI433" s="296">
        <f>AG433-'人员人工-研发人员工资'!E433</f>
        <v>0</v>
      </c>
      <c r="AJ433" s="296">
        <f>AH433-'人员人工-研发人员工资'!D433</f>
        <v>0</v>
      </c>
    </row>
    <row r="434" customHeight="1" spans="1:36">
      <c r="A434" s="302">
        <f>'人员人工-研发人员工资'!B434</f>
        <v>0</v>
      </c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3">
        <f t="shared" si="22"/>
        <v>0</v>
      </c>
      <c r="AH434" s="183">
        <f t="shared" si="23"/>
        <v>0</v>
      </c>
      <c r="AI434" s="296">
        <f>AG434-'人员人工-研发人员工资'!E434</f>
        <v>0</v>
      </c>
      <c r="AJ434" s="296">
        <f>AH434-'人员人工-研发人员工资'!D434</f>
        <v>0</v>
      </c>
    </row>
    <row r="435" customHeight="1" spans="1:36">
      <c r="A435" s="302">
        <f>'人员人工-研发人员工资'!B435</f>
        <v>0</v>
      </c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3">
        <f t="shared" si="22"/>
        <v>0</v>
      </c>
      <c r="AH435" s="183">
        <f t="shared" si="23"/>
        <v>0</v>
      </c>
      <c r="AI435" s="296">
        <f>AG435-'人员人工-研发人员工资'!E435</f>
        <v>0</v>
      </c>
      <c r="AJ435" s="296">
        <f>AH435-'人员人工-研发人员工资'!D435</f>
        <v>0</v>
      </c>
    </row>
    <row r="436" customHeight="1" spans="1:36">
      <c r="A436" s="302">
        <f>'人员人工-研发人员工资'!B436</f>
        <v>0</v>
      </c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3">
        <f t="shared" si="22"/>
        <v>0</v>
      </c>
      <c r="AH436" s="183">
        <f t="shared" si="23"/>
        <v>0</v>
      </c>
      <c r="AI436" s="296">
        <f>AG436-'人员人工-研发人员工资'!E436</f>
        <v>0</v>
      </c>
      <c r="AJ436" s="296">
        <f>AH436-'人员人工-研发人员工资'!D436</f>
        <v>0</v>
      </c>
    </row>
    <row r="437" customHeight="1" spans="1:36">
      <c r="A437" s="302">
        <f>'人员人工-研发人员工资'!B437</f>
        <v>0</v>
      </c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3">
        <f t="shared" si="22"/>
        <v>0</v>
      </c>
      <c r="AH437" s="183">
        <f t="shared" si="23"/>
        <v>0</v>
      </c>
      <c r="AI437" s="296">
        <f>AG437-'人员人工-研发人员工资'!E437</f>
        <v>0</v>
      </c>
      <c r="AJ437" s="296">
        <f>AH437-'人员人工-研发人员工资'!D437</f>
        <v>0</v>
      </c>
    </row>
    <row r="438" customHeight="1" spans="1:36">
      <c r="A438" s="302">
        <f>'人员人工-研发人员工资'!B438</f>
        <v>0</v>
      </c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3">
        <f t="shared" si="22"/>
        <v>0</v>
      </c>
      <c r="AH438" s="183">
        <f t="shared" si="23"/>
        <v>0</v>
      </c>
      <c r="AI438" s="296">
        <f>AG438-'人员人工-研发人员工资'!E438</f>
        <v>0</v>
      </c>
      <c r="AJ438" s="296">
        <f>AH438-'人员人工-研发人员工资'!D438</f>
        <v>0</v>
      </c>
    </row>
    <row r="439" customHeight="1" spans="1:36">
      <c r="A439" s="302">
        <f>'人员人工-研发人员工资'!B439</f>
        <v>0</v>
      </c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3">
        <f t="shared" si="22"/>
        <v>0</v>
      </c>
      <c r="AH439" s="183">
        <f t="shared" si="23"/>
        <v>0</v>
      </c>
      <c r="AI439" s="296">
        <f>AG439-'人员人工-研发人员工资'!E439</f>
        <v>0</v>
      </c>
      <c r="AJ439" s="296">
        <f>AH439-'人员人工-研发人员工资'!D439</f>
        <v>0</v>
      </c>
    </row>
    <row r="440" customHeight="1" spans="1:36">
      <c r="A440" s="302">
        <f>'人员人工-研发人员工资'!B440</f>
        <v>0</v>
      </c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3">
        <f t="shared" si="22"/>
        <v>0</v>
      </c>
      <c r="AH440" s="183">
        <f t="shared" si="23"/>
        <v>0</v>
      </c>
      <c r="AI440" s="296">
        <f>AG440-'人员人工-研发人员工资'!E440</f>
        <v>0</v>
      </c>
      <c r="AJ440" s="296">
        <f>AH440-'人员人工-研发人员工资'!D440</f>
        <v>0</v>
      </c>
    </row>
    <row r="441" customHeight="1" spans="1:36">
      <c r="A441" s="302">
        <f>'人员人工-研发人员工资'!B441</f>
        <v>0</v>
      </c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3">
        <f t="shared" si="22"/>
        <v>0</v>
      </c>
      <c r="AH441" s="183">
        <f t="shared" si="23"/>
        <v>0</v>
      </c>
      <c r="AI441" s="296">
        <f>AG441-'人员人工-研发人员工资'!E441</f>
        <v>0</v>
      </c>
      <c r="AJ441" s="296">
        <f>AH441-'人员人工-研发人员工资'!D441</f>
        <v>0</v>
      </c>
    </row>
    <row r="442" customHeight="1" spans="1:36">
      <c r="A442" s="302">
        <f>'人员人工-研发人员工资'!B442</f>
        <v>0</v>
      </c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3">
        <f t="shared" si="22"/>
        <v>0</v>
      </c>
      <c r="AH442" s="183">
        <f t="shared" si="23"/>
        <v>0</v>
      </c>
      <c r="AI442" s="296">
        <f>AG442-'人员人工-研发人员工资'!E442</f>
        <v>0</v>
      </c>
      <c r="AJ442" s="296">
        <f>AH442-'人员人工-研发人员工资'!D442</f>
        <v>0</v>
      </c>
    </row>
    <row r="443" customHeight="1" spans="1:36">
      <c r="A443" s="302">
        <f>'人员人工-研发人员工资'!B443</f>
        <v>0</v>
      </c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3">
        <f t="shared" si="22"/>
        <v>0</v>
      </c>
      <c r="AH443" s="183">
        <f t="shared" si="23"/>
        <v>0</v>
      </c>
      <c r="AI443" s="296">
        <f>AG443-'人员人工-研发人员工资'!E443</f>
        <v>0</v>
      </c>
      <c r="AJ443" s="296">
        <f>AH443-'人员人工-研发人员工资'!D443</f>
        <v>0</v>
      </c>
    </row>
    <row r="444" customHeight="1" spans="1:36">
      <c r="A444" s="302">
        <f>'人员人工-研发人员工资'!B444</f>
        <v>0</v>
      </c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3">
        <f t="shared" si="22"/>
        <v>0</v>
      </c>
      <c r="AH444" s="183">
        <f t="shared" si="23"/>
        <v>0</v>
      </c>
      <c r="AI444" s="296">
        <f>AG444-'人员人工-研发人员工资'!E444</f>
        <v>0</v>
      </c>
      <c r="AJ444" s="296">
        <f>AH444-'人员人工-研发人员工资'!D444</f>
        <v>0</v>
      </c>
    </row>
    <row r="445" customHeight="1" spans="1:36">
      <c r="A445" s="302">
        <f>'人员人工-研发人员工资'!B445</f>
        <v>0</v>
      </c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3">
        <f t="shared" si="22"/>
        <v>0</v>
      </c>
      <c r="AH445" s="183">
        <f t="shared" si="23"/>
        <v>0</v>
      </c>
      <c r="AI445" s="296">
        <f>AG445-'人员人工-研发人员工资'!E445</f>
        <v>0</v>
      </c>
      <c r="AJ445" s="296">
        <f>AH445-'人员人工-研发人员工资'!D445</f>
        <v>0</v>
      </c>
    </row>
    <row r="446" customHeight="1" spans="1:36">
      <c r="A446" s="302">
        <f>'人员人工-研发人员工资'!B446</f>
        <v>0</v>
      </c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3">
        <f t="shared" si="22"/>
        <v>0</v>
      </c>
      <c r="AH446" s="183">
        <f t="shared" si="23"/>
        <v>0</v>
      </c>
      <c r="AI446" s="296">
        <f>AG446-'人员人工-研发人员工资'!E446</f>
        <v>0</v>
      </c>
      <c r="AJ446" s="296">
        <f>AH446-'人员人工-研发人员工资'!D446</f>
        <v>0</v>
      </c>
    </row>
    <row r="447" customHeight="1" spans="1:36">
      <c r="A447" s="302">
        <f>'人员人工-研发人员工资'!B447</f>
        <v>0</v>
      </c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3">
        <f t="shared" si="22"/>
        <v>0</v>
      </c>
      <c r="AH447" s="183">
        <f t="shared" si="23"/>
        <v>0</v>
      </c>
      <c r="AI447" s="296">
        <f>AG447-'人员人工-研发人员工资'!E447</f>
        <v>0</v>
      </c>
      <c r="AJ447" s="296">
        <f>AH447-'人员人工-研发人员工资'!D447</f>
        <v>0</v>
      </c>
    </row>
    <row r="448" customHeight="1" spans="1:36">
      <c r="A448" s="302">
        <f>'人员人工-研发人员工资'!B448</f>
        <v>0</v>
      </c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3">
        <f t="shared" si="22"/>
        <v>0</v>
      </c>
      <c r="AH448" s="183">
        <f t="shared" si="23"/>
        <v>0</v>
      </c>
      <c r="AI448" s="296">
        <f>AG448-'人员人工-研发人员工资'!E448</f>
        <v>0</v>
      </c>
      <c r="AJ448" s="296">
        <f>AH448-'人员人工-研发人员工资'!D448</f>
        <v>0</v>
      </c>
    </row>
    <row r="449" customHeight="1" spans="1:36">
      <c r="A449" s="302">
        <f>'人员人工-研发人员工资'!B449</f>
        <v>0</v>
      </c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3">
        <f t="shared" si="22"/>
        <v>0</v>
      </c>
      <c r="AH449" s="183">
        <f t="shared" si="23"/>
        <v>0</v>
      </c>
      <c r="AI449" s="296">
        <f>AG449-'人员人工-研发人员工资'!E449</f>
        <v>0</v>
      </c>
      <c r="AJ449" s="296">
        <f>AH449-'人员人工-研发人员工资'!D449</f>
        <v>0</v>
      </c>
    </row>
    <row r="450" customHeight="1" spans="1:36">
      <c r="A450" s="302">
        <f>'人员人工-研发人员工资'!B450</f>
        <v>0</v>
      </c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3">
        <f t="shared" si="22"/>
        <v>0</v>
      </c>
      <c r="AH450" s="183">
        <f t="shared" si="23"/>
        <v>0</v>
      </c>
      <c r="AI450" s="296">
        <f>AG450-'人员人工-研发人员工资'!E450</f>
        <v>0</v>
      </c>
      <c r="AJ450" s="296">
        <f>AH450-'人员人工-研发人员工资'!D450</f>
        <v>0</v>
      </c>
    </row>
    <row r="451" customHeight="1" spans="1:36">
      <c r="A451" s="302">
        <f>'人员人工-研发人员工资'!B451</f>
        <v>0</v>
      </c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3">
        <f t="shared" si="22"/>
        <v>0</v>
      </c>
      <c r="AH451" s="183">
        <f t="shared" si="23"/>
        <v>0</v>
      </c>
      <c r="AI451" s="296">
        <f>AG451-'人员人工-研发人员工资'!E451</f>
        <v>0</v>
      </c>
      <c r="AJ451" s="296">
        <f>AH451-'人员人工-研发人员工资'!D451</f>
        <v>0</v>
      </c>
    </row>
    <row r="452" customHeight="1" spans="1:36">
      <c r="A452" s="302">
        <f>'人员人工-研发人员工资'!B452</f>
        <v>0</v>
      </c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3">
        <f t="shared" si="22"/>
        <v>0</v>
      </c>
      <c r="AH452" s="183">
        <f t="shared" si="23"/>
        <v>0</v>
      </c>
      <c r="AI452" s="296">
        <f>AG452-'人员人工-研发人员工资'!E452</f>
        <v>0</v>
      </c>
      <c r="AJ452" s="296">
        <f>AH452-'人员人工-研发人员工资'!D452</f>
        <v>0</v>
      </c>
    </row>
    <row r="453" customHeight="1" spans="1:36">
      <c r="A453" s="295" t="s">
        <v>118</v>
      </c>
      <c r="B453" s="304" t="s">
        <v>115</v>
      </c>
      <c r="C453" s="304" t="s">
        <v>116</v>
      </c>
      <c r="D453" s="304" t="s">
        <v>117</v>
      </c>
      <c r="E453" s="304" t="s">
        <v>119</v>
      </c>
      <c r="F453" s="304" t="s">
        <v>120</v>
      </c>
      <c r="G453" s="304" t="s">
        <v>121</v>
      </c>
      <c r="H453" s="176" t="s">
        <v>122</v>
      </c>
      <c r="I453" s="176" t="s">
        <v>123</v>
      </c>
      <c r="J453" s="304" t="s">
        <v>124</v>
      </c>
      <c r="K453" s="176" t="s">
        <v>125</v>
      </c>
      <c r="L453" s="304" t="s">
        <v>102</v>
      </c>
      <c r="M453" s="304" t="s">
        <v>114</v>
      </c>
      <c r="N453" s="304"/>
      <c r="O453" s="304"/>
      <c r="P453" s="304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184"/>
    </row>
    <row r="454" customHeight="1" spans="1:36">
      <c r="B454" s="142">
        <v>1</v>
      </c>
      <c r="C454" s="142">
        <v>2</v>
      </c>
      <c r="D454" s="142">
        <v>3</v>
      </c>
      <c r="E454" s="142">
        <v>4</v>
      </c>
      <c r="F454" s="142">
        <v>5</v>
      </c>
      <c r="G454" s="142">
        <v>6</v>
      </c>
      <c r="H454" s="142">
        <v>7</v>
      </c>
      <c r="I454" s="142">
        <v>8</v>
      </c>
      <c r="J454" s="142">
        <v>9</v>
      </c>
      <c r="K454" s="142">
        <v>10</v>
      </c>
      <c r="L454" s="142" t="s">
        <v>126</v>
      </c>
      <c r="M454" s="142" t="s">
        <v>127</v>
      </c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84"/>
    </row>
  </sheetData>
  <mergeCells count="72">
    <mergeCell ref="A4:A5"/>
    <mergeCell ref="A41:A42"/>
    <mergeCell ref="A79:A80"/>
    <mergeCell ref="A117:A118"/>
    <mergeCell ref="A155:A156"/>
    <mergeCell ref="A192:A193"/>
    <mergeCell ref="A230:A231"/>
    <mergeCell ref="A268:A269"/>
    <mergeCell ref="A306:A307"/>
    <mergeCell ref="A344:A345"/>
    <mergeCell ref="A382:A383"/>
    <mergeCell ref="A421:A422"/>
    <mergeCell ref="AG4:AG5"/>
    <mergeCell ref="AG41:AG42"/>
    <mergeCell ref="AG79:AG80"/>
    <mergeCell ref="AG117:AG118"/>
    <mergeCell ref="AG155:AG156"/>
    <mergeCell ref="AG192:AG193"/>
    <mergeCell ref="AG230:AG231"/>
    <mergeCell ref="AG268:AG269"/>
    <mergeCell ref="AG306:AG307"/>
    <mergeCell ref="AG344:AG345"/>
    <mergeCell ref="AG382:AG383"/>
    <mergeCell ref="AG421:AG422"/>
    <mergeCell ref="AH4:AH5"/>
    <mergeCell ref="AH41:AH42"/>
    <mergeCell ref="AH79:AH80"/>
    <mergeCell ref="AH117:AH118"/>
    <mergeCell ref="AH155:AH156"/>
    <mergeCell ref="AH192:AH193"/>
    <mergeCell ref="AH230:AH231"/>
    <mergeCell ref="AH268:AH269"/>
    <mergeCell ref="AH306:AH307"/>
    <mergeCell ref="AH344:AH345"/>
    <mergeCell ref="AH382:AH383"/>
    <mergeCell ref="AH421:AH422"/>
    <mergeCell ref="AI4:AI5"/>
    <mergeCell ref="AI41:AI42"/>
    <mergeCell ref="AI79:AI80"/>
    <mergeCell ref="AI117:AI118"/>
    <mergeCell ref="AI155:AI156"/>
    <mergeCell ref="AI192:AI193"/>
    <mergeCell ref="AI230:AI231"/>
    <mergeCell ref="AI268:AI269"/>
    <mergeCell ref="AI306:AI307"/>
    <mergeCell ref="AI344:AI345"/>
    <mergeCell ref="AI382:AI383"/>
    <mergeCell ref="AI421:AI422"/>
    <mergeCell ref="AJ4:AJ5"/>
    <mergeCell ref="AJ41:AJ42"/>
    <mergeCell ref="AJ79:AJ80"/>
    <mergeCell ref="AJ117:AJ118"/>
    <mergeCell ref="AJ155:AJ156"/>
    <mergeCell ref="AJ192:AJ193"/>
    <mergeCell ref="AJ230:AJ231"/>
    <mergeCell ref="AJ268:AJ269"/>
    <mergeCell ref="AJ306:AJ307"/>
    <mergeCell ref="AJ344:AJ345"/>
    <mergeCell ref="AJ382:AJ383"/>
    <mergeCell ref="AJ421:AJ422"/>
    <mergeCell ref="A2:AG3"/>
    <mergeCell ref="A39:AG40"/>
    <mergeCell ref="A77:AG78"/>
    <mergeCell ref="A115:AG116"/>
    <mergeCell ref="A153:AG154"/>
    <mergeCell ref="A190:AG191"/>
    <mergeCell ref="A228:AG229"/>
    <mergeCell ref="A266:AG267"/>
    <mergeCell ref="A304:AG305"/>
    <mergeCell ref="A342:AG343"/>
    <mergeCell ref="A380:AG381"/>
    <mergeCell ref="A419:AG420"/>
  </mergeCells>
  <pageMargins left="0.393055555555556" right="0.393055555555556" top="1" bottom="1" header="0.5" footer="0.5"/>
  <pageSetup paperSize="9" scale="70" fitToHeight="0" orientation="landscape"/>
  <headerFooter/>
  <rowBreaks count="11" manualBreakCount="11">
    <brk id="37" max="33" man="1"/>
    <brk id="74" max="33" man="1"/>
    <brk id="112" max="33" man="1"/>
    <brk id="150" max="33" man="1"/>
    <brk id="188" max="33" man="1"/>
    <brk id="225" max="33" man="1"/>
    <brk id="263" max="33" man="1"/>
    <brk id="301" max="33" man="1"/>
    <brk id="339" max="33" man="1"/>
    <brk id="377" max="33" man="1"/>
    <brk id="415" max="3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480"/>
  <sheetViews>
    <sheetView showZeros="0" view="pageBreakPreview" zoomScaleNormal="100" topLeftCell="A454" workbookViewId="0">
      <selection activeCell="W468" sqref="W468"/>
    </sheetView>
  </sheetViews>
  <sheetFormatPr defaultColWidth="9" defaultRowHeight="18" customHeight="1"/>
  <cols>
    <col min="1" max="1" width="3.37962962962963" style="252" customWidth="1"/>
    <col min="2" max="2" width="9.5" style="253" customWidth="1"/>
    <col min="3" max="3" width="9" style="254"/>
    <col min="4" max="6" width="8.37962962962963" style="254" customWidth="1"/>
    <col min="7" max="24" width="9" style="256"/>
    <col min="25" max="26" width="9" style="256" customWidth="1"/>
    <col min="27" max="16384" width="9" style="251"/>
  </cols>
  <sheetData>
    <row r="1" s="251" customFormat="1" customHeight="1" spans="1:26">
      <c r="A1" s="252"/>
      <c r="B1" s="257" t="s">
        <v>140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2" s="251" customFormat="1" customHeight="1" spans="1:26">
      <c r="A2" s="252"/>
      <c r="B2" s="253"/>
      <c r="C2" s="254"/>
      <c r="D2" s="254"/>
      <c r="E2" s="254"/>
      <c r="F2" s="254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 s="251" customFormat="1" customHeight="1" spans="1:26">
      <c r="A3" s="259" t="s">
        <v>31</v>
      </c>
      <c r="B3" s="260" t="s">
        <v>32</v>
      </c>
      <c r="C3" s="261" t="s">
        <v>141</v>
      </c>
      <c r="D3" s="261" t="s">
        <v>34</v>
      </c>
      <c r="E3" s="262" t="s">
        <v>35</v>
      </c>
      <c r="F3" s="262" t="s">
        <v>142</v>
      </c>
      <c r="G3" s="263" t="str">
        <f>立项!$A$3</f>
        <v>RD01</v>
      </c>
      <c r="H3" s="264"/>
      <c r="I3" s="264" t="str">
        <f>立项!$A$4</f>
        <v>RD02</v>
      </c>
      <c r="J3" s="264"/>
      <c r="K3" s="264" t="str">
        <f>立项!$A$5</f>
        <v>RD03</v>
      </c>
      <c r="L3" s="264"/>
      <c r="M3" s="264" t="str">
        <f>立项!$A$6</f>
        <v>RD04</v>
      </c>
      <c r="N3" s="264"/>
      <c r="O3" s="264" t="str">
        <f>立项!$A$7</f>
        <v>RD05</v>
      </c>
      <c r="P3" s="264"/>
      <c r="Q3" s="264" t="str">
        <f>立项!$A$8</f>
        <v>RD06</v>
      </c>
      <c r="R3" s="264"/>
      <c r="S3" s="264" t="str">
        <f>立项!$A$9</f>
        <v>RD07</v>
      </c>
      <c r="T3" s="264"/>
      <c r="U3" s="264" t="str">
        <f>立项!$A$10</f>
        <v>RD08</v>
      </c>
      <c r="V3" s="264"/>
      <c r="W3" s="264" t="str">
        <f>立项!$A$11</f>
        <v>RD09</v>
      </c>
      <c r="X3" s="264"/>
      <c r="Y3" s="264" t="str">
        <f>立项!$A$12</f>
        <v>RD10</v>
      </c>
      <c r="Z3" s="264"/>
    </row>
    <row r="4" s="251" customFormat="1" customHeight="1" spans="1:26">
      <c r="A4" s="265"/>
      <c r="B4" s="260"/>
      <c r="C4" s="261"/>
      <c r="D4" s="261"/>
      <c r="E4" s="262"/>
      <c r="F4" s="262"/>
      <c r="G4" s="266">
        <f>立项!C3</f>
        <v>0</v>
      </c>
      <c r="H4" s="263"/>
      <c r="I4" s="267">
        <f>立项!C4</f>
        <v>0</v>
      </c>
      <c r="J4" s="263"/>
      <c r="K4" s="267">
        <f>立项!C5</f>
        <v>0</v>
      </c>
      <c r="L4" s="263"/>
      <c r="M4" s="267">
        <f>立项!C6</f>
        <v>0</v>
      </c>
      <c r="N4" s="263"/>
      <c r="O4" s="267">
        <f>立项!C7</f>
        <v>0</v>
      </c>
      <c r="P4" s="263"/>
      <c r="Q4" s="267">
        <f>立项!C8</f>
        <v>0</v>
      </c>
      <c r="R4" s="263"/>
      <c r="S4" s="267">
        <f>立项!C9</f>
        <v>0</v>
      </c>
      <c r="T4" s="263"/>
      <c r="U4" s="267">
        <f>立项!C10</f>
        <v>0</v>
      </c>
      <c r="V4" s="263"/>
      <c r="W4" s="267">
        <f>立项!C11</f>
        <v>0</v>
      </c>
      <c r="X4" s="263"/>
      <c r="Y4" s="264">
        <f>立项!C12</f>
        <v>0</v>
      </c>
      <c r="Z4" s="264"/>
    </row>
    <row r="5" s="251" customFormat="1" customHeight="1" spans="1:26">
      <c r="A5" s="268"/>
      <c r="B5" s="260"/>
      <c r="C5" s="261"/>
      <c r="D5" s="261"/>
      <c r="E5" s="262"/>
      <c r="F5" s="262"/>
      <c r="G5" s="263" t="s">
        <v>39</v>
      </c>
      <c r="H5" s="269" t="s">
        <v>143</v>
      </c>
      <c r="I5" s="264" t="s">
        <v>39</v>
      </c>
      <c r="J5" s="269" t="s">
        <v>143</v>
      </c>
      <c r="K5" s="264" t="s">
        <v>39</v>
      </c>
      <c r="L5" s="269" t="s">
        <v>143</v>
      </c>
      <c r="M5" s="264" t="s">
        <v>39</v>
      </c>
      <c r="N5" s="269" t="s">
        <v>143</v>
      </c>
      <c r="O5" s="264" t="s">
        <v>39</v>
      </c>
      <c r="P5" s="269" t="s">
        <v>143</v>
      </c>
      <c r="Q5" s="264" t="s">
        <v>39</v>
      </c>
      <c r="R5" s="269" t="s">
        <v>143</v>
      </c>
      <c r="S5" s="264" t="s">
        <v>39</v>
      </c>
      <c r="T5" s="269" t="s">
        <v>143</v>
      </c>
      <c r="U5" s="264" t="s">
        <v>39</v>
      </c>
      <c r="V5" s="269" t="s">
        <v>143</v>
      </c>
      <c r="W5" s="264" t="s">
        <v>39</v>
      </c>
      <c r="X5" s="269" t="s">
        <v>143</v>
      </c>
      <c r="Y5" s="264" t="s">
        <v>39</v>
      </c>
      <c r="Z5" s="269" t="s">
        <v>143</v>
      </c>
    </row>
    <row r="6" s="251" customFormat="1" customHeight="1" spans="1:26">
      <c r="A6" s="270">
        <v>1</v>
      </c>
      <c r="B6" s="271">
        <f>'人员人工-研发人员工资'!B6</f>
        <v>0</v>
      </c>
      <c r="C6" s="272"/>
      <c r="D6" s="272">
        <f>'人员人工-研发人员工资'!D6</f>
        <v>0</v>
      </c>
      <c r="E6" s="272">
        <f>G6+I6+K6+M6+O6+Q6+S6+U6+W6+Y6</f>
        <v>0</v>
      </c>
      <c r="F6" s="272">
        <f>H6+J6+L6+N6+P6+R6+T6+V6+X6+Z6</f>
        <v>0</v>
      </c>
      <c r="G6" s="273">
        <f>'人员人工-研发人员工资'!G6</f>
        <v>0</v>
      </c>
      <c r="H6" s="274">
        <f>IF($D6=0,0,ROUND(G6/$D6*$C6,2))</f>
        <v>0</v>
      </c>
      <c r="I6" s="273">
        <f>'人员人工-研发人员工资'!I6</f>
        <v>0</v>
      </c>
      <c r="J6" s="274">
        <f t="shared" ref="J6:J35" si="0">IF($D6=0,0,ROUND(I6/$D6*$C6,2))</f>
        <v>0</v>
      </c>
      <c r="K6" s="275">
        <f>'人员人工-研发人员工资'!K6</f>
        <v>0</v>
      </c>
      <c r="L6" s="274">
        <f t="shared" ref="L6:L35" si="1">IF($D6=0,0,ROUND(K6/$D6*$C6,2))</f>
        <v>0</v>
      </c>
      <c r="M6" s="273">
        <f>'人员人工-研发人员工资'!M6</f>
        <v>0</v>
      </c>
      <c r="N6" s="274">
        <f t="shared" ref="N6:N35" si="2">IF($D6=0,0,ROUND(M6/$D6*$C6,2))</f>
        <v>0</v>
      </c>
      <c r="O6" s="273">
        <f>'人员人工-研发人员工资'!O6</f>
        <v>0</v>
      </c>
      <c r="P6" s="274">
        <f t="shared" ref="P6:P35" si="3">IF($D6=0,0,ROUND(O6/$D6*$C6,2))</f>
        <v>0</v>
      </c>
      <c r="Q6" s="273">
        <f>'人员人工-研发人员工资'!Q6</f>
        <v>0</v>
      </c>
      <c r="R6" s="274">
        <f t="shared" ref="R6:R35" si="4">IF($D6=0,0,ROUND(Q6/$D6*$C6,2))</f>
        <v>0</v>
      </c>
      <c r="S6" s="273">
        <f>'人员人工-研发人员工资'!S6</f>
        <v>0</v>
      </c>
      <c r="T6" s="274">
        <f t="shared" ref="T6:T35" si="5">IF($D6=0,0,ROUND(S6/$D6*$C6,2))</f>
        <v>0</v>
      </c>
      <c r="U6" s="273">
        <f>'人员人工-研发人员工资'!U6</f>
        <v>0</v>
      </c>
      <c r="V6" s="274">
        <f t="shared" ref="V6:V35" si="6">IF($D6=0,0,ROUND(U6/$D6*$C6,2))</f>
        <v>0</v>
      </c>
      <c r="W6" s="273">
        <f>'人员人工-研发人员工资'!W6</f>
        <v>0</v>
      </c>
      <c r="X6" s="274">
        <f t="shared" ref="X6:X35" si="7">IF($D6=0,0,ROUND(W6/$D6*$C6,2))</f>
        <v>0</v>
      </c>
      <c r="Y6" s="273">
        <f>'人员人工-研发人员工资'!Y6</f>
        <v>0</v>
      </c>
      <c r="Z6" s="274">
        <f t="shared" ref="Z6:Z35" si="8">IF($D6=0,0,ROUND(Y6/$D6*$C6,2))</f>
        <v>0</v>
      </c>
    </row>
    <row r="7" s="251" customFormat="1" customHeight="1" spans="1:26">
      <c r="A7" s="270">
        <v>2</v>
      </c>
      <c r="B7" s="271">
        <f>'人员人工-研发人员工资'!B7</f>
        <v>0</v>
      </c>
      <c r="C7" s="272"/>
      <c r="D7" s="272">
        <f>'人员人工-研发人员工资'!D7</f>
        <v>0</v>
      </c>
      <c r="E7" s="272">
        <f t="shared" ref="E7:E36" si="9">G7+I7+K7+M7+O7+Q7+S7+U7+W7+Y7</f>
        <v>0</v>
      </c>
      <c r="F7" s="272">
        <f t="shared" ref="F7:F35" si="10">H7+J7+L7+N7+P7+R7+T7+V7+X7+Z7</f>
        <v>0</v>
      </c>
      <c r="G7" s="273">
        <f>'人员人工-研发人员工资'!G7</f>
        <v>0</v>
      </c>
      <c r="H7" s="274">
        <f t="shared" ref="H7:H35" si="11">IF($D7=0,0,ROUND(G7/$D7*$C7,2))</f>
        <v>0</v>
      </c>
      <c r="I7" s="273">
        <f>'人员人工-研发人员工资'!I7</f>
        <v>0</v>
      </c>
      <c r="J7" s="274">
        <f t="shared" si="0"/>
        <v>0</v>
      </c>
      <c r="K7" s="275">
        <f>'人员人工-研发人员工资'!K7</f>
        <v>0</v>
      </c>
      <c r="L7" s="274">
        <f t="shared" si="1"/>
        <v>0</v>
      </c>
      <c r="M7" s="273">
        <f>'人员人工-研发人员工资'!M7</f>
        <v>0</v>
      </c>
      <c r="N7" s="274">
        <f t="shared" si="2"/>
        <v>0</v>
      </c>
      <c r="O7" s="273">
        <f>'人员人工-研发人员工资'!O7</f>
        <v>0</v>
      </c>
      <c r="P7" s="274">
        <f t="shared" si="3"/>
        <v>0</v>
      </c>
      <c r="Q7" s="273">
        <f>'人员人工-研发人员工资'!Q7</f>
        <v>0</v>
      </c>
      <c r="R7" s="274">
        <f t="shared" si="4"/>
        <v>0</v>
      </c>
      <c r="S7" s="273">
        <f>'人员人工-研发人员工资'!S7</f>
        <v>0</v>
      </c>
      <c r="T7" s="274">
        <f t="shared" si="5"/>
        <v>0</v>
      </c>
      <c r="U7" s="273">
        <f>'人员人工-研发人员工资'!U7</f>
        <v>0</v>
      </c>
      <c r="V7" s="274">
        <f t="shared" si="6"/>
        <v>0</v>
      </c>
      <c r="W7" s="273">
        <f>'人员人工-研发人员工资'!W7</f>
        <v>0</v>
      </c>
      <c r="X7" s="274">
        <f t="shared" si="7"/>
        <v>0</v>
      </c>
      <c r="Y7" s="273">
        <f>'人员人工-研发人员工资'!Y7</f>
        <v>0</v>
      </c>
      <c r="Z7" s="274">
        <f t="shared" si="8"/>
        <v>0</v>
      </c>
    </row>
    <row r="8" s="251" customFormat="1" customHeight="1" spans="1:26">
      <c r="A8" s="270">
        <v>3</v>
      </c>
      <c r="B8" s="271">
        <f>'人员人工-研发人员工资'!B8</f>
        <v>0</v>
      </c>
      <c r="C8" s="272"/>
      <c r="D8" s="272">
        <f>'人员人工-研发人员工资'!D8</f>
        <v>0</v>
      </c>
      <c r="E8" s="272">
        <f t="shared" si="9"/>
        <v>0</v>
      </c>
      <c r="F8" s="272">
        <f t="shared" si="10"/>
        <v>0</v>
      </c>
      <c r="G8" s="273">
        <f>'人员人工-研发人员工资'!G8</f>
        <v>0</v>
      </c>
      <c r="H8" s="274">
        <f t="shared" si="11"/>
        <v>0</v>
      </c>
      <c r="I8" s="273">
        <f>'人员人工-研发人员工资'!I8</f>
        <v>0</v>
      </c>
      <c r="J8" s="274">
        <f t="shared" si="0"/>
        <v>0</v>
      </c>
      <c r="K8" s="275">
        <f>'人员人工-研发人员工资'!K8</f>
        <v>0</v>
      </c>
      <c r="L8" s="274">
        <f t="shared" si="1"/>
        <v>0</v>
      </c>
      <c r="M8" s="273">
        <f>'人员人工-研发人员工资'!M8</f>
        <v>0</v>
      </c>
      <c r="N8" s="274">
        <f t="shared" si="2"/>
        <v>0</v>
      </c>
      <c r="O8" s="273">
        <f>'人员人工-研发人员工资'!O8</f>
        <v>0</v>
      </c>
      <c r="P8" s="274">
        <f t="shared" si="3"/>
        <v>0</v>
      </c>
      <c r="Q8" s="273">
        <f>'人员人工-研发人员工资'!Q8</f>
        <v>0</v>
      </c>
      <c r="R8" s="274">
        <f t="shared" si="4"/>
        <v>0</v>
      </c>
      <c r="S8" s="273">
        <f>'人员人工-研发人员工资'!S8</f>
        <v>0</v>
      </c>
      <c r="T8" s="274">
        <f t="shared" si="5"/>
        <v>0</v>
      </c>
      <c r="U8" s="273">
        <f>'人员人工-研发人员工资'!U8</f>
        <v>0</v>
      </c>
      <c r="V8" s="274">
        <f t="shared" si="6"/>
        <v>0</v>
      </c>
      <c r="W8" s="273">
        <f>'人员人工-研发人员工资'!W8</f>
        <v>0</v>
      </c>
      <c r="X8" s="274">
        <f t="shared" si="7"/>
        <v>0</v>
      </c>
      <c r="Y8" s="273">
        <f>'人员人工-研发人员工资'!Y8</f>
        <v>0</v>
      </c>
      <c r="Z8" s="274">
        <f t="shared" si="8"/>
        <v>0</v>
      </c>
    </row>
    <row r="9" s="251" customFormat="1" customHeight="1" spans="1:26">
      <c r="A9" s="270">
        <v>4</v>
      </c>
      <c r="B9" s="271">
        <f>'人员人工-研发人员工资'!B9</f>
        <v>0</v>
      </c>
      <c r="C9" s="272"/>
      <c r="D9" s="272">
        <f>'人员人工-研发人员工资'!D9</f>
        <v>0</v>
      </c>
      <c r="E9" s="272">
        <f t="shared" si="9"/>
        <v>0</v>
      </c>
      <c r="F9" s="272">
        <f t="shared" si="10"/>
        <v>0</v>
      </c>
      <c r="G9" s="273">
        <f>'人员人工-研发人员工资'!G9</f>
        <v>0</v>
      </c>
      <c r="H9" s="274">
        <f t="shared" si="11"/>
        <v>0</v>
      </c>
      <c r="I9" s="273">
        <f>'人员人工-研发人员工资'!I9</f>
        <v>0</v>
      </c>
      <c r="J9" s="274">
        <f t="shared" si="0"/>
        <v>0</v>
      </c>
      <c r="K9" s="275">
        <f>'人员人工-研发人员工资'!K9</f>
        <v>0</v>
      </c>
      <c r="L9" s="274">
        <f t="shared" si="1"/>
        <v>0</v>
      </c>
      <c r="M9" s="273">
        <f>'人员人工-研发人员工资'!M9</f>
        <v>0</v>
      </c>
      <c r="N9" s="274">
        <f t="shared" si="2"/>
        <v>0</v>
      </c>
      <c r="O9" s="273">
        <f>'人员人工-研发人员工资'!O9</f>
        <v>0</v>
      </c>
      <c r="P9" s="274">
        <f t="shared" si="3"/>
        <v>0</v>
      </c>
      <c r="Q9" s="273">
        <f>'人员人工-研发人员工资'!Q9</f>
        <v>0</v>
      </c>
      <c r="R9" s="274">
        <f t="shared" si="4"/>
        <v>0</v>
      </c>
      <c r="S9" s="273">
        <f>'人员人工-研发人员工资'!S9</f>
        <v>0</v>
      </c>
      <c r="T9" s="274">
        <f t="shared" si="5"/>
        <v>0</v>
      </c>
      <c r="U9" s="273">
        <f>'人员人工-研发人员工资'!U9</f>
        <v>0</v>
      </c>
      <c r="V9" s="274">
        <f t="shared" si="6"/>
        <v>0</v>
      </c>
      <c r="W9" s="273">
        <f>'人员人工-研发人员工资'!W9</f>
        <v>0</v>
      </c>
      <c r="X9" s="274">
        <f t="shared" si="7"/>
        <v>0</v>
      </c>
      <c r="Y9" s="273">
        <f>'人员人工-研发人员工资'!Y9</f>
        <v>0</v>
      </c>
      <c r="Z9" s="274">
        <f t="shared" si="8"/>
        <v>0</v>
      </c>
    </row>
    <row r="10" s="251" customFormat="1" customHeight="1" spans="1:26">
      <c r="A10" s="270">
        <v>5</v>
      </c>
      <c r="B10" s="271">
        <f>'人员人工-研发人员工资'!B10</f>
        <v>0</v>
      </c>
      <c r="C10" s="272"/>
      <c r="D10" s="272">
        <f>'人员人工-研发人员工资'!D10</f>
        <v>0</v>
      </c>
      <c r="E10" s="272">
        <f t="shared" si="9"/>
        <v>0</v>
      </c>
      <c r="F10" s="272">
        <f t="shared" si="10"/>
        <v>0</v>
      </c>
      <c r="G10" s="273">
        <f>'人员人工-研发人员工资'!G10</f>
        <v>0</v>
      </c>
      <c r="H10" s="274">
        <f t="shared" si="11"/>
        <v>0</v>
      </c>
      <c r="I10" s="273">
        <f>'人员人工-研发人员工资'!I10</f>
        <v>0</v>
      </c>
      <c r="J10" s="274">
        <f t="shared" si="0"/>
        <v>0</v>
      </c>
      <c r="K10" s="275">
        <f>'人员人工-研发人员工资'!K10</f>
        <v>0</v>
      </c>
      <c r="L10" s="274">
        <f t="shared" si="1"/>
        <v>0</v>
      </c>
      <c r="M10" s="273">
        <f>'人员人工-研发人员工资'!M10</f>
        <v>0</v>
      </c>
      <c r="N10" s="274">
        <f t="shared" si="2"/>
        <v>0</v>
      </c>
      <c r="O10" s="273">
        <f>'人员人工-研发人员工资'!O10</f>
        <v>0</v>
      </c>
      <c r="P10" s="274">
        <f t="shared" si="3"/>
        <v>0</v>
      </c>
      <c r="Q10" s="273">
        <f>'人员人工-研发人员工资'!Q10</f>
        <v>0</v>
      </c>
      <c r="R10" s="274">
        <f t="shared" si="4"/>
        <v>0</v>
      </c>
      <c r="S10" s="273">
        <f>'人员人工-研发人员工资'!S10</f>
        <v>0</v>
      </c>
      <c r="T10" s="274">
        <f t="shared" si="5"/>
        <v>0</v>
      </c>
      <c r="U10" s="273">
        <f>'人员人工-研发人员工资'!U10</f>
        <v>0</v>
      </c>
      <c r="V10" s="274">
        <f t="shared" si="6"/>
        <v>0</v>
      </c>
      <c r="W10" s="273">
        <f>'人员人工-研发人员工资'!W10</f>
        <v>0</v>
      </c>
      <c r="X10" s="274">
        <f t="shared" si="7"/>
        <v>0</v>
      </c>
      <c r="Y10" s="273">
        <f>'人员人工-研发人员工资'!Y10</f>
        <v>0</v>
      </c>
      <c r="Z10" s="274">
        <f t="shared" si="8"/>
        <v>0</v>
      </c>
    </row>
    <row r="11" s="251" customFormat="1" customHeight="1" spans="1:26">
      <c r="A11" s="270">
        <v>6</v>
      </c>
      <c r="B11" s="271">
        <f>'人员人工-研发人员工资'!B11</f>
        <v>0</v>
      </c>
      <c r="C11" s="274"/>
      <c r="D11" s="272">
        <f>'人员人工-研发人员工资'!D11</f>
        <v>0</v>
      </c>
      <c r="E11" s="272">
        <f t="shared" si="9"/>
        <v>0</v>
      </c>
      <c r="F11" s="272">
        <f t="shared" si="10"/>
        <v>0</v>
      </c>
      <c r="G11" s="273">
        <f>'人员人工-研发人员工资'!G11</f>
        <v>0</v>
      </c>
      <c r="H11" s="274">
        <f t="shared" si="11"/>
        <v>0</v>
      </c>
      <c r="I11" s="273">
        <f>'人员人工-研发人员工资'!I11</f>
        <v>0</v>
      </c>
      <c r="J11" s="274">
        <f t="shared" si="0"/>
        <v>0</v>
      </c>
      <c r="K11" s="275">
        <f>'人员人工-研发人员工资'!K11</f>
        <v>0</v>
      </c>
      <c r="L11" s="274">
        <f t="shared" si="1"/>
        <v>0</v>
      </c>
      <c r="M11" s="273">
        <f>'人员人工-研发人员工资'!M11</f>
        <v>0</v>
      </c>
      <c r="N11" s="274">
        <f t="shared" si="2"/>
        <v>0</v>
      </c>
      <c r="O11" s="273">
        <f>'人员人工-研发人员工资'!O11</f>
        <v>0</v>
      </c>
      <c r="P11" s="274">
        <f t="shared" si="3"/>
        <v>0</v>
      </c>
      <c r="Q11" s="273">
        <f>'人员人工-研发人员工资'!Q11</f>
        <v>0</v>
      </c>
      <c r="R11" s="274">
        <f t="shared" si="4"/>
        <v>0</v>
      </c>
      <c r="S11" s="273">
        <f>'人员人工-研发人员工资'!S11</f>
        <v>0</v>
      </c>
      <c r="T11" s="274">
        <f t="shared" si="5"/>
        <v>0</v>
      </c>
      <c r="U11" s="273">
        <f>'人员人工-研发人员工资'!U11</f>
        <v>0</v>
      </c>
      <c r="V11" s="274">
        <f t="shared" si="6"/>
        <v>0</v>
      </c>
      <c r="W11" s="273">
        <f>'人员人工-研发人员工资'!W11</f>
        <v>0</v>
      </c>
      <c r="X11" s="274">
        <f t="shared" si="7"/>
        <v>0</v>
      </c>
      <c r="Y11" s="273">
        <f>'人员人工-研发人员工资'!Y11</f>
        <v>0</v>
      </c>
      <c r="Z11" s="274">
        <f t="shared" si="8"/>
        <v>0</v>
      </c>
    </row>
    <row r="12" s="251" customFormat="1" customHeight="1" spans="1:26">
      <c r="A12" s="270">
        <v>7</v>
      </c>
      <c r="B12" s="271">
        <f>'人员人工-研发人员工资'!B12</f>
        <v>0</v>
      </c>
      <c r="C12" s="274"/>
      <c r="D12" s="272">
        <f>'人员人工-研发人员工资'!D12</f>
        <v>0</v>
      </c>
      <c r="E12" s="272">
        <f t="shared" si="9"/>
        <v>0</v>
      </c>
      <c r="F12" s="272">
        <f t="shared" si="10"/>
        <v>0</v>
      </c>
      <c r="G12" s="273">
        <f>'人员人工-研发人员工资'!G12</f>
        <v>0</v>
      </c>
      <c r="H12" s="274">
        <f t="shared" si="11"/>
        <v>0</v>
      </c>
      <c r="I12" s="273">
        <f>'人员人工-研发人员工资'!I12</f>
        <v>0</v>
      </c>
      <c r="J12" s="274">
        <f t="shared" si="0"/>
        <v>0</v>
      </c>
      <c r="K12" s="275">
        <f>'人员人工-研发人员工资'!K12</f>
        <v>0</v>
      </c>
      <c r="L12" s="274">
        <f t="shared" si="1"/>
        <v>0</v>
      </c>
      <c r="M12" s="273">
        <f>'人员人工-研发人员工资'!M12</f>
        <v>0</v>
      </c>
      <c r="N12" s="274">
        <f t="shared" si="2"/>
        <v>0</v>
      </c>
      <c r="O12" s="273">
        <f>'人员人工-研发人员工资'!O12</f>
        <v>0</v>
      </c>
      <c r="P12" s="274">
        <f t="shared" si="3"/>
        <v>0</v>
      </c>
      <c r="Q12" s="273">
        <f>'人员人工-研发人员工资'!Q12</f>
        <v>0</v>
      </c>
      <c r="R12" s="274">
        <f t="shared" si="4"/>
        <v>0</v>
      </c>
      <c r="S12" s="273">
        <f>'人员人工-研发人员工资'!S12</f>
        <v>0</v>
      </c>
      <c r="T12" s="274">
        <f t="shared" si="5"/>
        <v>0</v>
      </c>
      <c r="U12" s="273">
        <f>'人员人工-研发人员工资'!U12</f>
        <v>0</v>
      </c>
      <c r="V12" s="274">
        <f t="shared" si="6"/>
        <v>0</v>
      </c>
      <c r="W12" s="273">
        <f>'人员人工-研发人员工资'!W12</f>
        <v>0</v>
      </c>
      <c r="X12" s="274">
        <f t="shared" si="7"/>
        <v>0</v>
      </c>
      <c r="Y12" s="273">
        <f>'人员人工-研发人员工资'!Y12</f>
        <v>0</v>
      </c>
      <c r="Z12" s="274">
        <f t="shared" si="8"/>
        <v>0</v>
      </c>
    </row>
    <row r="13" s="251" customFormat="1" customHeight="1" spans="1:26">
      <c r="A13" s="270">
        <v>8</v>
      </c>
      <c r="B13" s="271">
        <f>'人员人工-研发人员工资'!B13</f>
        <v>0</v>
      </c>
      <c r="C13" s="274"/>
      <c r="D13" s="272">
        <f>'人员人工-研发人员工资'!D13</f>
        <v>0</v>
      </c>
      <c r="E13" s="272">
        <f t="shared" si="9"/>
        <v>0</v>
      </c>
      <c r="F13" s="272">
        <f t="shared" si="10"/>
        <v>0</v>
      </c>
      <c r="G13" s="273">
        <f>'人员人工-研发人员工资'!G13</f>
        <v>0</v>
      </c>
      <c r="H13" s="274">
        <f t="shared" si="11"/>
        <v>0</v>
      </c>
      <c r="I13" s="273">
        <f>'人员人工-研发人员工资'!I13</f>
        <v>0</v>
      </c>
      <c r="J13" s="274">
        <f t="shared" si="0"/>
        <v>0</v>
      </c>
      <c r="K13" s="275">
        <f>'人员人工-研发人员工资'!K13</f>
        <v>0</v>
      </c>
      <c r="L13" s="274">
        <f t="shared" si="1"/>
        <v>0</v>
      </c>
      <c r="M13" s="273">
        <f>'人员人工-研发人员工资'!M13</f>
        <v>0</v>
      </c>
      <c r="N13" s="274">
        <f t="shared" si="2"/>
        <v>0</v>
      </c>
      <c r="O13" s="273">
        <f>'人员人工-研发人员工资'!O13</f>
        <v>0</v>
      </c>
      <c r="P13" s="274">
        <f t="shared" si="3"/>
        <v>0</v>
      </c>
      <c r="Q13" s="273">
        <f>'人员人工-研发人员工资'!Q13</f>
        <v>0</v>
      </c>
      <c r="R13" s="274">
        <f t="shared" si="4"/>
        <v>0</v>
      </c>
      <c r="S13" s="273">
        <f>'人员人工-研发人员工资'!S13</f>
        <v>0</v>
      </c>
      <c r="T13" s="274">
        <f t="shared" si="5"/>
        <v>0</v>
      </c>
      <c r="U13" s="273">
        <f>'人员人工-研发人员工资'!U13</f>
        <v>0</v>
      </c>
      <c r="V13" s="274">
        <f t="shared" si="6"/>
        <v>0</v>
      </c>
      <c r="W13" s="273">
        <f>'人员人工-研发人员工资'!W13</f>
        <v>0</v>
      </c>
      <c r="X13" s="274">
        <f t="shared" si="7"/>
        <v>0</v>
      </c>
      <c r="Y13" s="273">
        <f>'人员人工-研发人员工资'!Y13</f>
        <v>0</v>
      </c>
      <c r="Z13" s="274">
        <f t="shared" si="8"/>
        <v>0</v>
      </c>
    </row>
    <row r="14" s="251" customFormat="1" customHeight="1" spans="1:26">
      <c r="A14" s="270">
        <v>9</v>
      </c>
      <c r="B14" s="271">
        <f>'人员人工-研发人员工资'!B14</f>
        <v>0</v>
      </c>
      <c r="C14" s="274"/>
      <c r="D14" s="272">
        <f>'人员人工-研发人员工资'!D14</f>
        <v>0</v>
      </c>
      <c r="E14" s="272">
        <f t="shared" si="9"/>
        <v>0</v>
      </c>
      <c r="F14" s="272">
        <f t="shared" si="10"/>
        <v>0</v>
      </c>
      <c r="G14" s="273">
        <f>'人员人工-研发人员工资'!G14</f>
        <v>0</v>
      </c>
      <c r="H14" s="274">
        <f t="shared" si="11"/>
        <v>0</v>
      </c>
      <c r="I14" s="273">
        <f>'人员人工-研发人员工资'!I14</f>
        <v>0</v>
      </c>
      <c r="J14" s="274">
        <f t="shared" si="0"/>
        <v>0</v>
      </c>
      <c r="K14" s="275">
        <f>'人员人工-研发人员工资'!K14</f>
        <v>0</v>
      </c>
      <c r="L14" s="274">
        <f t="shared" si="1"/>
        <v>0</v>
      </c>
      <c r="M14" s="273">
        <f>'人员人工-研发人员工资'!M14</f>
        <v>0</v>
      </c>
      <c r="N14" s="274">
        <f t="shared" si="2"/>
        <v>0</v>
      </c>
      <c r="O14" s="273">
        <f>'人员人工-研发人员工资'!O14</f>
        <v>0</v>
      </c>
      <c r="P14" s="274">
        <f t="shared" si="3"/>
        <v>0</v>
      </c>
      <c r="Q14" s="273">
        <f>'人员人工-研发人员工资'!Q14</f>
        <v>0</v>
      </c>
      <c r="R14" s="274">
        <f t="shared" si="4"/>
        <v>0</v>
      </c>
      <c r="S14" s="273">
        <f>'人员人工-研发人员工资'!S14</f>
        <v>0</v>
      </c>
      <c r="T14" s="274">
        <f t="shared" si="5"/>
        <v>0</v>
      </c>
      <c r="U14" s="273">
        <f>'人员人工-研发人员工资'!U14</f>
        <v>0</v>
      </c>
      <c r="V14" s="274">
        <f t="shared" si="6"/>
        <v>0</v>
      </c>
      <c r="W14" s="273">
        <f>'人员人工-研发人员工资'!W14</f>
        <v>0</v>
      </c>
      <c r="X14" s="274">
        <f t="shared" si="7"/>
        <v>0</v>
      </c>
      <c r="Y14" s="273">
        <f>'人员人工-研发人员工资'!Y14</f>
        <v>0</v>
      </c>
      <c r="Z14" s="274">
        <f t="shared" si="8"/>
        <v>0</v>
      </c>
    </row>
    <row r="15" s="251" customFormat="1" customHeight="1" spans="1:26">
      <c r="A15" s="270">
        <v>10</v>
      </c>
      <c r="B15" s="271">
        <f>'人员人工-研发人员工资'!B15</f>
        <v>0</v>
      </c>
      <c r="C15" s="274"/>
      <c r="D15" s="272">
        <f>'人员人工-研发人员工资'!D15</f>
        <v>0</v>
      </c>
      <c r="E15" s="272">
        <f t="shared" si="9"/>
        <v>0</v>
      </c>
      <c r="F15" s="272">
        <f t="shared" si="10"/>
        <v>0</v>
      </c>
      <c r="G15" s="273">
        <f>'人员人工-研发人员工资'!G15</f>
        <v>0</v>
      </c>
      <c r="H15" s="274">
        <f t="shared" si="11"/>
        <v>0</v>
      </c>
      <c r="I15" s="273">
        <f>'人员人工-研发人员工资'!I15</f>
        <v>0</v>
      </c>
      <c r="J15" s="274">
        <f t="shared" si="0"/>
        <v>0</v>
      </c>
      <c r="K15" s="275">
        <f>'人员人工-研发人员工资'!K15</f>
        <v>0</v>
      </c>
      <c r="L15" s="274">
        <f t="shared" si="1"/>
        <v>0</v>
      </c>
      <c r="M15" s="273">
        <f>'人员人工-研发人员工资'!M15</f>
        <v>0</v>
      </c>
      <c r="N15" s="274">
        <f t="shared" si="2"/>
        <v>0</v>
      </c>
      <c r="O15" s="273">
        <f>'人员人工-研发人员工资'!O15</f>
        <v>0</v>
      </c>
      <c r="P15" s="274">
        <f t="shared" si="3"/>
        <v>0</v>
      </c>
      <c r="Q15" s="273">
        <f>'人员人工-研发人员工资'!Q15</f>
        <v>0</v>
      </c>
      <c r="R15" s="274">
        <f t="shared" si="4"/>
        <v>0</v>
      </c>
      <c r="S15" s="273">
        <f>'人员人工-研发人员工资'!S15</f>
        <v>0</v>
      </c>
      <c r="T15" s="274">
        <f t="shared" si="5"/>
        <v>0</v>
      </c>
      <c r="U15" s="273">
        <f>'人员人工-研发人员工资'!U15</f>
        <v>0</v>
      </c>
      <c r="V15" s="274">
        <f t="shared" si="6"/>
        <v>0</v>
      </c>
      <c r="W15" s="273">
        <f>'人员人工-研发人员工资'!W15</f>
        <v>0</v>
      </c>
      <c r="X15" s="274">
        <f t="shared" si="7"/>
        <v>0</v>
      </c>
      <c r="Y15" s="273">
        <f>'人员人工-研发人员工资'!Y15</f>
        <v>0</v>
      </c>
      <c r="Z15" s="274">
        <f t="shared" si="8"/>
        <v>0</v>
      </c>
    </row>
    <row r="16" s="251" customFormat="1" customHeight="1" spans="1:26">
      <c r="A16" s="270">
        <v>11</v>
      </c>
      <c r="B16" s="271">
        <f>'人员人工-研发人员工资'!B16</f>
        <v>0</v>
      </c>
      <c r="C16" s="274"/>
      <c r="D16" s="272">
        <f>'人员人工-研发人员工资'!D16</f>
        <v>0</v>
      </c>
      <c r="E16" s="272">
        <f t="shared" si="9"/>
        <v>0</v>
      </c>
      <c r="F16" s="272">
        <f t="shared" si="10"/>
        <v>0</v>
      </c>
      <c r="G16" s="273">
        <f>'人员人工-研发人员工资'!G16</f>
        <v>0</v>
      </c>
      <c r="H16" s="274">
        <f t="shared" si="11"/>
        <v>0</v>
      </c>
      <c r="I16" s="273">
        <f>'人员人工-研发人员工资'!I16</f>
        <v>0</v>
      </c>
      <c r="J16" s="274">
        <f t="shared" si="0"/>
        <v>0</v>
      </c>
      <c r="K16" s="275">
        <f>'人员人工-研发人员工资'!K16</f>
        <v>0</v>
      </c>
      <c r="L16" s="274">
        <f t="shared" si="1"/>
        <v>0</v>
      </c>
      <c r="M16" s="273">
        <f>'人员人工-研发人员工资'!M16</f>
        <v>0</v>
      </c>
      <c r="N16" s="274">
        <f t="shared" si="2"/>
        <v>0</v>
      </c>
      <c r="O16" s="273">
        <f>'人员人工-研发人员工资'!O16</f>
        <v>0</v>
      </c>
      <c r="P16" s="274">
        <f t="shared" si="3"/>
        <v>0</v>
      </c>
      <c r="Q16" s="273">
        <f>'人员人工-研发人员工资'!Q16</f>
        <v>0</v>
      </c>
      <c r="R16" s="274">
        <f t="shared" si="4"/>
        <v>0</v>
      </c>
      <c r="S16" s="273">
        <f>'人员人工-研发人员工资'!S16</f>
        <v>0</v>
      </c>
      <c r="T16" s="274">
        <f t="shared" si="5"/>
        <v>0</v>
      </c>
      <c r="U16" s="273">
        <f>'人员人工-研发人员工资'!U16</f>
        <v>0</v>
      </c>
      <c r="V16" s="274">
        <f t="shared" si="6"/>
        <v>0</v>
      </c>
      <c r="W16" s="273">
        <f>'人员人工-研发人员工资'!W16</f>
        <v>0</v>
      </c>
      <c r="X16" s="274">
        <f t="shared" si="7"/>
        <v>0</v>
      </c>
      <c r="Y16" s="273">
        <f>'人员人工-研发人员工资'!Y16</f>
        <v>0</v>
      </c>
      <c r="Z16" s="274">
        <f t="shared" si="8"/>
        <v>0</v>
      </c>
    </row>
    <row r="17" s="251" customFormat="1" customHeight="1" spans="1:26">
      <c r="A17" s="270">
        <v>12</v>
      </c>
      <c r="B17" s="271">
        <f>'人员人工-研发人员工资'!B17</f>
        <v>0</v>
      </c>
      <c r="C17" s="274"/>
      <c r="D17" s="272">
        <f>'人员人工-研发人员工资'!D17</f>
        <v>0</v>
      </c>
      <c r="E17" s="272">
        <f t="shared" si="9"/>
        <v>0</v>
      </c>
      <c r="F17" s="272">
        <f t="shared" si="10"/>
        <v>0</v>
      </c>
      <c r="G17" s="273">
        <f>'人员人工-研发人员工资'!G17</f>
        <v>0</v>
      </c>
      <c r="H17" s="274">
        <f t="shared" si="11"/>
        <v>0</v>
      </c>
      <c r="I17" s="273">
        <f>'人员人工-研发人员工资'!I17</f>
        <v>0</v>
      </c>
      <c r="J17" s="274">
        <f t="shared" si="0"/>
        <v>0</v>
      </c>
      <c r="K17" s="275">
        <f>'人员人工-研发人员工资'!K17</f>
        <v>0</v>
      </c>
      <c r="L17" s="274">
        <f t="shared" si="1"/>
        <v>0</v>
      </c>
      <c r="M17" s="273">
        <f>'人员人工-研发人员工资'!M17</f>
        <v>0</v>
      </c>
      <c r="N17" s="274">
        <f t="shared" si="2"/>
        <v>0</v>
      </c>
      <c r="O17" s="273">
        <f>'人员人工-研发人员工资'!O17</f>
        <v>0</v>
      </c>
      <c r="P17" s="274">
        <f t="shared" si="3"/>
        <v>0</v>
      </c>
      <c r="Q17" s="273">
        <f>'人员人工-研发人员工资'!Q17</f>
        <v>0</v>
      </c>
      <c r="R17" s="274">
        <f t="shared" si="4"/>
        <v>0</v>
      </c>
      <c r="S17" s="273">
        <f>'人员人工-研发人员工资'!S17</f>
        <v>0</v>
      </c>
      <c r="T17" s="274">
        <f t="shared" si="5"/>
        <v>0</v>
      </c>
      <c r="U17" s="273">
        <f>'人员人工-研发人员工资'!U17</f>
        <v>0</v>
      </c>
      <c r="V17" s="274">
        <f t="shared" si="6"/>
        <v>0</v>
      </c>
      <c r="W17" s="273">
        <f>'人员人工-研发人员工资'!W17</f>
        <v>0</v>
      </c>
      <c r="X17" s="274">
        <f t="shared" si="7"/>
        <v>0</v>
      </c>
      <c r="Y17" s="273">
        <f>'人员人工-研发人员工资'!Y17</f>
        <v>0</v>
      </c>
      <c r="Z17" s="274">
        <f t="shared" si="8"/>
        <v>0</v>
      </c>
    </row>
    <row r="18" s="251" customFormat="1" customHeight="1" spans="1:26">
      <c r="A18" s="270">
        <v>13</v>
      </c>
      <c r="B18" s="271">
        <f>'人员人工-研发人员工资'!B18</f>
        <v>0</v>
      </c>
      <c r="C18" s="274"/>
      <c r="D18" s="272">
        <f>'人员人工-研发人员工资'!D18</f>
        <v>0</v>
      </c>
      <c r="E18" s="272">
        <f t="shared" si="9"/>
        <v>0</v>
      </c>
      <c r="F18" s="272">
        <f t="shared" si="10"/>
        <v>0</v>
      </c>
      <c r="G18" s="273">
        <f>'人员人工-研发人员工资'!G18</f>
        <v>0</v>
      </c>
      <c r="H18" s="274">
        <f t="shared" si="11"/>
        <v>0</v>
      </c>
      <c r="I18" s="273">
        <f>'人员人工-研发人员工资'!I18</f>
        <v>0</v>
      </c>
      <c r="J18" s="274">
        <f t="shared" si="0"/>
        <v>0</v>
      </c>
      <c r="K18" s="275">
        <f>'人员人工-研发人员工资'!K18</f>
        <v>0</v>
      </c>
      <c r="L18" s="274">
        <f t="shared" si="1"/>
        <v>0</v>
      </c>
      <c r="M18" s="273">
        <f>'人员人工-研发人员工资'!M18</f>
        <v>0</v>
      </c>
      <c r="N18" s="274">
        <f t="shared" si="2"/>
        <v>0</v>
      </c>
      <c r="O18" s="273">
        <f>'人员人工-研发人员工资'!O18</f>
        <v>0</v>
      </c>
      <c r="P18" s="274">
        <f t="shared" si="3"/>
        <v>0</v>
      </c>
      <c r="Q18" s="273">
        <f>'人员人工-研发人员工资'!Q18</f>
        <v>0</v>
      </c>
      <c r="R18" s="274">
        <f t="shared" si="4"/>
        <v>0</v>
      </c>
      <c r="S18" s="273">
        <f>'人员人工-研发人员工资'!S18</f>
        <v>0</v>
      </c>
      <c r="T18" s="274">
        <f t="shared" si="5"/>
        <v>0</v>
      </c>
      <c r="U18" s="273">
        <f>'人员人工-研发人员工资'!U18</f>
        <v>0</v>
      </c>
      <c r="V18" s="274">
        <f t="shared" si="6"/>
        <v>0</v>
      </c>
      <c r="W18" s="273">
        <f>'人员人工-研发人员工资'!W18</f>
        <v>0</v>
      </c>
      <c r="X18" s="274">
        <f t="shared" si="7"/>
        <v>0</v>
      </c>
      <c r="Y18" s="273">
        <f>'人员人工-研发人员工资'!Y18</f>
        <v>0</v>
      </c>
      <c r="Z18" s="274">
        <f t="shared" si="8"/>
        <v>0</v>
      </c>
    </row>
    <row r="19" s="251" customFormat="1" customHeight="1" spans="1:26">
      <c r="A19" s="270">
        <v>14</v>
      </c>
      <c r="B19" s="271">
        <f>'人员人工-研发人员工资'!B19</f>
        <v>0</v>
      </c>
      <c r="C19" s="274"/>
      <c r="D19" s="272">
        <f>'人员人工-研发人员工资'!D19</f>
        <v>0</v>
      </c>
      <c r="E19" s="272">
        <f t="shared" si="9"/>
        <v>0</v>
      </c>
      <c r="F19" s="272">
        <f t="shared" si="10"/>
        <v>0</v>
      </c>
      <c r="G19" s="273">
        <f>'人员人工-研发人员工资'!G19</f>
        <v>0</v>
      </c>
      <c r="H19" s="274">
        <f t="shared" si="11"/>
        <v>0</v>
      </c>
      <c r="I19" s="273">
        <f>'人员人工-研发人员工资'!I19</f>
        <v>0</v>
      </c>
      <c r="J19" s="274">
        <f t="shared" si="0"/>
        <v>0</v>
      </c>
      <c r="K19" s="275">
        <f>'人员人工-研发人员工资'!K19</f>
        <v>0</v>
      </c>
      <c r="L19" s="274">
        <f t="shared" si="1"/>
        <v>0</v>
      </c>
      <c r="M19" s="273">
        <f>'人员人工-研发人员工资'!M19</f>
        <v>0</v>
      </c>
      <c r="N19" s="274">
        <f t="shared" si="2"/>
        <v>0</v>
      </c>
      <c r="O19" s="273">
        <f>'人员人工-研发人员工资'!O19</f>
        <v>0</v>
      </c>
      <c r="P19" s="274">
        <f t="shared" si="3"/>
        <v>0</v>
      </c>
      <c r="Q19" s="273">
        <f>'人员人工-研发人员工资'!Q19</f>
        <v>0</v>
      </c>
      <c r="R19" s="274">
        <f t="shared" si="4"/>
        <v>0</v>
      </c>
      <c r="S19" s="273">
        <f>'人员人工-研发人员工资'!S19</f>
        <v>0</v>
      </c>
      <c r="T19" s="274">
        <f t="shared" si="5"/>
        <v>0</v>
      </c>
      <c r="U19" s="273">
        <f>'人员人工-研发人员工资'!U19</f>
        <v>0</v>
      </c>
      <c r="V19" s="274">
        <f t="shared" si="6"/>
        <v>0</v>
      </c>
      <c r="W19" s="273">
        <f>'人员人工-研发人员工资'!W19</f>
        <v>0</v>
      </c>
      <c r="X19" s="274">
        <f t="shared" si="7"/>
        <v>0</v>
      </c>
      <c r="Y19" s="273">
        <f>'人员人工-研发人员工资'!Y19</f>
        <v>0</v>
      </c>
      <c r="Z19" s="274">
        <f t="shared" si="8"/>
        <v>0</v>
      </c>
    </row>
    <row r="20" s="251" customFormat="1" customHeight="1" spans="1:26">
      <c r="A20" s="270">
        <v>15</v>
      </c>
      <c r="B20" s="271">
        <f>'人员人工-研发人员工资'!B20</f>
        <v>0</v>
      </c>
      <c r="C20" s="274"/>
      <c r="D20" s="272">
        <f>'人员人工-研发人员工资'!D20</f>
        <v>0</v>
      </c>
      <c r="E20" s="272">
        <f t="shared" si="9"/>
        <v>0</v>
      </c>
      <c r="F20" s="272">
        <f t="shared" si="10"/>
        <v>0</v>
      </c>
      <c r="G20" s="273">
        <f>'人员人工-研发人员工资'!G20</f>
        <v>0</v>
      </c>
      <c r="H20" s="274">
        <f t="shared" si="11"/>
        <v>0</v>
      </c>
      <c r="I20" s="273">
        <f>'人员人工-研发人员工资'!I20</f>
        <v>0</v>
      </c>
      <c r="J20" s="274">
        <f t="shared" si="0"/>
        <v>0</v>
      </c>
      <c r="K20" s="275">
        <f>'人员人工-研发人员工资'!K20</f>
        <v>0</v>
      </c>
      <c r="L20" s="274">
        <f t="shared" si="1"/>
        <v>0</v>
      </c>
      <c r="M20" s="273">
        <f>'人员人工-研发人员工资'!M20</f>
        <v>0</v>
      </c>
      <c r="N20" s="274">
        <f t="shared" si="2"/>
        <v>0</v>
      </c>
      <c r="O20" s="273">
        <f>'人员人工-研发人员工资'!O20</f>
        <v>0</v>
      </c>
      <c r="P20" s="274">
        <f t="shared" si="3"/>
        <v>0</v>
      </c>
      <c r="Q20" s="273">
        <f>'人员人工-研发人员工资'!Q20</f>
        <v>0</v>
      </c>
      <c r="R20" s="274">
        <f t="shared" si="4"/>
        <v>0</v>
      </c>
      <c r="S20" s="273">
        <f>'人员人工-研发人员工资'!S20</f>
        <v>0</v>
      </c>
      <c r="T20" s="274">
        <f t="shared" si="5"/>
        <v>0</v>
      </c>
      <c r="U20" s="273">
        <f>'人员人工-研发人员工资'!U20</f>
        <v>0</v>
      </c>
      <c r="V20" s="274">
        <f t="shared" si="6"/>
        <v>0</v>
      </c>
      <c r="W20" s="273">
        <f>'人员人工-研发人员工资'!W20</f>
        <v>0</v>
      </c>
      <c r="X20" s="274">
        <f t="shared" si="7"/>
        <v>0</v>
      </c>
      <c r="Y20" s="273">
        <f>'人员人工-研发人员工资'!Y20</f>
        <v>0</v>
      </c>
      <c r="Z20" s="274">
        <f t="shared" si="8"/>
        <v>0</v>
      </c>
    </row>
    <row r="21" s="251" customFormat="1" customHeight="1" spans="1:26">
      <c r="A21" s="270">
        <v>16</v>
      </c>
      <c r="B21" s="271">
        <f>'人员人工-研发人员工资'!B21</f>
        <v>0</v>
      </c>
      <c r="C21" s="274"/>
      <c r="D21" s="272">
        <f>'人员人工-研发人员工资'!D21</f>
        <v>0</v>
      </c>
      <c r="E21" s="272">
        <f t="shared" si="9"/>
        <v>0</v>
      </c>
      <c r="F21" s="272">
        <f t="shared" si="10"/>
        <v>0</v>
      </c>
      <c r="G21" s="273">
        <f>'人员人工-研发人员工资'!G21</f>
        <v>0</v>
      </c>
      <c r="H21" s="274">
        <f t="shared" si="11"/>
        <v>0</v>
      </c>
      <c r="I21" s="273">
        <f>'人员人工-研发人员工资'!I21</f>
        <v>0</v>
      </c>
      <c r="J21" s="274">
        <f t="shared" si="0"/>
        <v>0</v>
      </c>
      <c r="K21" s="275">
        <f>'人员人工-研发人员工资'!K21</f>
        <v>0</v>
      </c>
      <c r="L21" s="274">
        <f t="shared" si="1"/>
        <v>0</v>
      </c>
      <c r="M21" s="273">
        <f>'人员人工-研发人员工资'!M21</f>
        <v>0</v>
      </c>
      <c r="N21" s="274">
        <f t="shared" si="2"/>
        <v>0</v>
      </c>
      <c r="O21" s="273">
        <f>'人员人工-研发人员工资'!O21</f>
        <v>0</v>
      </c>
      <c r="P21" s="274">
        <f t="shared" si="3"/>
        <v>0</v>
      </c>
      <c r="Q21" s="273">
        <f>'人员人工-研发人员工资'!Q21</f>
        <v>0</v>
      </c>
      <c r="R21" s="274">
        <f t="shared" si="4"/>
        <v>0</v>
      </c>
      <c r="S21" s="273">
        <f>'人员人工-研发人员工资'!S21</f>
        <v>0</v>
      </c>
      <c r="T21" s="274">
        <f t="shared" si="5"/>
        <v>0</v>
      </c>
      <c r="U21" s="273">
        <f>'人员人工-研发人员工资'!U21</f>
        <v>0</v>
      </c>
      <c r="V21" s="274">
        <f t="shared" si="6"/>
        <v>0</v>
      </c>
      <c r="W21" s="273">
        <f>'人员人工-研发人员工资'!W21</f>
        <v>0</v>
      </c>
      <c r="X21" s="274">
        <f t="shared" si="7"/>
        <v>0</v>
      </c>
      <c r="Y21" s="273">
        <f>'人员人工-研发人员工资'!Y21</f>
        <v>0</v>
      </c>
      <c r="Z21" s="274">
        <f t="shared" si="8"/>
        <v>0</v>
      </c>
    </row>
    <row r="22" s="251" customFormat="1" customHeight="1" spans="1:26">
      <c r="A22" s="270">
        <v>17</v>
      </c>
      <c r="B22" s="271">
        <f>'人员人工-研发人员工资'!B22</f>
        <v>0</v>
      </c>
      <c r="C22" s="274"/>
      <c r="D22" s="272">
        <f>'人员人工-研发人员工资'!D22</f>
        <v>0</v>
      </c>
      <c r="E22" s="272">
        <f t="shared" si="9"/>
        <v>0</v>
      </c>
      <c r="F22" s="272">
        <f t="shared" si="10"/>
        <v>0</v>
      </c>
      <c r="G22" s="273">
        <f>'人员人工-研发人员工资'!G22</f>
        <v>0</v>
      </c>
      <c r="H22" s="274">
        <f t="shared" si="11"/>
        <v>0</v>
      </c>
      <c r="I22" s="273">
        <f>'人员人工-研发人员工资'!I22</f>
        <v>0</v>
      </c>
      <c r="J22" s="274">
        <f t="shared" si="0"/>
        <v>0</v>
      </c>
      <c r="K22" s="275">
        <f>'人员人工-研发人员工资'!K22</f>
        <v>0</v>
      </c>
      <c r="L22" s="274">
        <f t="shared" si="1"/>
        <v>0</v>
      </c>
      <c r="M22" s="273">
        <f>'人员人工-研发人员工资'!M22</f>
        <v>0</v>
      </c>
      <c r="N22" s="274">
        <f t="shared" si="2"/>
        <v>0</v>
      </c>
      <c r="O22" s="273">
        <f>'人员人工-研发人员工资'!O22</f>
        <v>0</v>
      </c>
      <c r="P22" s="274">
        <f t="shared" si="3"/>
        <v>0</v>
      </c>
      <c r="Q22" s="273">
        <f>'人员人工-研发人员工资'!Q22</f>
        <v>0</v>
      </c>
      <c r="R22" s="274">
        <f t="shared" si="4"/>
        <v>0</v>
      </c>
      <c r="S22" s="273">
        <f>'人员人工-研发人员工资'!S22</f>
        <v>0</v>
      </c>
      <c r="T22" s="274">
        <f t="shared" si="5"/>
        <v>0</v>
      </c>
      <c r="U22" s="273">
        <f>'人员人工-研发人员工资'!U22</f>
        <v>0</v>
      </c>
      <c r="V22" s="274">
        <f t="shared" si="6"/>
        <v>0</v>
      </c>
      <c r="W22" s="273">
        <f>'人员人工-研发人员工资'!W22</f>
        <v>0</v>
      </c>
      <c r="X22" s="274">
        <f t="shared" si="7"/>
        <v>0</v>
      </c>
      <c r="Y22" s="273">
        <f>'人员人工-研发人员工资'!Y22</f>
        <v>0</v>
      </c>
      <c r="Z22" s="274">
        <f t="shared" si="8"/>
        <v>0</v>
      </c>
    </row>
    <row r="23" s="251" customFormat="1" customHeight="1" spans="1:26">
      <c r="A23" s="270">
        <v>18</v>
      </c>
      <c r="B23" s="271">
        <f>'人员人工-研发人员工资'!B23</f>
        <v>0</v>
      </c>
      <c r="C23" s="274"/>
      <c r="D23" s="272">
        <f>'人员人工-研发人员工资'!D23</f>
        <v>0</v>
      </c>
      <c r="E23" s="272">
        <f t="shared" si="9"/>
        <v>0</v>
      </c>
      <c r="F23" s="272">
        <f t="shared" si="10"/>
        <v>0</v>
      </c>
      <c r="G23" s="273">
        <f>'人员人工-研发人员工资'!G23</f>
        <v>0</v>
      </c>
      <c r="H23" s="274">
        <f t="shared" si="11"/>
        <v>0</v>
      </c>
      <c r="I23" s="273">
        <f>'人员人工-研发人员工资'!I23</f>
        <v>0</v>
      </c>
      <c r="J23" s="274">
        <f t="shared" si="0"/>
        <v>0</v>
      </c>
      <c r="K23" s="275">
        <f>'人员人工-研发人员工资'!K23</f>
        <v>0</v>
      </c>
      <c r="L23" s="274">
        <f t="shared" si="1"/>
        <v>0</v>
      </c>
      <c r="M23" s="273">
        <f>'人员人工-研发人员工资'!M23</f>
        <v>0</v>
      </c>
      <c r="N23" s="274">
        <f t="shared" si="2"/>
        <v>0</v>
      </c>
      <c r="O23" s="273">
        <f>'人员人工-研发人员工资'!O23</f>
        <v>0</v>
      </c>
      <c r="P23" s="274">
        <f t="shared" si="3"/>
        <v>0</v>
      </c>
      <c r="Q23" s="273">
        <f>'人员人工-研发人员工资'!Q23</f>
        <v>0</v>
      </c>
      <c r="R23" s="274">
        <f t="shared" si="4"/>
        <v>0</v>
      </c>
      <c r="S23" s="273">
        <f>'人员人工-研发人员工资'!S23</f>
        <v>0</v>
      </c>
      <c r="T23" s="274">
        <f t="shared" si="5"/>
        <v>0</v>
      </c>
      <c r="U23" s="273">
        <f>'人员人工-研发人员工资'!U23</f>
        <v>0</v>
      </c>
      <c r="V23" s="274">
        <f t="shared" si="6"/>
        <v>0</v>
      </c>
      <c r="W23" s="273">
        <f>'人员人工-研发人员工资'!W23</f>
        <v>0</v>
      </c>
      <c r="X23" s="274">
        <f t="shared" si="7"/>
        <v>0</v>
      </c>
      <c r="Y23" s="273">
        <f>'人员人工-研发人员工资'!Y23</f>
        <v>0</v>
      </c>
      <c r="Z23" s="274">
        <f t="shared" si="8"/>
        <v>0</v>
      </c>
    </row>
    <row r="24" s="251" customFormat="1" customHeight="1" spans="1:26">
      <c r="A24" s="270">
        <v>19</v>
      </c>
      <c r="B24" s="271">
        <f>'人员人工-研发人员工资'!B25</f>
        <v>0</v>
      </c>
      <c r="C24" s="274"/>
      <c r="D24" s="272">
        <f>'人员人工-研发人员工资'!D25</f>
        <v>0</v>
      </c>
      <c r="E24" s="272">
        <f>G25+I25+K25+M25+O25+Q25+S25+U25+W25+Y25</f>
        <v>0</v>
      </c>
      <c r="F24" s="272">
        <f>H25+J25+L25+N25+P25+R25+T25+V25+X25+Z25</f>
        <v>0</v>
      </c>
      <c r="G24" s="273">
        <f>'人员人工-研发人员工资'!G25</f>
        <v>0</v>
      </c>
      <c r="H24" s="274">
        <f>IF($D25=0,0,ROUND(G25/$D25*$C25,2))</f>
        <v>0</v>
      </c>
      <c r="I24" s="273">
        <f>'人员人工-研发人员工资'!I25</f>
        <v>0</v>
      </c>
      <c r="J24" s="274">
        <f>IF($D25=0,0,ROUND(I25/$D25*$C25,2))</f>
        <v>0</v>
      </c>
      <c r="K24" s="275">
        <f>'人员人工-研发人员工资'!K25</f>
        <v>0</v>
      </c>
      <c r="L24" s="274">
        <f>IF($D25=0,0,ROUND(K25/$D25*$C25,2))</f>
        <v>0</v>
      </c>
      <c r="M24" s="273">
        <f>'人员人工-研发人员工资'!M25</f>
        <v>0</v>
      </c>
      <c r="N24" s="274">
        <f>IF($D25=0,0,ROUND(M25/$D25*$C25,2))</f>
        <v>0</v>
      </c>
      <c r="O24" s="273">
        <f>'人员人工-研发人员工资'!O25</f>
        <v>0</v>
      </c>
      <c r="P24" s="274">
        <f>IF($D25=0,0,ROUND(O25/$D25*$C25,2))</f>
        <v>0</v>
      </c>
      <c r="Q24" s="273">
        <f>'人员人工-研发人员工资'!Q25</f>
        <v>0</v>
      </c>
      <c r="R24" s="274">
        <f>IF($D25=0,0,ROUND(Q25/$D25*$C25,2))</f>
        <v>0</v>
      </c>
      <c r="S24" s="273">
        <f>'人员人工-研发人员工资'!S25</f>
        <v>0</v>
      </c>
      <c r="T24" s="274">
        <f>IF($D25=0,0,ROUND(S25/$D25*$C25,2))</f>
        <v>0</v>
      </c>
      <c r="U24" s="273">
        <f>'人员人工-研发人员工资'!U25</f>
        <v>0</v>
      </c>
      <c r="V24" s="274">
        <f>IF($D25=0,0,ROUND(U25/$D25*$C25,2))</f>
        <v>0</v>
      </c>
      <c r="W24" s="273">
        <f>'人员人工-研发人员工资'!W25</f>
        <v>0</v>
      </c>
      <c r="X24" s="274">
        <f>IF($D25=0,0,ROUND(W25/$D25*$C25,2))</f>
        <v>0</v>
      </c>
      <c r="Y24" s="273">
        <f>'人员人工-研发人员工资'!Y25</f>
        <v>0</v>
      </c>
      <c r="Z24" s="274">
        <f>IF($D25=0,0,ROUND(Y25/$D25*$C25,2))</f>
        <v>0</v>
      </c>
    </row>
    <row r="25" s="251" customFormat="1" customHeight="1" spans="1:26">
      <c r="A25" s="270">
        <v>20</v>
      </c>
      <c r="B25" s="271">
        <f>'人员人工-研发人员工资'!B25</f>
        <v>0</v>
      </c>
      <c r="C25" s="274"/>
      <c r="D25" s="272">
        <f>'人员人工-研发人员工资'!D25</f>
        <v>0</v>
      </c>
      <c r="E25" s="272">
        <f t="shared" si="9"/>
        <v>0</v>
      </c>
      <c r="F25" s="272">
        <f t="shared" si="10"/>
        <v>0</v>
      </c>
      <c r="G25" s="273">
        <f>'人员人工-研发人员工资'!G25</f>
        <v>0</v>
      </c>
      <c r="H25" s="274">
        <f t="shared" si="11"/>
        <v>0</v>
      </c>
      <c r="I25" s="273">
        <f>'人员人工-研发人员工资'!I25</f>
        <v>0</v>
      </c>
      <c r="J25" s="274">
        <f t="shared" si="0"/>
        <v>0</v>
      </c>
      <c r="K25" s="275">
        <f>'人员人工-研发人员工资'!K25</f>
        <v>0</v>
      </c>
      <c r="L25" s="274">
        <f t="shared" si="1"/>
        <v>0</v>
      </c>
      <c r="M25" s="273">
        <f>'人员人工-研发人员工资'!M25</f>
        <v>0</v>
      </c>
      <c r="N25" s="274">
        <f t="shared" si="2"/>
        <v>0</v>
      </c>
      <c r="O25" s="273">
        <f>'人员人工-研发人员工资'!O25</f>
        <v>0</v>
      </c>
      <c r="P25" s="274">
        <f t="shared" si="3"/>
        <v>0</v>
      </c>
      <c r="Q25" s="273">
        <f>'人员人工-研发人员工资'!Q25</f>
        <v>0</v>
      </c>
      <c r="R25" s="274">
        <f t="shared" si="4"/>
        <v>0</v>
      </c>
      <c r="S25" s="273">
        <f>'人员人工-研发人员工资'!S25</f>
        <v>0</v>
      </c>
      <c r="T25" s="274">
        <f t="shared" si="5"/>
        <v>0</v>
      </c>
      <c r="U25" s="273">
        <f>'人员人工-研发人员工资'!U25</f>
        <v>0</v>
      </c>
      <c r="V25" s="274">
        <f t="shared" si="6"/>
        <v>0</v>
      </c>
      <c r="W25" s="273">
        <f>'人员人工-研发人员工资'!W25</f>
        <v>0</v>
      </c>
      <c r="X25" s="274">
        <f t="shared" si="7"/>
        <v>0</v>
      </c>
      <c r="Y25" s="273">
        <f>'人员人工-研发人员工资'!Y25</f>
        <v>0</v>
      </c>
      <c r="Z25" s="274">
        <f t="shared" si="8"/>
        <v>0</v>
      </c>
    </row>
    <row r="26" s="251" customFormat="1" customHeight="1" spans="1:26">
      <c r="A26" s="270">
        <v>21</v>
      </c>
      <c r="B26" s="271">
        <f>'人员人工-研发人员工资'!B26</f>
        <v>0</v>
      </c>
      <c r="C26" s="274"/>
      <c r="D26" s="272">
        <f>'人员人工-研发人员工资'!D26</f>
        <v>0</v>
      </c>
      <c r="E26" s="272">
        <f t="shared" si="9"/>
        <v>0</v>
      </c>
      <c r="F26" s="272">
        <f t="shared" si="10"/>
        <v>0</v>
      </c>
      <c r="G26" s="273">
        <f>'人员人工-研发人员工资'!G26</f>
        <v>0</v>
      </c>
      <c r="H26" s="274">
        <f t="shared" si="11"/>
        <v>0</v>
      </c>
      <c r="I26" s="273">
        <f>'人员人工-研发人员工资'!I26</f>
        <v>0</v>
      </c>
      <c r="J26" s="274">
        <f t="shared" si="0"/>
        <v>0</v>
      </c>
      <c r="K26" s="275">
        <f>'人员人工-研发人员工资'!K26</f>
        <v>0</v>
      </c>
      <c r="L26" s="274">
        <f t="shared" si="1"/>
        <v>0</v>
      </c>
      <c r="M26" s="273">
        <f>'人员人工-研发人员工资'!M26</f>
        <v>0</v>
      </c>
      <c r="N26" s="274">
        <f t="shared" si="2"/>
        <v>0</v>
      </c>
      <c r="O26" s="273">
        <f>'人员人工-研发人员工资'!O26</f>
        <v>0</v>
      </c>
      <c r="P26" s="274">
        <f t="shared" si="3"/>
        <v>0</v>
      </c>
      <c r="Q26" s="273">
        <f>'人员人工-研发人员工资'!Q26</f>
        <v>0</v>
      </c>
      <c r="R26" s="274">
        <f t="shared" si="4"/>
        <v>0</v>
      </c>
      <c r="S26" s="273">
        <f>'人员人工-研发人员工资'!S26</f>
        <v>0</v>
      </c>
      <c r="T26" s="274">
        <f t="shared" si="5"/>
        <v>0</v>
      </c>
      <c r="U26" s="273">
        <f>'人员人工-研发人员工资'!U26</f>
        <v>0</v>
      </c>
      <c r="V26" s="274">
        <f t="shared" si="6"/>
        <v>0</v>
      </c>
      <c r="W26" s="273">
        <f>'人员人工-研发人员工资'!W26</f>
        <v>0</v>
      </c>
      <c r="X26" s="274">
        <f t="shared" si="7"/>
        <v>0</v>
      </c>
      <c r="Y26" s="273">
        <f>'人员人工-研发人员工资'!Y26</f>
        <v>0</v>
      </c>
      <c r="Z26" s="274">
        <f t="shared" si="8"/>
        <v>0</v>
      </c>
    </row>
    <row r="27" s="251" customFormat="1" customHeight="1" spans="1:26">
      <c r="A27" s="270">
        <v>22</v>
      </c>
      <c r="B27" s="271">
        <f>'人员人工-研发人员工资'!B27</f>
        <v>0</v>
      </c>
      <c r="C27" s="274"/>
      <c r="D27" s="272">
        <f>'人员人工-研发人员工资'!D27</f>
        <v>0</v>
      </c>
      <c r="E27" s="272">
        <f t="shared" si="9"/>
        <v>0</v>
      </c>
      <c r="F27" s="272">
        <f t="shared" si="10"/>
        <v>0</v>
      </c>
      <c r="G27" s="273">
        <f>'人员人工-研发人员工资'!G27</f>
        <v>0</v>
      </c>
      <c r="H27" s="274">
        <f t="shared" si="11"/>
        <v>0</v>
      </c>
      <c r="I27" s="273">
        <f>'人员人工-研发人员工资'!I27</f>
        <v>0</v>
      </c>
      <c r="J27" s="274">
        <f t="shared" si="0"/>
        <v>0</v>
      </c>
      <c r="K27" s="275">
        <f>'人员人工-研发人员工资'!K27</f>
        <v>0</v>
      </c>
      <c r="L27" s="274">
        <f t="shared" si="1"/>
        <v>0</v>
      </c>
      <c r="M27" s="273">
        <f>'人员人工-研发人员工资'!M27</f>
        <v>0</v>
      </c>
      <c r="N27" s="274">
        <f t="shared" si="2"/>
        <v>0</v>
      </c>
      <c r="O27" s="273">
        <f>'人员人工-研发人员工资'!O27</f>
        <v>0</v>
      </c>
      <c r="P27" s="274">
        <f t="shared" si="3"/>
        <v>0</v>
      </c>
      <c r="Q27" s="273">
        <f>'人员人工-研发人员工资'!Q27</f>
        <v>0</v>
      </c>
      <c r="R27" s="274">
        <f t="shared" si="4"/>
        <v>0</v>
      </c>
      <c r="S27" s="273">
        <f>'人员人工-研发人员工资'!S27</f>
        <v>0</v>
      </c>
      <c r="T27" s="274">
        <f t="shared" si="5"/>
        <v>0</v>
      </c>
      <c r="U27" s="273">
        <f>'人员人工-研发人员工资'!U27</f>
        <v>0</v>
      </c>
      <c r="V27" s="274">
        <f t="shared" si="6"/>
        <v>0</v>
      </c>
      <c r="W27" s="273">
        <f>'人员人工-研发人员工资'!W27</f>
        <v>0</v>
      </c>
      <c r="X27" s="274">
        <f t="shared" si="7"/>
        <v>0</v>
      </c>
      <c r="Y27" s="273">
        <f>'人员人工-研发人员工资'!Y27</f>
        <v>0</v>
      </c>
      <c r="Z27" s="274">
        <f t="shared" si="8"/>
        <v>0</v>
      </c>
    </row>
    <row r="28" s="251" customFormat="1" customHeight="1" spans="1:26">
      <c r="A28" s="270">
        <v>23</v>
      </c>
      <c r="B28" s="271">
        <f>'人员人工-研发人员工资'!B28</f>
        <v>0</v>
      </c>
      <c r="C28" s="274"/>
      <c r="D28" s="272">
        <f>'人员人工-研发人员工资'!D28</f>
        <v>0</v>
      </c>
      <c r="E28" s="272">
        <f t="shared" si="9"/>
        <v>0</v>
      </c>
      <c r="F28" s="272">
        <f t="shared" si="10"/>
        <v>0</v>
      </c>
      <c r="G28" s="273">
        <f>'人员人工-研发人员工资'!G28</f>
        <v>0</v>
      </c>
      <c r="H28" s="274">
        <f t="shared" si="11"/>
        <v>0</v>
      </c>
      <c r="I28" s="273">
        <f>'人员人工-研发人员工资'!I28</f>
        <v>0</v>
      </c>
      <c r="J28" s="274">
        <f t="shared" si="0"/>
        <v>0</v>
      </c>
      <c r="K28" s="275">
        <f>'人员人工-研发人员工资'!K28</f>
        <v>0</v>
      </c>
      <c r="L28" s="274">
        <f t="shared" si="1"/>
        <v>0</v>
      </c>
      <c r="M28" s="273">
        <f>'人员人工-研发人员工资'!M28</f>
        <v>0</v>
      </c>
      <c r="N28" s="274">
        <f t="shared" si="2"/>
        <v>0</v>
      </c>
      <c r="O28" s="273">
        <f>'人员人工-研发人员工资'!O28</f>
        <v>0</v>
      </c>
      <c r="P28" s="274">
        <f t="shared" si="3"/>
        <v>0</v>
      </c>
      <c r="Q28" s="273">
        <f>'人员人工-研发人员工资'!Q28</f>
        <v>0</v>
      </c>
      <c r="R28" s="274">
        <f t="shared" si="4"/>
        <v>0</v>
      </c>
      <c r="S28" s="273">
        <f>'人员人工-研发人员工资'!S28</f>
        <v>0</v>
      </c>
      <c r="T28" s="274">
        <f t="shared" si="5"/>
        <v>0</v>
      </c>
      <c r="U28" s="273">
        <f>'人员人工-研发人员工资'!U28</f>
        <v>0</v>
      </c>
      <c r="V28" s="274">
        <f t="shared" si="6"/>
        <v>0</v>
      </c>
      <c r="W28" s="273">
        <f>'人员人工-研发人员工资'!W28</f>
        <v>0</v>
      </c>
      <c r="X28" s="274">
        <f t="shared" si="7"/>
        <v>0</v>
      </c>
      <c r="Y28" s="273">
        <f>'人员人工-研发人员工资'!Y28</f>
        <v>0</v>
      </c>
      <c r="Z28" s="274">
        <f t="shared" si="8"/>
        <v>0</v>
      </c>
    </row>
    <row r="29" s="251" customFormat="1" customHeight="1" spans="1:26">
      <c r="A29" s="270">
        <v>25</v>
      </c>
      <c r="B29" s="271">
        <f>'人员人工-研发人员工资'!B29</f>
        <v>0</v>
      </c>
      <c r="C29" s="274"/>
      <c r="D29" s="272">
        <f>'人员人工-研发人员工资'!D29</f>
        <v>0</v>
      </c>
      <c r="E29" s="272">
        <f t="shared" si="9"/>
        <v>0</v>
      </c>
      <c r="F29" s="272">
        <f t="shared" si="10"/>
        <v>0</v>
      </c>
      <c r="G29" s="273">
        <f>'人员人工-研发人员工资'!G29</f>
        <v>0</v>
      </c>
      <c r="H29" s="274">
        <f t="shared" si="11"/>
        <v>0</v>
      </c>
      <c r="I29" s="273">
        <f>'人员人工-研发人员工资'!I29</f>
        <v>0</v>
      </c>
      <c r="J29" s="274">
        <f t="shared" si="0"/>
        <v>0</v>
      </c>
      <c r="K29" s="275">
        <f>'人员人工-研发人员工资'!K29</f>
        <v>0</v>
      </c>
      <c r="L29" s="274">
        <f t="shared" si="1"/>
        <v>0</v>
      </c>
      <c r="M29" s="273">
        <f>'人员人工-研发人员工资'!M29</f>
        <v>0</v>
      </c>
      <c r="N29" s="274">
        <f t="shared" si="2"/>
        <v>0</v>
      </c>
      <c r="O29" s="273">
        <f>'人员人工-研发人员工资'!O29</f>
        <v>0</v>
      </c>
      <c r="P29" s="274">
        <f t="shared" si="3"/>
        <v>0</v>
      </c>
      <c r="Q29" s="273">
        <f>'人员人工-研发人员工资'!Q29</f>
        <v>0</v>
      </c>
      <c r="R29" s="274">
        <f t="shared" si="4"/>
        <v>0</v>
      </c>
      <c r="S29" s="273">
        <f>'人员人工-研发人员工资'!S29</f>
        <v>0</v>
      </c>
      <c r="T29" s="274">
        <f t="shared" si="5"/>
        <v>0</v>
      </c>
      <c r="U29" s="273">
        <f>'人员人工-研发人员工资'!U29</f>
        <v>0</v>
      </c>
      <c r="V29" s="274">
        <f t="shared" si="6"/>
        <v>0</v>
      </c>
      <c r="W29" s="273">
        <f>'人员人工-研发人员工资'!W29</f>
        <v>0</v>
      </c>
      <c r="X29" s="274">
        <f t="shared" si="7"/>
        <v>0</v>
      </c>
      <c r="Y29" s="273">
        <f>'人员人工-研发人员工资'!Y29</f>
        <v>0</v>
      </c>
      <c r="Z29" s="274">
        <f t="shared" si="8"/>
        <v>0</v>
      </c>
    </row>
    <row r="30" s="251" customFormat="1" customHeight="1" spans="1:26">
      <c r="A30" s="270">
        <v>25</v>
      </c>
      <c r="B30" s="271">
        <f>'人员人工-研发人员工资'!B30</f>
        <v>0</v>
      </c>
      <c r="C30" s="274"/>
      <c r="D30" s="272">
        <f>'人员人工-研发人员工资'!D30</f>
        <v>0</v>
      </c>
      <c r="E30" s="272">
        <f t="shared" si="9"/>
        <v>0</v>
      </c>
      <c r="F30" s="272">
        <f t="shared" si="10"/>
        <v>0</v>
      </c>
      <c r="G30" s="273">
        <f>'人员人工-研发人员工资'!G30</f>
        <v>0</v>
      </c>
      <c r="H30" s="274">
        <f t="shared" si="11"/>
        <v>0</v>
      </c>
      <c r="I30" s="273">
        <f>'人员人工-研发人员工资'!I30</f>
        <v>0</v>
      </c>
      <c r="J30" s="274">
        <f t="shared" si="0"/>
        <v>0</v>
      </c>
      <c r="K30" s="275">
        <f>'人员人工-研发人员工资'!K30</f>
        <v>0</v>
      </c>
      <c r="L30" s="274">
        <f t="shared" si="1"/>
        <v>0</v>
      </c>
      <c r="M30" s="273">
        <f>'人员人工-研发人员工资'!M30</f>
        <v>0</v>
      </c>
      <c r="N30" s="274">
        <f t="shared" si="2"/>
        <v>0</v>
      </c>
      <c r="O30" s="273">
        <f>'人员人工-研发人员工资'!O30</f>
        <v>0</v>
      </c>
      <c r="P30" s="274">
        <f t="shared" si="3"/>
        <v>0</v>
      </c>
      <c r="Q30" s="273">
        <f>'人员人工-研发人员工资'!Q30</f>
        <v>0</v>
      </c>
      <c r="R30" s="274">
        <f t="shared" si="4"/>
        <v>0</v>
      </c>
      <c r="S30" s="273">
        <f>'人员人工-研发人员工资'!S30</f>
        <v>0</v>
      </c>
      <c r="T30" s="274">
        <f t="shared" si="5"/>
        <v>0</v>
      </c>
      <c r="U30" s="273">
        <f>'人员人工-研发人员工资'!U30</f>
        <v>0</v>
      </c>
      <c r="V30" s="274">
        <f t="shared" si="6"/>
        <v>0</v>
      </c>
      <c r="W30" s="273">
        <f>'人员人工-研发人员工资'!W30</f>
        <v>0</v>
      </c>
      <c r="X30" s="274">
        <f t="shared" si="7"/>
        <v>0</v>
      </c>
      <c r="Y30" s="273">
        <f>'人员人工-研发人员工资'!Y30</f>
        <v>0</v>
      </c>
      <c r="Z30" s="274">
        <f t="shared" si="8"/>
        <v>0</v>
      </c>
    </row>
    <row r="31" s="251" customFormat="1" customHeight="1" spans="1:26">
      <c r="A31" s="270">
        <v>26</v>
      </c>
      <c r="B31" s="271">
        <f>'人员人工-研发人员工资'!B31</f>
        <v>0</v>
      </c>
      <c r="C31" s="274"/>
      <c r="D31" s="272">
        <f>'人员人工-研发人员工资'!D31</f>
        <v>0</v>
      </c>
      <c r="E31" s="272">
        <f t="shared" si="9"/>
        <v>0</v>
      </c>
      <c r="F31" s="272">
        <f t="shared" si="10"/>
        <v>0</v>
      </c>
      <c r="G31" s="273">
        <f>'人员人工-研发人员工资'!G31</f>
        <v>0</v>
      </c>
      <c r="H31" s="274">
        <f t="shared" si="11"/>
        <v>0</v>
      </c>
      <c r="I31" s="273">
        <f>'人员人工-研发人员工资'!I31</f>
        <v>0</v>
      </c>
      <c r="J31" s="274">
        <f t="shared" si="0"/>
        <v>0</v>
      </c>
      <c r="K31" s="275">
        <f>'人员人工-研发人员工资'!K31</f>
        <v>0</v>
      </c>
      <c r="L31" s="274">
        <f t="shared" si="1"/>
        <v>0</v>
      </c>
      <c r="M31" s="273">
        <f>'人员人工-研发人员工资'!M31</f>
        <v>0</v>
      </c>
      <c r="N31" s="274">
        <f t="shared" si="2"/>
        <v>0</v>
      </c>
      <c r="O31" s="273">
        <f>'人员人工-研发人员工资'!O31</f>
        <v>0</v>
      </c>
      <c r="P31" s="274">
        <f t="shared" si="3"/>
        <v>0</v>
      </c>
      <c r="Q31" s="273">
        <f>'人员人工-研发人员工资'!Q31</f>
        <v>0</v>
      </c>
      <c r="R31" s="274">
        <f t="shared" si="4"/>
        <v>0</v>
      </c>
      <c r="S31" s="273">
        <f>'人员人工-研发人员工资'!S31</f>
        <v>0</v>
      </c>
      <c r="T31" s="274">
        <f t="shared" si="5"/>
        <v>0</v>
      </c>
      <c r="U31" s="273">
        <f>'人员人工-研发人员工资'!U31</f>
        <v>0</v>
      </c>
      <c r="V31" s="274">
        <f t="shared" si="6"/>
        <v>0</v>
      </c>
      <c r="W31" s="273">
        <f>'人员人工-研发人员工资'!W31</f>
        <v>0</v>
      </c>
      <c r="X31" s="274">
        <f t="shared" si="7"/>
        <v>0</v>
      </c>
      <c r="Y31" s="273">
        <f>'人员人工-研发人员工资'!Y31</f>
        <v>0</v>
      </c>
      <c r="Z31" s="274">
        <f t="shared" si="8"/>
        <v>0</v>
      </c>
    </row>
    <row r="32" s="251" customFormat="1" customHeight="1" spans="1:26">
      <c r="A32" s="270">
        <v>27</v>
      </c>
      <c r="B32" s="271">
        <f>'人员人工-研发人员工资'!B32</f>
        <v>0</v>
      </c>
      <c r="C32" s="274"/>
      <c r="D32" s="272">
        <f>'人员人工-研发人员工资'!D32</f>
        <v>0</v>
      </c>
      <c r="E32" s="272">
        <f t="shared" si="9"/>
        <v>0</v>
      </c>
      <c r="F32" s="272">
        <f t="shared" si="10"/>
        <v>0</v>
      </c>
      <c r="G32" s="273">
        <f>'人员人工-研发人员工资'!G32</f>
        <v>0</v>
      </c>
      <c r="H32" s="274">
        <f t="shared" si="11"/>
        <v>0</v>
      </c>
      <c r="I32" s="273">
        <f>'人员人工-研发人员工资'!I32</f>
        <v>0</v>
      </c>
      <c r="J32" s="274">
        <f t="shared" si="0"/>
        <v>0</v>
      </c>
      <c r="K32" s="275">
        <f>'人员人工-研发人员工资'!K32</f>
        <v>0</v>
      </c>
      <c r="L32" s="274">
        <f t="shared" si="1"/>
        <v>0</v>
      </c>
      <c r="M32" s="273">
        <f>'人员人工-研发人员工资'!M32</f>
        <v>0</v>
      </c>
      <c r="N32" s="274">
        <f t="shared" si="2"/>
        <v>0</v>
      </c>
      <c r="O32" s="273">
        <f>'人员人工-研发人员工资'!O32</f>
        <v>0</v>
      </c>
      <c r="P32" s="274">
        <f t="shared" si="3"/>
        <v>0</v>
      </c>
      <c r="Q32" s="273">
        <f>'人员人工-研发人员工资'!Q32</f>
        <v>0</v>
      </c>
      <c r="R32" s="274">
        <f t="shared" si="4"/>
        <v>0</v>
      </c>
      <c r="S32" s="273">
        <f>'人员人工-研发人员工资'!S32</f>
        <v>0</v>
      </c>
      <c r="T32" s="274">
        <f t="shared" si="5"/>
        <v>0</v>
      </c>
      <c r="U32" s="273">
        <f>'人员人工-研发人员工资'!U32</f>
        <v>0</v>
      </c>
      <c r="V32" s="274">
        <f t="shared" si="6"/>
        <v>0</v>
      </c>
      <c r="W32" s="273">
        <f>'人员人工-研发人员工资'!W32</f>
        <v>0</v>
      </c>
      <c r="X32" s="274">
        <f t="shared" si="7"/>
        <v>0</v>
      </c>
      <c r="Y32" s="273">
        <f>'人员人工-研发人员工资'!Y32</f>
        <v>0</v>
      </c>
      <c r="Z32" s="274">
        <f t="shared" si="8"/>
        <v>0</v>
      </c>
    </row>
    <row r="33" s="251" customFormat="1" customHeight="1" spans="1:26">
      <c r="A33" s="270">
        <v>28</v>
      </c>
      <c r="B33" s="271">
        <f>'人员人工-研发人员工资'!B33</f>
        <v>0</v>
      </c>
      <c r="C33" s="274"/>
      <c r="D33" s="272">
        <f>'人员人工-研发人员工资'!D33</f>
        <v>0</v>
      </c>
      <c r="E33" s="272">
        <f t="shared" si="9"/>
        <v>0</v>
      </c>
      <c r="F33" s="272">
        <f t="shared" si="10"/>
        <v>0</v>
      </c>
      <c r="G33" s="273">
        <f>'人员人工-研发人员工资'!G33</f>
        <v>0</v>
      </c>
      <c r="H33" s="274">
        <f t="shared" si="11"/>
        <v>0</v>
      </c>
      <c r="I33" s="273">
        <f>'人员人工-研发人员工资'!I33</f>
        <v>0</v>
      </c>
      <c r="J33" s="274">
        <f t="shared" si="0"/>
        <v>0</v>
      </c>
      <c r="K33" s="275">
        <f>'人员人工-研发人员工资'!K33</f>
        <v>0</v>
      </c>
      <c r="L33" s="274">
        <f t="shared" si="1"/>
        <v>0</v>
      </c>
      <c r="M33" s="273">
        <f>'人员人工-研发人员工资'!M33</f>
        <v>0</v>
      </c>
      <c r="N33" s="274">
        <f t="shared" si="2"/>
        <v>0</v>
      </c>
      <c r="O33" s="273">
        <f>'人员人工-研发人员工资'!O33</f>
        <v>0</v>
      </c>
      <c r="P33" s="274">
        <f t="shared" si="3"/>
        <v>0</v>
      </c>
      <c r="Q33" s="273">
        <f>'人员人工-研发人员工资'!Q33</f>
        <v>0</v>
      </c>
      <c r="R33" s="274">
        <f t="shared" si="4"/>
        <v>0</v>
      </c>
      <c r="S33" s="273">
        <f>'人员人工-研发人员工资'!S33</f>
        <v>0</v>
      </c>
      <c r="T33" s="274">
        <f t="shared" si="5"/>
        <v>0</v>
      </c>
      <c r="U33" s="273">
        <f>'人员人工-研发人员工资'!U33</f>
        <v>0</v>
      </c>
      <c r="V33" s="274">
        <f t="shared" si="6"/>
        <v>0</v>
      </c>
      <c r="W33" s="273">
        <f>'人员人工-研发人员工资'!W33</f>
        <v>0</v>
      </c>
      <c r="X33" s="274">
        <f t="shared" si="7"/>
        <v>0</v>
      </c>
      <c r="Y33" s="273">
        <f>'人员人工-研发人员工资'!Y33</f>
        <v>0</v>
      </c>
      <c r="Z33" s="274">
        <f t="shared" si="8"/>
        <v>0</v>
      </c>
    </row>
    <row r="34" s="251" customFormat="1" customHeight="1" spans="1:26">
      <c r="A34" s="270">
        <v>29</v>
      </c>
      <c r="B34" s="271">
        <f>'人员人工-研发人员工资'!B34</f>
        <v>0</v>
      </c>
      <c r="C34" s="274"/>
      <c r="D34" s="272">
        <f>'人员人工-研发人员工资'!D34</f>
        <v>0</v>
      </c>
      <c r="E34" s="272">
        <f t="shared" si="9"/>
        <v>0</v>
      </c>
      <c r="F34" s="272">
        <f t="shared" si="10"/>
        <v>0</v>
      </c>
      <c r="G34" s="273">
        <f>'人员人工-研发人员工资'!G34</f>
        <v>0</v>
      </c>
      <c r="H34" s="274">
        <f t="shared" si="11"/>
        <v>0</v>
      </c>
      <c r="I34" s="273">
        <f>'人员人工-研发人员工资'!I34</f>
        <v>0</v>
      </c>
      <c r="J34" s="274">
        <f t="shared" si="0"/>
        <v>0</v>
      </c>
      <c r="K34" s="275">
        <f>'人员人工-研发人员工资'!K34</f>
        <v>0</v>
      </c>
      <c r="L34" s="274">
        <f t="shared" si="1"/>
        <v>0</v>
      </c>
      <c r="M34" s="273">
        <f>'人员人工-研发人员工资'!M34</f>
        <v>0</v>
      </c>
      <c r="N34" s="274">
        <f t="shared" si="2"/>
        <v>0</v>
      </c>
      <c r="O34" s="273">
        <f>'人员人工-研发人员工资'!O34</f>
        <v>0</v>
      </c>
      <c r="P34" s="274">
        <f t="shared" si="3"/>
        <v>0</v>
      </c>
      <c r="Q34" s="273">
        <f>'人员人工-研发人员工资'!Q34</f>
        <v>0</v>
      </c>
      <c r="R34" s="274">
        <f t="shared" si="4"/>
        <v>0</v>
      </c>
      <c r="S34" s="273">
        <f>'人员人工-研发人员工资'!S34</f>
        <v>0</v>
      </c>
      <c r="T34" s="274">
        <f t="shared" si="5"/>
        <v>0</v>
      </c>
      <c r="U34" s="273">
        <f>'人员人工-研发人员工资'!U34</f>
        <v>0</v>
      </c>
      <c r="V34" s="274">
        <f t="shared" si="6"/>
        <v>0</v>
      </c>
      <c r="W34" s="273">
        <f>'人员人工-研发人员工资'!W34</f>
        <v>0</v>
      </c>
      <c r="X34" s="274">
        <f t="shared" si="7"/>
        <v>0</v>
      </c>
      <c r="Y34" s="273">
        <f>'人员人工-研发人员工资'!Y34</f>
        <v>0</v>
      </c>
      <c r="Z34" s="274">
        <f t="shared" si="8"/>
        <v>0</v>
      </c>
    </row>
    <row r="35" s="251" customFormat="1" customHeight="1" spans="1:26">
      <c r="A35" s="270">
        <v>30</v>
      </c>
      <c r="B35" s="271">
        <f>'人员人工-研发人员工资'!B35</f>
        <v>0</v>
      </c>
      <c r="C35" s="274"/>
      <c r="D35" s="272">
        <f>'人员人工-研发人员工资'!D35</f>
        <v>0</v>
      </c>
      <c r="E35" s="272">
        <f t="shared" si="9"/>
        <v>0</v>
      </c>
      <c r="F35" s="272">
        <f t="shared" si="10"/>
        <v>0</v>
      </c>
      <c r="G35" s="273">
        <f>'人员人工-研发人员工资'!G35</f>
        <v>0</v>
      </c>
      <c r="H35" s="274">
        <f t="shared" si="11"/>
        <v>0</v>
      </c>
      <c r="I35" s="273">
        <f>'人员人工-研发人员工资'!I35</f>
        <v>0</v>
      </c>
      <c r="J35" s="274">
        <f t="shared" si="0"/>
        <v>0</v>
      </c>
      <c r="K35" s="275">
        <f>'人员人工-研发人员工资'!K35</f>
        <v>0</v>
      </c>
      <c r="L35" s="274">
        <f t="shared" si="1"/>
        <v>0</v>
      </c>
      <c r="M35" s="273">
        <f>'人员人工-研发人员工资'!M35</f>
        <v>0</v>
      </c>
      <c r="N35" s="274">
        <f t="shared" si="2"/>
        <v>0</v>
      </c>
      <c r="O35" s="273">
        <f>'人员人工-研发人员工资'!O35</f>
        <v>0</v>
      </c>
      <c r="P35" s="274">
        <f t="shared" si="3"/>
        <v>0</v>
      </c>
      <c r="Q35" s="273">
        <f>'人员人工-研发人员工资'!Q35</f>
        <v>0</v>
      </c>
      <c r="R35" s="274">
        <f t="shared" si="4"/>
        <v>0</v>
      </c>
      <c r="S35" s="273">
        <f>'人员人工-研发人员工资'!S35</f>
        <v>0</v>
      </c>
      <c r="T35" s="274">
        <f t="shared" si="5"/>
        <v>0</v>
      </c>
      <c r="U35" s="273">
        <f>'人员人工-研发人员工资'!U35</f>
        <v>0</v>
      </c>
      <c r="V35" s="274">
        <f t="shared" si="6"/>
        <v>0</v>
      </c>
      <c r="W35" s="273">
        <f>'人员人工-研发人员工资'!W35</f>
        <v>0</v>
      </c>
      <c r="X35" s="274">
        <f t="shared" si="7"/>
        <v>0</v>
      </c>
      <c r="Y35" s="273">
        <f>'人员人工-研发人员工资'!Y35</f>
        <v>0</v>
      </c>
      <c r="Z35" s="274">
        <f t="shared" si="8"/>
        <v>0</v>
      </c>
    </row>
    <row r="36" s="251" customFormat="1" customHeight="1" spans="1:26">
      <c r="A36" s="276" t="s">
        <v>22</v>
      </c>
      <c r="B36" s="277"/>
      <c r="C36" s="261">
        <f>SUM(C6:C35)</f>
        <v>0</v>
      </c>
      <c r="D36" s="261">
        <f>SUM(D6:D35)</f>
        <v>0</v>
      </c>
      <c r="E36" s="272">
        <f>SUM(E6:E35)</f>
        <v>0</v>
      </c>
      <c r="F36" s="261">
        <f>SUM(F6:F35)</f>
        <v>0</v>
      </c>
      <c r="G36" s="261">
        <f>SUM(G6:G35)</f>
        <v>0</v>
      </c>
      <c r="H36" s="261">
        <f t="shared" ref="H36:AA36" si="12">SUM(H6:H35)</f>
        <v>0</v>
      </c>
      <c r="I36" s="261">
        <f t="shared" si="12"/>
        <v>0</v>
      </c>
      <c r="J36" s="261">
        <f t="shared" si="12"/>
        <v>0</v>
      </c>
      <c r="K36" s="261">
        <f t="shared" si="12"/>
        <v>0</v>
      </c>
      <c r="L36" s="261">
        <f t="shared" si="12"/>
        <v>0</v>
      </c>
      <c r="M36" s="261">
        <f t="shared" si="12"/>
        <v>0</v>
      </c>
      <c r="N36" s="261">
        <f t="shared" si="12"/>
        <v>0</v>
      </c>
      <c r="O36" s="261">
        <f t="shared" si="12"/>
        <v>0</v>
      </c>
      <c r="P36" s="261">
        <f t="shared" si="12"/>
        <v>0</v>
      </c>
      <c r="Q36" s="261">
        <f t="shared" si="12"/>
        <v>0</v>
      </c>
      <c r="R36" s="261">
        <f t="shared" si="12"/>
        <v>0</v>
      </c>
      <c r="S36" s="261">
        <f t="shared" si="12"/>
        <v>0</v>
      </c>
      <c r="T36" s="261">
        <f t="shared" si="12"/>
        <v>0</v>
      </c>
      <c r="U36" s="261">
        <f t="shared" si="12"/>
        <v>0</v>
      </c>
      <c r="V36" s="261">
        <f t="shared" si="12"/>
        <v>0</v>
      </c>
      <c r="W36" s="261">
        <f t="shared" si="12"/>
        <v>0</v>
      </c>
      <c r="X36" s="261">
        <f t="shared" si="12"/>
        <v>0</v>
      </c>
      <c r="Y36" s="261">
        <f t="shared" si="12"/>
        <v>0</v>
      </c>
      <c r="Z36" s="261">
        <f t="shared" si="12"/>
        <v>0</v>
      </c>
    </row>
    <row r="37" s="251" customFormat="1" customHeight="1" spans="1:26">
      <c r="A37" s="252"/>
      <c r="B37" s="253"/>
      <c r="C37" s="254"/>
      <c r="D37" s="254"/>
      <c r="E37" s="254"/>
      <c r="F37" s="254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</row>
    <row r="38" s="251" customFormat="1" customHeight="1" spans="1:26">
      <c r="A38" s="252"/>
      <c r="B38" s="257" t="s">
        <v>144</v>
      </c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</row>
    <row r="39" s="251" customFormat="1" customHeight="1" spans="1:26">
      <c r="A39" s="252"/>
      <c r="B39" s="253"/>
      <c r="C39" s="254"/>
      <c r="D39" s="254"/>
      <c r="E39" s="254"/>
      <c r="F39" s="254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</row>
    <row r="40" s="251" customFormat="1" customHeight="1" spans="1:26">
      <c r="A40" s="259" t="s">
        <v>31</v>
      </c>
      <c r="B40" s="260" t="s">
        <v>32</v>
      </c>
      <c r="C40" s="261" t="s">
        <v>141</v>
      </c>
      <c r="D40" s="261" t="s">
        <v>34</v>
      </c>
      <c r="E40" s="262" t="s">
        <v>35</v>
      </c>
      <c r="F40" s="262" t="s">
        <v>142</v>
      </c>
      <c r="G40" s="263" t="str">
        <f>立项!$A$3</f>
        <v>RD01</v>
      </c>
      <c r="H40" s="264"/>
      <c r="I40" s="264" t="str">
        <f>立项!$A$4</f>
        <v>RD02</v>
      </c>
      <c r="J40" s="264"/>
      <c r="K40" s="264" t="str">
        <f>立项!$A$5</f>
        <v>RD03</v>
      </c>
      <c r="L40" s="264"/>
      <c r="M40" s="264" t="str">
        <f>立项!$A$6</f>
        <v>RD04</v>
      </c>
      <c r="N40" s="264"/>
      <c r="O40" s="264" t="str">
        <f>立项!$A$7</f>
        <v>RD05</v>
      </c>
      <c r="P40" s="264"/>
      <c r="Q40" s="264" t="str">
        <f>立项!$A$8</f>
        <v>RD06</v>
      </c>
      <c r="R40" s="264"/>
      <c r="S40" s="264" t="str">
        <f>立项!$A$9</f>
        <v>RD07</v>
      </c>
      <c r="T40" s="264"/>
      <c r="U40" s="264" t="str">
        <f>立项!$A$10</f>
        <v>RD08</v>
      </c>
      <c r="V40" s="264"/>
      <c r="W40" s="264" t="str">
        <f>立项!$A$11</f>
        <v>RD09</v>
      </c>
      <c r="X40" s="264"/>
      <c r="Y40" s="264" t="str">
        <f>立项!$A$12</f>
        <v>RD10</v>
      </c>
      <c r="Z40" s="264"/>
    </row>
    <row r="41" s="251" customFormat="1" customHeight="1" spans="1:26">
      <c r="A41" s="265"/>
      <c r="B41" s="260"/>
      <c r="C41" s="278"/>
      <c r="D41" s="261"/>
      <c r="E41" s="262"/>
      <c r="F41" s="262"/>
      <c r="G41" s="267">
        <f>立项!C3</f>
        <v>0</v>
      </c>
      <c r="H41" s="263"/>
      <c r="I41" s="267">
        <f>立项!C4</f>
        <v>0</v>
      </c>
      <c r="J41" s="263"/>
      <c r="K41" s="267">
        <f>立项!C5</f>
        <v>0</v>
      </c>
      <c r="L41" s="263"/>
      <c r="M41" s="267">
        <f>立项!C6</f>
        <v>0</v>
      </c>
      <c r="N41" s="263"/>
      <c r="O41" s="267">
        <f>立项!C7</f>
        <v>0</v>
      </c>
      <c r="P41" s="263"/>
      <c r="Q41" s="267">
        <f>立项!C8</f>
        <v>0</v>
      </c>
      <c r="R41" s="263"/>
      <c r="S41" s="267">
        <f>立项!C9</f>
        <v>0</v>
      </c>
      <c r="T41" s="263"/>
      <c r="U41" s="267">
        <f>立项!C10</f>
        <v>0</v>
      </c>
      <c r="V41" s="263"/>
      <c r="W41" s="267">
        <f>立项!C11</f>
        <v>0</v>
      </c>
      <c r="X41" s="263"/>
      <c r="Y41" s="264">
        <f>立项!C12</f>
        <v>0</v>
      </c>
      <c r="Z41" s="264"/>
    </row>
    <row r="42" s="251" customFormat="1" customHeight="1" spans="1:26">
      <c r="A42" s="268"/>
      <c r="B42" s="260"/>
      <c r="C42" s="278"/>
      <c r="D42" s="261"/>
      <c r="E42" s="262"/>
      <c r="F42" s="262"/>
      <c r="G42" s="264" t="s">
        <v>39</v>
      </c>
      <c r="H42" s="269" t="s">
        <v>143</v>
      </c>
      <c r="I42" s="264" t="s">
        <v>39</v>
      </c>
      <c r="J42" s="269" t="s">
        <v>143</v>
      </c>
      <c r="K42" s="264" t="s">
        <v>39</v>
      </c>
      <c r="L42" s="269" t="s">
        <v>143</v>
      </c>
      <c r="M42" s="264" t="s">
        <v>39</v>
      </c>
      <c r="N42" s="269" t="s">
        <v>143</v>
      </c>
      <c r="O42" s="264" t="s">
        <v>39</v>
      </c>
      <c r="P42" s="269" t="s">
        <v>143</v>
      </c>
      <c r="Q42" s="264" t="s">
        <v>39</v>
      </c>
      <c r="R42" s="269" t="s">
        <v>143</v>
      </c>
      <c r="S42" s="264" t="s">
        <v>39</v>
      </c>
      <c r="T42" s="269" t="s">
        <v>143</v>
      </c>
      <c r="U42" s="264" t="s">
        <v>39</v>
      </c>
      <c r="V42" s="269" t="s">
        <v>143</v>
      </c>
      <c r="W42" s="264" t="s">
        <v>39</v>
      </c>
      <c r="X42" s="269" t="s">
        <v>143</v>
      </c>
      <c r="Y42" s="264" t="s">
        <v>39</v>
      </c>
      <c r="Z42" s="269" t="s">
        <v>143</v>
      </c>
    </row>
    <row r="43" s="251" customFormat="1" customHeight="1" spans="1:26">
      <c r="A43" s="270">
        <v>1</v>
      </c>
      <c r="B43" s="271">
        <f>'人员人工-研发人员工资'!B43</f>
        <v>0</v>
      </c>
      <c r="C43" s="272"/>
      <c r="D43" s="272">
        <f>'人员人工-研发人员工资'!D43</f>
        <v>0</v>
      </c>
      <c r="E43" s="272">
        <f t="shared" ref="E43:E72" si="13">G43+I43+K43+M43+O43+Q43+S43+U43+W43+Y43</f>
        <v>0</v>
      </c>
      <c r="F43" s="272">
        <f t="shared" ref="F43:F72" si="14">H43+J43+L43+N43+P43+R43+T43+V43+X43+Z43</f>
        <v>0</v>
      </c>
      <c r="G43" s="273">
        <f>'人员人工-研发人员工资'!G43</f>
        <v>0</v>
      </c>
      <c r="H43" s="274">
        <f t="shared" ref="H43:H72" si="15">IF($D43=0,0,ROUND(G43/$D43*$C43,2))</f>
        <v>0</v>
      </c>
      <c r="I43" s="273">
        <f>'人员人工-研发人员工资'!I43</f>
        <v>0</v>
      </c>
      <c r="J43" s="274">
        <f t="shared" ref="J43:J72" si="16">IF($D43=0,0,ROUND(I43/$D43*$C43,2))</f>
        <v>0</v>
      </c>
      <c r="K43" s="275">
        <f>'人员人工-研发人员工资'!K43</f>
        <v>0</v>
      </c>
      <c r="L43" s="274">
        <f t="shared" ref="L43:L72" si="17">IF($D43=0,0,ROUND(K43/$D43*$C43,2))</f>
        <v>0</v>
      </c>
      <c r="M43" s="273">
        <f>'人员人工-研发人员工资'!M43</f>
        <v>0</v>
      </c>
      <c r="N43" s="274">
        <f t="shared" ref="N43:N72" si="18">IF($D43=0,0,ROUND(M43/$D43*$C43,2))</f>
        <v>0</v>
      </c>
      <c r="O43" s="273">
        <f>'人员人工-研发人员工资'!O43</f>
        <v>0</v>
      </c>
      <c r="P43" s="274">
        <f t="shared" ref="P43:P72" si="19">IF($D43=0,0,ROUND(O43/$D43*$C43,2))</f>
        <v>0</v>
      </c>
      <c r="Q43" s="273">
        <f>'人员人工-研发人员工资'!Q43</f>
        <v>0</v>
      </c>
      <c r="R43" s="274">
        <f t="shared" ref="R43:R72" si="20">IF($D43=0,0,ROUND(Q43/$D43*$C43,2))</f>
        <v>0</v>
      </c>
      <c r="S43" s="273">
        <f>'人员人工-研发人员工资'!S43</f>
        <v>0</v>
      </c>
      <c r="T43" s="274">
        <f t="shared" ref="T43:T72" si="21">IF($D43=0,0,ROUND(S43/$D43*$C43,2))</f>
        <v>0</v>
      </c>
      <c r="U43" s="273">
        <f>'人员人工-研发人员工资'!U43</f>
        <v>0</v>
      </c>
      <c r="V43" s="274">
        <f t="shared" ref="V43:V72" si="22">IF($D43=0,0,ROUND(U43/$D43*$C43,2))</f>
        <v>0</v>
      </c>
      <c r="W43" s="273">
        <f>'人员人工-研发人员工资'!W43</f>
        <v>0</v>
      </c>
      <c r="X43" s="274">
        <f t="shared" ref="X43:X72" si="23">IF($D43=0,0,ROUND(W43/$D43*$C43,2))</f>
        <v>0</v>
      </c>
      <c r="Y43" s="273">
        <f>'人员人工-研发人员工资'!Y43</f>
        <v>0</v>
      </c>
      <c r="Z43" s="274">
        <f t="shared" ref="Z43:Z72" si="24">IF($D43=0,0,ROUND(Y43/$D43*$C43,2))</f>
        <v>0</v>
      </c>
    </row>
    <row r="44" s="251" customFormat="1" customHeight="1" spans="1:26">
      <c r="A44" s="270">
        <v>2</v>
      </c>
      <c r="B44" s="271">
        <f>'人员人工-研发人员工资'!B44</f>
        <v>0</v>
      </c>
      <c r="C44" s="272"/>
      <c r="D44" s="272">
        <f>'人员人工-研发人员工资'!D44</f>
        <v>0</v>
      </c>
      <c r="E44" s="272">
        <f t="shared" si="13"/>
        <v>0</v>
      </c>
      <c r="F44" s="272">
        <f t="shared" si="14"/>
        <v>0</v>
      </c>
      <c r="G44" s="273">
        <f>'人员人工-研发人员工资'!G44</f>
        <v>0</v>
      </c>
      <c r="H44" s="274">
        <f t="shared" si="15"/>
        <v>0</v>
      </c>
      <c r="I44" s="273">
        <f>'人员人工-研发人员工资'!I44</f>
        <v>0</v>
      </c>
      <c r="J44" s="274">
        <f t="shared" si="16"/>
        <v>0</v>
      </c>
      <c r="K44" s="275">
        <f>'人员人工-研发人员工资'!K44</f>
        <v>0</v>
      </c>
      <c r="L44" s="274">
        <f t="shared" si="17"/>
        <v>0</v>
      </c>
      <c r="M44" s="273">
        <f>'人员人工-研发人员工资'!M44</f>
        <v>0</v>
      </c>
      <c r="N44" s="274">
        <f t="shared" si="18"/>
        <v>0</v>
      </c>
      <c r="O44" s="273">
        <f>'人员人工-研发人员工资'!O44</f>
        <v>0</v>
      </c>
      <c r="P44" s="274">
        <f t="shared" si="19"/>
        <v>0</v>
      </c>
      <c r="Q44" s="273">
        <f>'人员人工-研发人员工资'!Q44</f>
        <v>0</v>
      </c>
      <c r="R44" s="274">
        <f t="shared" si="20"/>
        <v>0</v>
      </c>
      <c r="S44" s="273">
        <f>'人员人工-研发人员工资'!S44</f>
        <v>0</v>
      </c>
      <c r="T44" s="274">
        <f t="shared" si="21"/>
        <v>0</v>
      </c>
      <c r="U44" s="273">
        <f>'人员人工-研发人员工资'!U44</f>
        <v>0</v>
      </c>
      <c r="V44" s="274">
        <f t="shared" si="22"/>
        <v>0</v>
      </c>
      <c r="W44" s="273">
        <f>'人员人工-研发人员工资'!W44</f>
        <v>0</v>
      </c>
      <c r="X44" s="274">
        <f t="shared" si="23"/>
        <v>0</v>
      </c>
      <c r="Y44" s="273">
        <f>'人员人工-研发人员工资'!Y44</f>
        <v>0</v>
      </c>
      <c r="Z44" s="274">
        <f t="shared" si="24"/>
        <v>0</v>
      </c>
    </row>
    <row r="45" s="251" customFormat="1" customHeight="1" spans="1:26">
      <c r="A45" s="270">
        <v>3</v>
      </c>
      <c r="B45" s="271">
        <f>'人员人工-研发人员工资'!B45</f>
        <v>0</v>
      </c>
      <c r="C45" s="272"/>
      <c r="D45" s="272">
        <f>'人员人工-研发人员工资'!D45</f>
        <v>0</v>
      </c>
      <c r="E45" s="272">
        <f t="shared" si="13"/>
        <v>0</v>
      </c>
      <c r="F45" s="272">
        <f t="shared" si="14"/>
        <v>0</v>
      </c>
      <c r="G45" s="273">
        <f>'人员人工-研发人员工资'!G45</f>
        <v>0</v>
      </c>
      <c r="H45" s="274">
        <f t="shared" si="15"/>
        <v>0</v>
      </c>
      <c r="I45" s="273">
        <f>'人员人工-研发人员工资'!I45</f>
        <v>0</v>
      </c>
      <c r="J45" s="274">
        <f t="shared" si="16"/>
        <v>0</v>
      </c>
      <c r="K45" s="275">
        <f>'人员人工-研发人员工资'!K45</f>
        <v>0</v>
      </c>
      <c r="L45" s="274">
        <f t="shared" si="17"/>
        <v>0</v>
      </c>
      <c r="M45" s="273">
        <f>'人员人工-研发人员工资'!M45</f>
        <v>0</v>
      </c>
      <c r="N45" s="274">
        <f t="shared" si="18"/>
        <v>0</v>
      </c>
      <c r="O45" s="273">
        <f>'人员人工-研发人员工资'!O45</f>
        <v>0</v>
      </c>
      <c r="P45" s="274">
        <f t="shared" si="19"/>
        <v>0</v>
      </c>
      <c r="Q45" s="273">
        <f>'人员人工-研发人员工资'!Q45</f>
        <v>0</v>
      </c>
      <c r="R45" s="274">
        <f t="shared" si="20"/>
        <v>0</v>
      </c>
      <c r="S45" s="273">
        <f>'人员人工-研发人员工资'!S45</f>
        <v>0</v>
      </c>
      <c r="T45" s="274">
        <f t="shared" si="21"/>
        <v>0</v>
      </c>
      <c r="U45" s="273">
        <f>'人员人工-研发人员工资'!U45</f>
        <v>0</v>
      </c>
      <c r="V45" s="274">
        <f t="shared" si="22"/>
        <v>0</v>
      </c>
      <c r="W45" s="273">
        <f>'人员人工-研发人员工资'!W45</f>
        <v>0</v>
      </c>
      <c r="X45" s="274">
        <f t="shared" si="23"/>
        <v>0</v>
      </c>
      <c r="Y45" s="273">
        <f>'人员人工-研发人员工资'!Y45</f>
        <v>0</v>
      </c>
      <c r="Z45" s="274">
        <f t="shared" si="24"/>
        <v>0</v>
      </c>
    </row>
    <row r="46" s="251" customFormat="1" customHeight="1" spans="1:26">
      <c r="A46" s="270">
        <v>4</v>
      </c>
      <c r="B46" s="271">
        <f>'人员人工-研发人员工资'!B46</f>
        <v>0</v>
      </c>
      <c r="C46" s="272"/>
      <c r="D46" s="272">
        <f>'人员人工-研发人员工资'!D46</f>
        <v>0</v>
      </c>
      <c r="E46" s="272">
        <f t="shared" si="13"/>
        <v>0</v>
      </c>
      <c r="F46" s="272">
        <f t="shared" si="14"/>
        <v>0</v>
      </c>
      <c r="G46" s="273">
        <f>'人员人工-研发人员工资'!G46</f>
        <v>0</v>
      </c>
      <c r="H46" s="274">
        <f t="shared" si="15"/>
        <v>0</v>
      </c>
      <c r="I46" s="273">
        <f>'人员人工-研发人员工资'!I46</f>
        <v>0</v>
      </c>
      <c r="J46" s="274">
        <f t="shared" si="16"/>
        <v>0</v>
      </c>
      <c r="K46" s="275">
        <f>'人员人工-研发人员工资'!K46</f>
        <v>0</v>
      </c>
      <c r="L46" s="274">
        <f t="shared" si="17"/>
        <v>0</v>
      </c>
      <c r="M46" s="273">
        <f>'人员人工-研发人员工资'!M46</f>
        <v>0</v>
      </c>
      <c r="N46" s="274">
        <f t="shared" si="18"/>
        <v>0</v>
      </c>
      <c r="O46" s="273">
        <f>'人员人工-研发人员工资'!O46</f>
        <v>0</v>
      </c>
      <c r="P46" s="274">
        <f t="shared" si="19"/>
        <v>0</v>
      </c>
      <c r="Q46" s="273">
        <f>'人员人工-研发人员工资'!Q46</f>
        <v>0</v>
      </c>
      <c r="R46" s="274">
        <f t="shared" si="20"/>
        <v>0</v>
      </c>
      <c r="S46" s="273">
        <f>'人员人工-研发人员工资'!S46</f>
        <v>0</v>
      </c>
      <c r="T46" s="274">
        <f t="shared" si="21"/>
        <v>0</v>
      </c>
      <c r="U46" s="273">
        <f>'人员人工-研发人员工资'!U46</f>
        <v>0</v>
      </c>
      <c r="V46" s="274">
        <f t="shared" si="22"/>
        <v>0</v>
      </c>
      <c r="W46" s="273">
        <f>'人员人工-研发人员工资'!W46</f>
        <v>0</v>
      </c>
      <c r="X46" s="274">
        <f t="shared" si="23"/>
        <v>0</v>
      </c>
      <c r="Y46" s="273">
        <f>'人员人工-研发人员工资'!Y46</f>
        <v>0</v>
      </c>
      <c r="Z46" s="274">
        <f t="shared" si="24"/>
        <v>0</v>
      </c>
    </row>
    <row r="47" s="251" customFormat="1" customHeight="1" spans="1:26">
      <c r="A47" s="270">
        <v>5</v>
      </c>
      <c r="B47" s="271">
        <f>'人员人工-研发人员工资'!B47</f>
        <v>0</v>
      </c>
      <c r="C47" s="272"/>
      <c r="D47" s="272">
        <f>'人员人工-研发人员工资'!D47</f>
        <v>0</v>
      </c>
      <c r="E47" s="272">
        <f t="shared" si="13"/>
        <v>0</v>
      </c>
      <c r="F47" s="272">
        <f t="shared" si="14"/>
        <v>0</v>
      </c>
      <c r="G47" s="273">
        <f>'人员人工-研发人员工资'!G47</f>
        <v>0</v>
      </c>
      <c r="H47" s="274">
        <f t="shared" si="15"/>
        <v>0</v>
      </c>
      <c r="I47" s="273">
        <f>'人员人工-研发人员工资'!I47</f>
        <v>0</v>
      </c>
      <c r="J47" s="274">
        <f t="shared" si="16"/>
        <v>0</v>
      </c>
      <c r="K47" s="275">
        <f>'人员人工-研发人员工资'!K47</f>
        <v>0</v>
      </c>
      <c r="L47" s="274">
        <f t="shared" si="17"/>
        <v>0</v>
      </c>
      <c r="M47" s="273">
        <f>'人员人工-研发人员工资'!M47</f>
        <v>0</v>
      </c>
      <c r="N47" s="274">
        <f t="shared" si="18"/>
        <v>0</v>
      </c>
      <c r="O47" s="273">
        <f>'人员人工-研发人员工资'!O47</f>
        <v>0</v>
      </c>
      <c r="P47" s="274">
        <f t="shared" si="19"/>
        <v>0</v>
      </c>
      <c r="Q47" s="273">
        <f>'人员人工-研发人员工资'!Q47</f>
        <v>0</v>
      </c>
      <c r="R47" s="274">
        <f t="shared" si="20"/>
        <v>0</v>
      </c>
      <c r="S47" s="273">
        <f>'人员人工-研发人员工资'!S47</f>
        <v>0</v>
      </c>
      <c r="T47" s="274">
        <f t="shared" si="21"/>
        <v>0</v>
      </c>
      <c r="U47" s="273">
        <f>'人员人工-研发人员工资'!U47</f>
        <v>0</v>
      </c>
      <c r="V47" s="274">
        <f t="shared" si="22"/>
        <v>0</v>
      </c>
      <c r="W47" s="273">
        <f>'人员人工-研发人员工资'!W47</f>
        <v>0</v>
      </c>
      <c r="X47" s="274">
        <f t="shared" si="23"/>
        <v>0</v>
      </c>
      <c r="Y47" s="273">
        <f>'人员人工-研发人员工资'!Y47</f>
        <v>0</v>
      </c>
      <c r="Z47" s="274">
        <f t="shared" si="24"/>
        <v>0</v>
      </c>
    </row>
    <row r="48" s="251" customFormat="1" customHeight="1" spans="1:26">
      <c r="A48" s="270">
        <v>6</v>
      </c>
      <c r="B48" s="271">
        <f>'人员人工-研发人员工资'!B48</f>
        <v>0</v>
      </c>
      <c r="C48" s="274"/>
      <c r="D48" s="272">
        <f>'人员人工-研发人员工资'!D48</f>
        <v>0</v>
      </c>
      <c r="E48" s="272">
        <f t="shared" si="13"/>
        <v>0</v>
      </c>
      <c r="F48" s="272">
        <f t="shared" si="14"/>
        <v>0</v>
      </c>
      <c r="G48" s="273">
        <f>'人员人工-研发人员工资'!G48</f>
        <v>0</v>
      </c>
      <c r="H48" s="274">
        <f t="shared" si="15"/>
        <v>0</v>
      </c>
      <c r="I48" s="273">
        <f>'人员人工-研发人员工资'!I48</f>
        <v>0</v>
      </c>
      <c r="J48" s="274">
        <f t="shared" si="16"/>
        <v>0</v>
      </c>
      <c r="K48" s="275">
        <f>'人员人工-研发人员工资'!K48</f>
        <v>0</v>
      </c>
      <c r="L48" s="274">
        <f t="shared" si="17"/>
        <v>0</v>
      </c>
      <c r="M48" s="273">
        <f>'人员人工-研发人员工资'!M48</f>
        <v>0</v>
      </c>
      <c r="N48" s="274">
        <f t="shared" si="18"/>
        <v>0</v>
      </c>
      <c r="O48" s="273">
        <f>'人员人工-研发人员工资'!O48</f>
        <v>0</v>
      </c>
      <c r="P48" s="274">
        <f t="shared" si="19"/>
        <v>0</v>
      </c>
      <c r="Q48" s="273">
        <f>'人员人工-研发人员工资'!Q48</f>
        <v>0</v>
      </c>
      <c r="R48" s="274">
        <f t="shared" si="20"/>
        <v>0</v>
      </c>
      <c r="S48" s="273">
        <f>'人员人工-研发人员工资'!S48</f>
        <v>0</v>
      </c>
      <c r="T48" s="274">
        <f t="shared" si="21"/>
        <v>0</v>
      </c>
      <c r="U48" s="273">
        <f>'人员人工-研发人员工资'!U48</f>
        <v>0</v>
      </c>
      <c r="V48" s="274">
        <f t="shared" si="22"/>
        <v>0</v>
      </c>
      <c r="W48" s="273">
        <f>'人员人工-研发人员工资'!W48</f>
        <v>0</v>
      </c>
      <c r="X48" s="274">
        <f t="shared" si="23"/>
        <v>0</v>
      </c>
      <c r="Y48" s="273">
        <f>'人员人工-研发人员工资'!Y48</f>
        <v>0</v>
      </c>
      <c r="Z48" s="274">
        <f t="shared" si="24"/>
        <v>0</v>
      </c>
    </row>
    <row r="49" s="251" customFormat="1" customHeight="1" spans="1:26">
      <c r="A49" s="270">
        <v>7</v>
      </c>
      <c r="B49" s="271">
        <f>'人员人工-研发人员工资'!B49</f>
        <v>0</v>
      </c>
      <c r="C49" s="274"/>
      <c r="D49" s="272">
        <f>'人员人工-研发人员工资'!D49</f>
        <v>0</v>
      </c>
      <c r="E49" s="272">
        <f t="shared" si="13"/>
        <v>0</v>
      </c>
      <c r="F49" s="272">
        <f t="shared" si="14"/>
        <v>0</v>
      </c>
      <c r="G49" s="273">
        <f>'人员人工-研发人员工资'!G49</f>
        <v>0</v>
      </c>
      <c r="H49" s="274">
        <f t="shared" si="15"/>
        <v>0</v>
      </c>
      <c r="I49" s="273">
        <f>'人员人工-研发人员工资'!I49</f>
        <v>0</v>
      </c>
      <c r="J49" s="274">
        <f t="shared" si="16"/>
        <v>0</v>
      </c>
      <c r="K49" s="275">
        <f>'人员人工-研发人员工资'!K49</f>
        <v>0</v>
      </c>
      <c r="L49" s="274">
        <f t="shared" si="17"/>
        <v>0</v>
      </c>
      <c r="M49" s="273">
        <f>'人员人工-研发人员工资'!M49</f>
        <v>0</v>
      </c>
      <c r="N49" s="274">
        <f t="shared" si="18"/>
        <v>0</v>
      </c>
      <c r="O49" s="273">
        <f>'人员人工-研发人员工资'!O49</f>
        <v>0</v>
      </c>
      <c r="P49" s="274">
        <f t="shared" si="19"/>
        <v>0</v>
      </c>
      <c r="Q49" s="273">
        <f>'人员人工-研发人员工资'!Q49</f>
        <v>0</v>
      </c>
      <c r="R49" s="274">
        <f t="shared" si="20"/>
        <v>0</v>
      </c>
      <c r="S49" s="273">
        <f>'人员人工-研发人员工资'!S49</f>
        <v>0</v>
      </c>
      <c r="T49" s="274">
        <f t="shared" si="21"/>
        <v>0</v>
      </c>
      <c r="U49" s="273">
        <f>'人员人工-研发人员工资'!U49</f>
        <v>0</v>
      </c>
      <c r="V49" s="274">
        <f t="shared" si="22"/>
        <v>0</v>
      </c>
      <c r="W49" s="273">
        <f>'人员人工-研发人员工资'!W49</f>
        <v>0</v>
      </c>
      <c r="X49" s="274">
        <f t="shared" si="23"/>
        <v>0</v>
      </c>
      <c r="Y49" s="273">
        <f>'人员人工-研发人员工资'!Y49</f>
        <v>0</v>
      </c>
      <c r="Z49" s="274">
        <f t="shared" si="24"/>
        <v>0</v>
      </c>
    </row>
    <row r="50" s="251" customFormat="1" customHeight="1" spans="1:26">
      <c r="A50" s="270">
        <v>8</v>
      </c>
      <c r="B50" s="271">
        <f>'人员人工-研发人员工资'!B50</f>
        <v>0</v>
      </c>
      <c r="C50" s="274"/>
      <c r="D50" s="272">
        <f>'人员人工-研发人员工资'!D50</f>
        <v>0</v>
      </c>
      <c r="E50" s="272">
        <f t="shared" si="13"/>
        <v>0</v>
      </c>
      <c r="F50" s="272">
        <f t="shared" si="14"/>
        <v>0</v>
      </c>
      <c r="G50" s="273">
        <f>'人员人工-研发人员工资'!G50</f>
        <v>0</v>
      </c>
      <c r="H50" s="274">
        <f t="shared" si="15"/>
        <v>0</v>
      </c>
      <c r="I50" s="273">
        <f>'人员人工-研发人员工资'!I50</f>
        <v>0</v>
      </c>
      <c r="J50" s="274">
        <f t="shared" si="16"/>
        <v>0</v>
      </c>
      <c r="K50" s="275">
        <f>'人员人工-研发人员工资'!K50</f>
        <v>0</v>
      </c>
      <c r="L50" s="274">
        <f t="shared" si="17"/>
        <v>0</v>
      </c>
      <c r="M50" s="273">
        <f>'人员人工-研发人员工资'!M50</f>
        <v>0</v>
      </c>
      <c r="N50" s="274">
        <f t="shared" si="18"/>
        <v>0</v>
      </c>
      <c r="O50" s="273">
        <f>'人员人工-研发人员工资'!O50</f>
        <v>0</v>
      </c>
      <c r="P50" s="274">
        <f t="shared" si="19"/>
        <v>0</v>
      </c>
      <c r="Q50" s="273">
        <f>'人员人工-研发人员工资'!Q50</f>
        <v>0</v>
      </c>
      <c r="R50" s="274">
        <f t="shared" si="20"/>
        <v>0</v>
      </c>
      <c r="S50" s="273">
        <f>'人员人工-研发人员工资'!S50</f>
        <v>0</v>
      </c>
      <c r="T50" s="274">
        <f t="shared" si="21"/>
        <v>0</v>
      </c>
      <c r="U50" s="273">
        <f>'人员人工-研发人员工资'!U50</f>
        <v>0</v>
      </c>
      <c r="V50" s="274">
        <f t="shared" si="22"/>
        <v>0</v>
      </c>
      <c r="W50" s="273">
        <f>'人员人工-研发人员工资'!W50</f>
        <v>0</v>
      </c>
      <c r="X50" s="274">
        <f t="shared" si="23"/>
        <v>0</v>
      </c>
      <c r="Y50" s="273">
        <f>'人员人工-研发人员工资'!Y50</f>
        <v>0</v>
      </c>
      <c r="Z50" s="274">
        <f t="shared" si="24"/>
        <v>0</v>
      </c>
    </row>
    <row r="51" s="251" customFormat="1" customHeight="1" spans="1:26">
      <c r="A51" s="270">
        <v>9</v>
      </c>
      <c r="B51" s="271">
        <f>'人员人工-研发人员工资'!B51</f>
        <v>0</v>
      </c>
      <c r="C51" s="274"/>
      <c r="D51" s="272">
        <f>'人员人工-研发人员工资'!D51</f>
        <v>0</v>
      </c>
      <c r="E51" s="272">
        <f t="shared" si="13"/>
        <v>0</v>
      </c>
      <c r="F51" s="272">
        <f t="shared" si="14"/>
        <v>0</v>
      </c>
      <c r="G51" s="273">
        <f>'人员人工-研发人员工资'!G51</f>
        <v>0</v>
      </c>
      <c r="H51" s="274">
        <f t="shared" si="15"/>
        <v>0</v>
      </c>
      <c r="I51" s="273">
        <f>'人员人工-研发人员工资'!I51</f>
        <v>0</v>
      </c>
      <c r="J51" s="274">
        <f t="shared" si="16"/>
        <v>0</v>
      </c>
      <c r="K51" s="275">
        <f>'人员人工-研发人员工资'!K51</f>
        <v>0</v>
      </c>
      <c r="L51" s="274">
        <f t="shared" si="17"/>
        <v>0</v>
      </c>
      <c r="M51" s="273">
        <f>'人员人工-研发人员工资'!M51</f>
        <v>0</v>
      </c>
      <c r="N51" s="274">
        <f t="shared" si="18"/>
        <v>0</v>
      </c>
      <c r="O51" s="273">
        <f>'人员人工-研发人员工资'!O51</f>
        <v>0</v>
      </c>
      <c r="P51" s="274">
        <f t="shared" si="19"/>
        <v>0</v>
      </c>
      <c r="Q51" s="273">
        <f>'人员人工-研发人员工资'!Q51</f>
        <v>0</v>
      </c>
      <c r="R51" s="274">
        <f t="shared" si="20"/>
        <v>0</v>
      </c>
      <c r="S51" s="273">
        <f>'人员人工-研发人员工资'!S51</f>
        <v>0</v>
      </c>
      <c r="T51" s="274">
        <f t="shared" si="21"/>
        <v>0</v>
      </c>
      <c r="U51" s="273">
        <f>'人员人工-研发人员工资'!U51</f>
        <v>0</v>
      </c>
      <c r="V51" s="274">
        <f t="shared" si="22"/>
        <v>0</v>
      </c>
      <c r="W51" s="273">
        <f>'人员人工-研发人员工资'!W51</f>
        <v>0</v>
      </c>
      <c r="X51" s="274">
        <f t="shared" si="23"/>
        <v>0</v>
      </c>
      <c r="Y51" s="273">
        <f>'人员人工-研发人员工资'!Y51</f>
        <v>0</v>
      </c>
      <c r="Z51" s="274">
        <f t="shared" si="24"/>
        <v>0</v>
      </c>
    </row>
    <row r="52" s="251" customFormat="1" customHeight="1" spans="1:26">
      <c r="A52" s="270">
        <v>10</v>
      </c>
      <c r="B52" s="271">
        <f>'人员人工-研发人员工资'!B52</f>
        <v>0</v>
      </c>
      <c r="C52" s="274"/>
      <c r="D52" s="272">
        <f>'人员人工-研发人员工资'!D52</f>
        <v>0</v>
      </c>
      <c r="E52" s="272">
        <f t="shared" si="13"/>
        <v>0</v>
      </c>
      <c r="F52" s="272">
        <f t="shared" si="14"/>
        <v>0</v>
      </c>
      <c r="G52" s="273">
        <f>'人员人工-研发人员工资'!G52</f>
        <v>0</v>
      </c>
      <c r="H52" s="274">
        <f t="shared" si="15"/>
        <v>0</v>
      </c>
      <c r="I52" s="273">
        <f>'人员人工-研发人员工资'!I52</f>
        <v>0</v>
      </c>
      <c r="J52" s="274">
        <f t="shared" si="16"/>
        <v>0</v>
      </c>
      <c r="K52" s="275">
        <f>'人员人工-研发人员工资'!K52</f>
        <v>0</v>
      </c>
      <c r="L52" s="274">
        <f t="shared" si="17"/>
        <v>0</v>
      </c>
      <c r="M52" s="273">
        <f>'人员人工-研发人员工资'!M52</f>
        <v>0</v>
      </c>
      <c r="N52" s="274">
        <f t="shared" si="18"/>
        <v>0</v>
      </c>
      <c r="O52" s="273">
        <f>'人员人工-研发人员工资'!O52</f>
        <v>0</v>
      </c>
      <c r="P52" s="274">
        <f t="shared" si="19"/>
        <v>0</v>
      </c>
      <c r="Q52" s="273">
        <f>'人员人工-研发人员工资'!Q52</f>
        <v>0</v>
      </c>
      <c r="R52" s="274">
        <f t="shared" si="20"/>
        <v>0</v>
      </c>
      <c r="S52" s="273">
        <f>'人员人工-研发人员工资'!S52</f>
        <v>0</v>
      </c>
      <c r="T52" s="274">
        <f t="shared" si="21"/>
        <v>0</v>
      </c>
      <c r="U52" s="273">
        <f>'人员人工-研发人员工资'!U52</f>
        <v>0</v>
      </c>
      <c r="V52" s="274">
        <f t="shared" si="22"/>
        <v>0</v>
      </c>
      <c r="W52" s="273">
        <f>'人员人工-研发人员工资'!W52</f>
        <v>0</v>
      </c>
      <c r="X52" s="274">
        <f t="shared" si="23"/>
        <v>0</v>
      </c>
      <c r="Y52" s="273">
        <f>'人员人工-研发人员工资'!Y52</f>
        <v>0</v>
      </c>
      <c r="Z52" s="274">
        <f t="shared" si="24"/>
        <v>0</v>
      </c>
    </row>
    <row r="53" s="251" customFormat="1" customHeight="1" spans="1:26">
      <c r="A53" s="270">
        <v>11</v>
      </c>
      <c r="B53" s="271">
        <f>'人员人工-研发人员工资'!B53</f>
        <v>0</v>
      </c>
      <c r="C53" s="274"/>
      <c r="D53" s="272">
        <f>'人员人工-研发人员工资'!D53</f>
        <v>0</v>
      </c>
      <c r="E53" s="272">
        <f t="shared" si="13"/>
        <v>0</v>
      </c>
      <c r="F53" s="272">
        <f t="shared" si="14"/>
        <v>0</v>
      </c>
      <c r="G53" s="273">
        <f>'人员人工-研发人员工资'!G53</f>
        <v>0</v>
      </c>
      <c r="H53" s="274">
        <f t="shared" si="15"/>
        <v>0</v>
      </c>
      <c r="I53" s="273">
        <f>'人员人工-研发人员工资'!I53</f>
        <v>0</v>
      </c>
      <c r="J53" s="274">
        <f t="shared" si="16"/>
        <v>0</v>
      </c>
      <c r="K53" s="275">
        <f>'人员人工-研发人员工资'!K53</f>
        <v>0</v>
      </c>
      <c r="L53" s="274">
        <f t="shared" si="17"/>
        <v>0</v>
      </c>
      <c r="M53" s="273">
        <f>'人员人工-研发人员工资'!M53</f>
        <v>0</v>
      </c>
      <c r="N53" s="274">
        <f t="shared" si="18"/>
        <v>0</v>
      </c>
      <c r="O53" s="273">
        <f>'人员人工-研发人员工资'!O53</f>
        <v>0</v>
      </c>
      <c r="P53" s="274">
        <f t="shared" si="19"/>
        <v>0</v>
      </c>
      <c r="Q53" s="273">
        <f>'人员人工-研发人员工资'!Q53</f>
        <v>0</v>
      </c>
      <c r="R53" s="274">
        <f t="shared" si="20"/>
        <v>0</v>
      </c>
      <c r="S53" s="273">
        <f>'人员人工-研发人员工资'!S53</f>
        <v>0</v>
      </c>
      <c r="T53" s="274">
        <f t="shared" si="21"/>
        <v>0</v>
      </c>
      <c r="U53" s="273">
        <f>'人员人工-研发人员工资'!U53</f>
        <v>0</v>
      </c>
      <c r="V53" s="274">
        <f t="shared" si="22"/>
        <v>0</v>
      </c>
      <c r="W53" s="273">
        <f>'人员人工-研发人员工资'!W53</f>
        <v>0</v>
      </c>
      <c r="X53" s="274">
        <f t="shared" si="23"/>
        <v>0</v>
      </c>
      <c r="Y53" s="273">
        <f>'人员人工-研发人员工资'!Y53</f>
        <v>0</v>
      </c>
      <c r="Z53" s="274">
        <f t="shared" si="24"/>
        <v>0</v>
      </c>
    </row>
    <row r="54" s="251" customFormat="1" customHeight="1" spans="1:26">
      <c r="A54" s="270">
        <v>12</v>
      </c>
      <c r="B54" s="271">
        <f>'人员人工-研发人员工资'!B54</f>
        <v>0</v>
      </c>
      <c r="C54" s="274"/>
      <c r="D54" s="272">
        <f>'人员人工-研发人员工资'!D54</f>
        <v>0</v>
      </c>
      <c r="E54" s="272">
        <f t="shared" si="13"/>
        <v>0</v>
      </c>
      <c r="F54" s="272">
        <f t="shared" si="14"/>
        <v>0</v>
      </c>
      <c r="G54" s="273">
        <f>'人员人工-研发人员工资'!G54</f>
        <v>0</v>
      </c>
      <c r="H54" s="274">
        <f t="shared" si="15"/>
        <v>0</v>
      </c>
      <c r="I54" s="273">
        <f>'人员人工-研发人员工资'!I54</f>
        <v>0</v>
      </c>
      <c r="J54" s="274">
        <f t="shared" si="16"/>
        <v>0</v>
      </c>
      <c r="K54" s="275">
        <f>'人员人工-研发人员工资'!K54</f>
        <v>0</v>
      </c>
      <c r="L54" s="274">
        <f t="shared" si="17"/>
        <v>0</v>
      </c>
      <c r="M54" s="273">
        <f>'人员人工-研发人员工资'!M54</f>
        <v>0</v>
      </c>
      <c r="N54" s="274">
        <f t="shared" si="18"/>
        <v>0</v>
      </c>
      <c r="O54" s="273">
        <f>'人员人工-研发人员工资'!O54</f>
        <v>0</v>
      </c>
      <c r="P54" s="274">
        <f t="shared" si="19"/>
        <v>0</v>
      </c>
      <c r="Q54" s="273">
        <f>'人员人工-研发人员工资'!Q54</f>
        <v>0</v>
      </c>
      <c r="R54" s="274">
        <f t="shared" si="20"/>
        <v>0</v>
      </c>
      <c r="S54" s="273">
        <f>'人员人工-研发人员工资'!S54</f>
        <v>0</v>
      </c>
      <c r="T54" s="274">
        <f t="shared" si="21"/>
        <v>0</v>
      </c>
      <c r="U54" s="273">
        <f>'人员人工-研发人员工资'!U54</f>
        <v>0</v>
      </c>
      <c r="V54" s="274">
        <f t="shared" si="22"/>
        <v>0</v>
      </c>
      <c r="W54" s="273">
        <f>'人员人工-研发人员工资'!W54</f>
        <v>0</v>
      </c>
      <c r="X54" s="274">
        <f t="shared" si="23"/>
        <v>0</v>
      </c>
      <c r="Y54" s="273">
        <f>'人员人工-研发人员工资'!Y54</f>
        <v>0</v>
      </c>
      <c r="Z54" s="274">
        <f t="shared" si="24"/>
        <v>0</v>
      </c>
    </row>
    <row r="55" s="251" customFormat="1" customHeight="1" spans="1:26">
      <c r="A55" s="270">
        <v>13</v>
      </c>
      <c r="B55" s="271">
        <f>'人员人工-研发人员工资'!B55</f>
        <v>0</v>
      </c>
      <c r="C55" s="274"/>
      <c r="D55" s="272">
        <f>'人员人工-研发人员工资'!D55</f>
        <v>0</v>
      </c>
      <c r="E55" s="272">
        <f t="shared" si="13"/>
        <v>0</v>
      </c>
      <c r="F55" s="272">
        <f t="shared" si="14"/>
        <v>0</v>
      </c>
      <c r="G55" s="273">
        <f>'人员人工-研发人员工资'!G55</f>
        <v>0</v>
      </c>
      <c r="H55" s="274">
        <f t="shared" si="15"/>
        <v>0</v>
      </c>
      <c r="I55" s="273">
        <f>'人员人工-研发人员工资'!I55</f>
        <v>0</v>
      </c>
      <c r="J55" s="274">
        <f t="shared" si="16"/>
        <v>0</v>
      </c>
      <c r="K55" s="275">
        <f>'人员人工-研发人员工资'!K55</f>
        <v>0</v>
      </c>
      <c r="L55" s="274">
        <f t="shared" si="17"/>
        <v>0</v>
      </c>
      <c r="M55" s="273">
        <f>'人员人工-研发人员工资'!M55</f>
        <v>0</v>
      </c>
      <c r="N55" s="274">
        <f t="shared" si="18"/>
        <v>0</v>
      </c>
      <c r="O55" s="273">
        <f>'人员人工-研发人员工资'!O55</f>
        <v>0</v>
      </c>
      <c r="P55" s="274">
        <f t="shared" si="19"/>
        <v>0</v>
      </c>
      <c r="Q55" s="273">
        <f>'人员人工-研发人员工资'!Q55</f>
        <v>0</v>
      </c>
      <c r="R55" s="274">
        <f t="shared" si="20"/>
        <v>0</v>
      </c>
      <c r="S55" s="273">
        <f>'人员人工-研发人员工资'!S55</f>
        <v>0</v>
      </c>
      <c r="T55" s="274">
        <f t="shared" si="21"/>
        <v>0</v>
      </c>
      <c r="U55" s="273">
        <f>'人员人工-研发人员工资'!U55</f>
        <v>0</v>
      </c>
      <c r="V55" s="274">
        <f t="shared" si="22"/>
        <v>0</v>
      </c>
      <c r="W55" s="273">
        <f>'人员人工-研发人员工资'!W55</f>
        <v>0</v>
      </c>
      <c r="X55" s="274">
        <f t="shared" si="23"/>
        <v>0</v>
      </c>
      <c r="Y55" s="273">
        <f>'人员人工-研发人员工资'!Y55</f>
        <v>0</v>
      </c>
      <c r="Z55" s="274">
        <f t="shared" si="24"/>
        <v>0</v>
      </c>
    </row>
    <row r="56" s="251" customFormat="1" customHeight="1" spans="1:26">
      <c r="A56" s="270">
        <v>14</v>
      </c>
      <c r="B56" s="271">
        <f>'人员人工-研发人员工资'!B56</f>
        <v>0</v>
      </c>
      <c r="C56" s="274"/>
      <c r="D56" s="272">
        <f>'人员人工-研发人员工资'!D56</f>
        <v>0</v>
      </c>
      <c r="E56" s="272">
        <f t="shared" si="13"/>
        <v>0</v>
      </c>
      <c r="F56" s="272">
        <f t="shared" si="14"/>
        <v>0</v>
      </c>
      <c r="G56" s="273">
        <f>'人员人工-研发人员工资'!G56</f>
        <v>0</v>
      </c>
      <c r="H56" s="274">
        <f t="shared" si="15"/>
        <v>0</v>
      </c>
      <c r="I56" s="273">
        <f>'人员人工-研发人员工资'!I56</f>
        <v>0</v>
      </c>
      <c r="J56" s="274">
        <f t="shared" si="16"/>
        <v>0</v>
      </c>
      <c r="K56" s="275">
        <f>'人员人工-研发人员工资'!K56</f>
        <v>0</v>
      </c>
      <c r="L56" s="274">
        <f t="shared" si="17"/>
        <v>0</v>
      </c>
      <c r="M56" s="273">
        <f>'人员人工-研发人员工资'!M56</f>
        <v>0</v>
      </c>
      <c r="N56" s="274">
        <f t="shared" si="18"/>
        <v>0</v>
      </c>
      <c r="O56" s="273">
        <f>'人员人工-研发人员工资'!O56</f>
        <v>0</v>
      </c>
      <c r="P56" s="274">
        <f t="shared" si="19"/>
        <v>0</v>
      </c>
      <c r="Q56" s="273">
        <f>'人员人工-研发人员工资'!Q56</f>
        <v>0</v>
      </c>
      <c r="R56" s="274">
        <f t="shared" si="20"/>
        <v>0</v>
      </c>
      <c r="S56" s="273">
        <f>'人员人工-研发人员工资'!S56</f>
        <v>0</v>
      </c>
      <c r="T56" s="274">
        <f t="shared" si="21"/>
        <v>0</v>
      </c>
      <c r="U56" s="273">
        <f>'人员人工-研发人员工资'!U56</f>
        <v>0</v>
      </c>
      <c r="V56" s="274">
        <f t="shared" si="22"/>
        <v>0</v>
      </c>
      <c r="W56" s="273">
        <f>'人员人工-研发人员工资'!W56</f>
        <v>0</v>
      </c>
      <c r="X56" s="274">
        <f t="shared" si="23"/>
        <v>0</v>
      </c>
      <c r="Y56" s="273">
        <f>'人员人工-研发人员工资'!Y56</f>
        <v>0</v>
      </c>
      <c r="Z56" s="274">
        <f t="shared" si="24"/>
        <v>0</v>
      </c>
    </row>
    <row r="57" s="251" customFormat="1" customHeight="1" spans="1:26">
      <c r="A57" s="270">
        <v>15</v>
      </c>
      <c r="B57" s="271">
        <f>'人员人工-研发人员工资'!B57</f>
        <v>0</v>
      </c>
      <c r="C57" s="274"/>
      <c r="D57" s="272">
        <f>'人员人工-研发人员工资'!D57</f>
        <v>0</v>
      </c>
      <c r="E57" s="272">
        <f t="shared" si="13"/>
        <v>0</v>
      </c>
      <c r="F57" s="272">
        <f t="shared" si="14"/>
        <v>0</v>
      </c>
      <c r="G57" s="273">
        <f>'人员人工-研发人员工资'!G57</f>
        <v>0</v>
      </c>
      <c r="H57" s="274">
        <f t="shared" si="15"/>
        <v>0</v>
      </c>
      <c r="I57" s="273">
        <f>'人员人工-研发人员工资'!I57</f>
        <v>0</v>
      </c>
      <c r="J57" s="274">
        <f t="shared" si="16"/>
        <v>0</v>
      </c>
      <c r="K57" s="275">
        <f>'人员人工-研发人员工资'!K57</f>
        <v>0</v>
      </c>
      <c r="L57" s="274">
        <f t="shared" si="17"/>
        <v>0</v>
      </c>
      <c r="M57" s="273">
        <f>'人员人工-研发人员工资'!M57</f>
        <v>0</v>
      </c>
      <c r="N57" s="274">
        <f t="shared" si="18"/>
        <v>0</v>
      </c>
      <c r="O57" s="273">
        <f>'人员人工-研发人员工资'!O57</f>
        <v>0</v>
      </c>
      <c r="P57" s="274">
        <f t="shared" si="19"/>
        <v>0</v>
      </c>
      <c r="Q57" s="273">
        <f>'人员人工-研发人员工资'!Q57</f>
        <v>0</v>
      </c>
      <c r="R57" s="274">
        <f t="shared" si="20"/>
        <v>0</v>
      </c>
      <c r="S57" s="273">
        <f>'人员人工-研发人员工资'!S57</f>
        <v>0</v>
      </c>
      <c r="T57" s="274">
        <f t="shared" si="21"/>
        <v>0</v>
      </c>
      <c r="U57" s="273">
        <f>'人员人工-研发人员工资'!U57</f>
        <v>0</v>
      </c>
      <c r="V57" s="274">
        <f t="shared" si="22"/>
        <v>0</v>
      </c>
      <c r="W57" s="273">
        <f>'人员人工-研发人员工资'!W57</f>
        <v>0</v>
      </c>
      <c r="X57" s="274">
        <f t="shared" si="23"/>
        <v>0</v>
      </c>
      <c r="Y57" s="273">
        <f>'人员人工-研发人员工资'!Y57</f>
        <v>0</v>
      </c>
      <c r="Z57" s="274">
        <f t="shared" si="24"/>
        <v>0</v>
      </c>
    </row>
    <row r="58" s="251" customFormat="1" customHeight="1" spans="1:26">
      <c r="A58" s="270">
        <v>16</v>
      </c>
      <c r="B58" s="271">
        <f>'人员人工-研发人员工资'!B58</f>
        <v>0</v>
      </c>
      <c r="C58" s="274"/>
      <c r="D58" s="272">
        <f>'人员人工-研发人员工资'!D58</f>
        <v>0</v>
      </c>
      <c r="E58" s="272">
        <f t="shared" si="13"/>
        <v>0</v>
      </c>
      <c r="F58" s="272">
        <f t="shared" si="14"/>
        <v>0</v>
      </c>
      <c r="G58" s="273">
        <f>'人员人工-研发人员工资'!G58</f>
        <v>0</v>
      </c>
      <c r="H58" s="274">
        <f t="shared" si="15"/>
        <v>0</v>
      </c>
      <c r="I58" s="273">
        <f>'人员人工-研发人员工资'!I58</f>
        <v>0</v>
      </c>
      <c r="J58" s="274">
        <f t="shared" si="16"/>
        <v>0</v>
      </c>
      <c r="K58" s="275">
        <f>'人员人工-研发人员工资'!K58</f>
        <v>0</v>
      </c>
      <c r="L58" s="274">
        <f t="shared" si="17"/>
        <v>0</v>
      </c>
      <c r="M58" s="273">
        <f>'人员人工-研发人员工资'!M58</f>
        <v>0</v>
      </c>
      <c r="N58" s="274">
        <f t="shared" si="18"/>
        <v>0</v>
      </c>
      <c r="O58" s="273">
        <f>'人员人工-研发人员工资'!O58</f>
        <v>0</v>
      </c>
      <c r="P58" s="274">
        <f t="shared" si="19"/>
        <v>0</v>
      </c>
      <c r="Q58" s="273">
        <f>'人员人工-研发人员工资'!Q58</f>
        <v>0</v>
      </c>
      <c r="R58" s="274">
        <f t="shared" si="20"/>
        <v>0</v>
      </c>
      <c r="S58" s="273">
        <f>'人员人工-研发人员工资'!S58</f>
        <v>0</v>
      </c>
      <c r="T58" s="274">
        <f t="shared" si="21"/>
        <v>0</v>
      </c>
      <c r="U58" s="273">
        <f>'人员人工-研发人员工资'!U58</f>
        <v>0</v>
      </c>
      <c r="V58" s="274">
        <f t="shared" si="22"/>
        <v>0</v>
      </c>
      <c r="W58" s="273">
        <f>'人员人工-研发人员工资'!W58</f>
        <v>0</v>
      </c>
      <c r="X58" s="274">
        <f t="shared" si="23"/>
        <v>0</v>
      </c>
      <c r="Y58" s="273">
        <f>'人员人工-研发人员工资'!Y58</f>
        <v>0</v>
      </c>
      <c r="Z58" s="274">
        <f t="shared" si="24"/>
        <v>0</v>
      </c>
    </row>
    <row r="59" s="251" customFormat="1" customHeight="1" spans="1:26">
      <c r="A59" s="270">
        <v>17</v>
      </c>
      <c r="B59" s="271">
        <f>'人员人工-研发人员工资'!B59</f>
        <v>0</v>
      </c>
      <c r="C59" s="274"/>
      <c r="D59" s="272">
        <f>'人员人工-研发人员工资'!D59</f>
        <v>0</v>
      </c>
      <c r="E59" s="272">
        <f t="shared" si="13"/>
        <v>0</v>
      </c>
      <c r="F59" s="272">
        <f t="shared" si="14"/>
        <v>0</v>
      </c>
      <c r="G59" s="273">
        <f>'人员人工-研发人员工资'!G59</f>
        <v>0</v>
      </c>
      <c r="H59" s="274">
        <f t="shared" si="15"/>
        <v>0</v>
      </c>
      <c r="I59" s="273">
        <f>'人员人工-研发人员工资'!I59</f>
        <v>0</v>
      </c>
      <c r="J59" s="274">
        <f t="shared" si="16"/>
        <v>0</v>
      </c>
      <c r="K59" s="275">
        <f>'人员人工-研发人员工资'!K59</f>
        <v>0</v>
      </c>
      <c r="L59" s="274">
        <f t="shared" si="17"/>
        <v>0</v>
      </c>
      <c r="M59" s="273">
        <f>'人员人工-研发人员工资'!M59</f>
        <v>0</v>
      </c>
      <c r="N59" s="274">
        <f t="shared" si="18"/>
        <v>0</v>
      </c>
      <c r="O59" s="273">
        <f>'人员人工-研发人员工资'!O59</f>
        <v>0</v>
      </c>
      <c r="P59" s="274">
        <f t="shared" si="19"/>
        <v>0</v>
      </c>
      <c r="Q59" s="273">
        <f>'人员人工-研发人员工资'!Q59</f>
        <v>0</v>
      </c>
      <c r="R59" s="274">
        <f t="shared" si="20"/>
        <v>0</v>
      </c>
      <c r="S59" s="273">
        <f>'人员人工-研发人员工资'!S59</f>
        <v>0</v>
      </c>
      <c r="T59" s="274">
        <f t="shared" si="21"/>
        <v>0</v>
      </c>
      <c r="U59" s="273">
        <f>'人员人工-研发人员工资'!U59</f>
        <v>0</v>
      </c>
      <c r="V59" s="274">
        <f t="shared" si="22"/>
        <v>0</v>
      </c>
      <c r="W59" s="273">
        <f>'人员人工-研发人员工资'!W59</f>
        <v>0</v>
      </c>
      <c r="X59" s="274">
        <f t="shared" si="23"/>
        <v>0</v>
      </c>
      <c r="Y59" s="273">
        <f>'人员人工-研发人员工资'!Y59</f>
        <v>0</v>
      </c>
      <c r="Z59" s="274">
        <f t="shared" si="24"/>
        <v>0</v>
      </c>
    </row>
    <row r="60" s="251" customFormat="1" customHeight="1" spans="1:26">
      <c r="A60" s="270">
        <v>18</v>
      </c>
      <c r="B60" s="271">
        <f>'人员人工-研发人员工资'!B60</f>
        <v>0</v>
      </c>
      <c r="C60" s="274"/>
      <c r="D60" s="272">
        <f>'人员人工-研发人员工资'!D60</f>
        <v>0</v>
      </c>
      <c r="E60" s="272">
        <f t="shared" si="13"/>
        <v>0</v>
      </c>
      <c r="F60" s="272">
        <f t="shared" si="14"/>
        <v>0</v>
      </c>
      <c r="G60" s="273">
        <f>'人员人工-研发人员工资'!G60</f>
        <v>0</v>
      </c>
      <c r="H60" s="274">
        <f t="shared" si="15"/>
        <v>0</v>
      </c>
      <c r="I60" s="273">
        <f>'人员人工-研发人员工资'!I60</f>
        <v>0</v>
      </c>
      <c r="J60" s="274">
        <f t="shared" si="16"/>
        <v>0</v>
      </c>
      <c r="K60" s="275">
        <f>'人员人工-研发人员工资'!K60</f>
        <v>0</v>
      </c>
      <c r="L60" s="274">
        <f t="shared" si="17"/>
        <v>0</v>
      </c>
      <c r="M60" s="273">
        <f>'人员人工-研发人员工资'!M60</f>
        <v>0</v>
      </c>
      <c r="N60" s="274">
        <f t="shared" si="18"/>
        <v>0</v>
      </c>
      <c r="O60" s="273">
        <f>'人员人工-研发人员工资'!O60</f>
        <v>0</v>
      </c>
      <c r="P60" s="274">
        <f t="shared" si="19"/>
        <v>0</v>
      </c>
      <c r="Q60" s="273">
        <f>'人员人工-研发人员工资'!Q60</f>
        <v>0</v>
      </c>
      <c r="R60" s="274">
        <f t="shared" si="20"/>
        <v>0</v>
      </c>
      <c r="S60" s="273">
        <f>'人员人工-研发人员工资'!S60</f>
        <v>0</v>
      </c>
      <c r="T60" s="274">
        <f t="shared" si="21"/>
        <v>0</v>
      </c>
      <c r="U60" s="273">
        <f>'人员人工-研发人员工资'!U60</f>
        <v>0</v>
      </c>
      <c r="V60" s="274">
        <f t="shared" si="22"/>
        <v>0</v>
      </c>
      <c r="W60" s="273">
        <f>'人员人工-研发人员工资'!W60</f>
        <v>0</v>
      </c>
      <c r="X60" s="274">
        <f t="shared" si="23"/>
        <v>0</v>
      </c>
      <c r="Y60" s="273">
        <f>'人员人工-研发人员工资'!Y60</f>
        <v>0</v>
      </c>
      <c r="Z60" s="274">
        <f t="shared" si="24"/>
        <v>0</v>
      </c>
    </row>
    <row r="61" s="251" customFormat="1" customHeight="1" spans="1:26">
      <c r="A61" s="270">
        <v>19</v>
      </c>
      <c r="B61" s="271">
        <f>'人员人工-研发人员工资'!B61</f>
        <v>0</v>
      </c>
      <c r="C61" s="274"/>
      <c r="D61" s="272">
        <f>'人员人工-研发人员工资'!D61</f>
        <v>0</v>
      </c>
      <c r="E61" s="272">
        <f t="shared" si="13"/>
        <v>0</v>
      </c>
      <c r="F61" s="272">
        <f t="shared" si="14"/>
        <v>0</v>
      </c>
      <c r="G61" s="273">
        <f>'人员人工-研发人员工资'!G61</f>
        <v>0</v>
      </c>
      <c r="H61" s="274">
        <f t="shared" si="15"/>
        <v>0</v>
      </c>
      <c r="I61" s="273">
        <f>'人员人工-研发人员工资'!I61</f>
        <v>0</v>
      </c>
      <c r="J61" s="274">
        <f t="shared" si="16"/>
        <v>0</v>
      </c>
      <c r="K61" s="275">
        <f>'人员人工-研发人员工资'!K61</f>
        <v>0</v>
      </c>
      <c r="L61" s="274">
        <f t="shared" si="17"/>
        <v>0</v>
      </c>
      <c r="M61" s="273">
        <f>'人员人工-研发人员工资'!M61</f>
        <v>0</v>
      </c>
      <c r="N61" s="274">
        <f t="shared" si="18"/>
        <v>0</v>
      </c>
      <c r="O61" s="273">
        <f>'人员人工-研发人员工资'!O61</f>
        <v>0</v>
      </c>
      <c r="P61" s="274">
        <f t="shared" si="19"/>
        <v>0</v>
      </c>
      <c r="Q61" s="273">
        <f>'人员人工-研发人员工资'!Q61</f>
        <v>0</v>
      </c>
      <c r="R61" s="274">
        <f t="shared" si="20"/>
        <v>0</v>
      </c>
      <c r="S61" s="273">
        <f>'人员人工-研发人员工资'!S61</f>
        <v>0</v>
      </c>
      <c r="T61" s="274">
        <f t="shared" si="21"/>
        <v>0</v>
      </c>
      <c r="U61" s="273">
        <f>'人员人工-研发人员工资'!U61</f>
        <v>0</v>
      </c>
      <c r="V61" s="274">
        <f t="shared" si="22"/>
        <v>0</v>
      </c>
      <c r="W61" s="273">
        <f>'人员人工-研发人员工资'!W61</f>
        <v>0</v>
      </c>
      <c r="X61" s="274">
        <f t="shared" si="23"/>
        <v>0</v>
      </c>
      <c r="Y61" s="273">
        <f>'人员人工-研发人员工资'!Y61</f>
        <v>0</v>
      </c>
      <c r="Z61" s="274">
        <f t="shared" si="24"/>
        <v>0</v>
      </c>
    </row>
    <row r="62" s="251" customFormat="1" customHeight="1" spans="1:26">
      <c r="A62" s="270">
        <v>20</v>
      </c>
      <c r="B62" s="271">
        <f>'人员人工-研发人员工资'!B62</f>
        <v>0</v>
      </c>
      <c r="C62" s="274"/>
      <c r="D62" s="272">
        <f>'人员人工-研发人员工资'!D62</f>
        <v>0</v>
      </c>
      <c r="E62" s="272">
        <f t="shared" si="13"/>
        <v>0</v>
      </c>
      <c r="F62" s="272">
        <f t="shared" si="14"/>
        <v>0</v>
      </c>
      <c r="G62" s="273">
        <f>'人员人工-研发人员工资'!G62</f>
        <v>0</v>
      </c>
      <c r="H62" s="274">
        <f t="shared" si="15"/>
        <v>0</v>
      </c>
      <c r="I62" s="273">
        <f>'人员人工-研发人员工资'!I62</f>
        <v>0</v>
      </c>
      <c r="J62" s="274">
        <f t="shared" si="16"/>
        <v>0</v>
      </c>
      <c r="K62" s="275">
        <f>'人员人工-研发人员工资'!K62</f>
        <v>0</v>
      </c>
      <c r="L62" s="274">
        <f t="shared" si="17"/>
        <v>0</v>
      </c>
      <c r="M62" s="273">
        <f>'人员人工-研发人员工资'!M62</f>
        <v>0</v>
      </c>
      <c r="N62" s="274">
        <f t="shared" si="18"/>
        <v>0</v>
      </c>
      <c r="O62" s="273">
        <f>'人员人工-研发人员工资'!O62</f>
        <v>0</v>
      </c>
      <c r="P62" s="274">
        <f t="shared" si="19"/>
        <v>0</v>
      </c>
      <c r="Q62" s="273">
        <f>'人员人工-研发人员工资'!Q62</f>
        <v>0</v>
      </c>
      <c r="R62" s="274">
        <f t="shared" si="20"/>
        <v>0</v>
      </c>
      <c r="S62" s="273">
        <f>'人员人工-研发人员工资'!S62</f>
        <v>0</v>
      </c>
      <c r="T62" s="274">
        <f t="shared" si="21"/>
        <v>0</v>
      </c>
      <c r="U62" s="273">
        <f>'人员人工-研发人员工资'!U62</f>
        <v>0</v>
      </c>
      <c r="V62" s="274">
        <f t="shared" si="22"/>
        <v>0</v>
      </c>
      <c r="W62" s="273">
        <f>'人员人工-研发人员工资'!W62</f>
        <v>0</v>
      </c>
      <c r="X62" s="274">
        <f t="shared" si="23"/>
        <v>0</v>
      </c>
      <c r="Y62" s="273">
        <f>'人员人工-研发人员工资'!Y62</f>
        <v>0</v>
      </c>
      <c r="Z62" s="274">
        <f t="shared" si="24"/>
        <v>0</v>
      </c>
    </row>
    <row r="63" s="251" customFormat="1" customHeight="1" spans="1:26">
      <c r="A63" s="270">
        <v>21</v>
      </c>
      <c r="B63" s="271">
        <f>'人员人工-研发人员工资'!B63</f>
        <v>0</v>
      </c>
      <c r="C63" s="274"/>
      <c r="D63" s="272">
        <f>'人员人工-研发人员工资'!D63</f>
        <v>0</v>
      </c>
      <c r="E63" s="272">
        <f t="shared" si="13"/>
        <v>0</v>
      </c>
      <c r="F63" s="272">
        <f t="shared" si="14"/>
        <v>0</v>
      </c>
      <c r="G63" s="273">
        <f>'人员人工-研发人员工资'!G63</f>
        <v>0</v>
      </c>
      <c r="H63" s="274">
        <f t="shared" si="15"/>
        <v>0</v>
      </c>
      <c r="I63" s="273">
        <f>'人员人工-研发人员工资'!I63</f>
        <v>0</v>
      </c>
      <c r="J63" s="274">
        <f t="shared" si="16"/>
        <v>0</v>
      </c>
      <c r="K63" s="275">
        <f>'人员人工-研发人员工资'!K63</f>
        <v>0</v>
      </c>
      <c r="L63" s="274">
        <f t="shared" si="17"/>
        <v>0</v>
      </c>
      <c r="M63" s="273">
        <f>'人员人工-研发人员工资'!M63</f>
        <v>0</v>
      </c>
      <c r="N63" s="274">
        <f t="shared" si="18"/>
        <v>0</v>
      </c>
      <c r="O63" s="273">
        <f>'人员人工-研发人员工资'!O63</f>
        <v>0</v>
      </c>
      <c r="P63" s="274">
        <f t="shared" si="19"/>
        <v>0</v>
      </c>
      <c r="Q63" s="273">
        <f>'人员人工-研发人员工资'!Q63</f>
        <v>0</v>
      </c>
      <c r="R63" s="274">
        <f t="shared" si="20"/>
        <v>0</v>
      </c>
      <c r="S63" s="273">
        <f>'人员人工-研发人员工资'!S63</f>
        <v>0</v>
      </c>
      <c r="T63" s="274">
        <f t="shared" si="21"/>
        <v>0</v>
      </c>
      <c r="U63" s="273">
        <f>'人员人工-研发人员工资'!U63</f>
        <v>0</v>
      </c>
      <c r="V63" s="274">
        <f t="shared" si="22"/>
        <v>0</v>
      </c>
      <c r="W63" s="273">
        <f>'人员人工-研发人员工资'!W63</f>
        <v>0</v>
      </c>
      <c r="X63" s="274">
        <f t="shared" si="23"/>
        <v>0</v>
      </c>
      <c r="Y63" s="273">
        <f>'人员人工-研发人员工资'!Y63</f>
        <v>0</v>
      </c>
      <c r="Z63" s="274">
        <f t="shared" si="24"/>
        <v>0</v>
      </c>
    </row>
    <row r="64" s="251" customFormat="1" customHeight="1" spans="1:26">
      <c r="A64" s="270">
        <v>22</v>
      </c>
      <c r="B64" s="271">
        <f>'人员人工-研发人员工资'!B64</f>
        <v>0</v>
      </c>
      <c r="C64" s="274"/>
      <c r="D64" s="272">
        <f>'人员人工-研发人员工资'!D64</f>
        <v>0</v>
      </c>
      <c r="E64" s="272">
        <f t="shared" si="13"/>
        <v>0</v>
      </c>
      <c r="F64" s="272">
        <f t="shared" si="14"/>
        <v>0</v>
      </c>
      <c r="G64" s="273">
        <f>'人员人工-研发人员工资'!G64</f>
        <v>0</v>
      </c>
      <c r="H64" s="274">
        <f t="shared" si="15"/>
        <v>0</v>
      </c>
      <c r="I64" s="273">
        <f>'人员人工-研发人员工资'!I64</f>
        <v>0</v>
      </c>
      <c r="J64" s="274">
        <f t="shared" si="16"/>
        <v>0</v>
      </c>
      <c r="K64" s="275">
        <f>'人员人工-研发人员工资'!K64</f>
        <v>0</v>
      </c>
      <c r="L64" s="274">
        <f t="shared" si="17"/>
        <v>0</v>
      </c>
      <c r="M64" s="273">
        <f>'人员人工-研发人员工资'!M64</f>
        <v>0</v>
      </c>
      <c r="N64" s="274">
        <f t="shared" si="18"/>
        <v>0</v>
      </c>
      <c r="O64" s="273">
        <f>'人员人工-研发人员工资'!O64</f>
        <v>0</v>
      </c>
      <c r="P64" s="274">
        <f t="shared" si="19"/>
        <v>0</v>
      </c>
      <c r="Q64" s="273">
        <f>'人员人工-研发人员工资'!Q64</f>
        <v>0</v>
      </c>
      <c r="R64" s="274">
        <f t="shared" si="20"/>
        <v>0</v>
      </c>
      <c r="S64" s="273">
        <f>'人员人工-研发人员工资'!S64</f>
        <v>0</v>
      </c>
      <c r="T64" s="274">
        <f t="shared" si="21"/>
        <v>0</v>
      </c>
      <c r="U64" s="273">
        <f>'人员人工-研发人员工资'!U64</f>
        <v>0</v>
      </c>
      <c r="V64" s="274">
        <f t="shared" si="22"/>
        <v>0</v>
      </c>
      <c r="W64" s="273">
        <f>'人员人工-研发人员工资'!W64</f>
        <v>0</v>
      </c>
      <c r="X64" s="274">
        <f t="shared" si="23"/>
        <v>0</v>
      </c>
      <c r="Y64" s="273">
        <f>'人员人工-研发人员工资'!Y64</f>
        <v>0</v>
      </c>
      <c r="Z64" s="274">
        <f t="shared" si="24"/>
        <v>0</v>
      </c>
    </row>
    <row r="65" s="251" customFormat="1" customHeight="1" spans="1:26">
      <c r="A65" s="270">
        <v>23</v>
      </c>
      <c r="B65" s="271">
        <f>'人员人工-研发人员工资'!B65</f>
        <v>0</v>
      </c>
      <c r="C65" s="274"/>
      <c r="D65" s="272">
        <f>'人员人工-研发人员工资'!D65</f>
        <v>0</v>
      </c>
      <c r="E65" s="272">
        <f t="shared" si="13"/>
        <v>0</v>
      </c>
      <c r="F65" s="272">
        <f t="shared" si="14"/>
        <v>0</v>
      </c>
      <c r="G65" s="273">
        <f>'人员人工-研发人员工资'!G65</f>
        <v>0</v>
      </c>
      <c r="H65" s="274">
        <f t="shared" si="15"/>
        <v>0</v>
      </c>
      <c r="I65" s="273">
        <f>'人员人工-研发人员工资'!I65</f>
        <v>0</v>
      </c>
      <c r="J65" s="274">
        <f t="shared" si="16"/>
        <v>0</v>
      </c>
      <c r="K65" s="275">
        <f>'人员人工-研发人员工资'!K65</f>
        <v>0</v>
      </c>
      <c r="L65" s="274">
        <f t="shared" si="17"/>
        <v>0</v>
      </c>
      <c r="M65" s="273">
        <f>'人员人工-研发人员工资'!M65</f>
        <v>0</v>
      </c>
      <c r="N65" s="274">
        <f t="shared" si="18"/>
        <v>0</v>
      </c>
      <c r="O65" s="273">
        <f>'人员人工-研发人员工资'!O65</f>
        <v>0</v>
      </c>
      <c r="P65" s="274">
        <f t="shared" si="19"/>
        <v>0</v>
      </c>
      <c r="Q65" s="273">
        <f>'人员人工-研发人员工资'!Q65</f>
        <v>0</v>
      </c>
      <c r="R65" s="274">
        <f t="shared" si="20"/>
        <v>0</v>
      </c>
      <c r="S65" s="273">
        <f>'人员人工-研发人员工资'!S65</f>
        <v>0</v>
      </c>
      <c r="T65" s="274">
        <f t="shared" si="21"/>
        <v>0</v>
      </c>
      <c r="U65" s="273">
        <f>'人员人工-研发人员工资'!U65</f>
        <v>0</v>
      </c>
      <c r="V65" s="274">
        <f t="shared" si="22"/>
        <v>0</v>
      </c>
      <c r="W65" s="273">
        <f>'人员人工-研发人员工资'!W65</f>
        <v>0</v>
      </c>
      <c r="X65" s="274">
        <f t="shared" si="23"/>
        <v>0</v>
      </c>
      <c r="Y65" s="273">
        <f>'人员人工-研发人员工资'!Y65</f>
        <v>0</v>
      </c>
      <c r="Z65" s="274">
        <f t="shared" si="24"/>
        <v>0</v>
      </c>
    </row>
    <row r="66" s="251" customFormat="1" customHeight="1" spans="1:26">
      <c r="A66" s="270">
        <v>25</v>
      </c>
      <c r="B66" s="271">
        <f>'人员人工-研发人员工资'!B66</f>
        <v>0</v>
      </c>
      <c r="C66" s="274"/>
      <c r="D66" s="272">
        <f>'人员人工-研发人员工资'!D66</f>
        <v>0</v>
      </c>
      <c r="E66" s="272">
        <f t="shared" si="13"/>
        <v>0</v>
      </c>
      <c r="F66" s="272">
        <f t="shared" si="14"/>
        <v>0</v>
      </c>
      <c r="G66" s="273">
        <f>'人员人工-研发人员工资'!G66</f>
        <v>0</v>
      </c>
      <c r="H66" s="274">
        <f t="shared" si="15"/>
        <v>0</v>
      </c>
      <c r="I66" s="273">
        <f>'人员人工-研发人员工资'!I66</f>
        <v>0</v>
      </c>
      <c r="J66" s="274">
        <f t="shared" si="16"/>
        <v>0</v>
      </c>
      <c r="K66" s="275">
        <f>'人员人工-研发人员工资'!K66</f>
        <v>0</v>
      </c>
      <c r="L66" s="274">
        <f t="shared" si="17"/>
        <v>0</v>
      </c>
      <c r="M66" s="273">
        <f>'人员人工-研发人员工资'!M66</f>
        <v>0</v>
      </c>
      <c r="N66" s="274">
        <f t="shared" si="18"/>
        <v>0</v>
      </c>
      <c r="O66" s="273">
        <f>'人员人工-研发人员工资'!O66</f>
        <v>0</v>
      </c>
      <c r="P66" s="274">
        <f t="shared" si="19"/>
        <v>0</v>
      </c>
      <c r="Q66" s="273">
        <f>'人员人工-研发人员工资'!Q66</f>
        <v>0</v>
      </c>
      <c r="R66" s="274">
        <f t="shared" si="20"/>
        <v>0</v>
      </c>
      <c r="S66" s="273">
        <f>'人员人工-研发人员工资'!S66</f>
        <v>0</v>
      </c>
      <c r="T66" s="274">
        <f t="shared" si="21"/>
        <v>0</v>
      </c>
      <c r="U66" s="273">
        <f>'人员人工-研发人员工资'!U66</f>
        <v>0</v>
      </c>
      <c r="V66" s="274">
        <f t="shared" si="22"/>
        <v>0</v>
      </c>
      <c r="W66" s="273">
        <f>'人员人工-研发人员工资'!W66</f>
        <v>0</v>
      </c>
      <c r="X66" s="274">
        <f t="shared" si="23"/>
        <v>0</v>
      </c>
      <c r="Y66" s="273">
        <f>'人员人工-研发人员工资'!Y66</f>
        <v>0</v>
      </c>
      <c r="Z66" s="274">
        <f t="shared" si="24"/>
        <v>0</v>
      </c>
    </row>
    <row r="67" s="251" customFormat="1" customHeight="1" spans="1:26">
      <c r="A67" s="270">
        <v>25</v>
      </c>
      <c r="B67" s="271">
        <f>'人员人工-研发人员工资'!B67</f>
        <v>0</v>
      </c>
      <c r="C67" s="274"/>
      <c r="D67" s="272">
        <f>'人员人工-研发人员工资'!D67</f>
        <v>0</v>
      </c>
      <c r="E67" s="272">
        <f t="shared" si="13"/>
        <v>0</v>
      </c>
      <c r="F67" s="272">
        <f t="shared" si="14"/>
        <v>0</v>
      </c>
      <c r="G67" s="273">
        <f>'人员人工-研发人员工资'!G67</f>
        <v>0</v>
      </c>
      <c r="H67" s="274">
        <f t="shared" si="15"/>
        <v>0</v>
      </c>
      <c r="I67" s="273">
        <f>'人员人工-研发人员工资'!I67</f>
        <v>0</v>
      </c>
      <c r="J67" s="274">
        <f t="shared" si="16"/>
        <v>0</v>
      </c>
      <c r="K67" s="275">
        <f>'人员人工-研发人员工资'!K67</f>
        <v>0</v>
      </c>
      <c r="L67" s="274">
        <f t="shared" si="17"/>
        <v>0</v>
      </c>
      <c r="M67" s="273">
        <f>'人员人工-研发人员工资'!M67</f>
        <v>0</v>
      </c>
      <c r="N67" s="274">
        <f t="shared" si="18"/>
        <v>0</v>
      </c>
      <c r="O67" s="273">
        <f>'人员人工-研发人员工资'!O67</f>
        <v>0</v>
      </c>
      <c r="P67" s="274">
        <f t="shared" si="19"/>
        <v>0</v>
      </c>
      <c r="Q67" s="273">
        <f>'人员人工-研发人员工资'!Q67</f>
        <v>0</v>
      </c>
      <c r="R67" s="274">
        <f t="shared" si="20"/>
        <v>0</v>
      </c>
      <c r="S67" s="273">
        <f>'人员人工-研发人员工资'!S67</f>
        <v>0</v>
      </c>
      <c r="T67" s="274">
        <f t="shared" si="21"/>
        <v>0</v>
      </c>
      <c r="U67" s="273">
        <f>'人员人工-研发人员工资'!U67</f>
        <v>0</v>
      </c>
      <c r="V67" s="274">
        <f t="shared" si="22"/>
        <v>0</v>
      </c>
      <c r="W67" s="273">
        <f>'人员人工-研发人员工资'!W67</f>
        <v>0</v>
      </c>
      <c r="X67" s="274">
        <f t="shared" si="23"/>
        <v>0</v>
      </c>
      <c r="Y67" s="273">
        <f>'人员人工-研发人员工资'!Y67</f>
        <v>0</v>
      </c>
      <c r="Z67" s="274">
        <f t="shared" si="24"/>
        <v>0</v>
      </c>
    </row>
    <row r="68" s="251" customFormat="1" customHeight="1" spans="1:26">
      <c r="A68" s="270">
        <v>26</v>
      </c>
      <c r="B68" s="271">
        <f>'人员人工-研发人员工资'!B68</f>
        <v>0</v>
      </c>
      <c r="C68" s="274"/>
      <c r="D68" s="272">
        <f>'人员人工-研发人员工资'!D68</f>
        <v>0</v>
      </c>
      <c r="E68" s="272">
        <f t="shared" si="13"/>
        <v>0</v>
      </c>
      <c r="F68" s="272">
        <f t="shared" si="14"/>
        <v>0</v>
      </c>
      <c r="G68" s="273">
        <f>'人员人工-研发人员工资'!G68</f>
        <v>0</v>
      </c>
      <c r="H68" s="274">
        <f t="shared" si="15"/>
        <v>0</v>
      </c>
      <c r="I68" s="273">
        <f>'人员人工-研发人员工资'!I68</f>
        <v>0</v>
      </c>
      <c r="J68" s="274">
        <f t="shared" si="16"/>
        <v>0</v>
      </c>
      <c r="K68" s="275">
        <f>'人员人工-研发人员工资'!K68</f>
        <v>0</v>
      </c>
      <c r="L68" s="274">
        <f t="shared" si="17"/>
        <v>0</v>
      </c>
      <c r="M68" s="273">
        <f>'人员人工-研发人员工资'!M68</f>
        <v>0</v>
      </c>
      <c r="N68" s="274">
        <f t="shared" si="18"/>
        <v>0</v>
      </c>
      <c r="O68" s="273">
        <f>'人员人工-研发人员工资'!O68</f>
        <v>0</v>
      </c>
      <c r="P68" s="274">
        <f t="shared" si="19"/>
        <v>0</v>
      </c>
      <c r="Q68" s="273">
        <f>'人员人工-研发人员工资'!Q68</f>
        <v>0</v>
      </c>
      <c r="R68" s="274">
        <f t="shared" si="20"/>
        <v>0</v>
      </c>
      <c r="S68" s="273">
        <f>'人员人工-研发人员工资'!S68</f>
        <v>0</v>
      </c>
      <c r="T68" s="274">
        <f t="shared" si="21"/>
        <v>0</v>
      </c>
      <c r="U68" s="273">
        <f>'人员人工-研发人员工资'!U68</f>
        <v>0</v>
      </c>
      <c r="V68" s="274">
        <f t="shared" si="22"/>
        <v>0</v>
      </c>
      <c r="W68" s="273">
        <f>'人员人工-研发人员工资'!W68</f>
        <v>0</v>
      </c>
      <c r="X68" s="274">
        <f t="shared" si="23"/>
        <v>0</v>
      </c>
      <c r="Y68" s="273">
        <f>'人员人工-研发人员工资'!Y68</f>
        <v>0</v>
      </c>
      <c r="Z68" s="274">
        <f t="shared" si="24"/>
        <v>0</v>
      </c>
    </row>
    <row r="69" s="251" customFormat="1" customHeight="1" spans="1:26">
      <c r="A69" s="270">
        <v>27</v>
      </c>
      <c r="B69" s="271">
        <f>'人员人工-研发人员工资'!B69</f>
        <v>0</v>
      </c>
      <c r="C69" s="274"/>
      <c r="D69" s="272">
        <f>'人员人工-研发人员工资'!D69</f>
        <v>0</v>
      </c>
      <c r="E69" s="272">
        <f t="shared" si="13"/>
        <v>0</v>
      </c>
      <c r="F69" s="272">
        <f t="shared" si="14"/>
        <v>0</v>
      </c>
      <c r="G69" s="273">
        <f>'人员人工-研发人员工资'!G69</f>
        <v>0</v>
      </c>
      <c r="H69" s="274">
        <f t="shared" si="15"/>
        <v>0</v>
      </c>
      <c r="I69" s="273">
        <f>'人员人工-研发人员工资'!I69</f>
        <v>0</v>
      </c>
      <c r="J69" s="274">
        <f t="shared" si="16"/>
        <v>0</v>
      </c>
      <c r="K69" s="275">
        <f>'人员人工-研发人员工资'!K69</f>
        <v>0</v>
      </c>
      <c r="L69" s="274">
        <f t="shared" si="17"/>
        <v>0</v>
      </c>
      <c r="M69" s="273">
        <f>'人员人工-研发人员工资'!M69</f>
        <v>0</v>
      </c>
      <c r="N69" s="274">
        <f t="shared" si="18"/>
        <v>0</v>
      </c>
      <c r="O69" s="273">
        <f>'人员人工-研发人员工资'!O69</f>
        <v>0</v>
      </c>
      <c r="P69" s="274">
        <f t="shared" si="19"/>
        <v>0</v>
      </c>
      <c r="Q69" s="273">
        <f>'人员人工-研发人员工资'!Q69</f>
        <v>0</v>
      </c>
      <c r="R69" s="274">
        <f t="shared" si="20"/>
        <v>0</v>
      </c>
      <c r="S69" s="273">
        <f>'人员人工-研发人员工资'!S69</f>
        <v>0</v>
      </c>
      <c r="T69" s="274">
        <f t="shared" si="21"/>
        <v>0</v>
      </c>
      <c r="U69" s="273">
        <f>'人员人工-研发人员工资'!U69</f>
        <v>0</v>
      </c>
      <c r="V69" s="274">
        <f t="shared" si="22"/>
        <v>0</v>
      </c>
      <c r="W69" s="273">
        <f>'人员人工-研发人员工资'!W69</f>
        <v>0</v>
      </c>
      <c r="X69" s="274">
        <f t="shared" si="23"/>
        <v>0</v>
      </c>
      <c r="Y69" s="273">
        <f>'人员人工-研发人员工资'!Y69</f>
        <v>0</v>
      </c>
      <c r="Z69" s="274">
        <f t="shared" si="24"/>
        <v>0</v>
      </c>
    </row>
    <row r="70" s="251" customFormat="1" customHeight="1" spans="1:26">
      <c r="A70" s="270">
        <v>28</v>
      </c>
      <c r="B70" s="271">
        <f>'人员人工-研发人员工资'!B70</f>
        <v>0</v>
      </c>
      <c r="C70" s="274"/>
      <c r="D70" s="272">
        <f>'人员人工-研发人员工资'!D70</f>
        <v>0</v>
      </c>
      <c r="E70" s="272">
        <f t="shared" si="13"/>
        <v>0</v>
      </c>
      <c r="F70" s="272">
        <f t="shared" si="14"/>
        <v>0</v>
      </c>
      <c r="G70" s="273">
        <f>'人员人工-研发人员工资'!G70</f>
        <v>0</v>
      </c>
      <c r="H70" s="274">
        <f t="shared" si="15"/>
        <v>0</v>
      </c>
      <c r="I70" s="273">
        <f>'人员人工-研发人员工资'!I70</f>
        <v>0</v>
      </c>
      <c r="J70" s="274">
        <f t="shared" si="16"/>
        <v>0</v>
      </c>
      <c r="K70" s="275">
        <f>'人员人工-研发人员工资'!K70</f>
        <v>0</v>
      </c>
      <c r="L70" s="274">
        <f t="shared" si="17"/>
        <v>0</v>
      </c>
      <c r="M70" s="273">
        <f>'人员人工-研发人员工资'!M70</f>
        <v>0</v>
      </c>
      <c r="N70" s="274">
        <f t="shared" si="18"/>
        <v>0</v>
      </c>
      <c r="O70" s="273">
        <f>'人员人工-研发人员工资'!O70</f>
        <v>0</v>
      </c>
      <c r="P70" s="274">
        <f t="shared" si="19"/>
        <v>0</v>
      </c>
      <c r="Q70" s="273">
        <f>'人员人工-研发人员工资'!Q70</f>
        <v>0</v>
      </c>
      <c r="R70" s="274">
        <f t="shared" si="20"/>
        <v>0</v>
      </c>
      <c r="S70" s="273">
        <f>'人员人工-研发人员工资'!S70</f>
        <v>0</v>
      </c>
      <c r="T70" s="274">
        <f t="shared" si="21"/>
        <v>0</v>
      </c>
      <c r="U70" s="273">
        <f>'人员人工-研发人员工资'!U70</f>
        <v>0</v>
      </c>
      <c r="V70" s="274">
        <f t="shared" si="22"/>
        <v>0</v>
      </c>
      <c r="W70" s="273">
        <f>'人员人工-研发人员工资'!W70</f>
        <v>0</v>
      </c>
      <c r="X70" s="274">
        <f t="shared" si="23"/>
        <v>0</v>
      </c>
      <c r="Y70" s="273">
        <f>'人员人工-研发人员工资'!Y70</f>
        <v>0</v>
      </c>
      <c r="Z70" s="274">
        <f t="shared" si="24"/>
        <v>0</v>
      </c>
    </row>
    <row r="71" s="251" customFormat="1" customHeight="1" spans="1:26">
      <c r="A71" s="270">
        <v>29</v>
      </c>
      <c r="B71" s="271">
        <f>'人员人工-研发人员工资'!B71</f>
        <v>0</v>
      </c>
      <c r="C71" s="274"/>
      <c r="D71" s="272">
        <f>'人员人工-研发人员工资'!D71</f>
        <v>0</v>
      </c>
      <c r="E71" s="272">
        <f t="shared" si="13"/>
        <v>0</v>
      </c>
      <c r="F71" s="272">
        <f t="shared" si="14"/>
        <v>0</v>
      </c>
      <c r="G71" s="273">
        <f>'人员人工-研发人员工资'!G71</f>
        <v>0</v>
      </c>
      <c r="H71" s="274">
        <f t="shared" si="15"/>
        <v>0</v>
      </c>
      <c r="I71" s="273">
        <f>'人员人工-研发人员工资'!I71</f>
        <v>0</v>
      </c>
      <c r="J71" s="274">
        <f t="shared" si="16"/>
        <v>0</v>
      </c>
      <c r="K71" s="275">
        <f>'人员人工-研发人员工资'!K71</f>
        <v>0</v>
      </c>
      <c r="L71" s="274">
        <f t="shared" si="17"/>
        <v>0</v>
      </c>
      <c r="M71" s="273">
        <f>'人员人工-研发人员工资'!M71</f>
        <v>0</v>
      </c>
      <c r="N71" s="274">
        <f t="shared" si="18"/>
        <v>0</v>
      </c>
      <c r="O71" s="273">
        <f>'人员人工-研发人员工资'!O71</f>
        <v>0</v>
      </c>
      <c r="P71" s="274">
        <f t="shared" si="19"/>
        <v>0</v>
      </c>
      <c r="Q71" s="273">
        <f>'人员人工-研发人员工资'!Q71</f>
        <v>0</v>
      </c>
      <c r="R71" s="274">
        <f t="shared" si="20"/>
        <v>0</v>
      </c>
      <c r="S71" s="273">
        <f>'人员人工-研发人员工资'!S71</f>
        <v>0</v>
      </c>
      <c r="T71" s="274">
        <f t="shared" si="21"/>
        <v>0</v>
      </c>
      <c r="U71" s="273">
        <f>'人员人工-研发人员工资'!U71</f>
        <v>0</v>
      </c>
      <c r="V71" s="274">
        <f t="shared" si="22"/>
        <v>0</v>
      </c>
      <c r="W71" s="273">
        <f>'人员人工-研发人员工资'!W71</f>
        <v>0</v>
      </c>
      <c r="X71" s="274">
        <f t="shared" si="23"/>
        <v>0</v>
      </c>
      <c r="Y71" s="273">
        <f>'人员人工-研发人员工资'!Y71</f>
        <v>0</v>
      </c>
      <c r="Z71" s="274">
        <f t="shared" si="24"/>
        <v>0</v>
      </c>
    </row>
    <row r="72" s="251" customFormat="1" customHeight="1" spans="1:26">
      <c r="A72" s="270">
        <v>30</v>
      </c>
      <c r="B72" s="271">
        <f>'人员人工-研发人员工资'!B72</f>
        <v>0</v>
      </c>
      <c r="C72" s="274"/>
      <c r="D72" s="272">
        <f>'人员人工-研发人员工资'!D72</f>
        <v>0</v>
      </c>
      <c r="E72" s="272">
        <f t="shared" si="13"/>
        <v>0</v>
      </c>
      <c r="F72" s="272">
        <f t="shared" si="14"/>
        <v>0</v>
      </c>
      <c r="G72" s="273">
        <f>'人员人工-研发人员工资'!G72</f>
        <v>0</v>
      </c>
      <c r="H72" s="274">
        <f t="shared" si="15"/>
        <v>0</v>
      </c>
      <c r="I72" s="273">
        <f>'人员人工-研发人员工资'!I72</f>
        <v>0</v>
      </c>
      <c r="J72" s="274">
        <f t="shared" si="16"/>
        <v>0</v>
      </c>
      <c r="K72" s="275">
        <f>'人员人工-研发人员工资'!K72</f>
        <v>0</v>
      </c>
      <c r="L72" s="274">
        <f t="shared" si="17"/>
        <v>0</v>
      </c>
      <c r="M72" s="273">
        <f>'人员人工-研发人员工资'!M72</f>
        <v>0</v>
      </c>
      <c r="N72" s="274">
        <f t="shared" si="18"/>
        <v>0</v>
      </c>
      <c r="O72" s="273">
        <f>'人员人工-研发人员工资'!O72</f>
        <v>0</v>
      </c>
      <c r="P72" s="274">
        <f t="shared" si="19"/>
        <v>0</v>
      </c>
      <c r="Q72" s="273">
        <f>'人员人工-研发人员工资'!Q72</f>
        <v>0</v>
      </c>
      <c r="R72" s="274">
        <f t="shared" si="20"/>
        <v>0</v>
      </c>
      <c r="S72" s="273">
        <f>'人员人工-研发人员工资'!S72</f>
        <v>0</v>
      </c>
      <c r="T72" s="274">
        <f t="shared" si="21"/>
        <v>0</v>
      </c>
      <c r="U72" s="273">
        <f>'人员人工-研发人员工资'!U72</f>
        <v>0</v>
      </c>
      <c r="V72" s="274">
        <f t="shared" si="22"/>
        <v>0</v>
      </c>
      <c r="W72" s="273">
        <f>'人员人工-研发人员工资'!W72</f>
        <v>0</v>
      </c>
      <c r="X72" s="274">
        <f t="shared" si="23"/>
        <v>0</v>
      </c>
      <c r="Y72" s="273">
        <f>'人员人工-研发人员工资'!Y72</f>
        <v>0</v>
      </c>
      <c r="Z72" s="274">
        <f t="shared" si="24"/>
        <v>0</v>
      </c>
    </row>
    <row r="73" s="251" customFormat="1" customHeight="1" spans="1:26">
      <c r="A73" s="276" t="s">
        <v>22</v>
      </c>
      <c r="B73" s="277"/>
      <c r="C73" s="261">
        <f t="shared" ref="C73:Z73" si="25">SUM(C43:C72)</f>
        <v>0</v>
      </c>
      <c r="D73" s="261">
        <f t="shared" si="25"/>
        <v>0</v>
      </c>
      <c r="E73" s="272">
        <f t="shared" si="25"/>
        <v>0</v>
      </c>
      <c r="F73" s="261">
        <f t="shared" si="25"/>
        <v>0</v>
      </c>
      <c r="G73" s="261">
        <f t="shared" si="25"/>
        <v>0</v>
      </c>
      <c r="H73" s="261">
        <f t="shared" si="25"/>
        <v>0</v>
      </c>
      <c r="I73" s="261">
        <f t="shared" si="25"/>
        <v>0</v>
      </c>
      <c r="J73" s="261">
        <f t="shared" si="25"/>
        <v>0</v>
      </c>
      <c r="K73" s="261">
        <f t="shared" si="25"/>
        <v>0</v>
      </c>
      <c r="L73" s="261">
        <f t="shared" si="25"/>
        <v>0</v>
      </c>
      <c r="M73" s="261">
        <f t="shared" si="25"/>
        <v>0</v>
      </c>
      <c r="N73" s="261">
        <f t="shared" si="25"/>
        <v>0</v>
      </c>
      <c r="O73" s="261">
        <f t="shared" si="25"/>
        <v>0</v>
      </c>
      <c r="P73" s="261">
        <f t="shared" si="25"/>
        <v>0</v>
      </c>
      <c r="Q73" s="261">
        <f t="shared" si="25"/>
        <v>0</v>
      </c>
      <c r="R73" s="261">
        <f t="shared" si="25"/>
        <v>0</v>
      </c>
      <c r="S73" s="261">
        <f t="shared" si="25"/>
        <v>0</v>
      </c>
      <c r="T73" s="261">
        <f t="shared" si="25"/>
        <v>0</v>
      </c>
      <c r="U73" s="261">
        <f t="shared" si="25"/>
        <v>0</v>
      </c>
      <c r="V73" s="261">
        <f t="shared" si="25"/>
        <v>0</v>
      </c>
      <c r="W73" s="261">
        <f t="shared" si="25"/>
        <v>0</v>
      </c>
      <c r="X73" s="261">
        <f t="shared" si="25"/>
        <v>0</v>
      </c>
      <c r="Y73" s="261">
        <f t="shared" si="25"/>
        <v>0</v>
      </c>
      <c r="Z73" s="261">
        <f t="shared" si="25"/>
        <v>0</v>
      </c>
    </row>
    <row r="74" s="251" customFormat="1" customHeight="1" spans="1:26">
      <c r="A74" s="252"/>
      <c r="B74" s="253"/>
      <c r="C74" s="254"/>
      <c r="D74" s="254"/>
      <c r="E74" s="254"/>
      <c r="F74" s="254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</row>
    <row r="75" s="251" customFormat="1" customHeight="1" spans="1:26">
      <c r="A75" s="252"/>
      <c r="B75" s="253"/>
      <c r="C75" s="254"/>
      <c r="D75" s="254"/>
      <c r="E75" s="254"/>
      <c r="F75" s="254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 s="251" customFormat="1" customHeight="1" spans="1:26">
      <c r="A76" s="252"/>
      <c r="B76" s="257" t="s">
        <v>145</v>
      </c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</row>
    <row r="77" s="251" customFormat="1" customHeight="1" spans="1:26">
      <c r="A77" s="252"/>
      <c r="B77" s="253"/>
      <c r="C77" s="254"/>
      <c r="D77" s="254"/>
      <c r="E77" s="254"/>
      <c r="F77" s="254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</row>
    <row r="78" s="251" customFormat="1" customHeight="1" spans="1:26">
      <c r="A78" s="259" t="s">
        <v>31</v>
      </c>
      <c r="B78" s="260" t="s">
        <v>32</v>
      </c>
      <c r="C78" s="261" t="s">
        <v>141</v>
      </c>
      <c r="D78" s="261" t="s">
        <v>34</v>
      </c>
      <c r="E78" s="262" t="s">
        <v>35</v>
      </c>
      <c r="F78" s="262" t="s">
        <v>142</v>
      </c>
      <c r="G78" s="263" t="str">
        <f>立项!$A$3</f>
        <v>RD01</v>
      </c>
      <c r="H78" s="264"/>
      <c r="I78" s="264" t="str">
        <f>立项!$A$4</f>
        <v>RD02</v>
      </c>
      <c r="J78" s="264"/>
      <c r="K78" s="264" t="str">
        <f>立项!$A$5</f>
        <v>RD03</v>
      </c>
      <c r="L78" s="264"/>
      <c r="M78" s="264" t="str">
        <f>立项!$A$6</f>
        <v>RD04</v>
      </c>
      <c r="N78" s="264"/>
      <c r="O78" s="264" t="str">
        <f>立项!$A$7</f>
        <v>RD05</v>
      </c>
      <c r="P78" s="264"/>
      <c r="Q78" s="264" t="str">
        <f>立项!$A$8</f>
        <v>RD06</v>
      </c>
      <c r="R78" s="264"/>
      <c r="S78" s="264" t="str">
        <f>立项!$A$9</f>
        <v>RD07</v>
      </c>
      <c r="T78" s="264"/>
      <c r="U78" s="264" t="str">
        <f>立项!$A$10</f>
        <v>RD08</v>
      </c>
      <c r="V78" s="264"/>
      <c r="W78" s="264" t="str">
        <f>立项!$A$11</f>
        <v>RD09</v>
      </c>
      <c r="X78" s="264"/>
      <c r="Y78" s="264" t="str">
        <f>立项!$A$12</f>
        <v>RD10</v>
      </c>
      <c r="Z78" s="264"/>
    </row>
    <row r="79" s="251" customFormat="1" customHeight="1" spans="1:26">
      <c r="A79" s="265"/>
      <c r="B79" s="260"/>
      <c r="C79" s="261"/>
      <c r="D79" s="261"/>
      <c r="E79" s="262"/>
      <c r="F79" s="262"/>
      <c r="G79" s="267">
        <f>立项!C3</f>
        <v>0</v>
      </c>
      <c r="H79" s="263"/>
      <c r="I79" s="267">
        <f>立项!C4</f>
        <v>0</v>
      </c>
      <c r="J79" s="263"/>
      <c r="K79" s="267">
        <f>立项!C5</f>
        <v>0</v>
      </c>
      <c r="L79" s="263"/>
      <c r="M79" s="267">
        <f>立项!C6</f>
        <v>0</v>
      </c>
      <c r="N79" s="263"/>
      <c r="O79" s="267">
        <f>立项!C7</f>
        <v>0</v>
      </c>
      <c r="P79" s="263"/>
      <c r="Q79" s="267">
        <f>立项!C8</f>
        <v>0</v>
      </c>
      <c r="R79" s="263"/>
      <c r="S79" s="267">
        <f>立项!C9</f>
        <v>0</v>
      </c>
      <c r="T79" s="263"/>
      <c r="U79" s="267">
        <f>立项!C10</f>
        <v>0</v>
      </c>
      <c r="V79" s="263"/>
      <c r="W79" s="267">
        <f>立项!C11</f>
        <v>0</v>
      </c>
      <c r="X79" s="263"/>
      <c r="Y79" s="264">
        <f>立项!C12</f>
        <v>0</v>
      </c>
      <c r="Z79" s="264"/>
    </row>
    <row r="80" s="251" customFormat="1" customHeight="1" spans="1:26">
      <c r="A80" s="268"/>
      <c r="B80" s="260"/>
      <c r="C80" s="261"/>
      <c r="D80" s="261"/>
      <c r="E80" s="262"/>
      <c r="F80" s="262"/>
      <c r="G80" s="264" t="s">
        <v>39</v>
      </c>
      <c r="H80" s="269" t="s">
        <v>143</v>
      </c>
      <c r="I80" s="264" t="s">
        <v>39</v>
      </c>
      <c r="J80" s="269" t="s">
        <v>143</v>
      </c>
      <c r="K80" s="264" t="s">
        <v>39</v>
      </c>
      <c r="L80" s="269" t="s">
        <v>143</v>
      </c>
      <c r="M80" s="264" t="s">
        <v>39</v>
      </c>
      <c r="N80" s="269" t="s">
        <v>143</v>
      </c>
      <c r="O80" s="264" t="s">
        <v>39</v>
      </c>
      <c r="P80" s="269" t="s">
        <v>143</v>
      </c>
      <c r="Q80" s="264" t="s">
        <v>39</v>
      </c>
      <c r="R80" s="269" t="s">
        <v>143</v>
      </c>
      <c r="S80" s="264" t="s">
        <v>39</v>
      </c>
      <c r="T80" s="269" t="s">
        <v>143</v>
      </c>
      <c r="U80" s="264" t="s">
        <v>39</v>
      </c>
      <c r="V80" s="269" t="s">
        <v>143</v>
      </c>
      <c r="W80" s="264" t="s">
        <v>39</v>
      </c>
      <c r="X80" s="269" t="s">
        <v>143</v>
      </c>
      <c r="Y80" s="264" t="s">
        <v>39</v>
      </c>
      <c r="Z80" s="269" t="s">
        <v>143</v>
      </c>
    </row>
    <row r="81" s="251" customFormat="1" customHeight="1" spans="1:26">
      <c r="A81" s="270">
        <v>1</v>
      </c>
      <c r="B81" s="271">
        <f>'人员人工-研发人员工资'!B81</f>
        <v>0</v>
      </c>
      <c r="C81" s="272"/>
      <c r="D81" s="272">
        <f>'人员人工-研发人员工资'!D81</f>
        <v>0</v>
      </c>
      <c r="E81" s="272">
        <f t="shared" ref="E81:E110" si="26">G81+I81+K81+M81+O81+Q81+S81+U81+W81+Y81</f>
        <v>0</v>
      </c>
      <c r="F81" s="272">
        <f t="shared" ref="F81:F110" si="27">H81+J81+L81+N81+P81+R81+T81+V81+X81+Z81</f>
        <v>0</v>
      </c>
      <c r="G81" s="273">
        <f>'人员人工-研发人员工资'!G81</f>
        <v>0</v>
      </c>
      <c r="H81" s="274">
        <f t="shared" ref="H81:H110" si="28">IF($D81=0,0,ROUND(G81/$D81*$C81,2))</f>
        <v>0</v>
      </c>
      <c r="I81" s="273">
        <f>'人员人工-研发人员工资'!I81</f>
        <v>0</v>
      </c>
      <c r="J81" s="274">
        <f t="shared" ref="J81:J110" si="29">IF($D81=0,0,ROUND(I81/$D81*$C81,2))</f>
        <v>0</v>
      </c>
      <c r="K81" s="275">
        <f>'人员人工-研发人员工资'!K81</f>
        <v>0</v>
      </c>
      <c r="L81" s="274">
        <f t="shared" ref="L81:L110" si="30">IF($D81=0,0,ROUND(K81/$D81*$C81,2))</f>
        <v>0</v>
      </c>
      <c r="M81" s="273">
        <f>'人员人工-研发人员工资'!M81</f>
        <v>0</v>
      </c>
      <c r="N81" s="274">
        <f t="shared" ref="N81:N110" si="31">IF($D81=0,0,ROUND(M81/$D81*$C81,2))</f>
        <v>0</v>
      </c>
      <c r="O81" s="273">
        <f>'人员人工-研发人员工资'!O81</f>
        <v>0</v>
      </c>
      <c r="P81" s="274">
        <f t="shared" ref="P81:P110" si="32">IF($D81=0,0,ROUND(O81/$D81*$C81,2))</f>
        <v>0</v>
      </c>
      <c r="Q81" s="273">
        <f>'人员人工-研发人员工资'!Q81</f>
        <v>0</v>
      </c>
      <c r="R81" s="274">
        <f t="shared" ref="R81:R110" si="33">IF($D81=0,0,ROUND(Q81/$D81*$C81,2))</f>
        <v>0</v>
      </c>
      <c r="S81" s="273">
        <f>'人员人工-研发人员工资'!S81</f>
        <v>0</v>
      </c>
      <c r="T81" s="274">
        <f t="shared" ref="T81:T110" si="34">IF($D81=0,0,ROUND(S81/$D81*$C81,2))</f>
        <v>0</v>
      </c>
      <c r="U81" s="273">
        <f>'人员人工-研发人员工资'!U81</f>
        <v>0</v>
      </c>
      <c r="V81" s="274">
        <f t="shared" ref="V81:V110" si="35">IF($D81=0,0,ROUND(U81/$D81*$C81,2))</f>
        <v>0</v>
      </c>
      <c r="W81" s="273">
        <f>'人员人工-研发人员工资'!W81</f>
        <v>0</v>
      </c>
      <c r="X81" s="274">
        <f t="shared" ref="X81:X110" si="36">IF($D81=0,0,ROUND(W81/$D81*$C81,2))</f>
        <v>0</v>
      </c>
      <c r="Y81" s="273">
        <f>'人员人工-研发人员工资'!Y81</f>
        <v>0</v>
      </c>
      <c r="Z81" s="274">
        <f t="shared" ref="Z81:Z110" si="37">IF($D81=0,0,ROUND(Y81/$D81*$C81,2))</f>
        <v>0</v>
      </c>
    </row>
    <row r="82" s="251" customFormat="1" customHeight="1" spans="1:26">
      <c r="A82" s="270">
        <v>2</v>
      </c>
      <c r="B82" s="271">
        <f>'人员人工-研发人员工资'!B82</f>
        <v>0</v>
      </c>
      <c r="C82" s="272"/>
      <c r="D82" s="272">
        <f>'人员人工-研发人员工资'!D82</f>
        <v>0</v>
      </c>
      <c r="E82" s="272">
        <f t="shared" si="26"/>
        <v>0</v>
      </c>
      <c r="F82" s="272">
        <f t="shared" si="27"/>
        <v>0</v>
      </c>
      <c r="G82" s="273">
        <f>'人员人工-研发人员工资'!G82</f>
        <v>0</v>
      </c>
      <c r="H82" s="274">
        <f t="shared" si="28"/>
        <v>0</v>
      </c>
      <c r="I82" s="273">
        <f>'人员人工-研发人员工资'!I82</f>
        <v>0</v>
      </c>
      <c r="J82" s="274">
        <f t="shared" si="29"/>
        <v>0</v>
      </c>
      <c r="K82" s="275">
        <f>'人员人工-研发人员工资'!K82</f>
        <v>0</v>
      </c>
      <c r="L82" s="274">
        <f t="shared" si="30"/>
        <v>0</v>
      </c>
      <c r="M82" s="273">
        <f>'人员人工-研发人员工资'!M82</f>
        <v>0</v>
      </c>
      <c r="N82" s="274">
        <f t="shared" si="31"/>
        <v>0</v>
      </c>
      <c r="O82" s="273">
        <f>'人员人工-研发人员工资'!O82</f>
        <v>0</v>
      </c>
      <c r="P82" s="274">
        <f t="shared" si="32"/>
        <v>0</v>
      </c>
      <c r="Q82" s="273">
        <f>'人员人工-研发人员工资'!Q82</f>
        <v>0</v>
      </c>
      <c r="R82" s="274">
        <f t="shared" si="33"/>
        <v>0</v>
      </c>
      <c r="S82" s="273">
        <f>'人员人工-研发人员工资'!S82</f>
        <v>0</v>
      </c>
      <c r="T82" s="274">
        <f t="shared" si="34"/>
        <v>0</v>
      </c>
      <c r="U82" s="273">
        <f>'人员人工-研发人员工资'!U82</f>
        <v>0</v>
      </c>
      <c r="V82" s="274">
        <f t="shared" si="35"/>
        <v>0</v>
      </c>
      <c r="W82" s="273">
        <f>'人员人工-研发人员工资'!W82</f>
        <v>0</v>
      </c>
      <c r="X82" s="274">
        <f t="shared" si="36"/>
        <v>0</v>
      </c>
      <c r="Y82" s="273">
        <f>'人员人工-研发人员工资'!Y82</f>
        <v>0</v>
      </c>
      <c r="Z82" s="274">
        <f t="shared" si="37"/>
        <v>0</v>
      </c>
    </row>
    <row r="83" s="251" customFormat="1" customHeight="1" spans="1:26">
      <c r="A83" s="270">
        <v>3</v>
      </c>
      <c r="B83" s="271">
        <f>'人员人工-研发人员工资'!B83</f>
        <v>0</v>
      </c>
      <c r="C83" s="272"/>
      <c r="D83" s="272">
        <f>'人员人工-研发人员工资'!D83</f>
        <v>0</v>
      </c>
      <c r="E83" s="272">
        <f t="shared" si="26"/>
        <v>0</v>
      </c>
      <c r="F83" s="272">
        <f t="shared" si="27"/>
        <v>0</v>
      </c>
      <c r="G83" s="273">
        <f>'人员人工-研发人员工资'!G83</f>
        <v>0</v>
      </c>
      <c r="H83" s="274">
        <f t="shared" si="28"/>
        <v>0</v>
      </c>
      <c r="I83" s="273">
        <f>'人员人工-研发人员工资'!I83</f>
        <v>0</v>
      </c>
      <c r="J83" s="274">
        <f t="shared" si="29"/>
        <v>0</v>
      </c>
      <c r="K83" s="275">
        <f>'人员人工-研发人员工资'!K83</f>
        <v>0</v>
      </c>
      <c r="L83" s="274">
        <f t="shared" si="30"/>
        <v>0</v>
      </c>
      <c r="M83" s="273">
        <f>'人员人工-研发人员工资'!M83</f>
        <v>0</v>
      </c>
      <c r="N83" s="274">
        <f t="shared" si="31"/>
        <v>0</v>
      </c>
      <c r="O83" s="273">
        <f>'人员人工-研发人员工资'!O83</f>
        <v>0</v>
      </c>
      <c r="P83" s="274">
        <f t="shared" si="32"/>
        <v>0</v>
      </c>
      <c r="Q83" s="273">
        <f>'人员人工-研发人员工资'!Q83</f>
        <v>0</v>
      </c>
      <c r="R83" s="274">
        <f t="shared" si="33"/>
        <v>0</v>
      </c>
      <c r="S83" s="273">
        <f>'人员人工-研发人员工资'!S83</f>
        <v>0</v>
      </c>
      <c r="T83" s="274">
        <f t="shared" si="34"/>
        <v>0</v>
      </c>
      <c r="U83" s="273">
        <f>'人员人工-研发人员工资'!U83</f>
        <v>0</v>
      </c>
      <c r="V83" s="274">
        <f t="shared" si="35"/>
        <v>0</v>
      </c>
      <c r="W83" s="273">
        <f>'人员人工-研发人员工资'!W83</f>
        <v>0</v>
      </c>
      <c r="X83" s="274">
        <f t="shared" si="36"/>
        <v>0</v>
      </c>
      <c r="Y83" s="273">
        <f>'人员人工-研发人员工资'!Y83</f>
        <v>0</v>
      </c>
      <c r="Z83" s="274">
        <f t="shared" si="37"/>
        <v>0</v>
      </c>
    </row>
    <row r="84" s="251" customFormat="1" customHeight="1" spans="1:26">
      <c r="A84" s="270">
        <v>4</v>
      </c>
      <c r="B84" s="271">
        <f>'人员人工-研发人员工资'!B84</f>
        <v>0</v>
      </c>
      <c r="C84" s="272"/>
      <c r="D84" s="272">
        <f>'人员人工-研发人员工资'!D84</f>
        <v>0</v>
      </c>
      <c r="E84" s="272">
        <f t="shared" si="26"/>
        <v>0</v>
      </c>
      <c r="F84" s="272">
        <f t="shared" si="27"/>
        <v>0</v>
      </c>
      <c r="G84" s="273">
        <f>'人员人工-研发人员工资'!G84</f>
        <v>0</v>
      </c>
      <c r="H84" s="274">
        <f t="shared" si="28"/>
        <v>0</v>
      </c>
      <c r="I84" s="273">
        <f>'人员人工-研发人员工资'!I84</f>
        <v>0</v>
      </c>
      <c r="J84" s="274">
        <f t="shared" si="29"/>
        <v>0</v>
      </c>
      <c r="K84" s="275">
        <f>'人员人工-研发人员工资'!K84</f>
        <v>0</v>
      </c>
      <c r="L84" s="274">
        <f t="shared" si="30"/>
        <v>0</v>
      </c>
      <c r="M84" s="273">
        <f>'人员人工-研发人员工资'!M84</f>
        <v>0</v>
      </c>
      <c r="N84" s="274">
        <f t="shared" si="31"/>
        <v>0</v>
      </c>
      <c r="O84" s="273">
        <f>'人员人工-研发人员工资'!O84</f>
        <v>0</v>
      </c>
      <c r="P84" s="274">
        <f t="shared" si="32"/>
        <v>0</v>
      </c>
      <c r="Q84" s="273">
        <f>'人员人工-研发人员工资'!Q84</f>
        <v>0</v>
      </c>
      <c r="R84" s="274">
        <f t="shared" si="33"/>
        <v>0</v>
      </c>
      <c r="S84" s="273">
        <f>'人员人工-研发人员工资'!S84</f>
        <v>0</v>
      </c>
      <c r="T84" s="274">
        <f t="shared" si="34"/>
        <v>0</v>
      </c>
      <c r="U84" s="273">
        <f>'人员人工-研发人员工资'!U84</f>
        <v>0</v>
      </c>
      <c r="V84" s="274">
        <f t="shared" si="35"/>
        <v>0</v>
      </c>
      <c r="W84" s="273">
        <f>'人员人工-研发人员工资'!W84</f>
        <v>0</v>
      </c>
      <c r="X84" s="274">
        <f t="shared" si="36"/>
        <v>0</v>
      </c>
      <c r="Y84" s="273">
        <f>'人员人工-研发人员工资'!Y84</f>
        <v>0</v>
      </c>
      <c r="Z84" s="274">
        <f t="shared" si="37"/>
        <v>0</v>
      </c>
    </row>
    <row r="85" s="251" customFormat="1" customHeight="1" spans="1:26">
      <c r="A85" s="270">
        <v>5</v>
      </c>
      <c r="B85" s="271">
        <f>'人员人工-研发人员工资'!B85</f>
        <v>0</v>
      </c>
      <c r="C85" s="272"/>
      <c r="D85" s="272">
        <f>'人员人工-研发人员工资'!D85</f>
        <v>0</v>
      </c>
      <c r="E85" s="272">
        <f t="shared" si="26"/>
        <v>0</v>
      </c>
      <c r="F85" s="272">
        <f t="shared" si="27"/>
        <v>0</v>
      </c>
      <c r="G85" s="273">
        <f>'人员人工-研发人员工资'!G85</f>
        <v>0</v>
      </c>
      <c r="H85" s="274">
        <f t="shared" si="28"/>
        <v>0</v>
      </c>
      <c r="I85" s="273">
        <f>'人员人工-研发人员工资'!I85</f>
        <v>0</v>
      </c>
      <c r="J85" s="274">
        <f t="shared" si="29"/>
        <v>0</v>
      </c>
      <c r="K85" s="275">
        <f>'人员人工-研发人员工资'!K85</f>
        <v>0</v>
      </c>
      <c r="L85" s="274">
        <f t="shared" si="30"/>
        <v>0</v>
      </c>
      <c r="M85" s="273">
        <f>'人员人工-研发人员工资'!M85</f>
        <v>0</v>
      </c>
      <c r="N85" s="274">
        <f t="shared" si="31"/>
        <v>0</v>
      </c>
      <c r="O85" s="273">
        <f>'人员人工-研发人员工资'!O85</f>
        <v>0</v>
      </c>
      <c r="P85" s="274">
        <f t="shared" si="32"/>
        <v>0</v>
      </c>
      <c r="Q85" s="273">
        <f>'人员人工-研发人员工资'!Q85</f>
        <v>0</v>
      </c>
      <c r="R85" s="274">
        <f t="shared" si="33"/>
        <v>0</v>
      </c>
      <c r="S85" s="273">
        <f>'人员人工-研发人员工资'!S85</f>
        <v>0</v>
      </c>
      <c r="T85" s="274">
        <f t="shared" si="34"/>
        <v>0</v>
      </c>
      <c r="U85" s="273">
        <f>'人员人工-研发人员工资'!U85</f>
        <v>0</v>
      </c>
      <c r="V85" s="274">
        <f t="shared" si="35"/>
        <v>0</v>
      </c>
      <c r="W85" s="273">
        <f>'人员人工-研发人员工资'!W85</f>
        <v>0</v>
      </c>
      <c r="X85" s="274">
        <f t="shared" si="36"/>
        <v>0</v>
      </c>
      <c r="Y85" s="273">
        <f>'人员人工-研发人员工资'!Y85</f>
        <v>0</v>
      </c>
      <c r="Z85" s="274">
        <f t="shared" si="37"/>
        <v>0</v>
      </c>
    </row>
    <row r="86" s="251" customFormat="1" customHeight="1" spans="1:26">
      <c r="A86" s="270">
        <v>6</v>
      </c>
      <c r="B86" s="271">
        <f>'人员人工-研发人员工资'!B86</f>
        <v>0</v>
      </c>
      <c r="C86" s="274"/>
      <c r="D86" s="272">
        <f>'人员人工-研发人员工资'!D86</f>
        <v>0</v>
      </c>
      <c r="E86" s="272">
        <f t="shared" si="26"/>
        <v>0</v>
      </c>
      <c r="F86" s="272">
        <f t="shared" si="27"/>
        <v>0</v>
      </c>
      <c r="G86" s="273">
        <f>'人员人工-研发人员工资'!G86</f>
        <v>0</v>
      </c>
      <c r="H86" s="274">
        <f t="shared" si="28"/>
        <v>0</v>
      </c>
      <c r="I86" s="273">
        <f>'人员人工-研发人员工资'!I86</f>
        <v>0</v>
      </c>
      <c r="J86" s="274">
        <f t="shared" si="29"/>
        <v>0</v>
      </c>
      <c r="K86" s="275">
        <f>'人员人工-研发人员工资'!K86</f>
        <v>0</v>
      </c>
      <c r="L86" s="274">
        <f t="shared" si="30"/>
        <v>0</v>
      </c>
      <c r="M86" s="273">
        <f>'人员人工-研发人员工资'!M86</f>
        <v>0</v>
      </c>
      <c r="N86" s="274">
        <f t="shared" si="31"/>
        <v>0</v>
      </c>
      <c r="O86" s="273">
        <f>'人员人工-研发人员工资'!O86</f>
        <v>0</v>
      </c>
      <c r="P86" s="274">
        <f t="shared" si="32"/>
        <v>0</v>
      </c>
      <c r="Q86" s="273">
        <f>'人员人工-研发人员工资'!Q86</f>
        <v>0</v>
      </c>
      <c r="R86" s="274">
        <f t="shared" si="33"/>
        <v>0</v>
      </c>
      <c r="S86" s="273">
        <f>'人员人工-研发人员工资'!S86</f>
        <v>0</v>
      </c>
      <c r="T86" s="274">
        <f t="shared" si="34"/>
        <v>0</v>
      </c>
      <c r="U86" s="273">
        <f>'人员人工-研发人员工资'!U86</f>
        <v>0</v>
      </c>
      <c r="V86" s="274">
        <f t="shared" si="35"/>
        <v>0</v>
      </c>
      <c r="W86" s="273">
        <f>'人员人工-研发人员工资'!W86</f>
        <v>0</v>
      </c>
      <c r="X86" s="274">
        <f t="shared" si="36"/>
        <v>0</v>
      </c>
      <c r="Y86" s="273">
        <f>'人员人工-研发人员工资'!Y86</f>
        <v>0</v>
      </c>
      <c r="Z86" s="274">
        <f t="shared" si="37"/>
        <v>0</v>
      </c>
    </row>
    <row r="87" s="251" customFormat="1" customHeight="1" spans="1:26">
      <c r="A87" s="270">
        <v>7</v>
      </c>
      <c r="B87" s="271">
        <f>'人员人工-研发人员工资'!B87</f>
        <v>0</v>
      </c>
      <c r="C87" s="274"/>
      <c r="D87" s="272">
        <f>'人员人工-研发人员工资'!D87</f>
        <v>0</v>
      </c>
      <c r="E87" s="272">
        <f t="shared" si="26"/>
        <v>0</v>
      </c>
      <c r="F87" s="272">
        <f t="shared" si="27"/>
        <v>0</v>
      </c>
      <c r="G87" s="273">
        <f>'人员人工-研发人员工资'!G87</f>
        <v>0</v>
      </c>
      <c r="H87" s="274">
        <f t="shared" si="28"/>
        <v>0</v>
      </c>
      <c r="I87" s="273">
        <f>'人员人工-研发人员工资'!I87</f>
        <v>0</v>
      </c>
      <c r="J87" s="274">
        <f t="shared" si="29"/>
        <v>0</v>
      </c>
      <c r="K87" s="275">
        <f>'人员人工-研发人员工资'!K87</f>
        <v>0</v>
      </c>
      <c r="L87" s="274">
        <f t="shared" si="30"/>
        <v>0</v>
      </c>
      <c r="M87" s="273">
        <f>'人员人工-研发人员工资'!M87</f>
        <v>0</v>
      </c>
      <c r="N87" s="274">
        <f t="shared" si="31"/>
        <v>0</v>
      </c>
      <c r="O87" s="273">
        <f>'人员人工-研发人员工资'!O87</f>
        <v>0</v>
      </c>
      <c r="P87" s="274">
        <f t="shared" si="32"/>
        <v>0</v>
      </c>
      <c r="Q87" s="273">
        <f>'人员人工-研发人员工资'!Q87</f>
        <v>0</v>
      </c>
      <c r="R87" s="274">
        <f t="shared" si="33"/>
        <v>0</v>
      </c>
      <c r="S87" s="273">
        <f>'人员人工-研发人员工资'!S87</f>
        <v>0</v>
      </c>
      <c r="T87" s="274">
        <f t="shared" si="34"/>
        <v>0</v>
      </c>
      <c r="U87" s="273">
        <f>'人员人工-研发人员工资'!U87</f>
        <v>0</v>
      </c>
      <c r="V87" s="274">
        <f t="shared" si="35"/>
        <v>0</v>
      </c>
      <c r="W87" s="273">
        <f>'人员人工-研发人员工资'!W87</f>
        <v>0</v>
      </c>
      <c r="X87" s="274">
        <f t="shared" si="36"/>
        <v>0</v>
      </c>
      <c r="Y87" s="273">
        <f>'人员人工-研发人员工资'!Y87</f>
        <v>0</v>
      </c>
      <c r="Z87" s="274">
        <f t="shared" si="37"/>
        <v>0</v>
      </c>
    </row>
    <row r="88" s="251" customFormat="1" customHeight="1" spans="1:26">
      <c r="A88" s="270">
        <v>8</v>
      </c>
      <c r="B88" s="271">
        <f>'人员人工-研发人员工资'!B88</f>
        <v>0</v>
      </c>
      <c r="C88" s="274"/>
      <c r="D88" s="272">
        <f>'人员人工-研发人员工资'!D88</f>
        <v>0</v>
      </c>
      <c r="E88" s="272">
        <f t="shared" si="26"/>
        <v>0</v>
      </c>
      <c r="F88" s="272">
        <f t="shared" si="27"/>
        <v>0</v>
      </c>
      <c r="G88" s="273">
        <f>'人员人工-研发人员工资'!G88</f>
        <v>0</v>
      </c>
      <c r="H88" s="274">
        <f t="shared" si="28"/>
        <v>0</v>
      </c>
      <c r="I88" s="273">
        <f>'人员人工-研发人员工资'!I88</f>
        <v>0</v>
      </c>
      <c r="J88" s="274">
        <f t="shared" si="29"/>
        <v>0</v>
      </c>
      <c r="K88" s="275">
        <f>'人员人工-研发人员工资'!K88</f>
        <v>0</v>
      </c>
      <c r="L88" s="274">
        <f t="shared" si="30"/>
        <v>0</v>
      </c>
      <c r="M88" s="273">
        <f>'人员人工-研发人员工资'!M88</f>
        <v>0</v>
      </c>
      <c r="N88" s="274">
        <f t="shared" si="31"/>
        <v>0</v>
      </c>
      <c r="O88" s="273">
        <f>'人员人工-研发人员工资'!O88</f>
        <v>0</v>
      </c>
      <c r="P88" s="274">
        <f t="shared" si="32"/>
        <v>0</v>
      </c>
      <c r="Q88" s="273">
        <f>'人员人工-研发人员工资'!Q88</f>
        <v>0</v>
      </c>
      <c r="R88" s="274">
        <f t="shared" si="33"/>
        <v>0</v>
      </c>
      <c r="S88" s="273">
        <f>'人员人工-研发人员工资'!S88</f>
        <v>0</v>
      </c>
      <c r="T88" s="274">
        <f t="shared" si="34"/>
        <v>0</v>
      </c>
      <c r="U88" s="273">
        <f>'人员人工-研发人员工资'!U88</f>
        <v>0</v>
      </c>
      <c r="V88" s="274">
        <f t="shared" si="35"/>
        <v>0</v>
      </c>
      <c r="W88" s="273">
        <f>'人员人工-研发人员工资'!W88</f>
        <v>0</v>
      </c>
      <c r="X88" s="274">
        <f t="shared" si="36"/>
        <v>0</v>
      </c>
      <c r="Y88" s="273">
        <f>'人员人工-研发人员工资'!Y88</f>
        <v>0</v>
      </c>
      <c r="Z88" s="274">
        <f t="shared" si="37"/>
        <v>0</v>
      </c>
    </row>
    <row r="89" s="251" customFormat="1" customHeight="1" spans="1:26">
      <c r="A89" s="270">
        <v>9</v>
      </c>
      <c r="B89" s="271">
        <f>'人员人工-研发人员工资'!B89</f>
        <v>0</v>
      </c>
      <c r="C89" s="274"/>
      <c r="D89" s="272">
        <f>'人员人工-研发人员工资'!D89</f>
        <v>0</v>
      </c>
      <c r="E89" s="272">
        <f t="shared" si="26"/>
        <v>0</v>
      </c>
      <c r="F89" s="272">
        <f t="shared" si="27"/>
        <v>0</v>
      </c>
      <c r="G89" s="273">
        <f>'人员人工-研发人员工资'!G89</f>
        <v>0</v>
      </c>
      <c r="H89" s="274">
        <f t="shared" si="28"/>
        <v>0</v>
      </c>
      <c r="I89" s="273">
        <f>'人员人工-研发人员工资'!I89</f>
        <v>0</v>
      </c>
      <c r="J89" s="274">
        <f t="shared" si="29"/>
        <v>0</v>
      </c>
      <c r="K89" s="275">
        <f>'人员人工-研发人员工资'!K89</f>
        <v>0</v>
      </c>
      <c r="L89" s="274">
        <f t="shared" si="30"/>
        <v>0</v>
      </c>
      <c r="M89" s="273">
        <f>'人员人工-研发人员工资'!M89</f>
        <v>0</v>
      </c>
      <c r="N89" s="274">
        <f t="shared" si="31"/>
        <v>0</v>
      </c>
      <c r="O89" s="273">
        <f>'人员人工-研发人员工资'!O89</f>
        <v>0</v>
      </c>
      <c r="P89" s="274">
        <f t="shared" si="32"/>
        <v>0</v>
      </c>
      <c r="Q89" s="273">
        <f>'人员人工-研发人员工资'!Q89</f>
        <v>0</v>
      </c>
      <c r="R89" s="274">
        <f t="shared" si="33"/>
        <v>0</v>
      </c>
      <c r="S89" s="273">
        <f>'人员人工-研发人员工资'!S89</f>
        <v>0</v>
      </c>
      <c r="T89" s="274">
        <f t="shared" si="34"/>
        <v>0</v>
      </c>
      <c r="U89" s="273">
        <f>'人员人工-研发人员工资'!U89</f>
        <v>0</v>
      </c>
      <c r="V89" s="274">
        <f t="shared" si="35"/>
        <v>0</v>
      </c>
      <c r="W89" s="273">
        <f>'人员人工-研发人员工资'!W89</f>
        <v>0</v>
      </c>
      <c r="X89" s="274">
        <f t="shared" si="36"/>
        <v>0</v>
      </c>
      <c r="Y89" s="273">
        <f>'人员人工-研发人员工资'!Y89</f>
        <v>0</v>
      </c>
      <c r="Z89" s="274">
        <f t="shared" si="37"/>
        <v>0</v>
      </c>
    </row>
    <row r="90" s="251" customFormat="1" customHeight="1" spans="1:26">
      <c r="A90" s="270">
        <v>10</v>
      </c>
      <c r="B90" s="271">
        <f>'人员人工-研发人员工资'!B90</f>
        <v>0</v>
      </c>
      <c r="C90" s="274"/>
      <c r="D90" s="272">
        <f>'人员人工-研发人员工资'!D90</f>
        <v>0</v>
      </c>
      <c r="E90" s="272">
        <f t="shared" si="26"/>
        <v>0</v>
      </c>
      <c r="F90" s="272">
        <f t="shared" si="27"/>
        <v>0</v>
      </c>
      <c r="G90" s="273">
        <f>'人员人工-研发人员工资'!G90</f>
        <v>0</v>
      </c>
      <c r="H90" s="274">
        <f t="shared" si="28"/>
        <v>0</v>
      </c>
      <c r="I90" s="273">
        <f>'人员人工-研发人员工资'!I90</f>
        <v>0</v>
      </c>
      <c r="J90" s="274">
        <f t="shared" si="29"/>
        <v>0</v>
      </c>
      <c r="K90" s="275">
        <f>'人员人工-研发人员工资'!K90</f>
        <v>0</v>
      </c>
      <c r="L90" s="274">
        <f t="shared" si="30"/>
        <v>0</v>
      </c>
      <c r="M90" s="273">
        <f>'人员人工-研发人员工资'!M90</f>
        <v>0</v>
      </c>
      <c r="N90" s="274">
        <f t="shared" si="31"/>
        <v>0</v>
      </c>
      <c r="O90" s="273">
        <f>'人员人工-研发人员工资'!O90</f>
        <v>0</v>
      </c>
      <c r="P90" s="274">
        <f t="shared" si="32"/>
        <v>0</v>
      </c>
      <c r="Q90" s="273">
        <f>'人员人工-研发人员工资'!Q90</f>
        <v>0</v>
      </c>
      <c r="R90" s="274">
        <f t="shared" si="33"/>
        <v>0</v>
      </c>
      <c r="S90" s="273">
        <f>'人员人工-研发人员工资'!S90</f>
        <v>0</v>
      </c>
      <c r="T90" s="274">
        <f t="shared" si="34"/>
        <v>0</v>
      </c>
      <c r="U90" s="273">
        <f>'人员人工-研发人员工资'!U90</f>
        <v>0</v>
      </c>
      <c r="V90" s="274">
        <f t="shared" si="35"/>
        <v>0</v>
      </c>
      <c r="W90" s="273">
        <f>'人员人工-研发人员工资'!W90</f>
        <v>0</v>
      </c>
      <c r="X90" s="274">
        <f t="shared" si="36"/>
        <v>0</v>
      </c>
      <c r="Y90" s="273">
        <f>'人员人工-研发人员工资'!Y90</f>
        <v>0</v>
      </c>
      <c r="Z90" s="274">
        <f t="shared" si="37"/>
        <v>0</v>
      </c>
    </row>
    <row r="91" s="251" customFormat="1" customHeight="1" spans="1:26">
      <c r="A91" s="270">
        <v>11</v>
      </c>
      <c r="B91" s="271">
        <f>'人员人工-研发人员工资'!B91</f>
        <v>0</v>
      </c>
      <c r="C91" s="274"/>
      <c r="D91" s="272">
        <f>'人员人工-研发人员工资'!D91</f>
        <v>0</v>
      </c>
      <c r="E91" s="272">
        <f t="shared" si="26"/>
        <v>0</v>
      </c>
      <c r="F91" s="272">
        <f t="shared" si="27"/>
        <v>0</v>
      </c>
      <c r="G91" s="273">
        <f>'人员人工-研发人员工资'!G91</f>
        <v>0</v>
      </c>
      <c r="H91" s="274">
        <f t="shared" si="28"/>
        <v>0</v>
      </c>
      <c r="I91" s="273">
        <f>'人员人工-研发人员工资'!I91</f>
        <v>0</v>
      </c>
      <c r="J91" s="274">
        <f t="shared" si="29"/>
        <v>0</v>
      </c>
      <c r="K91" s="275">
        <f>'人员人工-研发人员工资'!K91</f>
        <v>0</v>
      </c>
      <c r="L91" s="274">
        <f t="shared" si="30"/>
        <v>0</v>
      </c>
      <c r="M91" s="273">
        <f>'人员人工-研发人员工资'!M91</f>
        <v>0</v>
      </c>
      <c r="N91" s="274">
        <f t="shared" si="31"/>
        <v>0</v>
      </c>
      <c r="O91" s="273">
        <f>'人员人工-研发人员工资'!O91</f>
        <v>0</v>
      </c>
      <c r="P91" s="274">
        <f t="shared" si="32"/>
        <v>0</v>
      </c>
      <c r="Q91" s="273">
        <f>'人员人工-研发人员工资'!Q91</f>
        <v>0</v>
      </c>
      <c r="R91" s="274">
        <f t="shared" si="33"/>
        <v>0</v>
      </c>
      <c r="S91" s="273">
        <f>'人员人工-研发人员工资'!S91</f>
        <v>0</v>
      </c>
      <c r="T91" s="274">
        <f t="shared" si="34"/>
        <v>0</v>
      </c>
      <c r="U91" s="273">
        <f>'人员人工-研发人员工资'!U91</f>
        <v>0</v>
      </c>
      <c r="V91" s="274">
        <f t="shared" si="35"/>
        <v>0</v>
      </c>
      <c r="W91" s="273">
        <f>'人员人工-研发人员工资'!W91</f>
        <v>0</v>
      </c>
      <c r="X91" s="274">
        <f t="shared" si="36"/>
        <v>0</v>
      </c>
      <c r="Y91" s="273">
        <f>'人员人工-研发人员工资'!Y91</f>
        <v>0</v>
      </c>
      <c r="Z91" s="274">
        <f t="shared" si="37"/>
        <v>0</v>
      </c>
    </row>
    <row r="92" s="251" customFormat="1" customHeight="1" spans="1:26">
      <c r="A92" s="270">
        <v>12</v>
      </c>
      <c r="B92" s="271">
        <f>'人员人工-研发人员工资'!B92</f>
        <v>0</v>
      </c>
      <c r="C92" s="274"/>
      <c r="D92" s="272">
        <f>'人员人工-研发人员工资'!D92</f>
        <v>0</v>
      </c>
      <c r="E92" s="272">
        <f t="shared" si="26"/>
        <v>0</v>
      </c>
      <c r="F92" s="272">
        <f t="shared" si="27"/>
        <v>0</v>
      </c>
      <c r="G92" s="273">
        <f>'人员人工-研发人员工资'!G92</f>
        <v>0</v>
      </c>
      <c r="H92" s="274">
        <f t="shared" si="28"/>
        <v>0</v>
      </c>
      <c r="I92" s="273">
        <f>'人员人工-研发人员工资'!I92</f>
        <v>0</v>
      </c>
      <c r="J92" s="274">
        <f t="shared" si="29"/>
        <v>0</v>
      </c>
      <c r="K92" s="275">
        <f>'人员人工-研发人员工资'!K92</f>
        <v>0</v>
      </c>
      <c r="L92" s="274">
        <f t="shared" si="30"/>
        <v>0</v>
      </c>
      <c r="M92" s="273">
        <f>'人员人工-研发人员工资'!M92</f>
        <v>0</v>
      </c>
      <c r="N92" s="274">
        <f t="shared" si="31"/>
        <v>0</v>
      </c>
      <c r="O92" s="273">
        <f>'人员人工-研发人员工资'!O92</f>
        <v>0</v>
      </c>
      <c r="P92" s="274">
        <f t="shared" si="32"/>
        <v>0</v>
      </c>
      <c r="Q92" s="273">
        <f>'人员人工-研发人员工资'!Q92</f>
        <v>0</v>
      </c>
      <c r="R92" s="274">
        <f t="shared" si="33"/>
        <v>0</v>
      </c>
      <c r="S92" s="273">
        <f>'人员人工-研发人员工资'!S92</f>
        <v>0</v>
      </c>
      <c r="T92" s="274">
        <f t="shared" si="34"/>
        <v>0</v>
      </c>
      <c r="U92" s="273">
        <f>'人员人工-研发人员工资'!U92</f>
        <v>0</v>
      </c>
      <c r="V92" s="274">
        <f t="shared" si="35"/>
        <v>0</v>
      </c>
      <c r="W92" s="273">
        <f>'人员人工-研发人员工资'!W92</f>
        <v>0</v>
      </c>
      <c r="X92" s="274">
        <f t="shared" si="36"/>
        <v>0</v>
      </c>
      <c r="Y92" s="273">
        <f>'人员人工-研发人员工资'!Y92</f>
        <v>0</v>
      </c>
      <c r="Z92" s="274">
        <f t="shared" si="37"/>
        <v>0</v>
      </c>
    </row>
    <row r="93" s="251" customFormat="1" customHeight="1" spans="1:26">
      <c r="A93" s="270">
        <v>13</v>
      </c>
      <c r="B93" s="271">
        <f>'人员人工-研发人员工资'!B93</f>
        <v>0</v>
      </c>
      <c r="C93" s="274"/>
      <c r="D93" s="272">
        <f>'人员人工-研发人员工资'!D93</f>
        <v>0</v>
      </c>
      <c r="E93" s="272">
        <f t="shared" si="26"/>
        <v>0</v>
      </c>
      <c r="F93" s="272">
        <f t="shared" si="27"/>
        <v>0</v>
      </c>
      <c r="G93" s="273">
        <f>'人员人工-研发人员工资'!G93</f>
        <v>0</v>
      </c>
      <c r="H93" s="274">
        <f t="shared" si="28"/>
        <v>0</v>
      </c>
      <c r="I93" s="273">
        <f>'人员人工-研发人员工资'!I93</f>
        <v>0</v>
      </c>
      <c r="J93" s="274">
        <f t="shared" si="29"/>
        <v>0</v>
      </c>
      <c r="K93" s="275">
        <f>'人员人工-研发人员工资'!K93</f>
        <v>0</v>
      </c>
      <c r="L93" s="274">
        <f t="shared" si="30"/>
        <v>0</v>
      </c>
      <c r="M93" s="273">
        <f>'人员人工-研发人员工资'!M93</f>
        <v>0</v>
      </c>
      <c r="N93" s="274">
        <f t="shared" si="31"/>
        <v>0</v>
      </c>
      <c r="O93" s="273">
        <f>'人员人工-研发人员工资'!O93</f>
        <v>0</v>
      </c>
      <c r="P93" s="274">
        <f t="shared" si="32"/>
        <v>0</v>
      </c>
      <c r="Q93" s="273">
        <f>'人员人工-研发人员工资'!Q93</f>
        <v>0</v>
      </c>
      <c r="R93" s="274">
        <f t="shared" si="33"/>
        <v>0</v>
      </c>
      <c r="S93" s="273">
        <f>'人员人工-研发人员工资'!S93</f>
        <v>0</v>
      </c>
      <c r="T93" s="274">
        <f t="shared" si="34"/>
        <v>0</v>
      </c>
      <c r="U93" s="273">
        <f>'人员人工-研发人员工资'!U93</f>
        <v>0</v>
      </c>
      <c r="V93" s="274">
        <f t="shared" si="35"/>
        <v>0</v>
      </c>
      <c r="W93" s="273">
        <f>'人员人工-研发人员工资'!W93</f>
        <v>0</v>
      </c>
      <c r="X93" s="274">
        <f t="shared" si="36"/>
        <v>0</v>
      </c>
      <c r="Y93" s="273">
        <f>'人员人工-研发人员工资'!Y93</f>
        <v>0</v>
      </c>
      <c r="Z93" s="274">
        <f t="shared" si="37"/>
        <v>0</v>
      </c>
    </row>
    <row r="94" s="251" customFormat="1" customHeight="1" spans="1:26">
      <c r="A94" s="270">
        <v>14</v>
      </c>
      <c r="B94" s="271">
        <f>'人员人工-研发人员工资'!B94</f>
        <v>0</v>
      </c>
      <c r="C94" s="274"/>
      <c r="D94" s="272">
        <f>'人员人工-研发人员工资'!D94</f>
        <v>0</v>
      </c>
      <c r="E94" s="272">
        <f t="shared" si="26"/>
        <v>0</v>
      </c>
      <c r="F94" s="272">
        <f t="shared" si="27"/>
        <v>0</v>
      </c>
      <c r="G94" s="273">
        <f>'人员人工-研发人员工资'!G94</f>
        <v>0</v>
      </c>
      <c r="H94" s="274">
        <f t="shared" si="28"/>
        <v>0</v>
      </c>
      <c r="I94" s="273">
        <f>'人员人工-研发人员工资'!I94</f>
        <v>0</v>
      </c>
      <c r="J94" s="274">
        <f t="shared" si="29"/>
        <v>0</v>
      </c>
      <c r="K94" s="275">
        <f>'人员人工-研发人员工资'!K94</f>
        <v>0</v>
      </c>
      <c r="L94" s="274">
        <f t="shared" si="30"/>
        <v>0</v>
      </c>
      <c r="M94" s="273">
        <f>'人员人工-研发人员工资'!M94</f>
        <v>0</v>
      </c>
      <c r="N94" s="274">
        <f t="shared" si="31"/>
        <v>0</v>
      </c>
      <c r="O94" s="273">
        <f>'人员人工-研发人员工资'!O94</f>
        <v>0</v>
      </c>
      <c r="P94" s="274">
        <f t="shared" si="32"/>
        <v>0</v>
      </c>
      <c r="Q94" s="273">
        <f>'人员人工-研发人员工资'!Q94</f>
        <v>0</v>
      </c>
      <c r="R94" s="274">
        <f t="shared" si="33"/>
        <v>0</v>
      </c>
      <c r="S94" s="273">
        <f>'人员人工-研发人员工资'!S94</f>
        <v>0</v>
      </c>
      <c r="T94" s="274">
        <f t="shared" si="34"/>
        <v>0</v>
      </c>
      <c r="U94" s="273">
        <f>'人员人工-研发人员工资'!U94</f>
        <v>0</v>
      </c>
      <c r="V94" s="274">
        <f t="shared" si="35"/>
        <v>0</v>
      </c>
      <c r="W94" s="273">
        <f>'人员人工-研发人员工资'!W94</f>
        <v>0</v>
      </c>
      <c r="X94" s="274">
        <f t="shared" si="36"/>
        <v>0</v>
      </c>
      <c r="Y94" s="273">
        <f>'人员人工-研发人员工资'!Y94</f>
        <v>0</v>
      </c>
      <c r="Z94" s="274">
        <f t="shared" si="37"/>
        <v>0</v>
      </c>
    </row>
    <row r="95" s="251" customFormat="1" customHeight="1" spans="1:26">
      <c r="A95" s="270">
        <v>15</v>
      </c>
      <c r="B95" s="271">
        <f>'人员人工-研发人员工资'!B95</f>
        <v>0</v>
      </c>
      <c r="C95" s="274"/>
      <c r="D95" s="272">
        <f>'人员人工-研发人员工资'!D95</f>
        <v>0</v>
      </c>
      <c r="E95" s="272">
        <f t="shared" si="26"/>
        <v>0</v>
      </c>
      <c r="F95" s="272">
        <f t="shared" si="27"/>
        <v>0</v>
      </c>
      <c r="G95" s="273">
        <f>'人员人工-研发人员工资'!G95</f>
        <v>0</v>
      </c>
      <c r="H95" s="274">
        <f t="shared" si="28"/>
        <v>0</v>
      </c>
      <c r="I95" s="273">
        <f>'人员人工-研发人员工资'!I95</f>
        <v>0</v>
      </c>
      <c r="J95" s="274">
        <f t="shared" si="29"/>
        <v>0</v>
      </c>
      <c r="K95" s="275">
        <f>'人员人工-研发人员工资'!K95</f>
        <v>0</v>
      </c>
      <c r="L95" s="274">
        <f t="shared" si="30"/>
        <v>0</v>
      </c>
      <c r="M95" s="273">
        <f>'人员人工-研发人员工资'!M95</f>
        <v>0</v>
      </c>
      <c r="N95" s="274">
        <f t="shared" si="31"/>
        <v>0</v>
      </c>
      <c r="O95" s="273">
        <f>'人员人工-研发人员工资'!O95</f>
        <v>0</v>
      </c>
      <c r="P95" s="274">
        <f t="shared" si="32"/>
        <v>0</v>
      </c>
      <c r="Q95" s="273">
        <f>'人员人工-研发人员工资'!Q95</f>
        <v>0</v>
      </c>
      <c r="R95" s="274">
        <f t="shared" si="33"/>
        <v>0</v>
      </c>
      <c r="S95" s="273">
        <f>'人员人工-研发人员工资'!S95</f>
        <v>0</v>
      </c>
      <c r="T95" s="274">
        <f t="shared" si="34"/>
        <v>0</v>
      </c>
      <c r="U95" s="273">
        <f>'人员人工-研发人员工资'!U95</f>
        <v>0</v>
      </c>
      <c r="V95" s="274">
        <f t="shared" si="35"/>
        <v>0</v>
      </c>
      <c r="W95" s="273">
        <f>'人员人工-研发人员工资'!W95</f>
        <v>0</v>
      </c>
      <c r="X95" s="274">
        <f t="shared" si="36"/>
        <v>0</v>
      </c>
      <c r="Y95" s="273">
        <f>'人员人工-研发人员工资'!Y95</f>
        <v>0</v>
      </c>
      <c r="Z95" s="274">
        <f t="shared" si="37"/>
        <v>0</v>
      </c>
    </row>
    <row r="96" s="251" customFormat="1" customHeight="1" spans="1:26">
      <c r="A96" s="270">
        <v>16</v>
      </c>
      <c r="B96" s="271">
        <f>'人员人工-研发人员工资'!B96</f>
        <v>0</v>
      </c>
      <c r="C96" s="274"/>
      <c r="D96" s="272">
        <f>'人员人工-研发人员工资'!D96</f>
        <v>0</v>
      </c>
      <c r="E96" s="272">
        <f t="shared" si="26"/>
        <v>0</v>
      </c>
      <c r="F96" s="272">
        <f t="shared" si="27"/>
        <v>0</v>
      </c>
      <c r="G96" s="273">
        <f>'人员人工-研发人员工资'!G96</f>
        <v>0</v>
      </c>
      <c r="H96" s="274">
        <f t="shared" si="28"/>
        <v>0</v>
      </c>
      <c r="I96" s="273">
        <f>'人员人工-研发人员工资'!I96</f>
        <v>0</v>
      </c>
      <c r="J96" s="274">
        <f t="shared" si="29"/>
        <v>0</v>
      </c>
      <c r="K96" s="275">
        <f>'人员人工-研发人员工资'!K96</f>
        <v>0</v>
      </c>
      <c r="L96" s="274">
        <f t="shared" si="30"/>
        <v>0</v>
      </c>
      <c r="M96" s="273">
        <f>'人员人工-研发人员工资'!M96</f>
        <v>0</v>
      </c>
      <c r="N96" s="274">
        <f t="shared" si="31"/>
        <v>0</v>
      </c>
      <c r="O96" s="273">
        <f>'人员人工-研发人员工资'!O96</f>
        <v>0</v>
      </c>
      <c r="P96" s="274">
        <f t="shared" si="32"/>
        <v>0</v>
      </c>
      <c r="Q96" s="273">
        <f>'人员人工-研发人员工资'!Q96</f>
        <v>0</v>
      </c>
      <c r="R96" s="274">
        <f t="shared" si="33"/>
        <v>0</v>
      </c>
      <c r="S96" s="273">
        <f>'人员人工-研发人员工资'!S96</f>
        <v>0</v>
      </c>
      <c r="T96" s="274">
        <f t="shared" si="34"/>
        <v>0</v>
      </c>
      <c r="U96" s="273">
        <f>'人员人工-研发人员工资'!U96</f>
        <v>0</v>
      </c>
      <c r="V96" s="274">
        <f t="shared" si="35"/>
        <v>0</v>
      </c>
      <c r="W96" s="273">
        <f>'人员人工-研发人员工资'!W96</f>
        <v>0</v>
      </c>
      <c r="X96" s="274">
        <f t="shared" si="36"/>
        <v>0</v>
      </c>
      <c r="Y96" s="273">
        <f>'人员人工-研发人员工资'!Y96</f>
        <v>0</v>
      </c>
      <c r="Z96" s="274">
        <f t="shared" si="37"/>
        <v>0</v>
      </c>
    </row>
    <row r="97" s="251" customFormat="1" customHeight="1" spans="1:26">
      <c r="A97" s="270">
        <v>17</v>
      </c>
      <c r="B97" s="271">
        <f>'人员人工-研发人员工资'!B97</f>
        <v>0</v>
      </c>
      <c r="C97" s="274"/>
      <c r="D97" s="272">
        <f>'人员人工-研发人员工资'!D97</f>
        <v>0</v>
      </c>
      <c r="E97" s="272">
        <f t="shared" si="26"/>
        <v>0</v>
      </c>
      <c r="F97" s="272">
        <f t="shared" si="27"/>
        <v>0</v>
      </c>
      <c r="G97" s="273">
        <f>'人员人工-研发人员工资'!G97</f>
        <v>0</v>
      </c>
      <c r="H97" s="274">
        <f t="shared" si="28"/>
        <v>0</v>
      </c>
      <c r="I97" s="273">
        <f>'人员人工-研发人员工资'!I97</f>
        <v>0</v>
      </c>
      <c r="J97" s="274">
        <f t="shared" si="29"/>
        <v>0</v>
      </c>
      <c r="K97" s="275">
        <f>'人员人工-研发人员工资'!K97</f>
        <v>0</v>
      </c>
      <c r="L97" s="274">
        <f t="shared" si="30"/>
        <v>0</v>
      </c>
      <c r="M97" s="273">
        <f>'人员人工-研发人员工资'!M97</f>
        <v>0</v>
      </c>
      <c r="N97" s="274">
        <f t="shared" si="31"/>
        <v>0</v>
      </c>
      <c r="O97" s="273">
        <f>'人员人工-研发人员工资'!O97</f>
        <v>0</v>
      </c>
      <c r="P97" s="274">
        <f t="shared" si="32"/>
        <v>0</v>
      </c>
      <c r="Q97" s="273">
        <f>'人员人工-研发人员工资'!Q97</f>
        <v>0</v>
      </c>
      <c r="R97" s="274">
        <f t="shared" si="33"/>
        <v>0</v>
      </c>
      <c r="S97" s="273">
        <f>'人员人工-研发人员工资'!S97</f>
        <v>0</v>
      </c>
      <c r="T97" s="274">
        <f t="shared" si="34"/>
        <v>0</v>
      </c>
      <c r="U97" s="273">
        <f>'人员人工-研发人员工资'!U97</f>
        <v>0</v>
      </c>
      <c r="V97" s="274">
        <f t="shared" si="35"/>
        <v>0</v>
      </c>
      <c r="W97" s="273">
        <f>'人员人工-研发人员工资'!W97</f>
        <v>0</v>
      </c>
      <c r="X97" s="274">
        <f t="shared" si="36"/>
        <v>0</v>
      </c>
      <c r="Y97" s="273">
        <f>'人员人工-研发人员工资'!Y97</f>
        <v>0</v>
      </c>
      <c r="Z97" s="274">
        <f t="shared" si="37"/>
        <v>0</v>
      </c>
    </row>
    <row r="98" s="251" customFormat="1" customHeight="1" spans="1:26">
      <c r="A98" s="270">
        <v>18</v>
      </c>
      <c r="B98" s="271">
        <f>'人员人工-研发人员工资'!B98</f>
        <v>0</v>
      </c>
      <c r="C98" s="274"/>
      <c r="D98" s="272">
        <f>'人员人工-研发人员工资'!D98</f>
        <v>0</v>
      </c>
      <c r="E98" s="272">
        <f t="shared" si="26"/>
        <v>0</v>
      </c>
      <c r="F98" s="272">
        <f t="shared" si="27"/>
        <v>0</v>
      </c>
      <c r="G98" s="273">
        <f>'人员人工-研发人员工资'!G98</f>
        <v>0</v>
      </c>
      <c r="H98" s="274">
        <f t="shared" si="28"/>
        <v>0</v>
      </c>
      <c r="I98" s="273">
        <f>'人员人工-研发人员工资'!I98</f>
        <v>0</v>
      </c>
      <c r="J98" s="274">
        <f t="shared" si="29"/>
        <v>0</v>
      </c>
      <c r="K98" s="275">
        <f>'人员人工-研发人员工资'!K98</f>
        <v>0</v>
      </c>
      <c r="L98" s="274">
        <f t="shared" si="30"/>
        <v>0</v>
      </c>
      <c r="M98" s="273">
        <f>'人员人工-研发人员工资'!M98</f>
        <v>0</v>
      </c>
      <c r="N98" s="274">
        <f t="shared" si="31"/>
        <v>0</v>
      </c>
      <c r="O98" s="273">
        <f>'人员人工-研发人员工资'!O98</f>
        <v>0</v>
      </c>
      <c r="P98" s="274">
        <f t="shared" si="32"/>
        <v>0</v>
      </c>
      <c r="Q98" s="273">
        <f>'人员人工-研发人员工资'!Q98</f>
        <v>0</v>
      </c>
      <c r="R98" s="274">
        <f t="shared" si="33"/>
        <v>0</v>
      </c>
      <c r="S98" s="273">
        <f>'人员人工-研发人员工资'!S98</f>
        <v>0</v>
      </c>
      <c r="T98" s="274">
        <f t="shared" si="34"/>
        <v>0</v>
      </c>
      <c r="U98" s="273">
        <f>'人员人工-研发人员工资'!U98</f>
        <v>0</v>
      </c>
      <c r="V98" s="274">
        <f t="shared" si="35"/>
        <v>0</v>
      </c>
      <c r="W98" s="273">
        <f>'人员人工-研发人员工资'!W98</f>
        <v>0</v>
      </c>
      <c r="X98" s="274">
        <f t="shared" si="36"/>
        <v>0</v>
      </c>
      <c r="Y98" s="273">
        <f>'人员人工-研发人员工资'!Y98</f>
        <v>0</v>
      </c>
      <c r="Z98" s="274">
        <f t="shared" si="37"/>
        <v>0</v>
      </c>
    </row>
    <row r="99" s="251" customFormat="1" customHeight="1" spans="1:26">
      <c r="A99" s="270">
        <v>19</v>
      </c>
      <c r="B99" s="271">
        <f>'人员人工-研发人员工资'!B99</f>
        <v>0</v>
      </c>
      <c r="C99" s="274"/>
      <c r="D99" s="272">
        <f>'人员人工-研发人员工资'!D99</f>
        <v>0</v>
      </c>
      <c r="E99" s="272">
        <f t="shared" si="26"/>
        <v>0</v>
      </c>
      <c r="F99" s="272">
        <f t="shared" si="27"/>
        <v>0</v>
      </c>
      <c r="G99" s="273">
        <f>'人员人工-研发人员工资'!G99</f>
        <v>0</v>
      </c>
      <c r="H99" s="274">
        <f t="shared" si="28"/>
        <v>0</v>
      </c>
      <c r="I99" s="273">
        <f>'人员人工-研发人员工资'!I99</f>
        <v>0</v>
      </c>
      <c r="J99" s="274">
        <f t="shared" si="29"/>
        <v>0</v>
      </c>
      <c r="K99" s="275">
        <f>'人员人工-研发人员工资'!K99</f>
        <v>0</v>
      </c>
      <c r="L99" s="274">
        <f t="shared" si="30"/>
        <v>0</v>
      </c>
      <c r="M99" s="273">
        <f>'人员人工-研发人员工资'!M99</f>
        <v>0</v>
      </c>
      <c r="N99" s="274">
        <f t="shared" si="31"/>
        <v>0</v>
      </c>
      <c r="O99" s="273">
        <f>'人员人工-研发人员工资'!O99</f>
        <v>0</v>
      </c>
      <c r="P99" s="274">
        <f t="shared" si="32"/>
        <v>0</v>
      </c>
      <c r="Q99" s="273">
        <f>'人员人工-研发人员工资'!Q99</f>
        <v>0</v>
      </c>
      <c r="R99" s="274">
        <f t="shared" si="33"/>
        <v>0</v>
      </c>
      <c r="S99" s="273">
        <f>'人员人工-研发人员工资'!S99</f>
        <v>0</v>
      </c>
      <c r="T99" s="274">
        <f t="shared" si="34"/>
        <v>0</v>
      </c>
      <c r="U99" s="273">
        <f>'人员人工-研发人员工资'!U99</f>
        <v>0</v>
      </c>
      <c r="V99" s="274">
        <f t="shared" si="35"/>
        <v>0</v>
      </c>
      <c r="W99" s="273">
        <f>'人员人工-研发人员工资'!W99</f>
        <v>0</v>
      </c>
      <c r="X99" s="274">
        <f t="shared" si="36"/>
        <v>0</v>
      </c>
      <c r="Y99" s="273">
        <f>'人员人工-研发人员工资'!Y99</f>
        <v>0</v>
      </c>
      <c r="Z99" s="274">
        <f t="shared" si="37"/>
        <v>0</v>
      </c>
    </row>
    <row r="100" s="251" customFormat="1" customHeight="1" spans="1:26">
      <c r="A100" s="270">
        <v>20</v>
      </c>
      <c r="B100" s="271">
        <f>'人员人工-研发人员工资'!B100</f>
        <v>0</v>
      </c>
      <c r="C100" s="274"/>
      <c r="D100" s="272">
        <f>'人员人工-研发人员工资'!D100</f>
        <v>0</v>
      </c>
      <c r="E100" s="272">
        <f t="shared" si="26"/>
        <v>0</v>
      </c>
      <c r="F100" s="272">
        <f t="shared" si="27"/>
        <v>0</v>
      </c>
      <c r="G100" s="273">
        <f>'人员人工-研发人员工资'!G100</f>
        <v>0</v>
      </c>
      <c r="H100" s="274">
        <f t="shared" si="28"/>
        <v>0</v>
      </c>
      <c r="I100" s="273">
        <f>'人员人工-研发人员工资'!I100</f>
        <v>0</v>
      </c>
      <c r="J100" s="274">
        <f t="shared" si="29"/>
        <v>0</v>
      </c>
      <c r="K100" s="275">
        <f>'人员人工-研发人员工资'!K100</f>
        <v>0</v>
      </c>
      <c r="L100" s="274">
        <f t="shared" si="30"/>
        <v>0</v>
      </c>
      <c r="M100" s="273">
        <f>'人员人工-研发人员工资'!M100</f>
        <v>0</v>
      </c>
      <c r="N100" s="274">
        <f t="shared" si="31"/>
        <v>0</v>
      </c>
      <c r="O100" s="273">
        <f>'人员人工-研发人员工资'!O100</f>
        <v>0</v>
      </c>
      <c r="P100" s="274">
        <f t="shared" si="32"/>
        <v>0</v>
      </c>
      <c r="Q100" s="273">
        <f>'人员人工-研发人员工资'!Q100</f>
        <v>0</v>
      </c>
      <c r="R100" s="274">
        <f t="shared" si="33"/>
        <v>0</v>
      </c>
      <c r="S100" s="273">
        <f>'人员人工-研发人员工资'!S100</f>
        <v>0</v>
      </c>
      <c r="T100" s="274">
        <f t="shared" si="34"/>
        <v>0</v>
      </c>
      <c r="U100" s="273">
        <f>'人员人工-研发人员工资'!U100</f>
        <v>0</v>
      </c>
      <c r="V100" s="274">
        <f t="shared" si="35"/>
        <v>0</v>
      </c>
      <c r="W100" s="273">
        <f>'人员人工-研发人员工资'!W100</f>
        <v>0</v>
      </c>
      <c r="X100" s="274">
        <f t="shared" si="36"/>
        <v>0</v>
      </c>
      <c r="Y100" s="273">
        <f>'人员人工-研发人员工资'!Y100</f>
        <v>0</v>
      </c>
      <c r="Z100" s="274">
        <f t="shared" si="37"/>
        <v>0</v>
      </c>
    </row>
    <row r="101" s="251" customFormat="1" customHeight="1" spans="1:26">
      <c r="A101" s="270">
        <v>21</v>
      </c>
      <c r="B101" s="271">
        <f>'人员人工-研发人员工资'!B101</f>
        <v>0</v>
      </c>
      <c r="C101" s="274"/>
      <c r="D101" s="272">
        <f>'人员人工-研发人员工资'!D101</f>
        <v>0</v>
      </c>
      <c r="E101" s="272">
        <f t="shared" si="26"/>
        <v>0</v>
      </c>
      <c r="F101" s="272">
        <f t="shared" si="27"/>
        <v>0</v>
      </c>
      <c r="G101" s="273">
        <f>'人员人工-研发人员工资'!G101</f>
        <v>0</v>
      </c>
      <c r="H101" s="274">
        <f t="shared" si="28"/>
        <v>0</v>
      </c>
      <c r="I101" s="273">
        <f>'人员人工-研发人员工资'!I101</f>
        <v>0</v>
      </c>
      <c r="J101" s="274">
        <f t="shared" si="29"/>
        <v>0</v>
      </c>
      <c r="K101" s="275">
        <f>'人员人工-研发人员工资'!K101</f>
        <v>0</v>
      </c>
      <c r="L101" s="274">
        <f t="shared" si="30"/>
        <v>0</v>
      </c>
      <c r="M101" s="273">
        <f>'人员人工-研发人员工资'!M101</f>
        <v>0</v>
      </c>
      <c r="N101" s="274">
        <f t="shared" si="31"/>
        <v>0</v>
      </c>
      <c r="O101" s="273">
        <f>'人员人工-研发人员工资'!O101</f>
        <v>0</v>
      </c>
      <c r="P101" s="274">
        <f t="shared" si="32"/>
        <v>0</v>
      </c>
      <c r="Q101" s="273">
        <f>'人员人工-研发人员工资'!Q101</f>
        <v>0</v>
      </c>
      <c r="R101" s="274">
        <f t="shared" si="33"/>
        <v>0</v>
      </c>
      <c r="S101" s="273">
        <f>'人员人工-研发人员工资'!S101</f>
        <v>0</v>
      </c>
      <c r="T101" s="274">
        <f t="shared" si="34"/>
        <v>0</v>
      </c>
      <c r="U101" s="273">
        <f>'人员人工-研发人员工资'!U101</f>
        <v>0</v>
      </c>
      <c r="V101" s="274">
        <f t="shared" si="35"/>
        <v>0</v>
      </c>
      <c r="W101" s="273">
        <f>'人员人工-研发人员工资'!W101</f>
        <v>0</v>
      </c>
      <c r="X101" s="274">
        <f t="shared" si="36"/>
        <v>0</v>
      </c>
      <c r="Y101" s="273">
        <f>'人员人工-研发人员工资'!Y101</f>
        <v>0</v>
      </c>
      <c r="Z101" s="274">
        <f t="shared" si="37"/>
        <v>0</v>
      </c>
    </row>
    <row r="102" s="251" customFormat="1" customHeight="1" spans="1:26">
      <c r="A102" s="270">
        <v>22</v>
      </c>
      <c r="B102" s="271">
        <f>'人员人工-研发人员工资'!B102</f>
        <v>0</v>
      </c>
      <c r="C102" s="274"/>
      <c r="D102" s="272">
        <f>'人员人工-研发人员工资'!D102</f>
        <v>0</v>
      </c>
      <c r="E102" s="272">
        <f t="shared" si="26"/>
        <v>0</v>
      </c>
      <c r="F102" s="272">
        <f t="shared" si="27"/>
        <v>0</v>
      </c>
      <c r="G102" s="273">
        <f>'人员人工-研发人员工资'!G102</f>
        <v>0</v>
      </c>
      <c r="H102" s="274">
        <f t="shared" si="28"/>
        <v>0</v>
      </c>
      <c r="I102" s="273">
        <f>'人员人工-研发人员工资'!I102</f>
        <v>0</v>
      </c>
      <c r="J102" s="274">
        <f t="shared" si="29"/>
        <v>0</v>
      </c>
      <c r="K102" s="275">
        <f>'人员人工-研发人员工资'!K102</f>
        <v>0</v>
      </c>
      <c r="L102" s="274">
        <f t="shared" si="30"/>
        <v>0</v>
      </c>
      <c r="M102" s="273">
        <f>'人员人工-研发人员工资'!M102</f>
        <v>0</v>
      </c>
      <c r="N102" s="274">
        <f t="shared" si="31"/>
        <v>0</v>
      </c>
      <c r="O102" s="273">
        <f>'人员人工-研发人员工资'!O102</f>
        <v>0</v>
      </c>
      <c r="P102" s="274">
        <f t="shared" si="32"/>
        <v>0</v>
      </c>
      <c r="Q102" s="273">
        <f>'人员人工-研发人员工资'!Q102</f>
        <v>0</v>
      </c>
      <c r="R102" s="274">
        <f t="shared" si="33"/>
        <v>0</v>
      </c>
      <c r="S102" s="273">
        <f>'人员人工-研发人员工资'!S102</f>
        <v>0</v>
      </c>
      <c r="T102" s="274">
        <f t="shared" si="34"/>
        <v>0</v>
      </c>
      <c r="U102" s="273">
        <f>'人员人工-研发人员工资'!U102</f>
        <v>0</v>
      </c>
      <c r="V102" s="274">
        <f t="shared" si="35"/>
        <v>0</v>
      </c>
      <c r="W102" s="273">
        <f>'人员人工-研发人员工资'!W102</f>
        <v>0</v>
      </c>
      <c r="X102" s="274">
        <f t="shared" si="36"/>
        <v>0</v>
      </c>
      <c r="Y102" s="273">
        <f>'人员人工-研发人员工资'!Y102</f>
        <v>0</v>
      </c>
      <c r="Z102" s="274">
        <f t="shared" si="37"/>
        <v>0</v>
      </c>
    </row>
    <row r="103" s="251" customFormat="1" customHeight="1" spans="1:26">
      <c r="A103" s="270">
        <v>23</v>
      </c>
      <c r="B103" s="271">
        <f>'人员人工-研发人员工资'!B103</f>
        <v>0</v>
      </c>
      <c r="C103" s="274"/>
      <c r="D103" s="272">
        <f>'人员人工-研发人员工资'!D103</f>
        <v>0</v>
      </c>
      <c r="E103" s="272">
        <f t="shared" si="26"/>
        <v>0</v>
      </c>
      <c r="F103" s="272">
        <f t="shared" si="27"/>
        <v>0</v>
      </c>
      <c r="G103" s="273">
        <f>'人员人工-研发人员工资'!G103</f>
        <v>0</v>
      </c>
      <c r="H103" s="274">
        <f t="shared" si="28"/>
        <v>0</v>
      </c>
      <c r="I103" s="273">
        <f>'人员人工-研发人员工资'!I103</f>
        <v>0</v>
      </c>
      <c r="J103" s="274">
        <f t="shared" si="29"/>
        <v>0</v>
      </c>
      <c r="K103" s="275">
        <f>'人员人工-研发人员工资'!K103</f>
        <v>0</v>
      </c>
      <c r="L103" s="274">
        <f t="shared" si="30"/>
        <v>0</v>
      </c>
      <c r="M103" s="273">
        <f>'人员人工-研发人员工资'!M103</f>
        <v>0</v>
      </c>
      <c r="N103" s="274">
        <f t="shared" si="31"/>
        <v>0</v>
      </c>
      <c r="O103" s="273">
        <f>'人员人工-研发人员工资'!O103</f>
        <v>0</v>
      </c>
      <c r="P103" s="274">
        <f t="shared" si="32"/>
        <v>0</v>
      </c>
      <c r="Q103" s="273">
        <f>'人员人工-研发人员工资'!Q103</f>
        <v>0</v>
      </c>
      <c r="R103" s="274">
        <f t="shared" si="33"/>
        <v>0</v>
      </c>
      <c r="S103" s="273">
        <f>'人员人工-研发人员工资'!S103</f>
        <v>0</v>
      </c>
      <c r="T103" s="274">
        <f t="shared" si="34"/>
        <v>0</v>
      </c>
      <c r="U103" s="273">
        <f>'人员人工-研发人员工资'!U103</f>
        <v>0</v>
      </c>
      <c r="V103" s="274">
        <f t="shared" si="35"/>
        <v>0</v>
      </c>
      <c r="W103" s="273">
        <f>'人员人工-研发人员工资'!W103</f>
        <v>0</v>
      </c>
      <c r="X103" s="274">
        <f t="shared" si="36"/>
        <v>0</v>
      </c>
      <c r="Y103" s="273">
        <f>'人员人工-研发人员工资'!Y103</f>
        <v>0</v>
      </c>
      <c r="Z103" s="274">
        <f t="shared" si="37"/>
        <v>0</v>
      </c>
    </row>
    <row r="104" s="251" customFormat="1" customHeight="1" spans="1:26">
      <c r="A104" s="270">
        <v>25</v>
      </c>
      <c r="B104" s="271">
        <f>'人员人工-研发人员工资'!B104</f>
        <v>0</v>
      </c>
      <c r="C104" s="274"/>
      <c r="D104" s="272">
        <f>'人员人工-研发人员工资'!D104</f>
        <v>0</v>
      </c>
      <c r="E104" s="272">
        <f t="shared" si="26"/>
        <v>0</v>
      </c>
      <c r="F104" s="272">
        <f t="shared" si="27"/>
        <v>0</v>
      </c>
      <c r="G104" s="273">
        <f>'人员人工-研发人员工资'!G104</f>
        <v>0</v>
      </c>
      <c r="H104" s="274">
        <f t="shared" si="28"/>
        <v>0</v>
      </c>
      <c r="I104" s="273">
        <f>'人员人工-研发人员工资'!I104</f>
        <v>0</v>
      </c>
      <c r="J104" s="274">
        <f t="shared" si="29"/>
        <v>0</v>
      </c>
      <c r="K104" s="275">
        <f>'人员人工-研发人员工资'!K104</f>
        <v>0</v>
      </c>
      <c r="L104" s="274">
        <f t="shared" si="30"/>
        <v>0</v>
      </c>
      <c r="M104" s="273">
        <f>'人员人工-研发人员工资'!M104</f>
        <v>0</v>
      </c>
      <c r="N104" s="274">
        <f t="shared" si="31"/>
        <v>0</v>
      </c>
      <c r="O104" s="273">
        <f>'人员人工-研发人员工资'!O104</f>
        <v>0</v>
      </c>
      <c r="P104" s="274">
        <f t="shared" si="32"/>
        <v>0</v>
      </c>
      <c r="Q104" s="273">
        <f>'人员人工-研发人员工资'!Q104</f>
        <v>0</v>
      </c>
      <c r="R104" s="274">
        <f t="shared" si="33"/>
        <v>0</v>
      </c>
      <c r="S104" s="273">
        <f>'人员人工-研发人员工资'!S104</f>
        <v>0</v>
      </c>
      <c r="T104" s="274">
        <f t="shared" si="34"/>
        <v>0</v>
      </c>
      <c r="U104" s="273">
        <f>'人员人工-研发人员工资'!U104</f>
        <v>0</v>
      </c>
      <c r="V104" s="274">
        <f t="shared" si="35"/>
        <v>0</v>
      </c>
      <c r="W104" s="273">
        <f>'人员人工-研发人员工资'!W104</f>
        <v>0</v>
      </c>
      <c r="X104" s="274">
        <f t="shared" si="36"/>
        <v>0</v>
      </c>
      <c r="Y104" s="273">
        <f>'人员人工-研发人员工资'!Y104</f>
        <v>0</v>
      </c>
      <c r="Z104" s="274">
        <f t="shared" si="37"/>
        <v>0</v>
      </c>
    </row>
    <row r="105" s="251" customFormat="1" customHeight="1" spans="1:26">
      <c r="A105" s="270">
        <v>25</v>
      </c>
      <c r="B105" s="271">
        <f>'人员人工-研发人员工资'!B105</f>
        <v>0</v>
      </c>
      <c r="C105" s="274"/>
      <c r="D105" s="272">
        <f>'人员人工-研发人员工资'!D105</f>
        <v>0</v>
      </c>
      <c r="E105" s="272">
        <f t="shared" si="26"/>
        <v>0</v>
      </c>
      <c r="F105" s="272">
        <f t="shared" si="27"/>
        <v>0</v>
      </c>
      <c r="G105" s="273">
        <f>'人员人工-研发人员工资'!G105</f>
        <v>0</v>
      </c>
      <c r="H105" s="274">
        <f t="shared" si="28"/>
        <v>0</v>
      </c>
      <c r="I105" s="273">
        <f>'人员人工-研发人员工资'!I105</f>
        <v>0</v>
      </c>
      <c r="J105" s="274">
        <f t="shared" si="29"/>
        <v>0</v>
      </c>
      <c r="K105" s="275">
        <f>'人员人工-研发人员工资'!K105</f>
        <v>0</v>
      </c>
      <c r="L105" s="274">
        <f t="shared" si="30"/>
        <v>0</v>
      </c>
      <c r="M105" s="273">
        <f>'人员人工-研发人员工资'!M105</f>
        <v>0</v>
      </c>
      <c r="N105" s="274">
        <f t="shared" si="31"/>
        <v>0</v>
      </c>
      <c r="O105" s="273">
        <f>'人员人工-研发人员工资'!O105</f>
        <v>0</v>
      </c>
      <c r="P105" s="274">
        <f t="shared" si="32"/>
        <v>0</v>
      </c>
      <c r="Q105" s="273">
        <f>'人员人工-研发人员工资'!Q105</f>
        <v>0</v>
      </c>
      <c r="R105" s="274">
        <f t="shared" si="33"/>
        <v>0</v>
      </c>
      <c r="S105" s="273">
        <f>'人员人工-研发人员工资'!S105</f>
        <v>0</v>
      </c>
      <c r="T105" s="274">
        <f t="shared" si="34"/>
        <v>0</v>
      </c>
      <c r="U105" s="273">
        <f>'人员人工-研发人员工资'!U105</f>
        <v>0</v>
      </c>
      <c r="V105" s="274">
        <f t="shared" si="35"/>
        <v>0</v>
      </c>
      <c r="W105" s="273">
        <f>'人员人工-研发人员工资'!W105</f>
        <v>0</v>
      </c>
      <c r="X105" s="274">
        <f t="shared" si="36"/>
        <v>0</v>
      </c>
      <c r="Y105" s="273">
        <f>'人员人工-研发人员工资'!Y105</f>
        <v>0</v>
      </c>
      <c r="Z105" s="274">
        <f t="shared" si="37"/>
        <v>0</v>
      </c>
    </row>
    <row r="106" s="251" customFormat="1" customHeight="1" spans="1:26">
      <c r="A106" s="270">
        <v>26</v>
      </c>
      <c r="B106" s="271">
        <f>'人员人工-研发人员工资'!B106</f>
        <v>0</v>
      </c>
      <c r="C106" s="274"/>
      <c r="D106" s="272">
        <f>'人员人工-研发人员工资'!D106</f>
        <v>0</v>
      </c>
      <c r="E106" s="272">
        <f t="shared" si="26"/>
        <v>0</v>
      </c>
      <c r="F106" s="272">
        <f t="shared" si="27"/>
        <v>0</v>
      </c>
      <c r="G106" s="273">
        <f>'人员人工-研发人员工资'!G106</f>
        <v>0</v>
      </c>
      <c r="H106" s="274">
        <f t="shared" si="28"/>
        <v>0</v>
      </c>
      <c r="I106" s="273">
        <f>'人员人工-研发人员工资'!I106</f>
        <v>0</v>
      </c>
      <c r="J106" s="274">
        <f t="shared" si="29"/>
        <v>0</v>
      </c>
      <c r="K106" s="275">
        <f>'人员人工-研发人员工资'!K106</f>
        <v>0</v>
      </c>
      <c r="L106" s="274">
        <f t="shared" si="30"/>
        <v>0</v>
      </c>
      <c r="M106" s="273">
        <f>'人员人工-研发人员工资'!M106</f>
        <v>0</v>
      </c>
      <c r="N106" s="274">
        <f t="shared" si="31"/>
        <v>0</v>
      </c>
      <c r="O106" s="273">
        <f>'人员人工-研发人员工资'!O106</f>
        <v>0</v>
      </c>
      <c r="P106" s="274">
        <f t="shared" si="32"/>
        <v>0</v>
      </c>
      <c r="Q106" s="273">
        <f>'人员人工-研发人员工资'!Q106</f>
        <v>0</v>
      </c>
      <c r="R106" s="274">
        <f t="shared" si="33"/>
        <v>0</v>
      </c>
      <c r="S106" s="273">
        <f>'人员人工-研发人员工资'!S106</f>
        <v>0</v>
      </c>
      <c r="T106" s="274">
        <f t="shared" si="34"/>
        <v>0</v>
      </c>
      <c r="U106" s="273">
        <f>'人员人工-研发人员工资'!U106</f>
        <v>0</v>
      </c>
      <c r="V106" s="274">
        <f t="shared" si="35"/>
        <v>0</v>
      </c>
      <c r="W106" s="273">
        <f>'人员人工-研发人员工资'!W106</f>
        <v>0</v>
      </c>
      <c r="X106" s="274">
        <f t="shared" si="36"/>
        <v>0</v>
      </c>
      <c r="Y106" s="273">
        <f>'人员人工-研发人员工资'!Y106</f>
        <v>0</v>
      </c>
      <c r="Z106" s="274">
        <f t="shared" si="37"/>
        <v>0</v>
      </c>
    </row>
    <row r="107" s="251" customFormat="1" customHeight="1" spans="1:26">
      <c r="A107" s="270">
        <v>27</v>
      </c>
      <c r="B107" s="271">
        <f>'人员人工-研发人员工资'!B107</f>
        <v>0</v>
      </c>
      <c r="C107" s="274"/>
      <c r="D107" s="272">
        <f>'人员人工-研发人员工资'!D107</f>
        <v>0</v>
      </c>
      <c r="E107" s="272">
        <f t="shared" si="26"/>
        <v>0</v>
      </c>
      <c r="F107" s="272">
        <f t="shared" si="27"/>
        <v>0</v>
      </c>
      <c r="G107" s="273">
        <f>'人员人工-研发人员工资'!G107</f>
        <v>0</v>
      </c>
      <c r="H107" s="274">
        <f t="shared" si="28"/>
        <v>0</v>
      </c>
      <c r="I107" s="273">
        <f>'人员人工-研发人员工资'!I107</f>
        <v>0</v>
      </c>
      <c r="J107" s="274">
        <f t="shared" si="29"/>
        <v>0</v>
      </c>
      <c r="K107" s="275">
        <f>'人员人工-研发人员工资'!K107</f>
        <v>0</v>
      </c>
      <c r="L107" s="274">
        <f t="shared" si="30"/>
        <v>0</v>
      </c>
      <c r="M107" s="273">
        <f>'人员人工-研发人员工资'!M107</f>
        <v>0</v>
      </c>
      <c r="N107" s="274">
        <f t="shared" si="31"/>
        <v>0</v>
      </c>
      <c r="O107" s="273">
        <f>'人员人工-研发人员工资'!O107</f>
        <v>0</v>
      </c>
      <c r="P107" s="274">
        <f t="shared" si="32"/>
        <v>0</v>
      </c>
      <c r="Q107" s="273">
        <f>'人员人工-研发人员工资'!Q107</f>
        <v>0</v>
      </c>
      <c r="R107" s="274">
        <f t="shared" si="33"/>
        <v>0</v>
      </c>
      <c r="S107" s="273">
        <f>'人员人工-研发人员工资'!S107</f>
        <v>0</v>
      </c>
      <c r="T107" s="274">
        <f t="shared" si="34"/>
        <v>0</v>
      </c>
      <c r="U107" s="273">
        <f>'人员人工-研发人员工资'!U107</f>
        <v>0</v>
      </c>
      <c r="V107" s="274">
        <f t="shared" si="35"/>
        <v>0</v>
      </c>
      <c r="W107" s="273">
        <f>'人员人工-研发人员工资'!W107</f>
        <v>0</v>
      </c>
      <c r="X107" s="274">
        <f t="shared" si="36"/>
        <v>0</v>
      </c>
      <c r="Y107" s="273">
        <f>'人员人工-研发人员工资'!Y107</f>
        <v>0</v>
      </c>
      <c r="Z107" s="274">
        <f t="shared" si="37"/>
        <v>0</v>
      </c>
    </row>
    <row r="108" s="251" customFormat="1" customHeight="1" spans="1:26">
      <c r="A108" s="270">
        <v>28</v>
      </c>
      <c r="B108" s="271">
        <f>'人员人工-研发人员工资'!B108</f>
        <v>0</v>
      </c>
      <c r="C108" s="274"/>
      <c r="D108" s="272">
        <f>'人员人工-研发人员工资'!D108</f>
        <v>0</v>
      </c>
      <c r="E108" s="272">
        <f t="shared" si="26"/>
        <v>0</v>
      </c>
      <c r="F108" s="272">
        <f t="shared" si="27"/>
        <v>0</v>
      </c>
      <c r="G108" s="273">
        <f>'人员人工-研发人员工资'!G108</f>
        <v>0</v>
      </c>
      <c r="H108" s="274">
        <f t="shared" si="28"/>
        <v>0</v>
      </c>
      <c r="I108" s="273">
        <f>'人员人工-研发人员工资'!I108</f>
        <v>0</v>
      </c>
      <c r="J108" s="274">
        <f t="shared" si="29"/>
        <v>0</v>
      </c>
      <c r="K108" s="275">
        <f>'人员人工-研发人员工资'!K108</f>
        <v>0</v>
      </c>
      <c r="L108" s="274">
        <f t="shared" si="30"/>
        <v>0</v>
      </c>
      <c r="M108" s="273">
        <f>'人员人工-研发人员工资'!M108</f>
        <v>0</v>
      </c>
      <c r="N108" s="274">
        <f t="shared" si="31"/>
        <v>0</v>
      </c>
      <c r="O108" s="273">
        <f>'人员人工-研发人员工资'!O108</f>
        <v>0</v>
      </c>
      <c r="P108" s="274">
        <f t="shared" si="32"/>
        <v>0</v>
      </c>
      <c r="Q108" s="273">
        <f>'人员人工-研发人员工资'!Q108</f>
        <v>0</v>
      </c>
      <c r="R108" s="274">
        <f t="shared" si="33"/>
        <v>0</v>
      </c>
      <c r="S108" s="273">
        <f>'人员人工-研发人员工资'!S108</f>
        <v>0</v>
      </c>
      <c r="T108" s="274">
        <f t="shared" si="34"/>
        <v>0</v>
      </c>
      <c r="U108" s="273">
        <f>'人员人工-研发人员工资'!U108</f>
        <v>0</v>
      </c>
      <c r="V108" s="274">
        <f t="shared" si="35"/>
        <v>0</v>
      </c>
      <c r="W108" s="273">
        <f>'人员人工-研发人员工资'!W108</f>
        <v>0</v>
      </c>
      <c r="X108" s="274">
        <f t="shared" si="36"/>
        <v>0</v>
      </c>
      <c r="Y108" s="273">
        <f>'人员人工-研发人员工资'!Y108</f>
        <v>0</v>
      </c>
      <c r="Z108" s="274">
        <f t="shared" si="37"/>
        <v>0</v>
      </c>
    </row>
    <row r="109" s="251" customFormat="1" customHeight="1" spans="1:26">
      <c r="A109" s="270">
        <v>29</v>
      </c>
      <c r="B109" s="271">
        <f>'人员人工-研发人员工资'!B109</f>
        <v>0</v>
      </c>
      <c r="C109" s="274"/>
      <c r="D109" s="272">
        <f>'人员人工-研发人员工资'!D109</f>
        <v>0</v>
      </c>
      <c r="E109" s="272">
        <f t="shared" si="26"/>
        <v>0</v>
      </c>
      <c r="F109" s="272">
        <f t="shared" si="27"/>
        <v>0</v>
      </c>
      <c r="G109" s="273">
        <f>'人员人工-研发人员工资'!G109</f>
        <v>0</v>
      </c>
      <c r="H109" s="274">
        <f t="shared" si="28"/>
        <v>0</v>
      </c>
      <c r="I109" s="273">
        <f>'人员人工-研发人员工资'!I109</f>
        <v>0</v>
      </c>
      <c r="J109" s="274">
        <f t="shared" si="29"/>
        <v>0</v>
      </c>
      <c r="K109" s="275">
        <f>'人员人工-研发人员工资'!K109</f>
        <v>0</v>
      </c>
      <c r="L109" s="274">
        <f t="shared" si="30"/>
        <v>0</v>
      </c>
      <c r="M109" s="273">
        <f>'人员人工-研发人员工资'!M109</f>
        <v>0</v>
      </c>
      <c r="N109" s="274">
        <f t="shared" si="31"/>
        <v>0</v>
      </c>
      <c r="O109" s="273">
        <f>'人员人工-研发人员工资'!O109</f>
        <v>0</v>
      </c>
      <c r="P109" s="274">
        <f t="shared" si="32"/>
        <v>0</v>
      </c>
      <c r="Q109" s="273">
        <f>'人员人工-研发人员工资'!Q109</f>
        <v>0</v>
      </c>
      <c r="R109" s="274">
        <f t="shared" si="33"/>
        <v>0</v>
      </c>
      <c r="S109" s="273">
        <f>'人员人工-研发人员工资'!S109</f>
        <v>0</v>
      </c>
      <c r="T109" s="274">
        <f t="shared" si="34"/>
        <v>0</v>
      </c>
      <c r="U109" s="273">
        <f>'人员人工-研发人员工资'!U109</f>
        <v>0</v>
      </c>
      <c r="V109" s="274">
        <f t="shared" si="35"/>
        <v>0</v>
      </c>
      <c r="W109" s="273">
        <f>'人员人工-研发人员工资'!W109</f>
        <v>0</v>
      </c>
      <c r="X109" s="274">
        <f t="shared" si="36"/>
        <v>0</v>
      </c>
      <c r="Y109" s="273">
        <f>'人员人工-研发人员工资'!Y109</f>
        <v>0</v>
      </c>
      <c r="Z109" s="274">
        <f t="shared" si="37"/>
        <v>0</v>
      </c>
    </row>
    <row r="110" s="251" customFormat="1" customHeight="1" spans="1:26">
      <c r="A110" s="270">
        <v>30</v>
      </c>
      <c r="B110" s="271">
        <f>'人员人工-研发人员工资'!B110</f>
        <v>0</v>
      </c>
      <c r="C110" s="274"/>
      <c r="D110" s="272">
        <f>'人员人工-研发人员工资'!D110</f>
        <v>0</v>
      </c>
      <c r="E110" s="272">
        <f t="shared" si="26"/>
        <v>0</v>
      </c>
      <c r="F110" s="272">
        <f t="shared" si="27"/>
        <v>0</v>
      </c>
      <c r="G110" s="273">
        <f>'人员人工-研发人员工资'!G110</f>
        <v>0</v>
      </c>
      <c r="H110" s="274">
        <f t="shared" si="28"/>
        <v>0</v>
      </c>
      <c r="I110" s="273">
        <f>'人员人工-研发人员工资'!I110</f>
        <v>0</v>
      </c>
      <c r="J110" s="274">
        <f t="shared" si="29"/>
        <v>0</v>
      </c>
      <c r="K110" s="275">
        <f>'人员人工-研发人员工资'!K110</f>
        <v>0</v>
      </c>
      <c r="L110" s="274">
        <f t="shared" si="30"/>
        <v>0</v>
      </c>
      <c r="M110" s="273">
        <f>'人员人工-研发人员工资'!M110</f>
        <v>0</v>
      </c>
      <c r="N110" s="274">
        <f t="shared" si="31"/>
        <v>0</v>
      </c>
      <c r="O110" s="273">
        <f>'人员人工-研发人员工资'!O110</f>
        <v>0</v>
      </c>
      <c r="P110" s="274">
        <f t="shared" si="32"/>
        <v>0</v>
      </c>
      <c r="Q110" s="273">
        <f>'人员人工-研发人员工资'!Q110</f>
        <v>0</v>
      </c>
      <c r="R110" s="274">
        <f t="shared" si="33"/>
        <v>0</v>
      </c>
      <c r="S110" s="273">
        <f>'人员人工-研发人员工资'!S110</f>
        <v>0</v>
      </c>
      <c r="T110" s="274">
        <f t="shared" si="34"/>
        <v>0</v>
      </c>
      <c r="U110" s="273">
        <f>'人员人工-研发人员工资'!U110</f>
        <v>0</v>
      </c>
      <c r="V110" s="274">
        <f t="shared" si="35"/>
        <v>0</v>
      </c>
      <c r="W110" s="273">
        <f>'人员人工-研发人员工资'!W110</f>
        <v>0</v>
      </c>
      <c r="X110" s="274">
        <f t="shared" si="36"/>
        <v>0</v>
      </c>
      <c r="Y110" s="273">
        <f>'人员人工-研发人员工资'!Y110</f>
        <v>0</v>
      </c>
      <c r="Z110" s="274">
        <f t="shared" si="37"/>
        <v>0</v>
      </c>
    </row>
    <row r="111" s="251" customFormat="1" customHeight="1" spans="1:26">
      <c r="A111" s="276" t="s">
        <v>22</v>
      </c>
      <c r="B111" s="277"/>
      <c r="C111" s="261">
        <f t="shared" ref="C111:Z111" si="38">SUM(C81:C110)</f>
        <v>0</v>
      </c>
      <c r="D111" s="261">
        <f t="shared" si="38"/>
        <v>0</v>
      </c>
      <c r="E111" s="272">
        <f t="shared" si="38"/>
        <v>0</v>
      </c>
      <c r="F111" s="261">
        <f t="shared" si="38"/>
        <v>0</v>
      </c>
      <c r="G111" s="261">
        <f t="shared" si="38"/>
        <v>0</v>
      </c>
      <c r="H111" s="261">
        <f t="shared" si="38"/>
        <v>0</v>
      </c>
      <c r="I111" s="261">
        <f t="shared" si="38"/>
        <v>0</v>
      </c>
      <c r="J111" s="261">
        <f t="shared" si="38"/>
        <v>0</v>
      </c>
      <c r="K111" s="261">
        <f t="shared" si="38"/>
        <v>0</v>
      </c>
      <c r="L111" s="261">
        <f t="shared" si="38"/>
        <v>0</v>
      </c>
      <c r="M111" s="261">
        <f t="shared" si="38"/>
        <v>0</v>
      </c>
      <c r="N111" s="261">
        <f t="shared" si="38"/>
        <v>0</v>
      </c>
      <c r="O111" s="261">
        <f t="shared" si="38"/>
        <v>0</v>
      </c>
      <c r="P111" s="261">
        <f t="shared" si="38"/>
        <v>0</v>
      </c>
      <c r="Q111" s="261">
        <f t="shared" si="38"/>
        <v>0</v>
      </c>
      <c r="R111" s="261">
        <f t="shared" si="38"/>
        <v>0</v>
      </c>
      <c r="S111" s="261">
        <f t="shared" si="38"/>
        <v>0</v>
      </c>
      <c r="T111" s="261">
        <f t="shared" si="38"/>
        <v>0</v>
      </c>
      <c r="U111" s="261">
        <f t="shared" si="38"/>
        <v>0</v>
      </c>
      <c r="V111" s="261">
        <f t="shared" si="38"/>
        <v>0</v>
      </c>
      <c r="W111" s="261">
        <f t="shared" si="38"/>
        <v>0</v>
      </c>
      <c r="X111" s="261">
        <f t="shared" si="38"/>
        <v>0</v>
      </c>
      <c r="Y111" s="261">
        <f t="shared" si="38"/>
        <v>0</v>
      </c>
      <c r="Z111" s="261">
        <f t="shared" si="38"/>
        <v>0</v>
      </c>
    </row>
    <row r="112" s="251" customFormat="1" customHeight="1" spans="1:26">
      <c r="A112" s="279"/>
      <c r="B112" s="253"/>
      <c r="C112" s="254"/>
      <c r="D112" s="254"/>
      <c r="E112" s="254"/>
      <c r="F112" s="254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</row>
    <row r="113" s="251" customFormat="1" customHeight="1" spans="1:26">
      <c r="A113" s="252"/>
      <c r="B113" s="253"/>
      <c r="C113" s="254"/>
      <c r="D113" s="254"/>
      <c r="E113" s="254"/>
      <c r="F113" s="254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</row>
    <row r="114" s="251" customFormat="1" customHeight="1" spans="1:26">
      <c r="A114" s="252"/>
      <c r="B114" s="257" t="s">
        <v>146</v>
      </c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  <c r="Z114" s="258"/>
    </row>
    <row r="115" s="251" customFormat="1" customHeight="1" spans="1:26">
      <c r="A115" s="252"/>
      <c r="B115" s="253"/>
      <c r="C115" s="254"/>
      <c r="D115" s="254"/>
      <c r="E115" s="254"/>
      <c r="F115" s="254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</row>
    <row r="116" s="251" customFormat="1" customHeight="1" spans="1:26">
      <c r="A116" s="259" t="s">
        <v>31</v>
      </c>
      <c r="B116" s="260" t="s">
        <v>32</v>
      </c>
      <c r="C116" s="261" t="s">
        <v>141</v>
      </c>
      <c r="D116" s="261" t="s">
        <v>34</v>
      </c>
      <c r="E116" s="262" t="s">
        <v>35</v>
      </c>
      <c r="F116" s="262" t="s">
        <v>142</v>
      </c>
      <c r="G116" s="263" t="str">
        <f>立项!$A$3</f>
        <v>RD01</v>
      </c>
      <c r="H116" s="264"/>
      <c r="I116" s="264" t="str">
        <f>立项!$A$4</f>
        <v>RD02</v>
      </c>
      <c r="J116" s="264"/>
      <c r="K116" s="264" t="str">
        <f>立项!$A$5</f>
        <v>RD03</v>
      </c>
      <c r="L116" s="264"/>
      <c r="M116" s="264" t="str">
        <f>立项!$A$6</f>
        <v>RD04</v>
      </c>
      <c r="N116" s="264"/>
      <c r="O116" s="264" t="str">
        <f>立项!$A$7</f>
        <v>RD05</v>
      </c>
      <c r="P116" s="264"/>
      <c r="Q116" s="264" t="str">
        <f>立项!$A$8</f>
        <v>RD06</v>
      </c>
      <c r="R116" s="264"/>
      <c r="S116" s="264" t="str">
        <f>立项!$A$9</f>
        <v>RD07</v>
      </c>
      <c r="T116" s="264"/>
      <c r="U116" s="264" t="str">
        <f>立项!$A$10</f>
        <v>RD08</v>
      </c>
      <c r="V116" s="264"/>
      <c r="W116" s="264" t="str">
        <f>立项!$A$11</f>
        <v>RD09</v>
      </c>
      <c r="X116" s="264"/>
      <c r="Y116" s="264" t="str">
        <f>立项!$A$12</f>
        <v>RD10</v>
      </c>
      <c r="Z116" s="264"/>
    </row>
    <row r="117" s="251" customFormat="1" customHeight="1" spans="1:26">
      <c r="A117" s="265"/>
      <c r="B117" s="260"/>
      <c r="C117" s="261"/>
      <c r="D117" s="261"/>
      <c r="E117" s="262"/>
      <c r="F117" s="262"/>
      <c r="G117" s="267">
        <f>立项!C3</f>
        <v>0</v>
      </c>
      <c r="H117" s="263"/>
      <c r="I117" s="267">
        <f>立项!C4</f>
        <v>0</v>
      </c>
      <c r="J117" s="263"/>
      <c r="K117" s="267">
        <f>立项!C5</f>
        <v>0</v>
      </c>
      <c r="L117" s="263"/>
      <c r="M117" s="267">
        <f>立项!C6</f>
        <v>0</v>
      </c>
      <c r="N117" s="263"/>
      <c r="O117" s="267">
        <f>立项!C7</f>
        <v>0</v>
      </c>
      <c r="P117" s="263"/>
      <c r="Q117" s="267">
        <f>立项!C8</f>
        <v>0</v>
      </c>
      <c r="R117" s="263"/>
      <c r="S117" s="267">
        <f>立项!C9</f>
        <v>0</v>
      </c>
      <c r="T117" s="263"/>
      <c r="U117" s="267">
        <f>立项!C10</f>
        <v>0</v>
      </c>
      <c r="V117" s="263"/>
      <c r="W117" s="267">
        <f>立项!C11</f>
        <v>0</v>
      </c>
      <c r="X117" s="263"/>
      <c r="Y117" s="264">
        <f>立项!C12</f>
        <v>0</v>
      </c>
      <c r="Z117" s="264"/>
    </row>
    <row r="118" s="251" customFormat="1" customHeight="1" spans="1:26">
      <c r="A118" s="268"/>
      <c r="B118" s="260"/>
      <c r="C118" s="261"/>
      <c r="D118" s="261"/>
      <c r="E118" s="262"/>
      <c r="F118" s="262"/>
      <c r="G118" s="264" t="s">
        <v>39</v>
      </c>
      <c r="H118" s="269" t="s">
        <v>143</v>
      </c>
      <c r="I118" s="264" t="s">
        <v>39</v>
      </c>
      <c r="J118" s="269" t="s">
        <v>143</v>
      </c>
      <c r="K118" s="264" t="s">
        <v>39</v>
      </c>
      <c r="L118" s="269" t="s">
        <v>143</v>
      </c>
      <c r="M118" s="264" t="s">
        <v>39</v>
      </c>
      <c r="N118" s="269" t="s">
        <v>143</v>
      </c>
      <c r="O118" s="264" t="s">
        <v>39</v>
      </c>
      <c r="P118" s="269" t="s">
        <v>143</v>
      </c>
      <c r="Q118" s="264" t="s">
        <v>39</v>
      </c>
      <c r="R118" s="269" t="s">
        <v>143</v>
      </c>
      <c r="S118" s="264" t="s">
        <v>39</v>
      </c>
      <c r="T118" s="269" t="s">
        <v>143</v>
      </c>
      <c r="U118" s="264" t="s">
        <v>39</v>
      </c>
      <c r="V118" s="269" t="s">
        <v>143</v>
      </c>
      <c r="W118" s="264" t="s">
        <v>39</v>
      </c>
      <c r="X118" s="269" t="s">
        <v>143</v>
      </c>
      <c r="Y118" s="264" t="s">
        <v>39</v>
      </c>
      <c r="Z118" s="269" t="s">
        <v>143</v>
      </c>
    </row>
    <row r="119" s="251" customFormat="1" customHeight="1" spans="1:26">
      <c r="A119" s="270">
        <v>1</v>
      </c>
      <c r="B119" s="271">
        <f>'人员人工-研发人员工资'!B119</f>
        <v>0</v>
      </c>
      <c r="C119" s="272"/>
      <c r="D119" s="272">
        <f>'人员人工-研发人员工资'!D119</f>
        <v>0</v>
      </c>
      <c r="E119" s="272">
        <f>G119+I119+K119+M119+O119+Q119+S119+U119+W119+Y119</f>
        <v>0</v>
      </c>
      <c r="F119" s="272">
        <f>H119+J119+L119+N119+P119+R119+T119+V119+X119+Z119</f>
        <v>0</v>
      </c>
      <c r="G119" s="273">
        <f>'人员人工-研发人员工资'!G119</f>
        <v>0</v>
      </c>
      <c r="H119" s="274">
        <f>IF($D119=0,0,ROUND(G119/$D119*$C119,2))</f>
        <v>0</v>
      </c>
      <c r="I119" s="273">
        <f>'人员人工-研发人员工资'!I119</f>
        <v>0</v>
      </c>
      <c r="J119" s="274">
        <f>IF($D119=0,0,ROUND(I119/$D119*$C119,2))</f>
        <v>0</v>
      </c>
      <c r="K119" s="275">
        <f>'人员人工-研发人员工资'!K119</f>
        <v>0</v>
      </c>
      <c r="L119" s="274">
        <f>IF($D119=0,0,ROUND(K119/$D119*$C119,2))</f>
        <v>0</v>
      </c>
      <c r="M119" s="273">
        <f>'人员人工-研发人员工资'!M119</f>
        <v>0</v>
      </c>
      <c r="N119" s="274">
        <f>IF($D119=0,0,ROUND(M119/$D119*$C119,2))</f>
        <v>0</v>
      </c>
      <c r="O119" s="273">
        <f>'人员人工-研发人员工资'!O119</f>
        <v>0</v>
      </c>
      <c r="P119" s="274">
        <f>IF($D119=0,0,ROUND(O119/$D119*$C119,2))</f>
        <v>0</v>
      </c>
      <c r="Q119" s="273">
        <f>'人员人工-研发人员工资'!Q119</f>
        <v>0</v>
      </c>
      <c r="R119" s="274">
        <f>IF($D119=0,0,ROUND(Q119/$D119*$C119,2))</f>
        <v>0</v>
      </c>
      <c r="S119" s="273">
        <f>'人员人工-研发人员工资'!S119</f>
        <v>0</v>
      </c>
      <c r="T119" s="274">
        <f>IF($D119=0,0,ROUND(S119/$D119*$C119,2))</f>
        <v>0</v>
      </c>
      <c r="U119" s="273">
        <f>'人员人工-研发人员工资'!U119</f>
        <v>0</v>
      </c>
      <c r="V119" s="274">
        <f>IF($D119=0,0,ROUND(U119/$D119*$C119,2))</f>
        <v>0</v>
      </c>
      <c r="W119" s="273">
        <f>'人员人工-研发人员工资'!W119</f>
        <v>0</v>
      </c>
      <c r="X119" s="274">
        <f>IF($D119=0,0,ROUND(W119/$D119*$C119,2))</f>
        <v>0</v>
      </c>
      <c r="Y119" s="273">
        <f>'人员人工-研发人员工资'!Y119</f>
        <v>0</v>
      </c>
      <c r="Z119" s="274">
        <f>IF($D119=0,0,ROUND(Y119/$D119*$C119,2))</f>
        <v>0</v>
      </c>
    </row>
    <row r="120" s="251" customFormat="1" customHeight="1" spans="1:26">
      <c r="A120" s="270">
        <v>2</v>
      </c>
      <c r="B120" s="271">
        <f>'人员人工-研发人员工资'!B120</f>
        <v>0</v>
      </c>
      <c r="C120" s="272"/>
      <c r="D120" s="272">
        <f>'人员人工-研发人员工资'!D120</f>
        <v>0</v>
      </c>
      <c r="E120" s="272">
        <f t="shared" ref="E120:E148" si="39">G120+I120+K120+M120+O120+Q120+S120+U120+W120+Y120</f>
        <v>0</v>
      </c>
      <c r="F120" s="272">
        <f t="shared" ref="F120:F148" si="40">H120+J120+L120+N120+P120+R120+T120+V120+X120+Z120</f>
        <v>0</v>
      </c>
      <c r="G120" s="273">
        <f>'人员人工-研发人员工资'!G120</f>
        <v>0</v>
      </c>
      <c r="H120" s="274">
        <f t="shared" ref="H120:H148" si="41">IF($D120=0,0,ROUND(G120/$D120*$C120,2))</f>
        <v>0</v>
      </c>
      <c r="I120" s="273">
        <f>'人员人工-研发人员工资'!I120</f>
        <v>0</v>
      </c>
      <c r="J120" s="274">
        <f t="shared" ref="J120:J148" si="42">IF($D120=0,0,ROUND(I120/$D120*$C120,2))</f>
        <v>0</v>
      </c>
      <c r="K120" s="275">
        <f>'人员人工-研发人员工资'!K120</f>
        <v>0</v>
      </c>
      <c r="L120" s="274">
        <f t="shared" ref="L120:L148" si="43">IF($D120=0,0,ROUND(K120/$D120*$C120,2))</f>
        <v>0</v>
      </c>
      <c r="M120" s="273">
        <f>'人员人工-研发人员工资'!M120</f>
        <v>0</v>
      </c>
      <c r="N120" s="274">
        <f t="shared" ref="N120:N148" si="44">IF($D120=0,0,ROUND(M120/$D120*$C120,2))</f>
        <v>0</v>
      </c>
      <c r="O120" s="273">
        <f>'人员人工-研发人员工资'!O120</f>
        <v>0</v>
      </c>
      <c r="P120" s="274">
        <f t="shared" ref="P120:P148" si="45">IF($D120=0,0,ROUND(O120/$D120*$C120,2))</f>
        <v>0</v>
      </c>
      <c r="Q120" s="273">
        <f>'人员人工-研发人员工资'!Q120</f>
        <v>0</v>
      </c>
      <c r="R120" s="274">
        <f t="shared" ref="R120:R148" si="46">IF($D120=0,0,ROUND(Q120/$D120*$C120,2))</f>
        <v>0</v>
      </c>
      <c r="S120" s="273">
        <f>'人员人工-研发人员工资'!S120</f>
        <v>0</v>
      </c>
      <c r="T120" s="274">
        <f t="shared" ref="T120:T148" si="47">IF($D120=0,0,ROUND(S120/$D120*$C120,2))</f>
        <v>0</v>
      </c>
      <c r="U120" s="273">
        <f>'人员人工-研发人员工资'!U120</f>
        <v>0</v>
      </c>
      <c r="V120" s="274">
        <f t="shared" ref="V120:V148" si="48">IF($D120=0,0,ROUND(U120/$D120*$C120,2))</f>
        <v>0</v>
      </c>
      <c r="W120" s="273">
        <f>'人员人工-研发人员工资'!W120</f>
        <v>0</v>
      </c>
      <c r="X120" s="274">
        <f t="shared" ref="X120:X148" si="49">IF($D120=0,0,ROUND(W120/$D120*$C120,2))</f>
        <v>0</v>
      </c>
      <c r="Y120" s="273">
        <f>'人员人工-研发人员工资'!Y120</f>
        <v>0</v>
      </c>
      <c r="Z120" s="274">
        <f t="shared" ref="Z120:Z148" si="50">IF($D120=0,0,ROUND(Y120/$D120*$C120,2))</f>
        <v>0</v>
      </c>
    </row>
    <row r="121" s="251" customFormat="1" customHeight="1" spans="1:26">
      <c r="A121" s="270">
        <v>3</v>
      </c>
      <c r="B121" s="271">
        <f>'人员人工-研发人员工资'!B121</f>
        <v>0</v>
      </c>
      <c r="C121" s="272"/>
      <c r="D121" s="272">
        <f>'人员人工-研发人员工资'!D121</f>
        <v>0</v>
      </c>
      <c r="E121" s="272">
        <f t="shared" si="39"/>
        <v>0</v>
      </c>
      <c r="F121" s="272">
        <f t="shared" si="40"/>
        <v>0</v>
      </c>
      <c r="G121" s="273">
        <f>'人员人工-研发人员工资'!G121</f>
        <v>0</v>
      </c>
      <c r="H121" s="274">
        <f t="shared" si="41"/>
        <v>0</v>
      </c>
      <c r="I121" s="273">
        <f>'人员人工-研发人员工资'!I121</f>
        <v>0</v>
      </c>
      <c r="J121" s="274">
        <f t="shared" si="42"/>
        <v>0</v>
      </c>
      <c r="K121" s="275">
        <f>'人员人工-研发人员工资'!K121</f>
        <v>0</v>
      </c>
      <c r="L121" s="274">
        <f t="shared" si="43"/>
        <v>0</v>
      </c>
      <c r="M121" s="273">
        <f>'人员人工-研发人员工资'!M121</f>
        <v>0</v>
      </c>
      <c r="N121" s="274">
        <f t="shared" si="44"/>
        <v>0</v>
      </c>
      <c r="O121" s="273">
        <f>'人员人工-研发人员工资'!O121</f>
        <v>0</v>
      </c>
      <c r="P121" s="274">
        <f t="shared" si="45"/>
        <v>0</v>
      </c>
      <c r="Q121" s="273">
        <f>'人员人工-研发人员工资'!Q121</f>
        <v>0</v>
      </c>
      <c r="R121" s="274">
        <f t="shared" si="46"/>
        <v>0</v>
      </c>
      <c r="S121" s="273">
        <f>'人员人工-研发人员工资'!S121</f>
        <v>0</v>
      </c>
      <c r="T121" s="274">
        <f t="shared" si="47"/>
        <v>0</v>
      </c>
      <c r="U121" s="273">
        <f>'人员人工-研发人员工资'!U121</f>
        <v>0</v>
      </c>
      <c r="V121" s="274">
        <f t="shared" si="48"/>
        <v>0</v>
      </c>
      <c r="W121" s="273">
        <f>'人员人工-研发人员工资'!W121</f>
        <v>0</v>
      </c>
      <c r="X121" s="274">
        <f t="shared" si="49"/>
        <v>0</v>
      </c>
      <c r="Y121" s="273">
        <f>'人员人工-研发人员工资'!Y121</f>
        <v>0</v>
      </c>
      <c r="Z121" s="274">
        <f t="shared" si="50"/>
        <v>0</v>
      </c>
    </row>
    <row r="122" s="251" customFormat="1" customHeight="1" spans="1:26">
      <c r="A122" s="270">
        <v>4</v>
      </c>
      <c r="B122" s="271">
        <f>'人员人工-研发人员工资'!B122</f>
        <v>0</v>
      </c>
      <c r="C122" s="272"/>
      <c r="D122" s="272">
        <f>'人员人工-研发人员工资'!D122</f>
        <v>0</v>
      </c>
      <c r="E122" s="272">
        <f t="shared" si="39"/>
        <v>0</v>
      </c>
      <c r="F122" s="272">
        <f t="shared" si="40"/>
        <v>0</v>
      </c>
      <c r="G122" s="273">
        <f>'人员人工-研发人员工资'!G122</f>
        <v>0</v>
      </c>
      <c r="H122" s="274">
        <f t="shared" si="41"/>
        <v>0</v>
      </c>
      <c r="I122" s="273">
        <f>'人员人工-研发人员工资'!I122</f>
        <v>0</v>
      </c>
      <c r="J122" s="274">
        <f t="shared" si="42"/>
        <v>0</v>
      </c>
      <c r="K122" s="275">
        <f>'人员人工-研发人员工资'!K122</f>
        <v>0</v>
      </c>
      <c r="L122" s="274">
        <f t="shared" si="43"/>
        <v>0</v>
      </c>
      <c r="M122" s="273">
        <f>'人员人工-研发人员工资'!M122</f>
        <v>0</v>
      </c>
      <c r="N122" s="274">
        <f t="shared" si="44"/>
        <v>0</v>
      </c>
      <c r="O122" s="273">
        <f>'人员人工-研发人员工资'!O122</f>
        <v>0</v>
      </c>
      <c r="P122" s="274">
        <f t="shared" si="45"/>
        <v>0</v>
      </c>
      <c r="Q122" s="273">
        <f>'人员人工-研发人员工资'!Q122</f>
        <v>0</v>
      </c>
      <c r="R122" s="274">
        <f t="shared" si="46"/>
        <v>0</v>
      </c>
      <c r="S122" s="273">
        <f>'人员人工-研发人员工资'!S122</f>
        <v>0</v>
      </c>
      <c r="T122" s="274">
        <f t="shared" si="47"/>
        <v>0</v>
      </c>
      <c r="U122" s="273">
        <f>'人员人工-研发人员工资'!U122</f>
        <v>0</v>
      </c>
      <c r="V122" s="274">
        <f t="shared" si="48"/>
        <v>0</v>
      </c>
      <c r="W122" s="273">
        <f>'人员人工-研发人员工资'!W122</f>
        <v>0</v>
      </c>
      <c r="X122" s="274">
        <f t="shared" si="49"/>
        <v>0</v>
      </c>
      <c r="Y122" s="273">
        <f>'人员人工-研发人员工资'!Y122</f>
        <v>0</v>
      </c>
      <c r="Z122" s="274">
        <f t="shared" si="50"/>
        <v>0</v>
      </c>
    </row>
    <row r="123" s="251" customFormat="1" customHeight="1" spans="1:26">
      <c r="A123" s="270">
        <v>5</v>
      </c>
      <c r="B123" s="271">
        <f>'人员人工-研发人员工资'!B123</f>
        <v>0</v>
      </c>
      <c r="C123" s="272"/>
      <c r="D123" s="272">
        <f>'人员人工-研发人员工资'!D123</f>
        <v>0</v>
      </c>
      <c r="E123" s="272">
        <f t="shared" si="39"/>
        <v>0</v>
      </c>
      <c r="F123" s="272">
        <f t="shared" si="40"/>
        <v>0</v>
      </c>
      <c r="G123" s="273">
        <f>'人员人工-研发人员工资'!G123</f>
        <v>0</v>
      </c>
      <c r="H123" s="274">
        <f t="shared" si="41"/>
        <v>0</v>
      </c>
      <c r="I123" s="273">
        <f>'人员人工-研发人员工资'!I123</f>
        <v>0</v>
      </c>
      <c r="J123" s="274">
        <f t="shared" si="42"/>
        <v>0</v>
      </c>
      <c r="K123" s="275">
        <f>'人员人工-研发人员工资'!K123</f>
        <v>0</v>
      </c>
      <c r="L123" s="274">
        <f t="shared" si="43"/>
        <v>0</v>
      </c>
      <c r="M123" s="273">
        <f>'人员人工-研发人员工资'!M123</f>
        <v>0</v>
      </c>
      <c r="N123" s="274">
        <f t="shared" si="44"/>
        <v>0</v>
      </c>
      <c r="O123" s="273">
        <f>'人员人工-研发人员工资'!O123</f>
        <v>0</v>
      </c>
      <c r="P123" s="274">
        <f t="shared" si="45"/>
        <v>0</v>
      </c>
      <c r="Q123" s="273">
        <f>'人员人工-研发人员工资'!Q123</f>
        <v>0</v>
      </c>
      <c r="R123" s="274">
        <f t="shared" si="46"/>
        <v>0</v>
      </c>
      <c r="S123" s="273">
        <f>'人员人工-研发人员工资'!S123</f>
        <v>0</v>
      </c>
      <c r="T123" s="274">
        <f t="shared" si="47"/>
        <v>0</v>
      </c>
      <c r="U123" s="273">
        <f>'人员人工-研发人员工资'!U123</f>
        <v>0</v>
      </c>
      <c r="V123" s="274">
        <f t="shared" si="48"/>
        <v>0</v>
      </c>
      <c r="W123" s="273">
        <f>'人员人工-研发人员工资'!W123</f>
        <v>0</v>
      </c>
      <c r="X123" s="274">
        <f t="shared" si="49"/>
        <v>0</v>
      </c>
      <c r="Y123" s="273">
        <f>'人员人工-研发人员工资'!Y123</f>
        <v>0</v>
      </c>
      <c r="Z123" s="274">
        <f t="shared" si="50"/>
        <v>0</v>
      </c>
    </row>
    <row r="124" s="251" customFormat="1" customHeight="1" spans="1:26">
      <c r="A124" s="270">
        <v>6</v>
      </c>
      <c r="B124" s="271">
        <f>'人员人工-研发人员工资'!B125</f>
        <v>0</v>
      </c>
      <c r="C124" s="274"/>
      <c r="D124" s="272">
        <f>'人员人工-研发人员工资'!D124</f>
        <v>0</v>
      </c>
      <c r="E124" s="272">
        <f t="shared" si="39"/>
        <v>0</v>
      </c>
      <c r="F124" s="272">
        <f t="shared" si="40"/>
        <v>0</v>
      </c>
      <c r="G124" s="273">
        <f>'人员人工-研发人员工资'!G125</f>
        <v>0</v>
      </c>
      <c r="H124" s="274">
        <f t="shared" si="41"/>
        <v>0</v>
      </c>
      <c r="I124" s="273">
        <f>'人员人工-研发人员工资'!I125</f>
        <v>0</v>
      </c>
      <c r="J124" s="274">
        <f t="shared" si="42"/>
        <v>0</v>
      </c>
      <c r="K124" s="275">
        <f>'人员人工-研发人员工资'!K125</f>
        <v>0</v>
      </c>
      <c r="L124" s="274">
        <f t="shared" si="43"/>
        <v>0</v>
      </c>
      <c r="M124" s="273">
        <f>'人员人工-研发人员工资'!M125</f>
        <v>0</v>
      </c>
      <c r="N124" s="274">
        <f t="shared" si="44"/>
        <v>0</v>
      </c>
      <c r="O124" s="273">
        <f>'人员人工-研发人员工资'!O125</f>
        <v>0</v>
      </c>
      <c r="P124" s="274">
        <f t="shared" si="45"/>
        <v>0</v>
      </c>
      <c r="Q124" s="273">
        <f>'人员人工-研发人员工资'!Q125</f>
        <v>0</v>
      </c>
      <c r="R124" s="274">
        <f t="shared" si="46"/>
        <v>0</v>
      </c>
      <c r="S124" s="273">
        <f>'人员人工-研发人员工资'!S125</f>
        <v>0</v>
      </c>
      <c r="T124" s="274">
        <f t="shared" si="47"/>
        <v>0</v>
      </c>
      <c r="U124" s="273">
        <f>'人员人工-研发人员工资'!U125</f>
        <v>0</v>
      </c>
      <c r="V124" s="274">
        <f t="shared" si="48"/>
        <v>0</v>
      </c>
      <c r="W124" s="273">
        <f>'人员人工-研发人员工资'!W125</f>
        <v>0</v>
      </c>
      <c r="X124" s="274">
        <f t="shared" si="49"/>
        <v>0</v>
      </c>
      <c r="Y124" s="273">
        <f>'人员人工-研发人员工资'!Y125</f>
        <v>0</v>
      </c>
      <c r="Z124" s="274">
        <f t="shared" si="50"/>
        <v>0</v>
      </c>
    </row>
    <row r="125" s="251" customFormat="1" customHeight="1" spans="1:26">
      <c r="A125" s="270">
        <v>7</v>
      </c>
      <c r="B125" s="271">
        <f>'人员人工-研发人员工资'!B125</f>
        <v>0</v>
      </c>
      <c r="C125" s="274"/>
      <c r="D125" s="272">
        <f>'人员人工-研发人员工资'!D125</f>
        <v>0</v>
      </c>
      <c r="E125" s="272">
        <f t="shared" si="39"/>
        <v>0</v>
      </c>
      <c r="F125" s="272">
        <f t="shared" si="40"/>
        <v>0</v>
      </c>
      <c r="G125" s="273">
        <f>'人员人工-研发人员工资'!G125</f>
        <v>0</v>
      </c>
      <c r="H125" s="274">
        <f t="shared" si="41"/>
        <v>0</v>
      </c>
      <c r="I125" s="273">
        <f>'人员人工-研发人员工资'!I125</f>
        <v>0</v>
      </c>
      <c r="J125" s="274">
        <f t="shared" si="42"/>
        <v>0</v>
      </c>
      <c r="K125" s="275">
        <f>'人员人工-研发人员工资'!K125</f>
        <v>0</v>
      </c>
      <c r="L125" s="274">
        <f t="shared" si="43"/>
        <v>0</v>
      </c>
      <c r="M125" s="273">
        <f>'人员人工-研发人员工资'!M125</f>
        <v>0</v>
      </c>
      <c r="N125" s="274">
        <f t="shared" si="44"/>
        <v>0</v>
      </c>
      <c r="O125" s="273">
        <f>'人员人工-研发人员工资'!O125</f>
        <v>0</v>
      </c>
      <c r="P125" s="274">
        <f t="shared" si="45"/>
        <v>0</v>
      </c>
      <c r="Q125" s="273">
        <f>'人员人工-研发人员工资'!Q125</f>
        <v>0</v>
      </c>
      <c r="R125" s="274">
        <f t="shared" si="46"/>
        <v>0</v>
      </c>
      <c r="S125" s="273">
        <f>'人员人工-研发人员工资'!S125</f>
        <v>0</v>
      </c>
      <c r="T125" s="274">
        <f t="shared" si="47"/>
        <v>0</v>
      </c>
      <c r="U125" s="273">
        <f>'人员人工-研发人员工资'!U125</f>
        <v>0</v>
      </c>
      <c r="V125" s="274">
        <f t="shared" si="48"/>
        <v>0</v>
      </c>
      <c r="W125" s="273">
        <f>'人员人工-研发人员工资'!W125</f>
        <v>0</v>
      </c>
      <c r="X125" s="274">
        <f t="shared" si="49"/>
        <v>0</v>
      </c>
      <c r="Y125" s="273">
        <f>'人员人工-研发人员工资'!Y125</f>
        <v>0</v>
      </c>
      <c r="Z125" s="274">
        <f t="shared" si="50"/>
        <v>0</v>
      </c>
    </row>
    <row r="126" s="251" customFormat="1" customHeight="1" spans="1:26">
      <c r="A126" s="270">
        <v>8</v>
      </c>
      <c r="B126" s="271">
        <f>'人员人工-研发人员工资'!B126</f>
        <v>0</v>
      </c>
      <c r="C126" s="274"/>
      <c r="D126" s="272">
        <f>'人员人工-研发人员工资'!D126</f>
        <v>0</v>
      </c>
      <c r="E126" s="272">
        <f t="shared" si="39"/>
        <v>0</v>
      </c>
      <c r="F126" s="272">
        <f t="shared" si="40"/>
        <v>0</v>
      </c>
      <c r="G126" s="273">
        <f>'人员人工-研发人员工资'!G126</f>
        <v>0</v>
      </c>
      <c r="H126" s="274">
        <f t="shared" si="41"/>
        <v>0</v>
      </c>
      <c r="I126" s="273">
        <f>'人员人工-研发人员工资'!I126</f>
        <v>0</v>
      </c>
      <c r="J126" s="274">
        <f t="shared" si="42"/>
        <v>0</v>
      </c>
      <c r="K126" s="275">
        <f>'人员人工-研发人员工资'!K126</f>
        <v>0</v>
      </c>
      <c r="L126" s="274">
        <f t="shared" si="43"/>
        <v>0</v>
      </c>
      <c r="M126" s="273">
        <f>'人员人工-研发人员工资'!M126</f>
        <v>0</v>
      </c>
      <c r="N126" s="274">
        <f t="shared" si="44"/>
        <v>0</v>
      </c>
      <c r="O126" s="273">
        <f>'人员人工-研发人员工资'!O126</f>
        <v>0</v>
      </c>
      <c r="P126" s="274">
        <f t="shared" si="45"/>
        <v>0</v>
      </c>
      <c r="Q126" s="273">
        <f>'人员人工-研发人员工资'!Q126</f>
        <v>0</v>
      </c>
      <c r="R126" s="274">
        <f t="shared" si="46"/>
        <v>0</v>
      </c>
      <c r="S126" s="273">
        <f>'人员人工-研发人员工资'!S126</f>
        <v>0</v>
      </c>
      <c r="T126" s="274">
        <f t="shared" si="47"/>
        <v>0</v>
      </c>
      <c r="U126" s="273">
        <f>'人员人工-研发人员工资'!U126</f>
        <v>0</v>
      </c>
      <c r="V126" s="274">
        <f t="shared" si="48"/>
        <v>0</v>
      </c>
      <c r="W126" s="273">
        <f>'人员人工-研发人员工资'!W126</f>
        <v>0</v>
      </c>
      <c r="X126" s="274">
        <f t="shared" si="49"/>
        <v>0</v>
      </c>
      <c r="Y126" s="273">
        <f>'人员人工-研发人员工资'!Y126</f>
        <v>0</v>
      </c>
      <c r="Z126" s="274">
        <f t="shared" si="50"/>
        <v>0</v>
      </c>
    </row>
    <row r="127" s="251" customFormat="1" customHeight="1" spans="1:26">
      <c r="A127" s="270">
        <v>9</v>
      </c>
      <c r="B127" s="271">
        <f>'人员人工-研发人员工资'!B127</f>
        <v>0</v>
      </c>
      <c r="C127" s="274"/>
      <c r="D127" s="272">
        <f>'人员人工-研发人员工资'!D127</f>
        <v>0</v>
      </c>
      <c r="E127" s="272">
        <f t="shared" si="39"/>
        <v>0</v>
      </c>
      <c r="F127" s="272">
        <f t="shared" si="40"/>
        <v>0</v>
      </c>
      <c r="G127" s="273">
        <f>'人员人工-研发人员工资'!G127</f>
        <v>0</v>
      </c>
      <c r="H127" s="274">
        <f t="shared" si="41"/>
        <v>0</v>
      </c>
      <c r="I127" s="273">
        <f>'人员人工-研发人员工资'!I127</f>
        <v>0</v>
      </c>
      <c r="J127" s="274">
        <f t="shared" si="42"/>
        <v>0</v>
      </c>
      <c r="K127" s="275">
        <f>'人员人工-研发人员工资'!K127</f>
        <v>0</v>
      </c>
      <c r="L127" s="274">
        <f t="shared" si="43"/>
        <v>0</v>
      </c>
      <c r="M127" s="273">
        <f>'人员人工-研发人员工资'!M127</f>
        <v>0</v>
      </c>
      <c r="N127" s="274">
        <f t="shared" si="44"/>
        <v>0</v>
      </c>
      <c r="O127" s="273">
        <f>'人员人工-研发人员工资'!O127</f>
        <v>0</v>
      </c>
      <c r="P127" s="274">
        <f t="shared" si="45"/>
        <v>0</v>
      </c>
      <c r="Q127" s="273">
        <f>'人员人工-研发人员工资'!Q127</f>
        <v>0</v>
      </c>
      <c r="R127" s="274">
        <f t="shared" si="46"/>
        <v>0</v>
      </c>
      <c r="S127" s="273">
        <f>'人员人工-研发人员工资'!S127</f>
        <v>0</v>
      </c>
      <c r="T127" s="274">
        <f t="shared" si="47"/>
        <v>0</v>
      </c>
      <c r="U127" s="273">
        <f>'人员人工-研发人员工资'!U127</f>
        <v>0</v>
      </c>
      <c r="V127" s="274">
        <f t="shared" si="48"/>
        <v>0</v>
      </c>
      <c r="W127" s="273">
        <f>'人员人工-研发人员工资'!W127</f>
        <v>0</v>
      </c>
      <c r="X127" s="274">
        <f t="shared" si="49"/>
        <v>0</v>
      </c>
      <c r="Y127" s="273">
        <f>'人员人工-研发人员工资'!Y127</f>
        <v>0</v>
      </c>
      <c r="Z127" s="274">
        <f t="shared" si="50"/>
        <v>0</v>
      </c>
    </row>
    <row r="128" s="251" customFormat="1" customHeight="1" spans="1:26">
      <c r="A128" s="270">
        <v>10</v>
      </c>
      <c r="B128" s="271">
        <f>'人员人工-研发人员工资'!B128</f>
        <v>0</v>
      </c>
      <c r="C128" s="274"/>
      <c r="D128" s="272">
        <f>'人员人工-研发人员工资'!D128</f>
        <v>0</v>
      </c>
      <c r="E128" s="272">
        <f t="shared" si="39"/>
        <v>0</v>
      </c>
      <c r="F128" s="272">
        <f t="shared" si="40"/>
        <v>0</v>
      </c>
      <c r="G128" s="273">
        <f>'人员人工-研发人员工资'!G128</f>
        <v>0</v>
      </c>
      <c r="H128" s="274">
        <f t="shared" si="41"/>
        <v>0</v>
      </c>
      <c r="I128" s="273">
        <f>'人员人工-研发人员工资'!I128</f>
        <v>0</v>
      </c>
      <c r="J128" s="274">
        <f t="shared" si="42"/>
        <v>0</v>
      </c>
      <c r="K128" s="275">
        <f>'人员人工-研发人员工资'!K128</f>
        <v>0</v>
      </c>
      <c r="L128" s="274">
        <f t="shared" si="43"/>
        <v>0</v>
      </c>
      <c r="M128" s="273">
        <f>'人员人工-研发人员工资'!M128</f>
        <v>0</v>
      </c>
      <c r="N128" s="274">
        <f t="shared" si="44"/>
        <v>0</v>
      </c>
      <c r="O128" s="273">
        <f>'人员人工-研发人员工资'!O128</f>
        <v>0</v>
      </c>
      <c r="P128" s="274">
        <f t="shared" si="45"/>
        <v>0</v>
      </c>
      <c r="Q128" s="273">
        <f>'人员人工-研发人员工资'!Q128</f>
        <v>0</v>
      </c>
      <c r="R128" s="274">
        <f t="shared" si="46"/>
        <v>0</v>
      </c>
      <c r="S128" s="273">
        <f>'人员人工-研发人员工资'!S128</f>
        <v>0</v>
      </c>
      <c r="T128" s="274">
        <f t="shared" si="47"/>
        <v>0</v>
      </c>
      <c r="U128" s="273">
        <f>'人员人工-研发人员工资'!U128</f>
        <v>0</v>
      </c>
      <c r="V128" s="274">
        <f t="shared" si="48"/>
        <v>0</v>
      </c>
      <c r="W128" s="273">
        <f>'人员人工-研发人员工资'!W128</f>
        <v>0</v>
      </c>
      <c r="X128" s="274">
        <f t="shared" si="49"/>
        <v>0</v>
      </c>
      <c r="Y128" s="273">
        <f>'人员人工-研发人员工资'!Y128</f>
        <v>0</v>
      </c>
      <c r="Z128" s="274">
        <f t="shared" si="50"/>
        <v>0</v>
      </c>
    </row>
    <row r="129" s="251" customFormat="1" customHeight="1" spans="1:26">
      <c r="A129" s="270">
        <v>11</v>
      </c>
      <c r="B129" s="271">
        <f>'人员人工-研发人员工资'!B129</f>
        <v>0</v>
      </c>
      <c r="C129" s="274"/>
      <c r="D129" s="272">
        <f>'人员人工-研发人员工资'!D129</f>
        <v>0</v>
      </c>
      <c r="E129" s="272">
        <f t="shared" si="39"/>
        <v>0</v>
      </c>
      <c r="F129" s="272">
        <f t="shared" si="40"/>
        <v>0</v>
      </c>
      <c r="G129" s="273">
        <f>'人员人工-研发人员工资'!G129</f>
        <v>0</v>
      </c>
      <c r="H129" s="274">
        <f t="shared" si="41"/>
        <v>0</v>
      </c>
      <c r="I129" s="273">
        <f>'人员人工-研发人员工资'!I129</f>
        <v>0</v>
      </c>
      <c r="J129" s="274">
        <f t="shared" si="42"/>
        <v>0</v>
      </c>
      <c r="K129" s="275">
        <f>'人员人工-研发人员工资'!K129</f>
        <v>0</v>
      </c>
      <c r="L129" s="274">
        <f t="shared" si="43"/>
        <v>0</v>
      </c>
      <c r="M129" s="273">
        <f>'人员人工-研发人员工资'!M129</f>
        <v>0</v>
      </c>
      <c r="N129" s="274">
        <f t="shared" si="44"/>
        <v>0</v>
      </c>
      <c r="O129" s="273">
        <f>'人员人工-研发人员工资'!O129</f>
        <v>0</v>
      </c>
      <c r="P129" s="274">
        <f t="shared" si="45"/>
        <v>0</v>
      </c>
      <c r="Q129" s="273">
        <f>'人员人工-研发人员工资'!Q129</f>
        <v>0</v>
      </c>
      <c r="R129" s="274">
        <f t="shared" si="46"/>
        <v>0</v>
      </c>
      <c r="S129" s="273">
        <f>'人员人工-研发人员工资'!S129</f>
        <v>0</v>
      </c>
      <c r="T129" s="274">
        <f t="shared" si="47"/>
        <v>0</v>
      </c>
      <c r="U129" s="273">
        <f>'人员人工-研发人员工资'!U129</f>
        <v>0</v>
      </c>
      <c r="V129" s="274">
        <f t="shared" si="48"/>
        <v>0</v>
      </c>
      <c r="W129" s="273">
        <f>'人员人工-研发人员工资'!W129</f>
        <v>0</v>
      </c>
      <c r="X129" s="274">
        <f t="shared" si="49"/>
        <v>0</v>
      </c>
      <c r="Y129" s="273">
        <f>'人员人工-研发人员工资'!Y129</f>
        <v>0</v>
      </c>
      <c r="Z129" s="274">
        <f t="shared" si="50"/>
        <v>0</v>
      </c>
    </row>
    <row r="130" s="251" customFormat="1" customHeight="1" spans="1:26">
      <c r="A130" s="270">
        <v>12</v>
      </c>
      <c r="B130" s="271">
        <f>'人员人工-研发人员工资'!B130</f>
        <v>0</v>
      </c>
      <c r="C130" s="274"/>
      <c r="D130" s="272">
        <f>'人员人工-研发人员工资'!D130</f>
        <v>0</v>
      </c>
      <c r="E130" s="272">
        <f t="shared" si="39"/>
        <v>0</v>
      </c>
      <c r="F130" s="272">
        <f t="shared" si="40"/>
        <v>0</v>
      </c>
      <c r="G130" s="273">
        <f>'人员人工-研发人员工资'!G130</f>
        <v>0</v>
      </c>
      <c r="H130" s="274">
        <f t="shared" si="41"/>
        <v>0</v>
      </c>
      <c r="I130" s="273">
        <f>'人员人工-研发人员工资'!I130</f>
        <v>0</v>
      </c>
      <c r="J130" s="274">
        <f t="shared" si="42"/>
        <v>0</v>
      </c>
      <c r="K130" s="275">
        <f>'人员人工-研发人员工资'!K130</f>
        <v>0</v>
      </c>
      <c r="L130" s="274">
        <f t="shared" si="43"/>
        <v>0</v>
      </c>
      <c r="M130" s="273">
        <f>'人员人工-研发人员工资'!M130</f>
        <v>0</v>
      </c>
      <c r="N130" s="274">
        <f t="shared" si="44"/>
        <v>0</v>
      </c>
      <c r="O130" s="273">
        <f>'人员人工-研发人员工资'!O130</f>
        <v>0</v>
      </c>
      <c r="P130" s="274">
        <f t="shared" si="45"/>
        <v>0</v>
      </c>
      <c r="Q130" s="273">
        <f>'人员人工-研发人员工资'!Q130</f>
        <v>0</v>
      </c>
      <c r="R130" s="274">
        <f t="shared" si="46"/>
        <v>0</v>
      </c>
      <c r="S130" s="273">
        <f>'人员人工-研发人员工资'!S130</f>
        <v>0</v>
      </c>
      <c r="T130" s="274">
        <f t="shared" si="47"/>
        <v>0</v>
      </c>
      <c r="U130" s="273">
        <f>'人员人工-研发人员工资'!U130</f>
        <v>0</v>
      </c>
      <c r="V130" s="274">
        <f t="shared" si="48"/>
        <v>0</v>
      </c>
      <c r="W130" s="273">
        <f>'人员人工-研发人员工资'!W130</f>
        <v>0</v>
      </c>
      <c r="X130" s="274">
        <f t="shared" si="49"/>
        <v>0</v>
      </c>
      <c r="Y130" s="273">
        <f>'人员人工-研发人员工资'!Y130</f>
        <v>0</v>
      </c>
      <c r="Z130" s="274">
        <f t="shared" si="50"/>
        <v>0</v>
      </c>
    </row>
    <row r="131" s="251" customFormat="1" customHeight="1" spans="1:26">
      <c r="A131" s="270">
        <v>13</v>
      </c>
      <c r="B131" s="271">
        <f>'人员人工-研发人员工资'!B131</f>
        <v>0</v>
      </c>
      <c r="C131" s="274"/>
      <c r="D131" s="272">
        <f>'人员人工-研发人员工资'!D131</f>
        <v>0</v>
      </c>
      <c r="E131" s="272">
        <f t="shared" si="39"/>
        <v>0</v>
      </c>
      <c r="F131" s="272">
        <f t="shared" si="40"/>
        <v>0</v>
      </c>
      <c r="G131" s="273">
        <f>'人员人工-研发人员工资'!G131</f>
        <v>0</v>
      </c>
      <c r="H131" s="274">
        <f t="shared" si="41"/>
        <v>0</v>
      </c>
      <c r="I131" s="273">
        <f>'人员人工-研发人员工资'!I131</f>
        <v>0</v>
      </c>
      <c r="J131" s="274">
        <f t="shared" si="42"/>
        <v>0</v>
      </c>
      <c r="K131" s="275">
        <f>'人员人工-研发人员工资'!K131</f>
        <v>0</v>
      </c>
      <c r="L131" s="274">
        <f t="shared" si="43"/>
        <v>0</v>
      </c>
      <c r="M131" s="273">
        <f>'人员人工-研发人员工资'!M131</f>
        <v>0</v>
      </c>
      <c r="N131" s="274">
        <f t="shared" si="44"/>
        <v>0</v>
      </c>
      <c r="O131" s="273">
        <f>'人员人工-研发人员工资'!O131</f>
        <v>0</v>
      </c>
      <c r="P131" s="274">
        <f t="shared" si="45"/>
        <v>0</v>
      </c>
      <c r="Q131" s="273">
        <f>'人员人工-研发人员工资'!Q131</f>
        <v>0</v>
      </c>
      <c r="R131" s="274">
        <f t="shared" si="46"/>
        <v>0</v>
      </c>
      <c r="S131" s="273">
        <f>'人员人工-研发人员工资'!S131</f>
        <v>0</v>
      </c>
      <c r="T131" s="274">
        <f t="shared" si="47"/>
        <v>0</v>
      </c>
      <c r="U131" s="273">
        <f>'人员人工-研发人员工资'!U131</f>
        <v>0</v>
      </c>
      <c r="V131" s="274">
        <f t="shared" si="48"/>
        <v>0</v>
      </c>
      <c r="W131" s="273">
        <f>'人员人工-研发人员工资'!W131</f>
        <v>0</v>
      </c>
      <c r="X131" s="274">
        <f t="shared" si="49"/>
        <v>0</v>
      </c>
      <c r="Y131" s="273">
        <f>'人员人工-研发人员工资'!Y131</f>
        <v>0</v>
      </c>
      <c r="Z131" s="274">
        <f t="shared" si="50"/>
        <v>0</v>
      </c>
    </row>
    <row r="132" s="251" customFormat="1" customHeight="1" spans="1:26">
      <c r="A132" s="270">
        <v>14</v>
      </c>
      <c r="B132" s="271">
        <f>'人员人工-研发人员工资'!B132</f>
        <v>0</v>
      </c>
      <c r="C132" s="274"/>
      <c r="D132" s="272">
        <f>'人员人工-研发人员工资'!D132</f>
        <v>0</v>
      </c>
      <c r="E132" s="272">
        <f t="shared" si="39"/>
        <v>0</v>
      </c>
      <c r="F132" s="272">
        <f t="shared" si="40"/>
        <v>0</v>
      </c>
      <c r="G132" s="273">
        <f>'人员人工-研发人员工资'!G132</f>
        <v>0</v>
      </c>
      <c r="H132" s="274">
        <f t="shared" si="41"/>
        <v>0</v>
      </c>
      <c r="I132" s="273">
        <f>'人员人工-研发人员工资'!I132</f>
        <v>0</v>
      </c>
      <c r="J132" s="274">
        <f t="shared" si="42"/>
        <v>0</v>
      </c>
      <c r="K132" s="275">
        <f>'人员人工-研发人员工资'!K132</f>
        <v>0</v>
      </c>
      <c r="L132" s="274">
        <f t="shared" si="43"/>
        <v>0</v>
      </c>
      <c r="M132" s="273">
        <f>'人员人工-研发人员工资'!M132</f>
        <v>0</v>
      </c>
      <c r="N132" s="274">
        <f t="shared" si="44"/>
        <v>0</v>
      </c>
      <c r="O132" s="273">
        <f>'人员人工-研发人员工资'!O132</f>
        <v>0</v>
      </c>
      <c r="P132" s="274">
        <f t="shared" si="45"/>
        <v>0</v>
      </c>
      <c r="Q132" s="273">
        <f>'人员人工-研发人员工资'!Q132</f>
        <v>0</v>
      </c>
      <c r="R132" s="274">
        <f t="shared" si="46"/>
        <v>0</v>
      </c>
      <c r="S132" s="273">
        <f>'人员人工-研发人员工资'!S132</f>
        <v>0</v>
      </c>
      <c r="T132" s="274">
        <f t="shared" si="47"/>
        <v>0</v>
      </c>
      <c r="U132" s="273">
        <f>'人员人工-研发人员工资'!U132</f>
        <v>0</v>
      </c>
      <c r="V132" s="274">
        <f t="shared" si="48"/>
        <v>0</v>
      </c>
      <c r="W132" s="273">
        <f>'人员人工-研发人员工资'!W132</f>
        <v>0</v>
      </c>
      <c r="X132" s="274">
        <f t="shared" si="49"/>
        <v>0</v>
      </c>
      <c r="Y132" s="273">
        <f>'人员人工-研发人员工资'!Y132</f>
        <v>0</v>
      </c>
      <c r="Z132" s="274">
        <f t="shared" si="50"/>
        <v>0</v>
      </c>
    </row>
    <row r="133" s="251" customFormat="1" customHeight="1" spans="1:26">
      <c r="A133" s="270">
        <v>15</v>
      </c>
      <c r="B133" s="271">
        <f>'人员人工-研发人员工资'!B133</f>
        <v>0</v>
      </c>
      <c r="C133" s="274"/>
      <c r="D133" s="272">
        <f>'人员人工-研发人员工资'!D133</f>
        <v>0</v>
      </c>
      <c r="E133" s="272">
        <f t="shared" si="39"/>
        <v>0</v>
      </c>
      <c r="F133" s="272">
        <f t="shared" si="40"/>
        <v>0</v>
      </c>
      <c r="G133" s="273">
        <f>'人员人工-研发人员工资'!G133</f>
        <v>0</v>
      </c>
      <c r="H133" s="274">
        <f t="shared" si="41"/>
        <v>0</v>
      </c>
      <c r="I133" s="273">
        <f>'人员人工-研发人员工资'!I133</f>
        <v>0</v>
      </c>
      <c r="J133" s="274">
        <f t="shared" si="42"/>
        <v>0</v>
      </c>
      <c r="K133" s="275">
        <f>'人员人工-研发人员工资'!K133</f>
        <v>0</v>
      </c>
      <c r="L133" s="274">
        <f t="shared" si="43"/>
        <v>0</v>
      </c>
      <c r="M133" s="273">
        <f>'人员人工-研发人员工资'!M133</f>
        <v>0</v>
      </c>
      <c r="N133" s="274">
        <f t="shared" si="44"/>
        <v>0</v>
      </c>
      <c r="O133" s="273">
        <f>'人员人工-研发人员工资'!O133</f>
        <v>0</v>
      </c>
      <c r="P133" s="274">
        <f t="shared" si="45"/>
        <v>0</v>
      </c>
      <c r="Q133" s="273">
        <f>'人员人工-研发人员工资'!Q133</f>
        <v>0</v>
      </c>
      <c r="R133" s="274">
        <f t="shared" si="46"/>
        <v>0</v>
      </c>
      <c r="S133" s="273">
        <f>'人员人工-研发人员工资'!S133</f>
        <v>0</v>
      </c>
      <c r="T133" s="274">
        <f t="shared" si="47"/>
        <v>0</v>
      </c>
      <c r="U133" s="273">
        <f>'人员人工-研发人员工资'!U133</f>
        <v>0</v>
      </c>
      <c r="V133" s="274">
        <f t="shared" si="48"/>
        <v>0</v>
      </c>
      <c r="W133" s="273">
        <f>'人员人工-研发人员工资'!W133</f>
        <v>0</v>
      </c>
      <c r="X133" s="274">
        <f t="shared" si="49"/>
        <v>0</v>
      </c>
      <c r="Y133" s="273">
        <f>'人员人工-研发人员工资'!Y133</f>
        <v>0</v>
      </c>
      <c r="Z133" s="274">
        <f t="shared" si="50"/>
        <v>0</v>
      </c>
    </row>
    <row r="134" s="251" customFormat="1" customHeight="1" spans="1:26">
      <c r="A134" s="270">
        <v>16</v>
      </c>
      <c r="B134" s="271">
        <f>'人员人工-研发人员工资'!B134</f>
        <v>0</v>
      </c>
      <c r="C134" s="274"/>
      <c r="D134" s="272">
        <f>'人员人工-研发人员工资'!D134</f>
        <v>0</v>
      </c>
      <c r="E134" s="272">
        <f t="shared" si="39"/>
        <v>0</v>
      </c>
      <c r="F134" s="272">
        <f t="shared" si="40"/>
        <v>0</v>
      </c>
      <c r="G134" s="273">
        <f>'人员人工-研发人员工资'!G134</f>
        <v>0</v>
      </c>
      <c r="H134" s="274">
        <f t="shared" si="41"/>
        <v>0</v>
      </c>
      <c r="I134" s="273">
        <f>'人员人工-研发人员工资'!I134</f>
        <v>0</v>
      </c>
      <c r="J134" s="274">
        <f t="shared" si="42"/>
        <v>0</v>
      </c>
      <c r="K134" s="275">
        <f>'人员人工-研发人员工资'!K134</f>
        <v>0</v>
      </c>
      <c r="L134" s="274">
        <f t="shared" si="43"/>
        <v>0</v>
      </c>
      <c r="M134" s="273">
        <f>'人员人工-研发人员工资'!M134</f>
        <v>0</v>
      </c>
      <c r="N134" s="274">
        <f t="shared" si="44"/>
        <v>0</v>
      </c>
      <c r="O134" s="273">
        <f>'人员人工-研发人员工资'!O134</f>
        <v>0</v>
      </c>
      <c r="P134" s="274">
        <f t="shared" si="45"/>
        <v>0</v>
      </c>
      <c r="Q134" s="273">
        <f>'人员人工-研发人员工资'!Q134</f>
        <v>0</v>
      </c>
      <c r="R134" s="274">
        <f t="shared" si="46"/>
        <v>0</v>
      </c>
      <c r="S134" s="273">
        <f>'人员人工-研发人员工资'!S134</f>
        <v>0</v>
      </c>
      <c r="T134" s="274">
        <f t="shared" si="47"/>
        <v>0</v>
      </c>
      <c r="U134" s="273">
        <f>'人员人工-研发人员工资'!U134</f>
        <v>0</v>
      </c>
      <c r="V134" s="274">
        <f t="shared" si="48"/>
        <v>0</v>
      </c>
      <c r="W134" s="273">
        <f>'人员人工-研发人员工资'!W134</f>
        <v>0</v>
      </c>
      <c r="X134" s="274">
        <f t="shared" si="49"/>
        <v>0</v>
      </c>
      <c r="Y134" s="273">
        <f>'人员人工-研发人员工资'!Y134</f>
        <v>0</v>
      </c>
      <c r="Z134" s="274">
        <f t="shared" si="50"/>
        <v>0</v>
      </c>
    </row>
    <row r="135" s="251" customFormat="1" customHeight="1" spans="1:26">
      <c r="A135" s="270">
        <v>17</v>
      </c>
      <c r="B135" s="271">
        <f>'人员人工-研发人员工资'!B135</f>
        <v>0</v>
      </c>
      <c r="C135" s="274"/>
      <c r="D135" s="272">
        <f>'人员人工-研发人员工资'!D135</f>
        <v>0</v>
      </c>
      <c r="E135" s="272">
        <f t="shared" si="39"/>
        <v>0</v>
      </c>
      <c r="F135" s="272">
        <f t="shared" si="40"/>
        <v>0</v>
      </c>
      <c r="G135" s="273">
        <f>'人员人工-研发人员工资'!G135</f>
        <v>0</v>
      </c>
      <c r="H135" s="274">
        <f t="shared" si="41"/>
        <v>0</v>
      </c>
      <c r="I135" s="273">
        <f>'人员人工-研发人员工资'!I135</f>
        <v>0</v>
      </c>
      <c r="J135" s="274">
        <f t="shared" si="42"/>
        <v>0</v>
      </c>
      <c r="K135" s="275">
        <f>'人员人工-研发人员工资'!K135</f>
        <v>0</v>
      </c>
      <c r="L135" s="274">
        <f t="shared" si="43"/>
        <v>0</v>
      </c>
      <c r="M135" s="273">
        <f>'人员人工-研发人员工资'!M135</f>
        <v>0</v>
      </c>
      <c r="N135" s="274">
        <f t="shared" si="44"/>
        <v>0</v>
      </c>
      <c r="O135" s="273">
        <f>'人员人工-研发人员工资'!O135</f>
        <v>0</v>
      </c>
      <c r="P135" s="274">
        <f t="shared" si="45"/>
        <v>0</v>
      </c>
      <c r="Q135" s="273">
        <f>'人员人工-研发人员工资'!Q135</f>
        <v>0</v>
      </c>
      <c r="R135" s="274">
        <f t="shared" si="46"/>
        <v>0</v>
      </c>
      <c r="S135" s="273">
        <f>'人员人工-研发人员工资'!S135</f>
        <v>0</v>
      </c>
      <c r="T135" s="274">
        <f t="shared" si="47"/>
        <v>0</v>
      </c>
      <c r="U135" s="273">
        <f>'人员人工-研发人员工资'!U135</f>
        <v>0</v>
      </c>
      <c r="V135" s="274">
        <f t="shared" si="48"/>
        <v>0</v>
      </c>
      <c r="W135" s="273">
        <f>'人员人工-研发人员工资'!W135</f>
        <v>0</v>
      </c>
      <c r="X135" s="274">
        <f t="shared" si="49"/>
        <v>0</v>
      </c>
      <c r="Y135" s="273">
        <f>'人员人工-研发人员工资'!Y135</f>
        <v>0</v>
      </c>
      <c r="Z135" s="274">
        <f t="shared" si="50"/>
        <v>0</v>
      </c>
    </row>
    <row r="136" s="251" customFormat="1" customHeight="1" spans="1:26">
      <c r="A136" s="270">
        <v>18</v>
      </c>
      <c r="B136" s="271">
        <f>'人员人工-研发人员工资'!B136</f>
        <v>0</v>
      </c>
      <c r="C136" s="274"/>
      <c r="D136" s="272">
        <f>'人员人工-研发人员工资'!D136</f>
        <v>0</v>
      </c>
      <c r="E136" s="272">
        <f t="shared" si="39"/>
        <v>0</v>
      </c>
      <c r="F136" s="272">
        <f t="shared" si="40"/>
        <v>0</v>
      </c>
      <c r="G136" s="273">
        <f>'人员人工-研发人员工资'!G136</f>
        <v>0</v>
      </c>
      <c r="H136" s="274">
        <f t="shared" si="41"/>
        <v>0</v>
      </c>
      <c r="I136" s="273">
        <f>'人员人工-研发人员工资'!I136</f>
        <v>0</v>
      </c>
      <c r="J136" s="274">
        <f t="shared" si="42"/>
        <v>0</v>
      </c>
      <c r="K136" s="275">
        <f>'人员人工-研发人员工资'!K136</f>
        <v>0</v>
      </c>
      <c r="L136" s="274">
        <f t="shared" si="43"/>
        <v>0</v>
      </c>
      <c r="M136" s="273">
        <f>'人员人工-研发人员工资'!M136</f>
        <v>0</v>
      </c>
      <c r="N136" s="274">
        <f t="shared" si="44"/>
        <v>0</v>
      </c>
      <c r="O136" s="273">
        <f>'人员人工-研发人员工资'!O136</f>
        <v>0</v>
      </c>
      <c r="P136" s="274">
        <f t="shared" si="45"/>
        <v>0</v>
      </c>
      <c r="Q136" s="273">
        <f>'人员人工-研发人员工资'!Q136</f>
        <v>0</v>
      </c>
      <c r="R136" s="274">
        <f t="shared" si="46"/>
        <v>0</v>
      </c>
      <c r="S136" s="273">
        <f>'人员人工-研发人员工资'!S136</f>
        <v>0</v>
      </c>
      <c r="T136" s="274">
        <f t="shared" si="47"/>
        <v>0</v>
      </c>
      <c r="U136" s="273">
        <f>'人员人工-研发人员工资'!U136</f>
        <v>0</v>
      </c>
      <c r="V136" s="274">
        <f t="shared" si="48"/>
        <v>0</v>
      </c>
      <c r="W136" s="273">
        <f>'人员人工-研发人员工资'!W136</f>
        <v>0</v>
      </c>
      <c r="X136" s="274">
        <f t="shared" si="49"/>
        <v>0</v>
      </c>
      <c r="Y136" s="273">
        <f>'人员人工-研发人员工资'!Y136</f>
        <v>0</v>
      </c>
      <c r="Z136" s="274">
        <f t="shared" si="50"/>
        <v>0</v>
      </c>
    </row>
    <row r="137" s="251" customFormat="1" customHeight="1" spans="1:26">
      <c r="A137" s="270">
        <v>19</v>
      </c>
      <c r="B137" s="271">
        <f>'人员人工-研发人员工资'!B137</f>
        <v>0</v>
      </c>
      <c r="C137" s="274"/>
      <c r="D137" s="272">
        <f>'人员人工-研发人员工资'!D137</f>
        <v>0</v>
      </c>
      <c r="E137" s="272">
        <f t="shared" si="39"/>
        <v>0</v>
      </c>
      <c r="F137" s="272">
        <f t="shared" si="40"/>
        <v>0</v>
      </c>
      <c r="G137" s="273">
        <f>'人员人工-研发人员工资'!G137</f>
        <v>0</v>
      </c>
      <c r="H137" s="274">
        <f t="shared" si="41"/>
        <v>0</v>
      </c>
      <c r="I137" s="273">
        <f>'人员人工-研发人员工资'!I137</f>
        <v>0</v>
      </c>
      <c r="J137" s="274">
        <f t="shared" si="42"/>
        <v>0</v>
      </c>
      <c r="K137" s="275">
        <f>'人员人工-研发人员工资'!K137</f>
        <v>0</v>
      </c>
      <c r="L137" s="274">
        <f t="shared" si="43"/>
        <v>0</v>
      </c>
      <c r="M137" s="273">
        <f>'人员人工-研发人员工资'!M137</f>
        <v>0</v>
      </c>
      <c r="N137" s="274">
        <f t="shared" si="44"/>
        <v>0</v>
      </c>
      <c r="O137" s="273">
        <f>'人员人工-研发人员工资'!O137</f>
        <v>0</v>
      </c>
      <c r="P137" s="274">
        <f t="shared" si="45"/>
        <v>0</v>
      </c>
      <c r="Q137" s="273">
        <f>'人员人工-研发人员工资'!Q137</f>
        <v>0</v>
      </c>
      <c r="R137" s="274">
        <f t="shared" si="46"/>
        <v>0</v>
      </c>
      <c r="S137" s="273">
        <f>'人员人工-研发人员工资'!S137</f>
        <v>0</v>
      </c>
      <c r="T137" s="274">
        <f t="shared" si="47"/>
        <v>0</v>
      </c>
      <c r="U137" s="273">
        <f>'人员人工-研发人员工资'!U137</f>
        <v>0</v>
      </c>
      <c r="V137" s="274">
        <f t="shared" si="48"/>
        <v>0</v>
      </c>
      <c r="W137" s="273">
        <f>'人员人工-研发人员工资'!W137</f>
        <v>0</v>
      </c>
      <c r="X137" s="274">
        <f t="shared" si="49"/>
        <v>0</v>
      </c>
      <c r="Y137" s="273">
        <f>'人员人工-研发人员工资'!Y137</f>
        <v>0</v>
      </c>
      <c r="Z137" s="274">
        <f t="shared" si="50"/>
        <v>0</v>
      </c>
    </row>
    <row r="138" s="251" customFormat="1" customHeight="1" spans="1:26">
      <c r="A138" s="270">
        <v>20</v>
      </c>
      <c r="B138" s="271">
        <f>'人员人工-研发人员工资'!B138</f>
        <v>0</v>
      </c>
      <c r="C138" s="274"/>
      <c r="D138" s="272">
        <f>'人员人工-研发人员工资'!D138</f>
        <v>0</v>
      </c>
      <c r="E138" s="272">
        <f t="shared" si="39"/>
        <v>0</v>
      </c>
      <c r="F138" s="272">
        <f t="shared" si="40"/>
        <v>0</v>
      </c>
      <c r="G138" s="273">
        <f>'人员人工-研发人员工资'!G138</f>
        <v>0</v>
      </c>
      <c r="H138" s="274">
        <f t="shared" si="41"/>
        <v>0</v>
      </c>
      <c r="I138" s="273">
        <f>'人员人工-研发人员工资'!I138</f>
        <v>0</v>
      </c>
      <c r="J138" s="274">
        <f t="shared" si="42"/>
        <v>0</v>
      </c>
      <c r="K138" s="275">
        <f>'人员人工-研发人员工资'!K138</f>
        <v>0</v>
      </c>
      <c r="L138" s="274">
        <f t="shared" si="43"/>
        <v>0</v>
      </c>
      <c r="M138" s="273">
        <f>'人员人工-研发人员工资'!M138</f>
        <v>0</v>
      </c>
      <c r="N138" s="274">
        <f t="shared" si="44"/>
        <v>0</v>
      </c>
      <c r="O138" s="273">
        <f>'人员人工-研发人员工资'!O138</f>
        <v>0</v>
      </c>
      <c r="P138" s="274">
        <f t="shared" si="45"/>
        <v>0</v>
      </c>
      <c r="Q138" s="273">
        <f>'人员人工-研发人员工资'!Q138</f>
        <v>0</v>
      </c>
      <c r="R138" s="274">
        <f t="shared" si="46"/>
        <v>0</v>
      </c>
      <c r="S138" s="273">
        <f>'人员人工-研发人员工资'!S138</f>
        <v>0</v>
      </c>
      <c r="T138" s="274">
        <f t="shared" si="47"/>
        <v>0</v>
      </c>
      <c r="U138" s="273">
        <f>'人员人工-研发人员工资'!U138</f>
        <v>0</v>
      </c>
      <c r="V138" s="274">
        <f t="shared" si="48"/>
        <v>0</v>
      </c>
      <c r="W138" s="273">
        <f>'人员人工-研发人员工资'!W138</f>
        <v>0</v>
      </c>
      <c r="X138" s="274">
        <f t="shared" si="49"/>
        <v>0</v>
      </c>
      <c r="Y138" s="273">
        <f>'人员人工-研发人员工资'!Y138</f>
        <v>0</v>
      </c>
      <c r="Z138" s="274">
        <f t="shared" si="50"/>
        <v>0</v>
      </c>
    </row>
    <row r="139" s="251" customFormat="1" customHeight="1" spans="1:26">
      <c r="A139" s="270">
        <v>21</v>
      </c>
      <c r="B139" s="271">
        <f>'人员人工-研发人员工资'!B139</f>
        <v>0</v>
      </c>
      <c r="C139" s="274"/>
      <c r="D139" s="272">
        <f>'人员人工-研发人员工资'!D139</f>
        <v>0</v>
      </c>
      <c r="E139" s="272">
        <f t="shared" si="39"/>
        <v>0</v>
      </c>
      <c r="F139" s="272">
        <f t="shared" si="40"/>
        <v>0</v>
      </c>
      <c r="G139" s="273">
        <f>'人员人工-研发人员工资'!G139</f>
        <v>0</v>
      </c>
      <c r="H139" s="274">
        <f t="shared" si="41"/>
        <v>0</v>
      </c>
      <c r="I139" s="273">
        <f>'人员人工-研发人员工资'!I139</f>
        <v>0</v>
      </c>
      <c r="J139" s="274">
        <f t="shared" si="42"/>
        <v>0</v>
      </c>
      <c r="K139" s="275">
        <f>'人员人工-研发人员工资'!K139</f>
        <v>0</v>
      </c>
      <c r="L139" s="274">
        <f t="shared" si="43"/>
        <v>0</v>
      </c>
      <c r="M139" s="273">
        <f>'人员人工-研发人员工资'!M139</f>
        <v>0</v>
      </c>
      <c r="N139" s="274">
        <f t="shared" si="44"/>
        <v>0</v>
      </c>
      <c r="O139" s="273">
        <f>'人员人工-研发人员工资'!O139</f>
        <v>0</v>
      </c>
      <c r="P139" s="274">
        <f t="shared" si="45"/>
        <v>0</v>
      </c>
      <c r="Q139" s="273">
        <f>'人员人工-研发人员工资'!Q139</f>
        <v>0</v>
      </c>
      <c r="R139" s="274">
        <f t="shared" si="46"/>
        <v>0</v>
      </c>
      <c r="S139" s="273">
        <f>'人员人工-研发人员工资'!S139</f>
        <v>0</v>
      </c>
      <c r="T139" s="274">
        <f t="shared" si="47"/>
        <v>0</v>
      </c>
      <c r="U139" s="273">
        <f>'人员人工-研发人员工资'!U139</f>
        <v>0</v>
      </c>
      <c r="V139" s="274">
        <f t="shared" si="48"/>
        <v>0</v>
      </c>
      <c r="W139" s="273">
        <f>'人员人工-研发人员工资'!W139</f>
        <v>0</v>
      </c>
      <c r="X139" s="274">
        <f t="shared" si="49"/>
        <v>0</v>
      </c>
      <c r="Y139" s="273">
        <f>'人员人工-研发人员工资'!Y139</f>
        <v>0</v>
      </c>
      <c r="Z139" s="274">
        <f t="shared" si="50"/>
        <v>0</v>
      </c>
    </row>
    <row r="140" s="251" customFormat="1" customHeight="1" spans="1:26">
      <c r="A140" s="270">
        <v>22</v>
      </c>
      <c r="B140" s="271">
        <f>'人员人工-研发人员工资'!B140</f>
        <v>0</v>
      </c>
      <c r="C140" s="274"/>
      <c r="D140" s="272">
        <f>'人员人工-研发人员工资'!D140</f>
        <v>0</v>
      </c>
      <c r="E140" s="272">
        <f t="shared" si="39"/>
        <v>0</v>
      </c>
      <c r="F140" s="272">
        <f t="shared" si="40"/>
        <v>0</v>
      </c>
      <c r="G140" s="273">
        <f>'人员人工-研发人员工资'!G140</f>
        <v>0</v>
      </c>
      <c r="H140" s="274">
        <f t="shared" si="41"/>
        <v>0</v>
      </c>
      <c r="I140" s="273">
        <f>'人员人工-研发人员工资'!I140</f>
        <v>0</v>
      </c>
      <c r="J140" s="274">
        <f t="shared" si="42"/>
        <v>0</v>
      </c>
      <c r="K140" s="275">
        <f>'人员人工-研发人员工资'!K140</f>
        <v>0</v>
      </c>
      <c r="L140" s="274">
        <f t="shared" si="43"/>
        <v>0</v>
      </c>
      <c r="M140" s="273">
        <f>'人员人工-研发人员工资'!M140</f>
        <v>0</v>
      </c>
      <c r="N140" s="274">
        <f t="shared" si="44"/>
        <v>0</v>
      </c>
      <c r="O140" s="273">
        <f>'人员人工-研发人员工资'!O140</f>
        <v>0</v>
      </c>
      <c r="P140" s="274">
        <f t="shared" si="45"/>
        <v>0</v>
      </c>
      <c r="Q140" s="273">
        <f>'人员人工-研发人员工资'!Q140</f>
        <v>0</v>
      </c>
      <c r="R140" s="274">
        <f t="shared" si="46"/>
        <v>0</v>
      </c>
      <c r="S140" s="273">
        <f>'人员人工-研发人员工资'!S140</f>
        <v>0</v>
      </c>
      <c r="T140" s="274">
        <f t="shared" si="47"/>
        <v>0</v>
      </c>
      <c r="U140" s="273">
        <f>'人员人工-研发人员工资'!U140</f>
        <v>0</v>
      </c>
      <c r="V140" s="274">
        <f t="shared" si="48"/>
        <v>0</v>
      </c>
      <c r="W140" s="273">
        <f>'人员人工-研发人员工资'!W140</f>
        <v>0</v>
      </c>
      <c r="X140" s="274">
        <f t="shared" si="49"/>
        <v>0</v>
      </c>
      <c r="Y140" s="273">
        <f>'人员人工-研发人员工资'!Y140</f>
        <v>0</v>
      </c>
      <c r="Z140" s="274">
        <f t="shared" si="50"/>
        <v>0</v>
      </c>
    </row>
    <row r="141" s="251" customFormat="1" customHeight="1" spans="1:26">
      <c r="A141" s="270">
        <v>23</v>
      </c>
      <c r="B141" s="271">
        <f>'人员人工-研发人员工资'!B141</f>
        <v>0</v>
      </c>
      <c r="C141" s="274"/>
      <c r="D141" s="272">
        <f>'人员人工-研发人员工资'!D141</f>
        <v>0</v>
      </c>
      <c r="E141" s="272">
        <f t="shared" si="39"/>
        <v>0</v>
      </c>
      <c r="F141" s="272">
        <f t="shared" si="40"/>
        <v>0</v>
      </c>
      <c r="G141" s="273">
        <f>'人员人工-研发人员工资'!G141</f>
        <v>0</v>
      </c>
      <c r="H141" s="274">
        <f t="shared" si="41"/>
        <v>0</v>
      </c>
      <c r="I141" s="273">
        <f>'人员人工-研发人员工资'!I141</f>
        <v>0</v>
      </c>
      <c r="J141" s="274">
        <f t="shared" si="42"/>
        <v>0</v>
      </c>
      <c r="K141" s="275">
        <f>'人员人工-研发人员工资'!K141</f>
        <v>0</v>
      </c>
      <c r="L141" s="274">
        <f t="shared" si="43"/>
        <v>0</v>
      </c>
      <c r="M141" s="273">
        <f>'人员人工-研发人员工资'!M141</f>
        <v>0</v>
      </c>
      <c r="N141" s="274">
        <f t="shared" si="44"/>
        <v>0</v>
      </c>
      <c r="O141" s="273">
        <f>'人员人工-研发人员工资'!O141</f>
        <v>0</v>
      </c>
      <c r="P141" s="274">
        <f t="shared" si="45"/>
        <v>0</v>
      </c>
      <c r="Q141" s="273">
        <f>'人员人工-研发人员工资'!Q141</f>
        <v>0</v>
      </c>
      <c r="R141" s="274">
        <f t="shared" si="46"/>
        <v>0</v>
      </c>
      <c r="S141" s="273">
        <f>'人员人工-研发人员工资'!S141</f>
        <v>0</v>
      </c>
      <c r="T141" s="274">
        <f t="shared" si="47"/>
        <v>0</v>
      </c>
      <c r="U141" s="273">
        <f>'人员人工-研发人员工资'!U141</f>
        <v>0</v>
      </c>
      <c r="V141" s="274">
        <f t="shared" si="48"/>
        <v>0</v>
      </c>
      <c r="W141" s="273">
        <f>'人员人工-研发人员工资'!W141</f>
        <v>0</v>
      </c>
      <c r="X141" s="274">
        <f t="shared" si="49"/>
        <v>0</v>
      </c>
      <c r="Y141" s="273">
        <f>'人员人工-研发人员工资'!Y141</f>
        <v>0</v>
      </c>
      <c r="Z141" s="274">
        <f t="shared" si="50"/>
        <v>0</v>
      </c>
    </row>
    <row r="142" s="251" customFormat="1" customHeight="1" spans="1:26">
      <c r="A142" s="270">
        <v>25</v>
      </c>
      <c r="B142" s="271">
        <f>'人员人工-研发人员工资'!B142</f>
        <v>0</v>
      </c>
      <c r="C142" s="274"/>
      <c r="D142" s="272">
        <f>'人员人工-研发人员工资'!D142</f>
        <v>0</v>
      </c>
      <c r="E142" s="272">
        <f t="shared" si="39"/>
        <v>0</v>
      </c>
      <c r="F142" s="272">
        <f t="shared" si="40"/>
        <v>0</v>
      </c>
      <c r="G142" s="273">
        <f>'人员人工-研发人员工资'!G142</f>
        <v>0</v>
      </c>
      <c r="H142" s="274">
        <f t="shared" si="41"/>
        <v>0</v>
      </c>
      <c r="I142" s="273">
        <f>'人员人工-研发人员工资'!I142</f>
        <v>0</v>
      </c>
      <c r="J142" s="274">
        <f t="shared" si="42"/>
        <v>0</v>
      </c>
      <c r="K142" s="275">
        <f>'人员人工-研发人员工资'!K142</f>
        <v>0</v>
      </c>
      <c r="L142" s="274">
        <f t="shared" si="43"/>
        <v>0</v>
      </c>
      <c r="M142" s="273">
        <f>'人员人工-研发人员工资'!M142</f>
        <v>0</v>
      </c>
      <c r="N142" s="274">
        <f t="shared" si="44"/>
        <v>0</v>
      </c>
      <c r="O142" s="273">
        <f>'人员人工-研发人员工资'!O142</f>
        <v>0</v>
      </c>
      <c r="P142" s="274">
        <f t="shared" si="45"/>
        <v>0</v>
      </c>
      <c r="Q142" s="273">
        <f>'人员人工-研发人员工资'!Q142</f>
        <v>0</v>
      </c>
      <c r="R142" s="274">
        <f t="shared" si="46"/>
        <v>0</v>
      </c>
      <c r="S142" s="273">
        <f>'人员人工-研发人员工资'!S142</f>
        <v>0</v>
      </c>
      <c r="T142" s="274">
        <f t="shared" si="47"/>
        <v>0</v>
      </c>
      <c r="U142" s="273">
        <f>'人员人工-研发人员工资'!U142</f>
        <v>0</v>
      </c>
      <c r="V142" s="274">
        <f t="shared" si="48"/>
        <v>0</v>
      </c>
      <c r="W142" s="273">
        <f>'人员人工-研发人员工资'!W142</f>
        <v>0</v>
      </c>
      <c r="X142" s="274">
        <f t="shared" si="49"/>
        <v>0</v>
      </c>
      <c r="Y142" s="273">
        <f>'人员人工-研发人员工资'!Y142</f>
        <v>0</v>
      </c>
      <c r="Z142" s="274">
        <f t="shared" si="50"/>
        <v>0</v>
      </c>
    </row>
    <row r="143" s="251" customFormat="1" customHeight="1" spans="1:26">
      <c r="A143" s="270">
        <v>25</v>
      </c>
      <c r="B143" s="271">
        <f>'人员人工-研发人员工资'!B143</f>
        <v>0</v>
      </c>
      <c r="C143" s="274"/>
      <c r="D143" s="272">
        <f>'人员人工-研发人员工资'!D143</f>
        <v>0</v>
      </c>
      <c r="E143" s="272">
        <f t="shared" si="39"/>
        <v>0</v>
      </c>
      <c r="F143" s="272">
        <f t="shared" si="40"/>
        <v>0</v>
      </c>
      <c r="G143" s="273">
        <f>'人员人工-研发人员工资'!G143</f>
        <v>0</v>
      </c>
      <c r="H143" s="274">
        <f t="shared" si="41"/>
        <v>0</v>
      </c>
      <c r="I143" s="273">
        <f>'人员人工-研发人员工资'!I143</f>
        <v>0</v>
      </c>
      <c r="J143" s="274">
        <f t="shared" si="42"/>
        <v>0</v>
      </c>
      <c r="K143" s="275">
        <f>'人员人工-研发人员工资'!K143</f>
        <v>0</v>
      </c>
      <c r="L143" s="274">
        <f t="shared" si="43"/>
        <v>0</v>
      </c>
      <c r="M143" s="273">
        <f>'人员人工-研发人员工资'!M143</f>
        <v>0</v>
      </c>
      <c r="N143" s="274">
        <f t="shared" si="44"/>
        <v>0</v>
      </c>
      <c r="O143" s="273">
        <f>'人员人工-研发人员工资'!O143</f>
        <v>0</v>
      </c>
      <c r="P143" s="274">
        <f t="shared" si="45"/>
        <v>0</v>
      </c>
      <c r="Q143" s="273">
        <f>'人员人工-研发人员工资'!Q143</f>
        <v>0</v>
      </c>
      <c r="R143" s="274">
        <f t="shared" si="46"/>
        <v>0</v>
      </c>
      <c r="S143" s="273">
        <f>'人员人工-研发人员工资'!S143</f>
        <v>0</v>
      </c>
      <c r="T143" s="274">
        <f t="shared" si="47"/>
        <v>0</v>
      </c>
      <c r="U143" s="273">
        <f>'人员人工-研发人员工资'!U143</f>
        <v>0</v>
      </c>
      <c r="V143" s="274">
        <f t="shared" si="48"/>
        <v>0</v>
      </c>
      <c r="W143" s="273">
        <f>'人员人工-研发人员工资'!W143</f>
        <v>0</v>
      </c>
      <c r="X143" s="274">
        <f t="shared" si="49"/>
        <v>0</v>
      </c>
      <c r="Y143" s="273">
        <f>'人员人工-研发人员工资'!Y143</f>
        <v>0</v>
      </c>
      <c r="Z143" s="274">
        <f t="shared" si="50"/>
        <v>0</v>
      </c>
    </row>
    <row r="144" s="251" customFormat="1" customHeight="1" spans="1:26">
      <c r="A144" s="270">
        <v>26</v>
      </c>
      <c r="B144" s="271">
        <f>'人员人工-研发人员工资'!B144</f>
        <v>0</v>
      </c>
      <c r="C144" s="274"/>
      <c r="D144" s="272">
        <f>'人员人工-研发人员工资'!D144</f>
        <v>0</v>
      </c>
      <c r="E144" s="272">
        <f t="shared" si="39"/>
        <v>0</v>
      </c>
      <c r="F144" s="272">
        <f t="shared" si="40"/>
        <v>0</v>
      </c>
      <c r="G144" s="273">
        <f>'人员人工-研发人员工资'!G144</f>
        <v>0</v>
      </c>
      <c r="H144" s="274">
        <f t="shared" si="41"/>
        <v>0</v>
      </c>
      <c r="I144" s="273">
        <f>'人员人工-研发人员工资'!I144</f>
        <v>0</v>
      </c>
      <c r="J144" s="274">
        <f t="shared" si="42"/>
        <v>0</v>
      </c>
      <c r="K144" s="275">
        <f>'人员人工-研发人员工资'!K144</f>
        <v>0</v>
      </c>
      <c r="L144" s="274">
        <f t="shared" si="43"/>
        <v>0</v>
      </c>
      <c r="M144" s="273">
        <f>'人员人工-研发人员工资'!M144</f>
        <v>0</v>
      </c>
      <c r="N144" s="274">
        <f t="shared" si="44"/>
        <v>0</v>
      </c>
      <c r="O144" s="273">
        <f>'人员人工-研发人员工资'!O144</f>
        <v>0</v>
      </c>
      <c r="P144" s="274">
        <f t="shared" si="45"/>
        <v>0</v>
      </c>
      <c r="Q144" s="273">
        <f>'人员人工-研发人员工资'!Q144</f>
        <v>0</v>
      </c>
      <c r="R144" s="274">
        <f t="shared" si="46"/>
        <v>0</v>
      </c>
      <c r="S144" s="273">
        <f>'人员人工-研发人员工资'!S144</f>
        <v>0</v>
      </c>
      <c r="T144" s="274">
        <f t="shared" si="47"/>
        <v>0</v>
      </c>
      <c r="U144" s="273">
        <f>'人员人工-研发人员工资'!U144</f>
        <v>0</v>
      </c>
      <c r="V144" s="274">
        <f t="shared" si="48"/>
        <v>0</v>
      </c>
      <c r="W144" s="273">
        <f>'人员人工-研发人员工资'!W144</f>
        <v>0</v>
      </c>
      <c r="X144" s="274">
        <f t="shared" si="49"/>
        <v>0</v>
      </c>
      <c r="Y144" s="273">
        <f>'人员人工-研发人员工资'!Y144</f>
        <v>0</v>
      </c>
      <c r="Z144" s="274">
        <f t="shared" si="50"/>
        <v>0</v>
      </c>
    </row>
    <row r="145" s="251" customFormat="1" customHeight="1" spans="1:26">
      <c r="A145" s="270">
        <v>27</v>
      </c>
      <c r="B145" s="271">
        <f>'人员人工-研发人员工资'!B145</f>
        <v>0</v>
      </c>
      <c r="C145" s="274"/>
      <c r="D145" s="272">
        <f>'人员人工-研发人员工资'!D145</f>
        <v>0</v>
      </c>
      <c r="E145" s="272">
        <f t="shared" si="39"/>
        <v>0</v>
      </c>
      <c r="F145" s="272">
        <f t="shared" si="40"/>
        <v>0</v>
      </c>
      <c r="G145" s="273">
        <f>'人员人工-研发人员工资'!G145</f>
        <v>0</v>
      </c>
      <c r="H145" s="274">
        <f t="shared" si="41"/>
        <v>0</v>
      </c>
      <c r="I145" s="273">
        <f>'人员人工-研发人员工资'!I145</f>
        <v>0</v>
      </c>
      <c r="J145" s="274">
        <f t="shared" si="42"/>
        <v>0</v>
      </c>
      <c r="K145" s="275">
        <f>'人员人工-研发人员工资'!K145</f>
        <v>0</v>
      </c>
      <c r="L145" s="274">
        <f t="shared" si="43"/>
        <v>0</v>
      </c>
      <c r="M145" s="273">
        <f>'人员人工-研发人员工资'!M145</f>
        <v>0</v>
      </c>
      <c r="N145" s="274">
        <f t="shared" si="44"/>
        <v>0</v>
      </c>
      <c r="O145" s="273">
        <f>'人员人工-研发人员工资'!O145</f>
        <v>0</v>
      </c>
      <c r="P145" s="274">
        <f t="shared" si="45"/>
        <v>0</v>
      </c>
      <c r="Q145" s="273">
        <f>'人员人工-研发人员工资'!Q145</f>
        <v>0</v>
      </c>
      <c r="R145" s="274">
        <f t="shared" si="46"/>
        <v>0</v>
      </c>
      <c r="S145" s="273">
        <f>'人员人工-研发人员工资'!S145</f>
        <v>0</v>
      </c>
      <c r="T145" s="274">
        <f t="shared" si="47"/>
        <v>0</v>
      </c>
      <c r="U145" s="273">
        <f>'人员人工-研发人员工资'!U145</f>
        <v>0</v>
      </c>
      <c r="V145" s="274">
        <f t="shared" si="48"/>
        <v>0</v>
      </c>
      <c r="W145" s="273">
        <f>'人员人工-研发人员工资'!W145</f>
        <v>0</v>
      </c>
      <c r="X145" s="274">
        <f t="shared" si="49"/>
        <v>0</v>
      </c>
      <c r="Y145" s="273">
        <f>'人员人工-研发人员工资'!Y145</f>
        <v>0</v>
      </c>
      <c r="Z145" s="274">
        <f t="shared" si="50"/>
        <v>0</v>
      </c>
    </row>
    <row r="146" s="251" customFormat="1" customHeight="1" spans="1:26">
      <c r="A146" s="270">
        <v>28</v>
      </c>
      <c r="B146" s="271">
        <f>'人员人工-研发人员工资'!B146</f>
        <v>0</v>
      </c>
      <c r="C146" s="274"/>
      <c r="D146" s="272">
        <f>'人员人工-研发人员工资'!D146</f>
        <v>0</v>
      </c>
      <c r="E146" s="272">
        <f t="shared" si="39"/>
        <v>0</v>
      </c>
      <c r="F146" s="272">
        <f t="shared" si="40"/>
        <v>0</v>
      </c>
      <c r="G146" s="273">
        <f>'人员人工-研发人员工资'!G146</f>
        <v>0</v>
      </c>
      <c r="H146" s="274">
        <f t="shared" si="41"/>
        <v>0</v>
      </c>
      <c r="I146" s="273">
        <f>'人员人工-研发人员工资'!I146</f>
        <v>0</v>
      </c>
      <c r="J146" s="274">
        <f t="shared" si="42"/>
        <v>0</v>
      </c>
      <c r="K146" s="275">
        <f>'人员人工-研发人员工资'!K146</f>
        <v>0</v>
      </c>
      <c r="L146" s="274">
        <f t="shared" si="43"/>
        <v>0</v>
      </c>
      <c r="M146" s="273">
        <f>'人员人工-研发人员工资'!M146</f>
        <v>0</v>
      </c>
      <c r="N146" s="274">
        <f t="shared" si="44"/>
        <v>0</v>
      </c>
      <c r="O146" s="273">
        <f>'人员人工-研发人员工资'!O146</f>
        <v>0</v>
      </c>
      <c r="P146" s="274">
        <f t="shared" si="45"/>
        <v>0</v>
      </c>
      <c r="Q146" s="273">
        <f>'人员人工-研发人员工资'!Q146</f>
        <v>0</v>
      </c>
      <c r="R146" s="274">
        <f t="shared" si="46"/>
        <v>0</v>
      </c>
      <c r="S146" s="273">
        <f>'人员人工-研发人员工资'!S146</f>
        <v>0</v>
      </c>
      <c r="T146" s="274">
        <f t="shared" si="47"/>
        <v>0</v>
      </c>
      <c r="U146" s="273">
        <f>'人员人工-研发人员工资'!U146</f>
        <v>0</v>
      </c>
      <c r="V146" s="274">
        <f t="shared" si="48"/>
        <v>0</v>
      </c>
      <c r="W146" s="273">
        <f>'人员人工-研发人员工资'!W146</f>
        <v>0</v>
      </c>
      <c r="X146" s="274">
        <f t="shared" si="49"/>
        <v>0</v>
      </c>
      <c r="Y146" s="273">
        <f>'人员人工-研发人员工资'!Y146</f>
        <v>0</v>
      </c>
      <c r="Z146" s="274">
        <f t="shared" si="50"/>
        <v>0</v>
      </c>
    </row>
    <row r="147" s="251" customFormat="1" customHeight="1" spans="1:26">
      <c r="A147" s="270">
        <v>29</v>
      </c>
      <c r="B147" s="271">
        <f>'人员人工-研发人员工资'!B147</f>
        <v>0</v>
      </c>
      <c r="C147" s="274"/>
      <c r="D147" s="272">
        <f>'人员人工-研发人员工资'!D147</f>
        <v>0</v>
      </c>
      <c r="E147" s="272">
        <f t="shared" si="39"/>
        <v>0</v>
      </c>
      <c r="F147" s="272">
        <f t="shared" si="40"/>
        <v>0</v>
      </c>
      <c r="G147" s="273">
        <f>'人员人工-研发人员工资'!G147</f>
        <v>0</v>
      </c>
      <c r="H147" s="274">
        <f t="shared" si="41"/>
        <v>0</v>
      </c>
      <c r="I147" s="273">
        <f>'人员人工-研发人员工资'!I147</f>
        <v>0</v>
      </c>
      <c r="J147" s="274">
        <f t="shared" si="42"/>
        <v>0</v>
      </c>
      <c r="K147" s="275">
        <f>'人员人工-研发人员工资'!K147</f>
        <v>0</v>
      </c>
      <c r="L147" s="274">
        <f t="shared" si="43"/>
        <v>0</v>
      </c>
      <c r="M147" s="273">
        <f>'人员人工-研发人员工资'!M147</f>
        <v>0</v>
      </c>
      <c r="N147" s="274">
        <f t="shared" si="44"/>
        <v>0</v>
      </c>
      <c r="O147" s="273">
        <f>'人员人工-研发人员工资'!O147</f>
        <v>0</v>
      </c>
      <c r="P147" s="274">
        <f t="shared" si="45"/>
        <v>0</v>
      </c>
      <c r="Q147" s="273">
        <f>'人员人工-研发人员工资'!Q147</f>
        <v>0</v>
      </c>
      <c r="R147" s="274">
        <f t="shared" si="46"/>
        <v>0</v>
      </c>
      <c r="S147" s="273">
        <f>'人员人工-研发人员工资'!S147</f>
        <v>0</v>
      </c>
      <c r="T147" s="274">
        <f t="shared" si="47"/>
        <v>0</v>
      </c>
      <c r="U147" s="273">
        <f>'人员人工-研发人员工资'!U147</f>
        <v>0</v>
      </c>
      <c r="V147" s="274">
        <f t="shared" si="48"/>
        <v>0</v>
      </c>
      <c r="W147" s="273">
        <f>'人员人工-研发人员工资'!W147</f>
        <v>0</v>
      </c>
      <c r="X147" s="274">
        <f t="shared" si="49"/>
        <v>0</v>
      </c>
      <c r="Y147" s="273">
        <f>'人员人工-研发人员工资'!Y147</f>
        <v>0</v>
      </c>
      <c r="Z147" s="274">
        <f t="shared" si="50"/>
        <v>0</v>
      </c>
    </row>
    <row r="148" s="251" customFormat="1" customHeight="1" spans="1:26">
      <c r="A148" s="270">
        <v>30</v>
      </c>
      <c r="B148" s="271">
        <f>'人员人工-研发人员工资'!B148</f>
        <v>0</v>
      </c>
      <c r="C148" s="274"/>
      <c r="D148" s="272">
        <f>'人员人工-研发人员工资'!D148</f>
        <v>0</v>
      </c>
      <c r="E148" s="272">
        <f t="shared" si="39"/>
        <v>0</v>
      </c>
      <c r="F148" s="272">
        <f t="shared" si="40"/>
        <v>0</v>
      </c>
      <c r="G148" s="273">
        <f>'人员人工-研发人员工资'!G148</f>
        <v>0</v>
      </c>
      <c r="H148" s="274">
        <f t="shared" si="41"/>
        <v>0</v>
      </c>
      <c r="I148" s="273">
        <f>'人员人工-研发人员工资'!I148</f>
        <v>0</v>
      </c>
      <c r="J148" s="274">
        <f t="shared" si="42"/>
        <v>0</v>
      </c>
      <c r="K148" s="275">
        <f>'人员人工-研发人员工资'!K148</f>
        <v>0</v>
      </c>
      <c r="L148" s="274">
        <f t="shared" si="43"/>
        <v>0</v>
      </c>
      <c r="M148" s="273">
        <f>'人员人工-研发人员工资'!M148</f>
        <v>0</v>
      </c>
      <c r="N148" s="274">
        <f t="shared" si="44"/>
        <v>0</v>
      </c>
      <c r="O148" s="273">
        <f>'人员人工-研发人员工资'!O148</f>
        <v>0</v>
      </c>
      <c r="P148" s="274">
        <f t="shared" si="45"/>
        <v>0</v>
      </c>
      <c r="Q148" s="273">
        <f>'人员人工-研发人员工资'!Q148</f>
        <v>0</v>
      </c>
      <c r="R148" s="274">
        <f t="shared" si="46"/>
        <v>0</v>
      </c>
      <c r="S148" s="273">
        <f>'人员人工-研发人员工资'!S148</f>
        <v>0</v>
      </c>
      <c r="T148" s="274">
        <f t="shared" si="47"/>
        <v>0</v>
      </c>
      <c r="U148" s="273">
        <f>'人员人工-研发人员工资'!U148</f>
        <v>0</v>
      </c>
      <c r="V148" s="274">
        <f t="shared" si="48"/>
        <v>0</v>
      </c>
      <c r="W148" s="273">
        <f>'人员人工-研发人员工资'!W148</f>
        <v>0</v>
      </c>
      <c r="X148" s="274">
        <f t="shared" si="49"/>
        <v>0</v>
      </c>
      <c r="Y148" s="273">
        <f>'人员人工-研发人员工资'!Y148</f>
        <v>0</v>
      </c>
      <c r="Z148" s="274">
        <f t="shared" si="50"/>
        <v>0</v>
      </c>
    </row>
    <row r="149" s="251" customFormat="1" customHeight="1" spans="1:26">
      <c r="A149" s="276" t="s">
        <v>22</v>
      </c>
      <c r="B149" s="277"/>
      <c r="C149" s="261">
        <f t="shared" ref="C149:Z149" si="51">SUM(C119:C148)</f>
        <v>0</v>
      </c>
      <c r="D149" s="261">
        <f t="shared" si="51"/>
        <v>0</v>
      </c>
      <c r="E149" s="272">
        <f t="shared" si="51"/>
        <v>0</v>
      </c>
      <c r="F149" s="261">
        <f t="shared" si="51"/>
        <v>0</v>
      </c>
      <c r="G149" s="261">
        <f t="shared" si="51"/>
        <v>0</v>
      </c>
      <c r="H149" s="261">
        <f t="shared" si="51"/>
        <v>0</v>
      </c>
      <c r="I149" s="261">
        <f t="shared" si="51"/>
        <v>0</v>
      </c>
      <c r="J149" s="261">
        <f t="shared" si="51"/>
        <v>0</v>
      </c>
      <c r="K149" s="261">
        <f t="shared" si="51"/>
        <v>0</v>
      </c>
      <c r="L149" s="261">
        <f t="shared" si="51"/>
        <v>0</v>
      </c>
      <c r="M149" s="261">
        <f t="shared" si="51"/>
        <v>0</v>
      </c>
      <c r="N149" s="261">
        <f t="shared" si="51"/>
        <v>0</v>
      </c>
      <c r="O149" s="261">
        <f t="shared" si="51"/>
        <v>0</v>
      </c>
      <c r="P149" s="261">
        <f t="shared" si="51"/>
        <v>0</v>
      </c>
      <c r="Q149" s="261">
        <f t="shared" si="51"/>
        <v>0</v>
      </c>
      <c r="R149" s="261">
        <f t="shared" si="51"/>
        <v>0</v>
      </c>
      <c r="S149" s="261">
        <f t="shared" si="51"/>
        <v>0</v>
      </c>
      <c r="T149" s="261">
        <f t="shared" si="51"/>
        <v>0</v>
      </c>
      <c r="U149" s="261">
        <f t="shared" si="51"/>
        <v>0</v>
      </c>
      <c r="V149" s="261">
        <f t="shared" si="51"/>
        <v>0</v>
      </c>
      <c r="W149" s="261">
        <f t="shared" si="51"/>
        <v>0</v>
      </c>
      <c r="X149" s="261">
        <f t="shared" si="51"/>
        <v>0</v>
      </c>
      <c r="Y149" s="261">
        <f t="shared" si="51"/>
        <v>0</v>
      </c>
      <c r="Z149" s="261">
        <f t="shared" si="51"/>
        <v>0</v>
      </c>
    </row>
    <row r="150" s="251" customFormat="1" customHeight="1" spans="1:26">
      <c r="A150" s="252"/>
      <c r="B150" s="253"/>
      <c r="C150" s="254"/>
      <c r="D150" s="254"/>
      <c r="E150" s="254"/>
      <c r="F150" s="254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</row>
    <row r="151" s="251" customFormat="1" customHeight="1" spans="1:26">
      <c r="A151" s="252"/>
      <c r="B151" s="253"/>
      <c r="C151" s="254"/>
      <c r="D151" s="254"/>
      <c r="E151" s="254"/>
      <c r="F151" s="254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</row>
    <row r="152" s="251" customFormat="1" customHeight="1" spans="1:26">
      <c r="A152" s="252"/>
      <c r="B152" s="257" t="s">
        <v>147</v>
      </c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</row>
    <row r="153" s="251" customFormat="1" customHeight="1" spans="1:26">
      <c r="A153" s="252"/>
      <c r="B153" s="253"/>
      <c r="C153" s="254"/>
      <c r="D153" s="254"/>
      <c r="E153" s="254"/>
      <c r="F153" s="254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</row>
    <row r="154" s="251" customFormat="1" customHeight="1" spans="1:26">
      <c r="A154" s="259" t="s">
        <v>31</v>
      </c>
      <c r="B154" s="260" t="s">
        <v>32</v>
      </c>
      <c r="C154" s="261" t="s">
        <v>141</v>
      </c>
      <c r="D154" s="261" t="s">
        <v>34</v>
      </c>
      <c r="E154" s="262" t="s">
        <v>35</v>
      </c>
      <c r="F154" s="262" t="s">
        <v>142</v>
      </c>
      <c r="G154" s="263" t="str">
        <f>立项!$A$3</f>
        <v>RD01</v>
      </c>
      <c r="H154" s="264"/>
      <c r="I154" s="264" t="str">
        <f>立项!$A$4</f>
        <v>RD02</v>
      </c>
      <c r="J154" s="264"/>
      <c r="K154" s="264" t="str">
        <f>立项!$A$5</f>
        <v>RD03</v>
      </c>
      <c r="L154" s="264"/>
      <c r="M154" s="264" t="str">
        <f>立项!$A$6</f>
        <v>RD04</v>
      </c>
      <c r="N154" s="264"/>
      <c r="O154" s="264" t="str">
        <f>立项!$A$7</f>
        <v>RD05</v>
      </c>
      <c r="P154" s="264"/>
      <c r="Q154" s="264" t="str">
        <f>立项!$A$8</f>
        <v>RD06</v>
      </c>
      <c r="R154" s="264"/>
      <c r="S154" s="264" t="str">
        <f>立项!$A$9</f>
        <v>RD07</v>
      </c>
      <c r="T154" s="264"/>
      <c r="U154" s="264" t="str">
        <f>立项!$A$10</f>
        <v>RD08</v>
      </c>
      <c r="V154" s="264"/>
      <c r="W154" s="264" t="str">
        <f>立项!$A$11</f>
        <v>RD09</v>
      </c>
      <c r="X154" s="264"/>
      <c r="Y154" s="264" t="str">
        <f>立项!$A$12</f>
        <v>RD10</v>
      </c>
      <c r="Z154" s="264"/>
    </row>
    <row r="155" s="251" customFormat="1" customHeight="1" spans="1:26">
      <c r="A155" s="265"/>
      <c r="B155" s="260"/>
      <c r="C155" s="261"/>
      <c r="D155" s="261"/>
      <c r="E155" s="262"/>
      <c r="F155" s="262"/>
      <c r="G155" s="267">
        <f>立项!C3</f>
        <v>0</v>
      </c>
      <c r="H155" s="263"/>
      <c r="I155" s="267">
        <f>立项!C4</f>
        <v>0</v>
      </c>
      <c r="J155" s="263"/>
      <c r="K155" s="267">
        <f>立项!C5</f>
        <v>0</v>
      </c>
      <c r="L155" s="263"/>
      <c r="M155" s="267">
        <f>立项!C6</f>
        <v>0</v>
      </c>
      <c r="N155" s="263"/>
      <c r="O155" s="267">
        <f>立项!C7</f>
        <v>0</v>
      </c>
      <c r="P155" s="263"/>
      <c r="Q155" s="267">
        <f>立项!C8</f>
        <v>0</v>
      </c>
      <c r="R155" s="263"/>
      <c r="S155" s="267">
        <f>立项!C9</f>
        <v>0</v>
      </c>
      <c r="T155" s="263"/>
      <c r="U155" s="267">
        <f>立项!C10</f>
        <v>0</v>
      </c>
      <c r="V155" s="263"/>
      <c r="W155" s="267">
        <f>立项!C11</f>
        <v>0</v>
      </c>
      <c r="X155" s="263"/>
      <c r="Y155" s="264">
        <f>立项!C12</f>
        <v>0</v>
      </c>
      <c r="Z155" s="264"/>
    </row>
    <row r="156" s="251" customFormat="1" customHeight="1" spans="1:26">
      <c r="A156" s="268"/>
      <c r="B156" s="260"/>
      <c r="C156" s="261"/>
      <c r="D156" s="261"/>
      <c r="E156" s="262"/>
      <c r="F156" s="262"/>
      <c r="G156" s="264" t="s">
        <v>39</v>
      </c>
      <c r="H156" s="269" t="s">
        <v>143</v>
      </c>
      <c r="I156" s="264" t="s">
        <v>39</v>
      </c>
      <c r="J156" s="269" t="s">
        <v>143</v>
      </c>
      <c r="K156" s="264" t="s">
        <v>39</v>
      </c>
      <c r="L156" s="269" t="s">
        <v>143</v>
      </c>
      <c r="M156" s="264" t="s">
        <v>39</v>
      </c>
      <c r="N156" s="269" t="s">
        <v>143</v>
      </c>
      <c r="O156" s="264" t="s">
        <v>39</v>
      </c>
      <c r="P156" s="269" t="s">
        <v>143</v>
      </c>
      <c r="Q156" s="264" t="s">
        <v>39</v>
      </c>
      <c r="R156" s="269" t="s">
        <v>143</v>
      </c>
      <c r="S156" s="264" t="s">
        <v>39</v>
      </c>
      <c r="T156" s="269" t="s">
        <v>143</v>
      </c>
      <c r="U156" s="264" t="s">
        <v>39</v>
      </c>
      <c r="V156" s="269" t="s">
        <v>143</v>
      </c>
      <c r="W156" s="264" t="s">
        <v>39</v>
      </c>
      <c r="X156" s="269" t="s">
        <v>143</v>
      </c>
      <c r="Y156" s="264" t="s">
        <v>39</v>
      </c>
      <c r="Z156" s="269" t="s">
        <v>143</v>
      </c>
    </row>
    <row r="157" s="251" customFormat="1" customHeight="1" spans="1:26">
      <c r="A157" s="270">
        <v>1</v>
      </c>
      <c r="B157" s="271">
        <f>'人员人工-研发人员工资'!B157</f>
        <v>0</v>
      </c>
      <c r="C157" s="272"/>
      <c r="D157" s="272">
        <f>'人员人工-研发人员工资'!D157</f>
        <v>0</v>
      </c>
      <c r="E157" s="272">
        <f t="shared" ref="E157:E186" si="52">G157+I157+K157+M157+O157+Q157+S157+U157+W157+Y157</f>
        <v>0</v>
      </c>
      <c r="F157" s="272">
        <f t="shared" ref="F157:F186" si="53">H157+J157+L157+N157+P157+R157+T157+V157+X157+Z157</f>
        <v>0</v>
      </c>
      <c r="G157" s="273">
        <f>'人员人工-研发人员工资'!G157</f>
        <v>0</v>
      </c>
      <c r="H157" s="274">
        <f t="shared" ref="H157:H186" si="54">IF($D157=0,0,ROUND(G157/$D157*$C157,2))</f>
        <v>0</v>
      </c>
      <c r="I157" s="273">
        <f>'人员人工-研发人员工资'!I157</f>
        <v>0</v>
      </c>
      <c r="J157" s="274">
        <f t="shared" ref="J157:J186" si="55">IF($D157=0,0,ROUND(I157/$D157*$C157,2))</f>
        <v>0</v>
      </c>
      <c r="K157" s="275">
        <f>'人员人工-研发人员工资'!K157</f>
        <v>0</v>
      </c>
      <c r="L157" s="274">
        <f t="shared" ref="L157:L186" si="56">IF($D157=0,0,ROUND(K157/$D157*$C157,2))</f>
        <v>0</v>
      </c>
      <c r="M157" s="273">
        <f>'人员人工-研发人员工资'!M157</f>
        <v>0</v>
      </c>
      <c r="N157" s="274">
        <f t="shared" ref="N157:N186" si="57">IF($D157=0,0,ROUND(M157/$D157*$C157,2))</f>
        <v>0</v>
      </c>
      <c r="O157" s="273">
        <f>'人员人工-研发人员工资'!O157</f>
        <v>0</v>
      </c>
      <c r="P157" s="274">
        <f t="shared" ref="P157:P186" si="58">IF($D157=0,0,ROUND(O157/$D157*$C157,2))</f>
        <v>0</v>
      </c>
      <c r="Q157" s="273">
        <f>'人员人工-研发人员工资'!Q157</f>
        <v>0</v>
      </c>
      <c r="R157" s="274">
        <f t="shared" ref="R157:R186" si="59">IF($D157=0,0,ROUND(Q157/$D157*$C157,2))</f>
        <v>0</v>
      </c>
      <c r="S157" s="273">
        <f>'人员人工-研发人员工资'!S157</f>
        <v>0</v>
      </c>
      <c r="T157" s="274">
        <f t="shared" ref="T157:T186" si="60">IF($D157=0,0,ROUND(S157/$D157*$C157,2))</f>
        <v>0</v>
      </c>
      <c r="U157" s="273">
        <f>'人员人工-研发人员工资'!U157</f>
        <v>0</v>
      </c>
      <c r="V157" s="274">
        <f t="shared" ref="V157:V186" si="61">IF($D157=0,0,ROUND(U157/$D157*$C157,2))</f>
        <v>0</v>
      </c>
      <c r="W157" s="273">
        <f>'人员人工-研发人员工资'!W157</f>
        <v>0</v>
      </c>
      <c r="X157" s="274">
        <f t="shared" ref="X157:X186" si="62">IF($D157=0,0,ROUND(W157/$D157*$C157,2))</f>
        <v>0</v>
      </c>
      <c r="Y157" s="273">
        <f>'人员人工-研发人员工资'!Y157</f>
        <v>0</v>
      </c>
      <c r="Z157" s="274">
        <f t="shared" ref="Z157:Z186" si="63">IF($D157=0,0,ROUND(Y157/$D157*$C157,2))</f>
        <v>0</v>
      </c>
    </row>
    <row r="158" s="251" customFormat="1" customHeight="1" spans="1:26">
      <c r="A158" s="270">
        <v>2</v>
      </c>
      <c r="B158" s="271">
        <f>'人员人工-研发人员工资'!B158</f>
        <v>0</v>
      </c>
      <c r="C158" s="272"/>
      <c r="D158" s="272">
        <f>'人员人工-研发人员工资'!D158</f>
        <v>0</v>
      </c>
      <c r="E158" s="272">
        <f t="shared" si="52"/>
        <v>0</v>
      </c>
      <c r="F158" s="272">
        <f t="shared" si="53"/>
        <v>0</v>
      </c>
      <c r="G158" s="273">
        <f>'人员人工-研发人员工资'!G158</f>
        <v>0</v>
      </c>
      <c r="H158" s="274">
        <f t="shared" si="54"/>
        <v>0</v>
      </c>
      <c r="I158" s="273">
        <f>'人员人工-研发人员工资'!I158</f>
        <v>0</v>
      </c>
      <c r="J158" s="274">
        <f t="shared" si="55"/>
        <v>0</v>
      </c>
      <c r="K158" s="275">
        <f>'人员人工-研发人员工资'!K158</f>
        <v>0</v>
      </c>
      <c r="L158" s="274">
        <f t="shared" si="56"/>
        <v>0</v>
      </c>
      <c r="M158" s="273">
        <f>'人员人工-研发人员工资'!M158</f>
        <v>0</v>
      </c>
      <c r="N158" s="274">
        <f t="shared" si="57"/>
        <v>0</v>
      </c>
      <c r="O158" s="273">
        <f>'人员人工-研发人员工资'!O158</f>
        <v>0</v>
      </c>
      <c r="P158" s="274">
        <f t="shared" si="58"/>
        <v>0</v>
      </c>
      <c r="Q158" s="273">
        <f>'人员人工-研发人员工资'!Q158</f>
        <v>0</v>
      </c>
      <c r="R158" s="274">
        <f t="shared" si="59"/>
        <v>0</v>
      </c>
      <c r="S158" s="273">
        <f>'人员人工-研发人员工资'!S158</f>
        <v>0</v>
      </c>
      <c r="T158" s="274">
        <f t="shared" si="60"/>
        <v>0</v>
      </c>
      <c r="U158" s="273">
        <f>'人员人工-研发人员工资'!U158</f>
        <v>0</v>
      </c>
      <c r="V158" s="274">
        <f t="shared" si="61"/>
        <v>0</v>
      </c>
      <c r="W158" s="273">
        <f>'人员人工-研发人员工资'!W158</f>
        <v>0</v>
      </c>
      <c r="X158" s="274">
        <f t="shared" si="62"/>
        <v>0</v>
      </c>
      <c r="Y158" s="273">
        <f>'人员人工-研发人员工资'!Y158</f>
        <v>0</v>
      </c>
      <c r="Z158" s="274">
        <f t="shared" si="63"/>
        <v>0</v>
      </c>
    </row>
    <row r="159" s="251" customFormat="1" customHeight="1" spans="1:26">
      <c r="A159" s="270">
        <v>3</v>
      </c>
      <c r="B159" s="271">
        <f>'人员人工-研发人员工资'!B159</f>
        <v>0</v>
      </c>
      <c r="C159" s="272"/>
      <c r="D159" s="272">
        <f>'人员人工-研发人员工资'!D159</f>
        <v>0</v>
      </c>
      <c r="E159" s="272">
        <f t="shared" si="52"/>
        <v>0</v>
      </c>
      <c r="F159" s="272">
        <f t="shared" si="53"/>
        <v>0</v>
      </c>
      <c r="G159" s="273">
        <f>'人员人工-研发人员工资'!G159</f>
        <v>0</v>
      </c>
      <c r="H159" s="274">
        <f t="shared" si="54"/>
        <v>0</v>
      </c>
      <c r="I159" s="273">
        <f>'人员人工-研发人员工资'!I159</f>
        <v>0</v>
      </c>
      <c r="J159" s="274">
        <f t="shared" si="55"/>
        <v>0</v>
      </c>
      <c r="K159" s="275">
        <f>'人员人工-研发人员工资'!K159</f>
        <v>0</v>
      </c>
      <c r="L159" s="274">
        <f t="shared" si="56"/>
        <v>0</v>
      </c>
      <c r="M159" s="273">
        <f>'人员人工-研发人员工资'!M159</f>
        <v>0</v>
      </c>
      <c r="N159" s="274">
        <f t="shared" si="57"/>
        <v>0</v>
      </c>
      <c r="O159" s="273">
        <f>'人员人工-研发人员工资'!O159</f>
        <v>0</v>
      </c>
      <c r="P159" s="274">
        <f t="shared" si="58"/>
        <v>0</v>
      </c>
      <c r="Q159" s="273">
        <f>'人员人工-研发人员工资'!Q159</f>
        <v>0</v>
      </c>
      <c r="R159" s="274">
        <f t="shared" si="59"/>
        <v>0</v>
      </c>
      <c r="S159" s="273">
        <f>'人员人工-研发人员工资'!S159</f>
        <v>0</v>
      </c>
      <c r="T159" s="274">
        <f t="shared" si="60"/>
        <v>0</v>
      </c>
      <c r="U159" s="273">
        <f>'人员人工-研发人员工资'!U159</f>
        <v>0</v>
      </c>
      <c r="V159" s="274">
        <f t="shared" si="61"/>
        <v>0</v>
      </c>
      <c r="W159" s="273">
        <f>'人员人工-研发人员工资'!W159</f>
        <v>0</v>
      </c>
      <c r="X159" s="274">
        <f t="shared" si="62"/>
        <v>0</v>
      </c>
      <c r="Y159" s="273">
        <f>'人员人工-研发人员工资'!Y159</f>
        <v>0</v>
      </c>
      <c r="Z159" s="274">
        <f t="shared" si="63"/>
        <v>0</v>
      </c>
    </row>
    <row r="160" s="251" customFormat="1" customHeight="1" spans="1:26">
      <c r="A160" s="270">
        <v>4</v>
      </c>
      <c r="B160" s="271">
        <f>'人员人工-研发人员工资'!B160</f>
        <v>0</v>
      </c>
      <c r="C160" s="272"/>
      <c r="D160" s="272">
        <f>'人员人工-研发人员工资'!D160</f>
        <v>0</v>
      </c>
      <c r="E160" s="272">
        <f t="shared" si="52"/>
        <v>0</v>
      </c>
      <c r="F160" s="272">
        <f t="shared" si="53"/>
        <v>0</v>
      </c>
      <c r="G160" s="273">
        <f>'人员人工-研发人员工资'!G160</f>
        <v>0</v>
      </c>
      <c r="H160" s="274">
        <f t="shared" si="54"/>
        <v>0</v>
      </c>
      <c r="I160" s="273">
        <f>'人员人工-研发人员工资'!I160</f>
        <v>0</v>
      </c>
      <c r="J160" s="274">
        <f t="shared" si="55"/>
        <v>0</v>
      </c>
      <c r="K160" s="275">
        <f>'人员人工-研发人员工资'!K160</f>
        <v>0</v>
      </c>
      <c r="L160" s="274">
        <f t="shared" si="56"/>
        <v>0</v>
      </c>
      <c r="M160" s="273">
        <f>'人员人工-研发人员工资'!M160</f>
        <v>0</v>
      </c>
      <c r="N160" s="274">
        <f t="shared" si="57"/>
        <v>0</v>
      </c>
      <c r="O160" s="273">
        <f>'人员人工-研发人员工资'!O160</f>
        <v>0</v>
      </c>
      <c r="P160" s="274">
        <f t="shared" si="58"/>
        <v>0</v>
      </c>
      <c r="Q160" s="273">
        <f>'人员人工-研发人员工资'!Q160</f>
        <v>0</v>
      </c>
      <c r="R160" s="274">
        <f t="shared" si="59"/>
        <v>0</v>
      </c>
      <c r="S160" s="273">
        <f>'人员人工-研发人员工资'!S160</f>
        <v>0</v>
      </c>
      <c r="T160" s="274">
        <f t="shared" si="60"/>
        <v>0</v>
      </c>
      <c r="U160" s="273">
        <f>'人员人工-研发人员工资'!U160</f>
        <v>0</v>
      </c>
      <c r="V160" s="274">
        <f t="shared" si="61"/>
        <v>0</v>
      </c>
      <c r="W160" s="273">
        <f>'人员人工-研发人员工资'!W160</f>
        <v>0</v>
      </c>
      <c r="X160" s="274">
        <f t="shared" si="62"/>
        <v>0</v>
      </c>
      <c r="Y160" s="273">
        <f>'人员人工-研发人员工资'!Y160</f>
        <v>0</v>
      </c>
      <c r="Z160" s="274">
        <f t="shared" si="63"/>
        <v>0</v>
      </c>
    </row>
    <row r="161" s="251" customFormat="1" customHeight="1" spans="1:26">
      <c r="A161" s="270">
        <v>5</v>
      </c>
      <c r="B161" s="271">
        <f>'人员人工-研发人员工资'!B161</f>
        <v>0</v>
      </c>
      <c r="C161" s="272"/>
      <c r="D161" s="272">
        <f>'人员人工-研发人员工资'!D161</f>
        <v>0</v>
      </c>
      <c r="E161" s="272">
        <f t="shared" si="52"/>
        <v>0</v>
      </c>
      <c r="F161" s="272">
        <f t="shared" si="53"/>
        <v>0</v>
      </c>
      <c r="G161" s="273">
        <f>'人员人工-研发人员工资'!G161</f>
        <v>0</v>
      </c>
      <c r="H161" s="274">
        <f t="shared" si="54"/>
        <v>0</v>
      </c>
      <c r="I161" s="273">
        <f>'人员人工-研发人员工资'!I161</f>
        <v>0</v>
      </c>
      <c r="J161" s="274">
        <f t="shared" si="55"/>
        <v>0</v>
      </c>
      <c r="K161" s="275">
        <f>'人员人工-研发人员工资'!K161</f>
        <v>0</v>
      </c>
      <c r="L161" s="274">
        <f t="shared" si="56"/>
        <v>0</v>
      </c>
      <c r="M161" s="273">
        <f>'人员人工-研发人员工资'!M161</f>
        <v>0</v>
      </c>
      <c r="N161" s="274">
        <f t="shared" si="57"/>
        <v>0</v>
      </c>
      <c r="O161" s="273">
        <f>'人员人工-研发人员工资'!O161</f>
        <v>0</v>
      </c>
      <c r="P161" s="274">
        <f t="shared" si="58"/>
        <v>0</v>
      </c>
      <c r="Q161" s="273">
        <f>'人员人工-研发人员工资'!Q161</f>
        <v>0</v>
      </c>
      <c r="R161" s="274">
        <f t="shared" si="59"/>
        <v>0</v>
      </c>
      <c r="S161" s="273">
        <f>'人员人工-研发人员工资'!S161</f>
        <v>0</v>
      </c>
      <c r="T161" s="274">
        <f t="shared" si="60"/>
        <v>0</v>
      </c>
      <c r="U161" s="273">
        <f>'人员人工-研发人员工资'!U161</f>
        <v>0</v>
      </c>
      <c r="V161" s="274">
        <f t="shared" si="61"/>
        <v>0</v>
      </c>
      <c r="W161" s="273">
        <f>'人员人工-研发人员工资'!W161</f>
        <v>0</v>
      </c>
      <c r="X161" s="274">
        <f t="shared" si="62"/>
        <v>0</v>
      </c>
      <c r="Y161" s="273">
        <f>'人员人工-研发人员工资'!Y161</f>
        <v>0</v>
      </c>
      <c r="Z161" s="274">
        <f t="shared" si="63"/>
        <v>0</v>
      </c>
    </row>
    <row r="162" s="251" customFormat="1" customHeight="1" spans="1:26">
      <c r="A162" s="270">
        <v>6</v>
      </c>
      <c r="B162" s="271">
        <f>'人员人工-研发人员工资'!B162</f>
        <v>0</v>
      </c>
      <c r="C162" s="274"/>
      <c r="D162" s="272">
        <f>'人员人工-研发人员工资'!D162</f>
        <v>0</v>
      </c>
      <c r="E162" s="272">
        <f t="shared" si="52"/>
        <v>0</v>
      </c>
      <c r="F162" s="272">
        <f t="shared" si="53"/>
        <v>0</v>
      </c>
      <c r="G162" s="273">
        <f>'人员人工-研发人员工资'!G162</f>
        <v>0</v>
      </c>
      <c r="H162" s="274">
        <f t="shared" si="54"/>
        <v>0</v>
      </c>
      <c r="I162" s="273">
        <f>'人员人工-研发人员工资'!I162</f>
        <v>0</v>
      </c>
      <c r="J162" s="274">
        <f t="shared" si="55"/>
        <v>0</v>
      </c>
      <c r="K162" s="275">
        <f>'人员人工-研发人员工资'!K162</f>
        <v>0</v>
      </c>
      <c r="L162" s="274">
        <f t="shared" si="56"/>
        <v>0</v>
      </c>
      <c r="M162" s="273">
        <f>'人员人工-研发人员工资'!M162</f>
        <v>0</v>
      </c>
      <c r="N162" s="274">
        <f t="shared" si="57"/>
        <v>0</v>
      </c>
      <c r="O162" s="273">
        <f>'人员人工-研发人员工资'!O162</f>
        <v>0</v>
      </c>
      <c r="P162" s="274">
        <f t="shared" si="58"/>
        <v>0</v>
      </c>
      <c r="Q162" s="273">
        <f>'人员人工-研发人员工资'!Q162</f>
        <v>0</v>
      </c>
      <c r="R162" s="274">
        <f t="shared" si="59"/>
        <v>0</v>
      </c>
      <c r="S162" s="273">
        <f>'人员人工-研发人员工资'!S162</f>
        <v>0</v>
      </c>
      <c r="T162" s="274">
        <f t="shared" si="60"/>
        <v>0</v>
      </c>
      <c r="U162" s="273">
        <f>'人员人工-研发人员工资'!U162</f>
        <v>0</v>
      </c>
      <c r="V162" s="274">
        <f t="shared" si="61"/>
        <v>0</v>
      </c>
      <c r="W162" s="273">
        <f>'人员人工-研发人员工资'!W162</f>
        <v>0</v>
      </c>
      <c r="X162" s="274">
        <f t="shared" si="62"/>
        <v>0</v>
      </c>
      <c r="Y162" s="273">
        <f>'人员人工-研发人员工资'!Y162</f>
        <v>0</v>
      </c>
      <c r="Z162" s="274">
        <f t="shared" si="63"/>
        <v>0</v>
      </c>
    </row>
    <row r="163" s="251" customFormat="1" customHeight="1" spans="1:26">
      <c r="A163" s="270">
        <v>7</v>
      </c>
      <c r="B163" s="271">
        <f>'人员人工-研发人员工资'!B163</f>
        <v>0</v>
      </c>
      <c r="C163" s="274"/>
      <c r="D163" s="272">
        <f>'人员人工-研发人员工资'!D163</f>
        <v>0</v>
      </c>
      <c r="E163" s="272">
        <f t="shared" si="52"/>
        <v>0</v>
      </c>
      <c r="F163" s="272">
        <f t="shared" si="53"/>
        <v>0</v>
      </c>
      <c r="G163" s="273">
        <f>'人员人工-研发人员工资'!G163</f>
        <v>0</v>
      </c>
      <c r="H163" s="274">
        <f t="shared" si="54"/>
        <v>0</v>
      </c>
      <c r="I163" s="273">
        <f>'人员人工-研发人员工资'!I163</f>
        <v>0</v>
      </c>
      <c r="J163" s="274">
        <f t="shared" si="55"/>
        <v>0</v>
      </c>
      <c r="K163" s="275">
        <f>'人员人工-研发人员工资'!K163</f>
        <v>0</v>
      </c>
      <c r="L163" s="274">
        <f t="shared" si="56"/>
        <v>0</v>
      </c>
      <c r="M163" s="273">
        <f>'人员人工-研发人员工资'!M163</f>
        <v>0</v>
      </c>
      <c r="N163" s="274">
        <f t="shared" si="57"/>
        <v>0</v>
      </c>
      <c r="O163" s="273">
        <f>'人员人工-研发人员工资'!O163</f>
        <v>0</v>
      </c>
      <c r="P163" s="274">
        <f t="shared" si="58"/>
        <v>0</v>
      </c>
      <c r="Q163" s="273">
        <f>'人员人工-研发人员工资'!Q163</f>
        <v>0</v>
      </c>
      <c r="R163" s="274">
        <f t="shared" si="59"/>
        <v>0</v>
      </c>
      <c r="S163" s="273">
        <f>'人员人工-研发人员工资'!S163</f>
        <v>0</v>
      </c>
      <c r="T163" s="274">
        <f t="shared" si="60"/>
        <v>0</v>
      </c>
      <c r="U163" s="273">
        <f>'人员人工-研发人员工资'!U163</f>
        <v>0</v>
      </c>
      <c r="V163" s="274">
        <f t="shared" si="61"/>
        <v>0</v>
      </c>
      <c r="W163" s="273">
        <f>'人员人工-研发人员工资'!W163</f>
        <v>0</v>
      </c>
      <c r="X163" s="274">
        <f t="shared" si="62"/>
        <v>0</v>
      </c>
      <c r="Y163" s="273">
        <f>'人员人工-研发人员工资'!Y163</f>
        <v>0</v>
      </c>
      <c r="Z163" s="274">
        <f t="shared" si="63"/>
        <v>0</v>
      </c>
    </row>
    <row r="164" s="251" customFormat="1" customHeight="1" spans="1:26">
      <c r="A164" s="270">
        <v>8</v>
      </c>
      <c r="B164" s="271">
        <f>'人员人工-研发人员工资'!B164</f>
        <v>0</v>
      </c>
      <c r="C164" s="274"/>
      <c r="D164" s="272">
        <f>'人员人工-研发人员工资'!D164</f>
        <v>0</v>
      </c>
      <c r="E164" s="272">
        <f t="shared" si="52"/>
        <v>0</v>
      </c>
      <c r="F164" s="272">
        <f t="shared" si="53"/>
        <v>0</v>
      </c>
      <c r="G164" s="273">
        <f>'人员人工-研发人员工资'!G164</f>
        <v>0</v>
      </c>
      <c r="H164" s="274">
        <f t="shared" si="54"/>
        <v>0</v>
      </c>
      <c r="I164" s="273">
        <f>'人员人工-研发人员工资'!I164</f>
        <v>0</v>
      </c>
      <c r="J164" s="274">
        <f t="shared" si="55"/>
        <v>0</v>
      </c>
      <c r="K164" s="275">
        <f>'人员人工-研发人员工资'!K164</f>
        <v>0</v>
      </c>
      <c r="L164" s="274">
        <f t="shared" si="56"/>
        <v>0</v>
      </c>
      <c r="M164" s="273">
        <f>'人员人工-研发人员工资'!M164</f>
        <v>0</v>
      </c>
      <c r="N164" s="274">
        <f t="shared" si="57"/>
        <v>0</v>
      </c>
      <c r="O164" s="273">
        <f>'人员人工-研发人员工资'!O164</f>
        <v>0</v>
      </c>
      <c r="P164" s="274">
        <f t="shared" si="58"/>
        <v>0</v>
      </c>
      <c r="Q164" s="273">
        <f>'人员人工-研发人员工资'!Q164</f>
        <v>0</v>
      </c>
      <c r="R164" s="274">
        <f t="shared" si="59"/>
        <v>0</v>
      </c>
      <c r="S164" s="273">
        <f>'人员人工-研发人员工资'!S164</f>
        <v>0</v>
      </c>
      <c r="T164" s="274">
        <f t="shared" si="60"/>
        <v>0</v>
      </c>
      <c r="U164" s="273">
        <f>'人员人工-研发人员工资'!U164</f>
        <v>0</v>
      </c>
      <c r="V164" s="274">
        <f t="shared" si="61"/>
        <v>0</v>
      </c>
      <c r="W164" s="273">
        <f>'人员人工-研发人员工资'!W164</f>
        <v>0</v>
      </c>
      <c r="X164" s="274">
        <f t="shared" si="62"/>
        <v>0</v>
      </c>
      <c r="Y164" s="273">
        <f>'人员人工-研发人员工资'!Y164</f>
        <v>0</v>
      </c>
      <c r="Z164" s="274">
        <f t="shared" si="63"/>
        <v>0</v>
      </c>
    </row>
    <row r="165" s="251" customFormat="1" customHeight="1" spans="1:26">
      <c r="A165" s="270">
        <v>9</v>
      </c>
      <c r="B165" s="271">
        <f>'人员人工-研发人员工资'!B165</f>
        <v>0</v>
      </c>
      <c r="C165" s="274"/>
      <c r="D165" s="272">
        <f>'人员人工-研发人员工资'!D165</f>
        <v>0</v>
      </c>
      <c r="E165" s="272">
        <f t="shared" si="52"/>
        <v>0</v>
      </c>
      <c r="F165" s="272">
        <f t="shared" si="53"/>
        <v>0</v>
      </c>
      <c r="G165" s="273">
        <f>'人员人工-研发人员工资'!G165</f>
        <v>0</v>
      </c>
      <c r="H165" s="274">
        <f t="shared" si="54"/>
        <v>0</v>
      </c>
      <c r="I165" s="273">
        <f>'人员人工-研发人员工资'!I165</f>
        <v>0</v>
      </c>
      <c r="J165" s="274">
        <f t="shared" si="55"/>
        <v>0</v>
      </c>
      <c r="K165" s="275">
        <f>'人员人工-研发人员工资'!K165</f>
        <v>0</v>
      </c>
      <c r="L165" s="274">
        <f t="shared" si="56"/>
        <v>0</v>
      </c>
      <c r="M165" s="273">
        <f>'人员人工-研发人员工资'!M165</f>
        <v>0</v>
      </c>
      <c r="N165" s="274">
        <f t="shared" si="57"/>
        <v>0</v>
      </c>
      <c r="O165" s="273">
        <f>'人员人工-研发人员工资'!O165</f>
        <v>0</v>
      </c>
      <c r="P165" s="274">
        <f t="shared" si="58"/>
        <v>0</v>
      </c>
      <c r="Q165" s="273">
        <f>'人员人工-研发人员工资'!Q165</f>
        <v>0</v>
      </c>
      <c r="R165" s="274">
        <f t="shared" si="59"/>
        <v>0</v>
      </c>
      <c r="S165" s="273">
        <f>'人员人工-研发人员工资'!S165</f>
        <v>0</v>
      </c>
      <c r="T165" s="274">
        <f t="shared" si="60"/>
        <v>0</v>
      </c>
      <c r="U165" s="273">
        <f>'人员人工-研发人员工资'!U165</f>
        <v>0</v>
      </c>
      <c r="V165" s="274">
        <f t="shared" si="61"/>
        <v>0</v>
      </c>
      <c r="W165" s="273">
        <f>'人员人工-研发人员工资'!W165</f>
        <v>0</v>
      </c>
      <c r="X165" s="274">
        <f t="shared" si="62"/>
        <v>0</v>
      </c>
      <c r="Y165" s="273">
        <f>'人员人工-研发人员工资'!Y165</f>
        <v>0</v>
      </c>
      <c r="Z165" s="274">
        <f t="shared" si="63"/>
        <v>0</v>
      </c>
    </row>
    <row r="166" s="251" customFormat="1" customHeight="1" spans="1:26">
      <c r="A166" s="270">
        <v>10</v>
      </c>
      <c r="B166" s="271">
        <f>'人员人工-研发人员工资'!B166</f>
        <v>0</v>
      </c>
      <c r="C166" s="274"/>
      <c r="D166" s="272">
        <f>'人员人工-研发人员工资'!D166</f>
        <v>0</v>
      </c>
      <c r="E166" s="272">
        <f t="shared" si="52"/>
        <v>0</v>
      </c>
      <c r="F166" s="272">
        <f t="shared" si="53"/>
        <v>0</v>
      </c>
      <c r="G166" s="273">
        <f>'人员人工-研发人员工资'!G166</f>
        <v>0</v>
      </c>
      <c r="H166" s="274">
        <f t="shared" si="54"/>
        <v>0</v>
      </c>
      <c r="I166" s="273">
        <f>'人员人工-研发人员工资'!I166</f>
        <v>0</v>
      </c>
      <c r="J166" s="274">
        <f t="shared" si="55"/>
        <v>0</v>
      </c>
      <c r="K166" s="275">
        <f>'人员人工-研发人员工资'!K166</f>
        <v>0</v>
      </c>
      <c r="L166" s="274">
        <f t="shared" si="56"/>
        <v>0</v>
      </c>
      <c r="M166" s="273">
        <f>'人员人工-研发人员工资'!M166</f>
        <v>0</v>
      </c>
      <c r="N166" s="274">
        <f t="shared" si="57"/>
        <v>0</v>
      </c>
      <c r="O166" s="273">
        <f>'人员人工-研发人员工资'!O166</f>
        <v>0</v>
      </c>
      <c r="P166" s="274">
        <f t="shared" si="58"/>
        <v>0</v>
      </c>
      <c r="Q166" s="273">
        <f>'人员人工-研发人员工资'!Q166</f>
        <v>0</v>
      </c>
      <c r="R166" s="274">
        <f t="shared" si="59"/>
        <v>0</v>
      </c>
      <c r="S166" s="273">
        <f>'人员人工-研发人员工资'!S166</f>
        <v>0</v>
      </c>
      <c r="T166" s="274">
        <f t="shared" si="60"/>
        <v>0</v>
      </c>
      <c r="U166" s="273">
        <f>'人员人工-研发人员工资'!U166</f>
        <v>0</v>
      </c>
      <c r="V166" s="274">
        <f t="shared" si="61"/>
        <v>0</v>
      </c>
      <c r="W166" s="273">
        <f>'人员人工-研发人员工资'!W166</f>
        <v>0</v>
      </c>
      <c r="X166" s="274">
        <f t="shared" si="62"/>
        <v>0</v>
      </c>
      <c r="Y166" s="273">
        <f>'人员人工-研发人员工资'!Y166</f>
        <v>0</v>
      </c>
      <c r="Z166" s="274">
        <f t="shared" si="63"/>
        <v>0</v>
      </c>
    </row>
    <row r="167" s="251" customFormat="1" customHeight="1" spans="1:26">
      <c r="A167" s="270">
        <v>11</v>
      </c>
      <c r="B167" s="271">
        <f>'人员人工-研发人员工资'!B167</f>
        <v>0</v>
      </c>
      <c r="C167" s="274"/>
      <c r="D167" s="272">
        <f>'人员人工-研发人员工资'!D167</f>
        <v>0</v>
      </c>
      <c r="E167" s="272">
        <f t="shared" si="52"/>
        <v>0</v>
      </c>
      <c r="F167" s="272">
        <f t="shared" si="53"/>
        <v>0</v>
      </c>
      <c r="G167" s="273">
        <f>'人员人工-研发人员工资'!G167</f>
        <v>0</v>
      </c>
      <c r="H167" s="274">
        <f t="shared" si="54"/>
        <v>0</v>
      </c>
      <c r="I167" s="273">
        <f>'人员人工-研发人员工资'!I167</f>
        <v>0</v>
      </c>
      <c r="J167" s="274">
        <f t="shared" si="55"/>
        <v>0</v>
      </c>
      <c r="K167" s="275">
        <f>'人员人工-研发人员工资'!K167</f>
        <v>0</v>
      </c>
      <c r="L167" s="274">
        <f t="shared" si="56"/>
        <v>0</v>
      </c>
      <c r="M167" s="273">
        <f>'人员人工-研发人员工资'!M167</f>
        <v>0</v>
      </c>
      <c r="N167" s="274">
        <f t="shared" si="57"/>
        <v>0</v>
      </c>
      <c r="O167" s="273">
        <f>'人员人工-研发人员工资'!O167</f>
        <v>0</v>
      </c>
      <c r="P167" s="274">
        <f t="shared" si="58"/>
        <v>0</v>
      </c>
      <c r="Q167" s="273">
        <f>'人员人工-研发人员工资'!Q167</f>
        <v>0</v>
      </c>
      <c r="R167" s="274">
        <f t="shared" si="59"/>
        <v>0</v>
      </c>
      <c r="S167" s="273">
        <f>'人员人工-研发人员工资'!S167</f>
        <v>0</v>
      </c>
      <c r="T167" s="274">
        <f t="shared" si="60"/>
        <v>0</v>
      </c>
      <c r="U167" s="273">
        <f>'人员人工-研发人员工资'!U167</f>
        <v>0</v>
      </c>
      <c r="V167" s="274">
        <f t="shared" si="61"/>
        <v>0</v>
      </c>
      <c r="W167" s="273">
        <f>'人员人工-研发人员工资'!W167</f>
        <v>0</v>
      </c>
      <c r="X167" s="274">
        <f t="shared" si="62"/>
        <v>0</v>
      </c>
      <c r="Y167" s="273">
        <f>'人员人工-研发人员工资'!Y167</f>
        <v>0</v>
      </c>
      <c r="Z167" s="274">
        <f t="shared" si="63"/>
        <v>0</v>
      </c>
    </row>
    <row r="168" s="251" customFormat="1" customHeight="1" spans="1:26">
      <c r="A168" s="270">
        <v>12</v>
      </c>
      <c r="B168" s="271">
        <f>'人员人工-研发人员工资'!B168</f>
        <v>0</v>
      </c>
      <c r="C168" s="274"/>
      <c r="D168" s="272">
        <f>'人员人工-研发人员工资'!D168</f>
        <v>0</v>
      </c>
      <c r="E168" s="272">
        <f t="shared" si="52"/>
        <v>0</v>
      </c>
      <c r="F168" s="272">
        <f t="shared" si="53"/>
        <v>0</v>
      </c>
      <c r="G168" s="273">
        <f>'人员人工-研发人员工资'!G168</f>
        <v>0</v>
      </c>
      <c r="H168" s="274">
        <f t="shared" si="54"/>
        <v>0</v>
      </c>
      <c r="I168" s="273">
        <f>'人员人工-研发人员工资'!I168</f>
        <v>0</v>
      </c>
      <c r="J168" s="274">
        <f t="shared" si="55"/>
        <v>0</v>
      </c>
      <c r="K168" s="275">
        <f>'人员人工-研发人员工资'!K168</f>
        <v>0</v>
      </c>
      <c r="L168" s="274">
        <f t="shared" si="56"/>
        <v>0</v>
      </c>
      <c r="M168" s="273">
        <f>'人员人工-研发人员工资'!M168</f>
        <v>0</v>
      </c>
      <c r="N168" s="274">
        <f t="shared" si="57"/>
        <v>0</v>
      </c>
      <c r="O168" s="273">
        <f>'人员人工-研发人员工资'!O168</f>
        <v>0</v>
      </c>
      <c r="P168" s="274">
        <f t="shared" si="58"/>
        <v>0</v>
      </c>
      <c r="Q168" s="273">
        <f>'人员人工-研发人员工资'!Q168</f>
        <v>0</v>
      </c>
      <c r="R168" s="274">
        <f t="shared" si="59"/>
        <v>0</v>
      </c>
      <c r="S168" s="273">
        <f>'人员人工-研发人员工资'!S168</f>
        <v>0</v>
      </c>
      <c r="T168" s="274">
        <f t="shared" si="60"/>
        <v>0</v>
      </c>
      <c r="U168" s="273">
        <f>'人员人工-研发人员工资'!U168</f>
        <v>0</v>
      </c>
      <c r="V168" s="274">
        <f t="shared" si="61"/>
        <v>0</v>
      </c>
      <c r="W168" s="273">
        <f>'人员人工-研发人员工资'!W168</f>
        <v>0</v>
      </c>
      <c r="X168" s="274">
        <f t="shared" si="62"/>
        <v>0</v>
      </c>
      <c r="Y168" s="273">
        <f>'人员人工-研发人员工资'!Y168</f>
        <v>0</v>
      </c>
      <c r="Z168" s="274">
        <f t="shared" si="63"/>
        <v>0</v>
      </c>
    </row>
    <row r="169" s="251" customFormat="1" customHeight="1" spans="1:26">
      <c r="A169" s="270">
        <v>13</v>
      </c>
      <c r="B169" s="271">
        <f>'人员人工-研发人员工资'!B169</f>
        <v>0</v>
      </c>
      <c r="C169" s="274"/>
      <c r="D169" s="272">
        <f>'人员人工-研发人员工资'!D169</f>
        <v>0</v>
      </c>
      <c r="E169" s="272">
        <f t="shared" si="52"/>
        <v>0</v>
      </c>
      <c r="F169" s="272">
        <f t="shared" si="53"/>
        <v>0</v>
      </c>
      <c r="G169" s="273">
        <f>'人员人工-研发人员工资'!G169</f>
        <v>0</v>
      </c>
      <c r="H169" s="274">
        <f t="shared" si="54"/>
        <v>0</v>
      </c>
      <c r="I169" s="273">
        <f>'人员人工-研发人员工资'!I169</f>
        <v>0</v>
      </c>
      <c r="J169" s="274">
        <f t="shared" si="55"/>
        <v>0</v>
      </c>
      <c r="K169" s="275">
        <f>'人员人工-研发人员工资'!K169</f>
        <v>0</v>
      </c>
      <c r="L169" s="274">
        <f t="shared" si="56"/>
        <v>0</v>
      </c>
      <c r="M169" s="273">
        <f>'人员人工-研发人员工资'!M169</f>
        <v>0</v>
      </c>
      <c r="N169" s="274">
        <f t="shared" si="57"/>
        <v>0</v>
      </c>
      <c r="O169" s="273">
        <f>'人员人工-研发人员工资'!O169</f>
        <v>0</v>
      </c>
      <c r="P169" s="274">
        <f t="shared" si="58"/>
        <v>0</v>
      </c>
      <c r="Q169" s="273">
        <f>'人员人工-研发人员工资'!Q169</f>
        <v>0</v>
      </c>
      <c r="R169" s="274">
        <f t="shared" si="59"/>
        <v>0</v>
      </c>
      <c r="S169" s="273">
        <f>'人员人工-研发人员工资'!S169</f>
        <v>0</v>
      </c>
      <c r="T169" s="274">
        <f t="shared" si="60"/>
        <v>0</v>
      </c>
      <c r="U169" s="273">
        <f>'人员人工-研发人员工资'!U169</f>
        <v>0</v>
      </c>
      <c r="V169" s="274">
        <f t="shared" si="61"/>
        <v>0</v>
      </c>
      <c r="W169" s="273">
        <f>'人员人工-研发人员工资'!W169</f>
        <v>0</v>
      </c>
      <c r="X169" s="274">
        <f t="shared" si="62"/>
        <v>0</v>
      </c>
      <c r="Y169" s="273">
        <f>'人员人工-研发人员工资'!Y169</f>
        <v>0</v>
      </c>
      <c r="Z169" s="274">
        <f t="shared" si="63"/>
        <v>0</v>
      </c>
    </row>
    <row r="170" s="251" customFormat="1" customHeight="1" spans="1:26">
      <c r="A170" s="270">
        <v>14</v>
      </c>
      <c r="B170" s="271">
        <f>'人员人工-研发人员工资'!B170</f>
        <v>0</v>
      </c>
      <c r="C170" s="274"/>
      <c r="D170" s="272">
        <f>'人员人工-研发人员工资'!D170</f>
        <v>0</v>
      </c>
      <c r="E170" s="272">
        <f t="shared" si="52"/>
        <v>0</v>
      </c>
      <c r="F170" s="272">
        <f t="shared" si="53"/>
        <v>0</v>
      </c>
      <c r="G170" s="273">
        <f>'人员人工-研发人员工资'!G170</f>
        <v>0</v>
      </c>
      <c r="H170" s="274">
        <f t="shared" si="54"/>
        <v>0</v>
      </c>
      <c r="I170" s="273">
        <f>'人员人工-研发人员工资'!I170</f>
        <v>0</v>
      </c>
      <c r="J170" s="274">
        <f t="shared" si="55"/>
        <v>0</v>
      </c>
      <c r="K170" s="275">
        <f>'人员人工-研发人员工资'!K170</f>
        <v>0</v>
      </c>
      <c r="L170" s="274">
        <f t="shared" si="56"/>
        <v>0</v>
      </c>
      <c r="M170" s="273">
        <f>'人员人工-研发人员工资'!M170</f>
        <v>0</v>
      </c>
      <c r="N170" s="274">
        <f t="shared" si="57"/>
        <v>0</v>
      </c>
      <c r="O170" s="273">
        <f>'人员人工-研发人员工资'!O170</f>
        <v>0</v>
      </c>
      <c r="P170" s="274">
        <f t="shared" si="58"/>
        <v>0</v>
      </c>
      <c r="Q170" s="273">
        <f>'人员人工-研发人员工资'!Q170</f>
        <v>0</v>
      </c>
      <c r="R170" s="274">
        <f t="shared" si="59"/>
        <v>0</v>
      </c>
      <c r="S170" s="273">
        <f>'人员人工-研发人员工资'!S170</f>
        <v>0</v>
      </c>
      <c r="T170" s="274">
        <f t="shared" si="60"/>
        <v>0</v>
      </c>
      <c r="U170" s="273">
        <f>'人员人工-研发人员工资'!U170</f>
        <v>0</v>
      </c>
      <c r="V170" s="274">
        <f t="shared" si="61"/>
        <v>0</v>
      </c>
      <c r="W170" s="273">
        <f>'人员人工-研发人员工资'!W170</f>
        <v>0</v>
      </c>
      <c r="X170" s="274">
        <f t="shared" si="62"/>
        <v>0</v>
      </c>
      <c r="Y170" s="273">
        <f>'人员人工-研发人员工资'!Y170</f>
        <v>0</v>
      </c>
      <c r="Z170" s="274">
        <f t="shared" si="63"/>
        <v>0</v>
      </c>
    </row>
    <row r="171" s="251" customFormat="1" customHeight="1" spans="1:26">
      <c r="A171" s="270">
        <v>15</v>
      </c>
      <c r="B171" s="271">
        <f>'人员人工-研发人员工资'!B171</f>
        <v>0</v>
      </c>
      <c r="C171" s="274"/>
      <c r="D171" s="272">
        <f>'人员人工-研发人员工资'!D171</f>
        <v>0</v>
      </c>
      <c r="E171" s="272">
        <f t="shared" si="52"/>
        <v>0</v>
      </c>
      <c r="F171" s="272">
        <f t="shared" si="53"/>
        <v>0</v>
      </c>
      <c r="G171" s="273">
        <f>'人员人工-研发人员工资'!G171</f>
        <v>0</v>
      </c>
      <c r="H171" s="274">
        <f t="shared" si="54"/>
        <v>0</v>
      </c>
      <c r="I171" s="273">
        <f>'人员人工-研发人员工资'!I171</f>
        <v>0</v>
      </c>
      <c r="J171" s="274">
        <f t="shared" si="55"/>
        <v>0</v>
      </c>
      <c r="K171" s="275">
        <f>'人员人工-研发人员工资'!K171</f>
        <v>0</v>
      </c>
      <c r="L171" s="274">
        <f t="shared" si="56"/>
        <v>0</v>
      </c>
      <c r="M171" s="273">
        <f>'人员人工-研发人员工资'!M171</f>
        <v>0</v>
      </c>
      <c r="N171" s="274">
        <f t="shared" si="57"/>
        <v>0</v>
      </c>
      <c r="O171" s="273">
        <f>'人员人工-研发人员工资'!O171</f>
        <v>0</v>
      </c>
      <c r="P171" s="274">
        <f t="shared" si="58"/>
        <v>0</v>
      </c>
      <c r="Q171" s="273">
        <f>'人员人工-研发人员工资'!Q171</f>
        <v>0</v>
      </c>
      <c r="R171" s="274">
        <f t="shared" si="59"/>
        <v>0</v>
      </c>
      <c r="S171" s="273">
        <f>'人员人工-研发人员工资'!S171</f>
        <v>0</v>
      </c>
      <c r="T171" s="274">
        <f t="shared" si="60"/>
        <v>0</v>
      </c>
      <c r="U171" s="273">
        <f>'人员人工-研发人员工资'!U171</f>
        <v>0</v>
      </c>
      <c r="V171" s="274">
        <f t="shared" si="61"/>
        <v>0</v>
      </c>
      <c r="W171" s="273">
        <f>'人员人工-研发人员工资'!W171</f>
        <v>0</v>
      </c>
      <c r="X171" s="274">
        <f t="shared" si="62"/>
        <v>0</v>
      </c>
      <c r="Y171" s="273">
        <f>'人员人工-研发人员工资'!Y171</f>
        <v>0</v>
      </c>
      <c r="Z171" s="274">
        <f t="shared" si="63"/>
        <v>0</v>
      </c>
    </row>
    <row r="172" s="251" customFormat="1" customHeight="1" spans="1:26">
      <c r="A172" s="270">
        <v>16</v>
      </c>
      <c r="B172" s="271">
        <f>'人员人工-研发人员工资'!B172</f>
        <v>0</v>
      </c>
      <c r="C172" s="274"/>
      <c r="D172" s="272">
        <f>'人员人工-研发人员工资'!D172</f>
        <v>0</v>
      </c>
      <c r="E172" s="272">
        <f t="shared" si="52"/>
        <v>0</v>
      </c>
      <c r="F172" s="272">
        <f t="shared" si="53"/>
        <v>0</v>
      </c>
      <c r="G172" s="273">
        <f>'人员人工-研发人员工资'!G172</f>
        <v>0</v>
      </c>
      <c r="H172" s="274">
        <f t="shared" si="54"/>
        <v>0</v>
      </c>
      <c r="I172" s="273">
        <f>'人员人工-研发人员工资'!I172</f>
        <v>0</v>
      </c>
      <c r="J172" s="274">
        <f t="shared" si="55"/>
        <v>0</v>
      </c>
      <c r="K172" s="275">
        <f>'人员人工-研发人员工资'!K172</f>
        <v>0</v>
      </c>
      <c r="L172" s="274">
        <f t="shared" si="56"/>
        <v>0</v>
      </c>
      <c r="M172" s="273">
        <f>'人员人工-研发人员工资'!M172</f>
        <v>0</v>
      </c>
      <c r="N172" s="274">
        <f t="shared" si="57"/>
        <v>0</v>
      </c>
      <c r="O172" s="273">
        <f>'人员人工-研发人员工资'!O172</f>
        <v>0</v>
      </c>
      <c r="P172" s="274">
        <f t="shared" si="58"/>
        <v>0</v>
      </c>
      <c r="Q172" s="273">
        <f>'人员人工-研发人员工资'!Q172</f>
        <v>0</v>
      </c>
      <c r="R172" s="274">
        <f t="shared" si="59"/>
        <v>0</v>
      </c>
      <c r="S172" s="273">
        <f>'人员人工-研发人员工资'!S172</f>
        <v>0</v>
      </c>
      <c r="T172" s="274">
        <f t="shared" si="60"/>
        <v>0</v>
      </c>
      <c r="U172" s="273">
        <f>'人员人工-研发人员工资'!U172</f>
        <v>0</v>
      </c>
      <c r="V172" s="274">
        <f t="shared" si="61"/>
        <v>0</v>
      </c>
      <c r="W172" s="273">
        <f>'人员人工-研发人员工资'!W172</f>
        <v>0</v>
      </c>
      <c r="X172" s="274">
        <f t="shared" si="62"/>
        <v>0</v>
      </c>
      <c r="Y172" s="273">
        <f>'人员人工-研发人员工资'!Y172</f>
        <v>0</v>
      </c>
      <c r="Z172" s="274">
        <f t="shared" si="63"/>
        <v>0</v>
      </c>
    </row>
    <row r="173" s="251" customFormat="1" customHeight="1" spans="1:26">
      <c r="A173" s="270">
        <v>17</v>
      </c>
      <c r="B173" s="271">
        <f>'人员人工-研发人员工资'!B173</f>
        <v>0</v>
      </c>
      <c r="C173" s="274"/>
      <c r="D173" s="272">
        <f>'人员人工-研发人员工资'!D173</f>
        <v>0</v>
      </c>
      <c r="E173" s="272">
        <f t="shared" si="52"/>
        <v>0</v>
      </c>
      <c r="F173" s="272">
        <f t="shared" si="53"/>
        <v>0</v>
      </c>
      <c r="G173" s="273">
        <f>'人员人工-研发人员工资'!G173</f>
        <v>0</v>
      </c>
      <c r="H173" s="274">
        <f t="shared" si="54"/>
        <v>0</v>
      </c>
      <c r="I173" s="273">
        <f>'人员人工-研发人员工资'!I173</f>
        <v>0</v>
      </c>
      <c r="J173" s="274">
        <f t="shared" si="55"/>
        <v>0</v>
      </c>
      <c r="K173" s="275">
        <f>'人员人工-研发人员工资'!K173</f>
        <v>0</v>
      </c>
      <c r="L173" s="274">
        <f t="shared" si="56"/>
        <v>0</v>
      </c>
      <c r="M173" s="273">
        <f>'人员人工-研发人员工资'!M173</f>
        <v>0</v>
      </c>
      <c r="N173" s="274">
        <f t="shared" si="57"/>
        <v>0</v>
      </c>
      <c r="O173" s="273">
        <f>'人员人工-研发人员工资'!O173</f>
        <v>0</v>
      </c>
      <c r="P173" s="274">
        <f t="shared" si="58"/>
        <v>0</v>
      </c>
      <c r="Q173" s="273">
        <f>'人员人工-研发人员工资'!Q173</f>
        <v>0</v>
      </c>
      <c r="R173" s="274">
        <f t="shared" si="59"/>
        <v>0</v>
      </c>
      <c r="S173" s="273">
        <f>'人员人工-研发人员工资'!S173</f>
        <v>0</v>
      </c>
      <c r="T173" s="274">
        <f t="shared" si="60"/>
        <v>0</v>
      </c>
      <c r="U173" s="273">
        <f>'人员人工-研发人员工资'!U173</f>
        <v>0</v>
      </c>
      <c r="V173" s="274">
        <f t="shared" si="61"/>
        <v>0</v>
      </c>
      <c r="W173" s="273">
        <f>'人员人工-研发人员工资'!W173</f>
        <v>0</v>
      </c>
      <c r="X173" s="274">
        <f t="shared" si="62"/>
        <v>0</v>
      </c>
      <c r="Y173" s="273">
        <f>'人员人工-研发人员工资'!Y173</f>
        <v>0</v>
      </c>
      <c r="Z173" s="274">
        <f t="shared" si="63"/>
        <v>0</v>
      </c>
    </row>
    <row r="174" s="251" customFormat="1" customHeight="1" spans="1:26">
      <c r="A174" s="270">
        <v>18</v>
      </c>
      <c r="B174" s="271">
        <f>'人员人工-研发人员工资'!B174</f>
        <v>0</v>
      </c>
      <c r="C174" s="274"/>
      <c r="D174" s="272">
        <f>'人员人工-研发人员工资'!D174</f>
        <v>0</v>
      </c>
      <c r="E174" s="272">
        <f t="shared" si="52"/>
        <v>0</v>
      </c>
      <c r="F174" s="272">
        <f t="shared" si="53"/>
        <v>0</v>
      </c>
      <c r="G174" s="273">
        <f>'人员人工-研发人员工资'!G174</f>
        <v>0</v>
      </c>
      <c r="H174" s="274">
        <f t="shared" si="54"/>
        <v>0</v>
      </c>
      <c r="I174" s="273">
        <f>'人员人工-研发人员工资'!I174</f>
        <v>0</v>
      </c>
      <c r="J174" s="274">
        <f t="shared" si="55"/>
        <v>0</v>
      </c>
      <c r="K174" s="275">
        <f>'人员人工-研发人员工资'!K174</f>
        <v>0</v>
      </c>
      <c r="L174" s="274">
        <f t="shared" si="56"/>
        <v>0</v>
      </c>
      <c r="M174" s="273">
        <f>'人员人工-研发人员工资'!M174</f>
        <v>0</v>
      </c>
      <c r="N174" s="274">
        <f t="shared" si="57"/>
        <v>0</v>
      </c>
      <c r="O174" s="273">
        <f>'人员人工-研发人员工资'!O174</f>
        <v>0</v>
      </c>
      <c r="P174" s="274">
        <f t="shared" si="58"/>
        <v>0</v>
      </c>
      <c r="Q174" s="273">
        <f>'人员人工-研发人员工资'!Q174</f>
        <v>0</v>
      </c>
      <c r="R174" s="274">
        <f t="shared" si="59"/>
        <v>0</v>
      </c>
      <c r="S174" s="273">
        <f>'人员人工-研发人员工资'!S174</f>
        <v>0</v>
      </c>
      <c r="T174" s="274">
        <f t="shared" si="60"/>
        <v>0</v>
      </c>
      <c r="U174" s="273">
        <f>'人员人工-研发人员工资'!U174</f>
        <v>0</v>
      </c>
      <c r="V174" s="274">
        <f t="shared" si="61"/>
        <v>0</v>
      </c>
      <c r="W174" s="273">
        <f>'人员人工-研发人员工资'!W174</f>
        <v>0</v>
      </c>
      <c r="X174" s="274">
        <f t="shared" si="62"/>
        <v>0</v>
      </c>
      <c r="Y174" s="273">
        <f>'人员人工-研发人员工资'!Y174</f>
        <v>0</v>
      </c>
      <c r="Z174" s="274">
        <f t="shared" si="63"/>
        <v>0</v>
      </c>
    </row>
    <row r="175" s="251" customFormat="1" customHeight="1" spans="1:26">
      <c r="A175" s="270">
        <v>19</v>
      </c>
      <c r="B175" s="271">
        <f>'人员人工-研发人员工资'!B175</f>
        <v>0</v>
      </c>
      <c r="C175" s="274"/>
      <c r="D175" s="272">
        <f>'人员人工-研发人员工资'!D175</f>
        <v>0</v>
      </c>
      <c r="E175" s="272">
        <f t="shared" si="52"/>
        <v>0</v>
      </c>
      <c r="F175" s="272">
        <f t="shared" si="53"/>
        <v>0</v>
      </c>
      <c r="G175" s="273">
        <f>'人员人工-研发人员工资'!G175</f>
        <v>0</v>
      </c>
      <c r="H175" s="274">
        <f t="shared" si="54"/>
        <v>0</v>
      </c>
      <c r="I175" s="273">
        <f>'人员人工-研发人员工资'!I175</f>
        <v>0</v>
      </c>
      <c r="J175" s="274">
        <f t="shared" si="55"/>
        <v>0</v>
      </c>
      <c r="K175" s="275">
        <f>'人员人工-研发人员工资'!K175</f>
        <v>0</v>
      </c>
      <c r="L175" s="274">
        <f t="shared" si="56"/>
        <v>0</v>
      </c>
      <c r="M175" s="273">
        <f>'人员人工-研发人员工资'!M175</f>
        <v>0</v>
      </c>
      <c r="N175" s="274">
        <f t="shared" si="57"/>
        <v>0</v>
      </c>
      <c r="O175" s="273">
        <f>'人员人工-研发人员工资'!O175</f>
        <v>0</v>
      </c>
      <c r="P175" s="274">
        <f t="shared" si="58"/>
        <v>0</v>
      </c>
      <c r="Q175" s="273">
        <f>'人员人工-研发人员工资'!Q175</f>
        <v>0</v>
      </c>
      <c r="R175" s="274">
        <f t="shared" si="59"/>
        <v>0</v>
      </c>
      <c r="S175" s="273">
        <f>'人员人工-研发人员工资'!S175</f>
        <v>0</v>
      </c>
      <c r="T175" s="274">
        <f t="shared" si="60"/>
        <v>0</v>
      </c>
      <c r="U175" s="273">
        <f>'人员人工-研发人员工资'!U175</f>
        <v>0</v>
      </c>
      <c r="V175" s="274">
        <f t="shared" si="61"/>
        <v>0</v>
      </c>
      <c r="W175" s="273">
        <f>'人员人工-研发人员工资'!W175</f>
        <v>0</v>
      </c>
      <c r="X175" s="274">
        <f t="shared" si="62"/>
        <v>0</v>
      </c>
      <c r="Y175" s="273">
        <f>'人员人工-研发人员工资'!Y175</f>
        <v>0</v>
      </c>
      <c r="Z175" s="274">
        <f t="shared" si="63"/>
        <v>0</v>
      </c>
    </row>
    <row r="176" s="251" customFormat="1" customHeight="1" spans="1:26">
      <c r="A176" s="270">
        <v>20</v>
      </c>
      <c r="B176" s="271">
        <f>'人员人工-研发人员工资'!B176</f>
        <v>0</v>
      </c>
      <c r="C176" s="274"/>
      <c r="D176" s="272">
        <f>'人员人工-研发人员工资'!D176</f>
        <v>0</v>
      </c>
      <c r="E176" s="272">
        <f t="shared" si="52"/>
        <v>0</v>
      </c>
      <c r="F176" s="272">
        <f t="shared" si="53"/>
        <v>0</v>
      </c>
      <c r="G176" s="273">
        <f>'人员人工-研发人员工资'!G176</f>
        <v>0</v>
      </c>
      <c r="H176" s="274">
        <f t="shared" si="54"/>
        <v>0</v>
      </c>
      <c r="I176" s="273">
        <f>'人员人工-研发人员工资'!I176</f>
        <v>0</v>
      </c>
      <c r="J176" s="274">
        <f t="shared" si="55"/>
        <v>0</v>
      </c>
      <c r="K176" s="275">
        <f>'人员人工-研发人员工资'!K176</f>
        <v>0</v>
      </c>
      <c r="L176" s="274">
        <f t="shared" si="56"/>
        <v>0</v>
      </c>
      <c r="M176" s="273">
        <f>'人员人工-研发人员工资'!M176</f>
        <v>0</v>
      </c>
      <c r="N176" s="274">
        <f t="shared" si="57"/>
        <v>0</v>
      </c>
      <c r="O176" s="273">
        <f>'人员人工-研发人员工资'!O176</f>
        <v>0</v>
      </c>
      <c r="P176" s="274">
        <f t="shared" si="58"/>
        <v>0</v>
      </c>
      <c r="Q176" s="273">
        <f>'人员人工-研发人员工资'!Q176</f>
        <v>0</v>
      </c>
      <c r="R176" s="274">
        <f t="shared" si="59"/>
        <v>0</v>
      </c>
      <c r="S176" s="273">
        <f>'人员人工-研发人员工资'!S176</f>
        <v>0</v>
      </c>
      <c r="T176" s="274">
        <f t="shared" si="60"/>
        <v>0</v>
      </c>
      <c r="U176" s="273">
        <f>'人员人工-研发人员工资'!U176</f>
        <v>0</v>
      </c>
      <c r="V176" s="274">
        <f t="shared" si="61"/>
        <v>0</v>
      </c>
      <c r="W176" s="273">
        <f>'人员人工-研发人员工资'!W176</f>
        <v>0</v>
      </c>
      <c r="X176" s="274">
        <f t="shared" si="62"/>
        <v>0</v>
      </c>
      <c r="Y176" s="273">
        <f>'人员人工-研发人员工资'!Y176</f>
        <v>0</v>
      </c>
      <c r="Z176" s="274">
        <f t="shared" si="63"/>
        <v>0</v>
      </c>
    </row>
    <row r="177" s="251" customFormat="1" customHeight="1" spans="1:26">
      <c r="A177" s="270">
        <v>21</v>
      </c>
      <c r="B177" s="271">
        <f>'人员人工-研发人员工资'!B177</f>
        <v>0</v>
      </c>
      <c r="C177" s="274"/>
      <c r="D177" s="272">
        <f>'人员人工-研发人员工资'!D177</f>
        <v>0</v>
      </c>
      <c r="E177" s="272">
        <f t="shared" si="52"/>
        <v>0</v>
      </c>
      <c r="F177" s="272">
        <f t="shared" si="53"/>
        <v>0</v>
      </c>
      <c r="G177" s="273">
        <f>'人员人工-研发人员工资'!G177</f>
        <v>0</v>
      </c>
      <c r="H177" s="274">
        <f t="shared" si="54"/>
        <v>0</v>
      </c>
      <c r="I177" s="273">
        <f>'人员人工-研发人员工资'!I177</f>
        <v>0</v>
      </c>
      <c r="J177" s="274">
        <f t="shared" si="55"/>
        <v>0</v>
      </c>
      <c r="K177" s="275">
        <f>'人员人工-研发人员工资'!K177</f>
        <v>0</v>
      </c>
      <c r="L177" s="274">
        <f t="shared" si="56"/>
        <v>0</v>
      </c>
      <c r="M177" s="273">
        <f>'人员人工-研发人员工资'!M177</f>
        <v>0</v>
      </c>
      <c r="N177" s="274">
        <f t="shared" si="57"/>
        <v>0</v>
      </c>
      <c r="O177" s="273">
        <f>'人员人工-研发人员工资'!O177</f>
        <v>0</v>
      </c>
      <c r="P177" s="274">
        <f t="shared" si="58"/>
        <v>0</v>
      </c>
      <c r="Q177" s="273">
        <f>'人员人工-研发人员工资'!Q177</f>
        <v>0</v>
      </c>
      <c r="R177" s="274">
        <f t="shared" si="59"/>
        <v>0</v>
      </c>
      <c r="S177" s="273">
        <f>'人员人工-研发人员工资'!S177</f>
        <v>0</v>
      </c>
      <c r="T177" s="274">
        <f t="shared" si="60"/>
        <v>0</v>
      </c>
      <c r="U177" s="273">
        <f>'人员人工-研发人员工资'!U177</f>
        <v>0</v>
      </c>
      <c r="V177" s="274">
        <f t="shared" si="61"/>
        <v>0</v>
      </c>
      <c r="W177" s="273">
        <f>'人员人工-研发人员工资'!W177</f>
        <v>0</v>
      </c>
      <c r="X177" s="274">
        <f t="shared" si="62"/>
        <v>0</v>
      </c>
      <c r="Y177" s="273">
        <f>'人员人工-研发人员工资'!Y177</f>
        <v>0</v>
      </c>
      <c r="Z177" s="274">
        <f t="shared" si="63"/>
        <v>0</v>
      </c>
    </row>
    <row r="178" s="251" customFormat="1" customHeight="1" spans="1:26">
      <c r="A178" s="270">
        <v>22</v>
      </c>
      <c r="B178" s="271">
        <f>'人员人工-研发人员工资'!B178</f>
        <v>0</v>
      </c>
      <c r="C178" s="274"/>
      <c r="D178" s="272">
        <f>'人员人工-研发人员工资'!D178</f>
        <v>0</v>
      </c>
      <c r="E178" s="272">
        <f t="shared" si="52"/>
        <v>0</v>
      </c>
      <c r="F178" s="272">
        <f t="shared" si="53"/>
        <v>0</v>
      </c>
      <c r="G178" s="273">
        <f>'人员人工-研发人员工资'!G178</f>
        <v>0</v>
      </c>
      <c r="H178" s="274">
        <f t="shared" si="54"/>
        <v>0</v>
      </c>
      <c r="I178" s="273">
        <f>'人员人工-研发人员工资'!I178</f>
        <v>0</v>
      </c>
      <c r="J178" s="274">
        <f t="shared" si="55"/>
        <v>0</v>
      </c>
      <c r="K178" s="275">
        <f>'人员人工-研发人员工资'!K178</f>
        <v>0</v>
      </c>
      <c r="L178" s="274">
        <f t="shared" si="56"/>
        <v>0</v>
      </c>
      <c r="M178" s="273">
        <f>'人员人工-研发人员工资'!M178</f>
        <v>0</v>
      </c>
      <c r="N178" s="274">
        <f t="shared" si="57"/>
        <v>0</v>
      </c>
      <c r="O178" s="273">
        <f>'人员人工-研发人员工资'!O178</f>
        <v>0</v>
      </c>
      <c r="P178" s="274">
        <f t="shared" si="58"/>
        <v>0</v>
      </c>
      <c r="Q178" s="273">
        <f>'人员人工-研发人员工资'!Q178</f>
        <v>0</v>
      </c>
      <c r="R178" s="274">
        <f t="shared" si="59"/>
        <v>0</v>
      </c>
      <c r="S178" s="273">
        <f>'人员人工-研发人员工资'!S178</f>
        <v>0</v>
      </c>
      <c r="T178" s="274">
        <f t="shared" si="60"/>
        <v>0</v>
      </c>
      <c r="U178" s="273">
        <f>'人员人工-研发人员工资'!U178</f>
        <v>0</v>
      </c>
      <c r="V178" s="274">
        <f t="shared" si="61"/>
        <v>0</v>
      </c>
      <c r="W178" s="273">
        <f>'人员人工-研发人员工资'!W178</f>
        <v>0</v>
      </c>
      <c r="X178" s="274">
        <f t="shared" si="62"/>
        <v>0</v>
      </c>
      <c r="Y178" s="273">
        <f>'人员人工-研发人员工资'!Y178</f>
        <v>0</v>
      </c>
      <c r="Z178" s="274">
        <f t="shared" si="63"/>
        <v>0</v>
      </c>
    </row>
    <row r="179" s="251" customFormat="1" customHeight="1" spans="1:26">
      <c r="A179" s="270">
        <v>23</v>
      </c>
      <c r="B179" s="271">
        <f>'人员人工-研发人员工资'!B179</f>
        <v>0</v>
      </c>
      <c r="C179" s="274"/>
      <c r="D179" s="272">
        <f>'人员人工-研发人员工资'!D179</f>
        <v>0</v>
      </c>
      <c r="E179" s="272">
        <f t="shared" si="52"/>
        <v>0</v>
      </c>
      <c r="F179" s="272">
        <f t="shared" si="53"/>
        <v>0</v>
      </c>
      <c r="G179" s="273">
        <f>'人员人工-研发人员工资'!G179</f>
        <v>0</v>
      </c>
      <c r="H179" s="274">
        <f t="shared" si="54"/>
        <v>0</v>
      </c>
      <c r="I179" s="273">
        <f>'人员人工-研发人员工资'!I179</f>
        <v>0</v>
      </c>
      <c r="J179" s="274">
        <f t="shared" si="55"/>
        <v>0</v>
      </c>
      <c r="K179" s="275">
        <f>'人员人工-研发人员工资'!K179</f>
        <v>0</v>
      </c>
      <c r="L179" s="274">
        <f t="shared" si="56"/>
        <v>0</v>
      </c>
      <c r="M179" s="273">
        <f>'人员人工-研发人员工资'!M179</f>
        <v>0</v>
      </c>
      <c r="N179" s="274">
        <f t="shared" si="57"/>
        <v>0</v>
      </c>
      <c r="O179" s="273">
        <f>'人员人工-研发人员工资'!O179</f>
        <v>0</v>
      </c>
      <c r="P179" s="274">
        <f t="shared" si="58"/>
        <v>0</v>
      </c>
      <c r="Q179" s="273">
        <f>'人员人工-研发人员工资'!Q179</f>
        <v>0</v>
      </c>
      <c r="R179" s="274">
        <f t="shared" si="59"/>
        <v>0</v>
      </c>
      <c r="S179" s="273">
        <f>'人员人工-研发人员工资'!S179</f>
        <v>0</v>
      </c>
      <c r="T179" s="274">
        <f t="shared" si="60"/>
        <v>0</v>
      </c>
      <c r="U179" s="273">
        <f>'人员人工-研发人员工资'!U179</f>
        <v>0</v>
      </c>
      <c r="V179" s="274">
        <f t="shared" si="61"/>
        <v>0</v>
      </c>
      <c r="W179" s="273">
        <f>'人员人工-研发人员工资'!W179</f>
        <v>0</v>
      </c>
      <c r="X179" s="274">
        <f t="shared" si="62"/>
        <v>0</v>
      </c>
      <c r="Y179" s="273">
        <f>'人员人工-研发人员工资'!Y179</f>
        <v>0</v>
      </c>
      <c r="Z179" s="274">
        <f t="shared" si="63"/>
        <v>0</v>
      </c>
    </row>
    <row r="180" s="251" customFormat="1" customHeight="1" spans="1:26">
      <c r="A180" s="270">
        <v>25</v>
      </c>
      <c r="B180" s="271">
        <f>'人员人工-研发人员工资'!B180</f>
        <v>0</v>
      </c>
      <c r="C180" s="274"/>
      <c r="D180" s="272">
        <f>'人员人工-研发人员工资'!D180</f>
        <v>0</v>
      </c>
      <c r="E180" s="272">
        <f t="shared" si="52"/>
        <v>0</v>
      </c>
      <c r="F180" s="272">
        <f t="shared" si="53"/>
        <v>0</v>
      </c>
      <c r="G180" s="273">
        <f>'人员人工-研发人员工资'!G180</f>
        <v>0</v>
      </c>
      <c r="H180" s="274">
        <f t="shared" si="54"/>
        <v>0</v>
      </c>
      <c r="I180" s="273">
        <f>'人员人工-研发人员工资'!I180</f>
        <v>0</v>
      </c>
      <c r="J180" s="274">
        <f t="shared" si="55"/>
        <v>0</v>
      </c>
      <c r="K180" s="275">
        <f>'人员人工-研发人员工资'!K180</f>
        <v>0</v>
      </c>
      <c r="L180" s="274">
        <f t="shared" si="56"/>
        <v>0</v>
      </c>
      <c r="M180" s="273">
        <f>'人员人工-研发人员工资'!M180</f>
        <v>0</v>
      </c>
      <c r="N180" s="274">
        <f t="shared" si="57"/>
        <v>0</v>
      </c>
      <c r="O180" s="273">
        <f>'人员人工-研发人员工资'!O180</f>
        <v>0</v>
      </c>
      <c r="P180" s="274">
        <f t="shared" si="58"/>
        <v>0</v>
      </c>
      <c r="Q180" s="273">
        <f>'人员人工-研发人员工资'!Q180</f>
        <v>0</v>
      </c>
      <c r="R180" s="274">
        <f t="shared" si="59"/>
        <v>0</v>
      </c>
      <c r="S180" s="273">
        <f>'人员人工-研发人员工资'!S180</f>
        <v>0</v>
      </c>
      <c r="T180" s="274">
        <f t="shared" si="60"/>
        <v>0</v>
      </c>
      <c r="U180" s="273">
        <f>'人员人工-研发人员工资'!U180</f>
        <v>0</v>
      </c>
      <c r="V180" s="274">
        <f t="shared" si="61"/>
        <v>0</v>
      </c>
      <c r="W180" s="273">
        <f>'人员人工-研发人员工资'!W180</f>
        <v>0</v>
      </c>
      <c r="X180" s="274">
        <f t="shared" si="62"/>
        <v>0</v>
      </c>
      <c r="Y180" s="273">
        <f>'人员人工-研发人员工资'!Y180</f>
        <v>0</v>
      </c>
      <c r="Z180" s="274">
        <f t="shared" si="63"/>
        <v>0</v>
      </c>
    </row>
    <row r="181" s="251" customFormat="1" customHeight="1" spans="1:26">
      <c r="A181" s="270">
        <v>25</v>
      </c>
      <c r="B181" s="271">
        <f>'人员人工-研发人员工资'!B181</f>
        <v>0</v>
      </c>
      <c r="C181" s="274"/>
      <c r="D181" s="272">
        <f>'人员人工-研发人员工资'!D181</f>
        <v>0</v>
      </c>
      <c r="E181" s="272">
        <f t="shared" si="52"/>
        <v>0</v>
      </c>
      <c r="F181" s="272">
        <f t="shared" si="53"/>
        <v>0</v>
      </c>
      <c r="G181" s="273">
        <f>'人员人工-研发人员工资'!G181</f>
        <v>0</v>
      </c>
      <c r="H181" s="274">
        <f t="shared" si="54"/>
        <v>0</v>
      </c>
      <c r="I181" s="273">
        <f>'人员人工-研发人员工资'!I181</f>
        <v>0</v>
      </c>
      <c r="J181" s="274">
        <f t="shared" si="55"/>
        <v>0</v>
      </c>
      <c r="K181" s="275">
        <f>'人员人工-研发人员工资'!K181</f>
        <v>0</v>
      </c>
      <c r="L181" s="274">
        <f t="shared" si="56"/>
        <v>0</v>
      </c>
      <c r="M181" s="273">
        <f>'人员人工-研发人员工资'!M181</f>
        <v>0</v>
      </c>
      <c r="N181" s="274">
        <f t="shared" si="57"/>
        <v>0</v>
      </c>
      <c r="O181" s="273">
        <f>'人员人工-研发人员工资'!O181</f>
        <v>0</v>
      </c>
      <c r="P181" s="274">
        <f t="shared" si="58"/>
        <v>0</v>
      </c>
      <c r="Q181" s="273">
        <f>'人员人工-研发人员工资'!Q181</f>
        <v>0</v>
      </c>
      <c r="R181" s="274">
        <f t="shared" si="59"/>
        <v>0</v>
      </c>
      <c r="S181" s="273">
        <f>'人员人工-研发人员工资'!S181</f>
        <v>0</v>
      </c>
      <c r="T181" s="274">
        <f t="shared" si="60"/>
        <v>0</v>
      </c>
      <c r="U181" s="273">
        <f>'人员人工-研发人员工资'!U181</f>
        <v>0</v>
      </c>
      <c r="V181" s="274">
        <f t="shared" si="61"/>
        <v>0</v>
      </c>
      <c r="W181" s="273">
        <f>'人员人工-研发人员工资'!W181</f>
        <v>0</v>
      </c>
      <c r="X181" s="274">
        <f t="shared" si="62"/>
        <v>0</v>
      </c>
      <c r="Y181" s="273">
        <f>'人员人工-研发人员工资'!Y181</f>
        <v>0</v>
      </c>
      <c r="Z181" s="274">
        <f t="shared" si="63"/>
        <v>0</v>
      </c>
    </row>
    <row r="182" s="251" customFormat="1" customHeight="1" spans="1:26">
      <c r="A182" s="270">
        <v>26</v>
      </c>
      <c r="B182" s="271">
        <f>'人员人工-研发人员工资'!B182</f>
        <v>0</v>
      </c>
      <c r="C182" s="274"/>
      <c r="D182" s="272">
        <f>'人员人工-研发人员工资'!D182</f>
        <v>0</v>
      </c>
      <c r="E182" s="272">
        <f t="shared" si="52"/>
        <v>0</v>
      </c>
      <c r="F182" s="272">
        <f t="shared" si="53"/>
        <v>0</v>
      </c>
      <c r="G182" s="273">
        <f>'人员人工-研发人员工资'!G182</f>
        <v>0</v>
      </c>
      <c r="H182" s="274">
        <f t="shared" si="54"/>
        <v>0</v>
      </c>
      <c r="I182" s="273">
        <f>'人员人工-研发人员工资'!I182</f>
        <v>0</v>
      </c>
      <c r="J182" s="274">
        <f t="shared" si="55"/>
        <v>0</v>
      </c>
      <c r="K182" s="275">
        <f>'人员人工-研发人员工资'!K182</f>
        <v>0</v>
      </c>
      <c r="L182" s="274">
        <f t="shared" si="56"/>
        <v>0</v>
      </c>
      <c r="M182" s="273">
        <f>'人员人工-研发人员工资'!M182</f>
        <v>0</v>
      </c>
      <c r="N182" s="274">
        <f t="shared" si="57"/>
        <v>0</v>
      </c>
      <c r="O182" s="273">
        <f>'人员人工-研发人员工资'!O182</f>
        <v>0</v>
      </c>
      <c r="P182" s="274">
        <f t="shared" si="58"/>
        <v>0</v>
      </c>
      <c r="Q182" s="273">
        <f>'人员人工-研发人员工资'!Q182</f>
        <v>0</v>
      </c>
      <c r="R182" s="274">
        <f t="shared" si="59"/>
        <v>0</v>
      </c>
      <c r="S182" s="273">
        <f>'人员人工-研发人员工资'!S182</f>
        <v>0</v>
      </c>
      <c r="T182" s="274">
        <f t="shared" si="60"/>
        <v>0</v>
      </c>
      <c r="U182" s="273">
        <f>'人员人工-研发人员工资'!U182</f>
        <v>0</v>
      </c>
      <c r="V182" s="274">
        <f t="shared" si="61"/>
        <v>0</v>
      </c>
      <c r="W182" s="273">
        <f>'人员人工-研发人员工资'!W182</f>
        <v>0</v>
      </c>
      <c r="X182" s="274">
        <f t="shared" si="62"/>
        <v>0</v>
      </c>
      <c r="Y182" s="273">
        <f>'人员人工-研发人员工资'!Y182</f>
        <v>0</v>
      </c>
      <c r="Z182" s="274">
        <f t="shared" si="63"/>
        <v>0</v>
      </c>
    </row>
    <row r="183" s="251" customFormat="1" customHeight="1" spans="1:26">
      <c r="A183" s="270">
        <v>27</v>
      </c>
      <c r="B183" s="271">
        <f>'人员人工-研发人员工资'!B183</f>
        <v>0</v>
      </c>
      <c r="C183" s="274"/>
      <c r="D183" s="272">
        <f>'人员人工-研发人员工资'!D183</f>
        <v>0</v>
      </c>
      <c r="E183" s="272">
        <f t="shared" si="52"/>
        <v>0</v>
      </c>
      <c r="F183" s="272">
        <f t="shared" si="53"/>
        <v>0</v>
      </c>
      <c r="G183" s="273">
        <f>'人员人工-研发人员工资'!G183</f>
        <v>0</v>
      </c>
      <c r="H183" s="274">
        <f t="shared" si="54"/>
        <v>0</v>
      </c>
      <c r="I183" s="273">
        <f>'人员人工-研发人员工资'!I183</f>
        <v>0</v>
      </c>
      <c r="J183" s="274">
        <f t="shared" si="55"/>
        <v>0</v>
      </c>
      <c r="K183" s="275">
        <f>'人员人工-研发人员工资'!K183</f>
        <v>0</v>
      </c>
      <c r="L183" s="274">
        <f t="shared" si="56"/>
        <v>0</v>
      </c>
      <c r="M183" s="273">
        <f>'人员人工-研发人员工资'!M183</f>
        <v>0</v>
      </c>
      <c r="N183" s="274">
        <f t="shared" si="57"/>
        <v>0</v>
      </c>
      <c r="O183" s="273">
        <f>'人员人工-研发人员工资'!O183</f>
        <v>0</v>
      </c>
      <c r="P183" s="274">
        <f t="shared" si="58"/>
        <v>0</v>
      </c>
      <c r="Q183" s="273">
        <f>'人员人工-研发人员工资'!Q183</f>
        <v>0</v>
      </c>
      <c r="R183" s="274">
        <f t="shared" si="59"/>
        <v>0</v>
      </c>
      <c r="S183" s="273">
        <f>'人员人工-研发人员工资'!S183</f>
        <v>0</v>
      </c>
      <c r="T183" s="274">
        <f t="shared" si="60"/>
        <v>0</v>
      </c>
      <c r="U183" s="273">
        <f>'人员人工-研发人员工资'!U183</f>
        <v>0</v>
      </c>
      <c r="V183" s="274">
        <f t="shared" si="61"/>
        <v>0</v>
      </c>
      <c r="W183" s="273">
        <f>'人员人工-研发人员工资'!W183</f>
        <v>0</v>
      </c>
      <c r="X183" s="274">
        <f t="shared" si="62"/>
        <v>0</v>
      </c>
      <c r="Y183" s="273">
        <f>'人员人工-研发人员工资'!Y183</f>
        <v>0</v>
      </c>
      <c r="Z183" s="274">
        <f t="shared" si="63"/>
        <v>0</v>
      </c>
    </row>
    <row r="184" s="251" customFormat="1" customHeight="1" spans="1:26">
      <c r="A184" s="270">
        <v>28</v>
      </c>
      <c r="B184" s="271">
        <f>'人员人工-研发人员工资'!B184</f>
        <v>0</v>
      </c>
      <c r="C184" s="274"/>
      <c r="D184" s="272">
        <f>'人员人工-研发人员工资'!D184</f>
        <v>0</v>
      </c>
      <c r="E184" s="272">
        <f t="shared" si="52"/>
        <v>0</v>
      </c>
      <c r="F184" s="272">
        <f t="shared" si="53"/>
        <v>0</v>
      </c>
      <c r="G184" s="273">
        <f>'人员人工-研发人员工资'!G184</f>
        <v>0</v>
      </c>
      <c r="H184" s="274">
        <f t="shared" si="54"/>
        <v>0</v>
      </c>
      <c r="I184" s="273">
        <f>'人员人工-研发人员工资'!I184</f>
        <v>0</v>
      </c>
      <c r="J184" s="274">
        <f t="shared" si="55"/>
        <v>0</v>
      </c>
      <c r="K184" s="275">
        <f>'人员人工-研发人员工资'!K184</f>
        <v>0</v>
      </c>
      <c r="L184" s="274">
        <f t="shared" si="56"/>
        <v>0</v>
      </c>
      <c r="M184" s="273">
        <f>'人员人工-研发人员工资'!M184</f>
        <v>0</v>
      </c>
      <c r="N184" s="274">
        <f t="shared" si="57"/>
        <v>0</v>
      </c>
      <c r="O184" s="273">
        <f>'人员人工-研发人员工资'!O184</f>
        <v>0</v>
      </c>
      <c r="P184" s="274">
        <f t="shared" si="58"/>
        <v>0</v>
      </c>
      <c r="Q184" s="273">
        <f>'人员人工-研发人员工资'!Q184</f>
        <v>0</v>
      </c>
      <c r="R184" s="274">
        <f t="shared" si="59"/>
        <v>0</v>
      </c>
      <c r="S184" s="273">
        <f>'人员人工-研发人员工资'!S184</f>
        <v>0</v>
      </c>
      <c r="T184" s="274">
        <f t="shared" si="60"/>
        <v>0</v>
      </c>
      <c r="U184" s="273">
        <f>'人员人工-研发人员工资'!U184</f>
        <v>0</v>
      </c>
      <c r="V184" s="274">
        <f t="shared" si="61"/>
        <v>0</v>
      </c>
      <c r="W184" s="273">
        <f>'人员人工-研发人员工资'!W184</f>
        <v>0</v>
      </c>
      <c r="X184" s="274">
        <f t="shared" si="62"/>
        <v>0</v>
      </c>
      <c r="Y184" s="273">
        <f>'人员人工-研发人员工资'!Y184</f>
        <v>0</v>
      </c>
      <c r="Z184" s="274">
        <f t="shared" si="63"/>
        <v>0</v>
      </c>
    </row>
    <row r="185" s="251" customFormat="1" customHeight="1" spans="1:26">
      <c r="A185" s="270">
        <v>29</v>
      </c>
      <c r="B185" s="271">
        <f>'人员人工-研发人员工资'!B185</f>
        <v>0</v>
      </c>
      <c r="C185" s="274"/>
      <c r="D185" s="272">
        <f>'人员人工-研发人员工资'!D185</f>
        <v>0</v>
      </c>
      <c r="E185" s="272">
        <f t="shared" si="52"/>
        <v>0</v>
      </c>
      <c r="F185" s="272">
        <f t="shared" si="53"/>
        <v>0</v>
      </c>
      <c r="G185" s="273">
        <f>'人员人工-研发人员工资'!G185</f>
        <v>0</v>
      </c>
      <c r="H185" s="274">
        <f t="shared" si="54"/>
        <v>0</v>
      </c>
      <c r="I185" s="273">
        <f>'人员人工-研发人员工资'!I185</f>
        <v>0</v>
      </c>
      <c r="J185" s="274">
        <f t="shared" si="55"/>
        <v>0</v>
      </c>
      <c r="K185" s="275">
        <f>'人员人工-研发人员工资'!K185</f>
        <v>0</v>
      </c>
      <c r="L185" s="274">
        <f t="shared" si="56"/>
        <v>0</v>
      </c>
      <c r="M185" s="273">
        <f>'人员人工-研发人员工资'!M185</f>
        <v>0</v>
      </c>
      <c r="N185" s="274">
        <f t="shared" si="57"/>
        <v>0</v>
      </c>
      <c r="O185" s="273">
        <f>'人员人工-研发人员工资'!O185</f>
        <v>0</v>
      </c>
      <c r="P185" s="274">
        <f t="shared" si="58"/>
        <v>0</v>
      </c>
      <c r="Q185" s="273">
        <f>'人员人工-研发人员工资'!Q185</f>
        <v>0</v>
      </c>
      <c r="R185" s="274">
        <f t="shared" si="59"/>
        <v>0</v>
      </c>
      <c r="S185" s="273">
        <f>'人员人工-研发人员工资'!S185</f>
        <v>0</v>
      </c>
      <c r="T185" s="274">
        <f t="shared" si="60"/>
        <v>0</v>
      </c>
      <c r="U185" s="273">
        <f>'人员人工-研发人员工资'!U185</f>
        <v>0</v>
      </c>
      <c r="V185" s="274">
        <f t="shared" si="61"/>
        <v>0</v>
      </c>
      <c r="W185" s="273">
        <f>'人员人工-研发人员工资'!W185</f>
        <v>0</v>
      </c>
      <c r="X185" s="274">
        <f t="shared" si="62"/>
        <v>0</v>
      </c>
      <c r="Y185" s="273">
        <f>'人员人工-研发人员工资'!Y185</f>
        <v>0</v>
      </c>
      <c r="Z185" s="274">
        <f t="shared" si="63"/>
        <v>0</v>
      </c>
    </row>
    <row r="186" s="251" customFormat="1" customHeight="1" spans="1:26">
      <c r="A186" s="270">
        <v>30</v>
      </c>
      <c r="B186" s="271">
        <f>'人员人工-研发人员工资'!B186</f>
        <v>0</v>
      </c>
      <c r="C186" s="274"/>
      <c r="D186" s="272">
        <f>'人员人工-研发人员工资'!D186</f>
        <v>0</v>
      </c>
      <c r="E186" s="272">
        <f t="shared" si="52"/>
        <v>0</v>
      </c>
      <c r="F186" s="272">
        <f t="shared" si="53"/>
        <v>0</v>
      </c>
      <c r="G186" s="273">
        <f>'人员人工-研发人员工资'!G186</f>
        <v>0</v>
      </c>
      <c r="H186" s="274">
        <f t="shared" si="54"/>
        <v>0</v>
      </c>
      <c r="I186" s="273">
        <f>'人员人工-研发人员工资'!I186</f>
        <v>0</v>
      </c>
      <c r="J186" s="274">
        <f t="shared" si="55"/>
        <v>0</v>
      </c>
      <c r="K186" s="275">
        <f>'人员人工-研发人员工资'!K186</f>
        <v>0</v>
      </c>
      <c r="L186" s="274">
        <f t="shared" si="56"/>
        <v>0</v>
      </c>
      <c r="M186" s="273">
        <f>'人员人工-研发人员工资'!M186</f>
        <v>0</v>
      </c>
      <c r="N186" s="274">
        <f t="shared" si="57"/>
        <v>0</v>
      </c>
      <c r="O186" s="273">
        <f>'人员人工-研发人员工资'!O186</f>
        <v>0</v>
      </c>
      <c r="P186" s="274">
        <f t="shared" si="58"/>
        <v>0</v>
      </c>
      <c r="Q186" s="273">
        <f>'人员人工-研发人员工资'!Q186</f>
        <v>0</v>
      </c>
      <c r="R186" s="274">
        <f t="shared" si="59"/>
        <v>0</v>
      </c>
      <c r="S186" s="273">
        <f>'人员人工-研发人员工资'!S186</f>
        <v>0</v>
      </c>
      <c r="T186" s="274">
        <f t="shared" si="60"/>
        <v>0</v>
      </c>
      <c r="U186" s="273">
        <f>'人员人工-研发人员工资'!U186</f>
        <v>0</v>
      </c>
      <c r="V186" s="274">
        <f t="shared" si="61"/>
        <v>0</v>
      </c>
      <c r="W186" s="273">
        <f>'人员人工-研发人员工资'!W186</f>
        <v>0</v>
      </c>
      <c r="X186" s="274">
        <f t="shared" si="62"/>
        <v>0</v>
      </c>
      <c r="Y186" s="273">
        <f>'人员人工-研发人员工资'!Y186</f>
        <v>0</v>
      </c>
      <c r="Z186" s="274">
        <f t="shared" si="63"/>
        <v>0</v>
      </c>
    </row>
    <row r="187" s="251" customFormat="1" customHeight="1" spans="1:26">
      <c r="A187" s="276" t="s">
        <v>22</v>
      </c>
      <c r="B187" s="277"/>
      <c r="C187" s="261">
        <f t="shared" ref="C187:Z187" si="64">SUM(C157:C186)</f>
        <v>0</v>
      </c>
      <c r="D187" s="261">
        <f t="shared" si="64"/>
        <v>0</v>
      </c>
      <c r="E187" s="272">
        <f t="shared" si="64"/>
        <v>0</v>
      </c>
      <c r="F187" s="261">
        <f t="shared" si="64"/>
        <v>0</v>
      </c>
      <c r="G187" s="261">
        <f t="shared" si="64"/>
        <v>0</v>
      </c>
      <c r="H187" s="261">
        <f t="shared" si="64"/>
        <v>0</v>
      </c>
      <c r="I187" s="261">
        <f t="shared" si="64"/>
        <v>0</v>
      </c>
      <c r="J187" s="261">
        <f t="shared" si="64"/>
        <v>0</v>
      </c>
      <c r="K187" s="261">
        <f t="shared" si="64"/>
        <v>0</v>
      </c>
      <c r="L187" s="261">
        <f t="shared" si="64"/>
        <v>0</v>
      </c>
      <c r="M187" s="261">
        <f t="shared" si="64"/>
        <v>0</v>
      </c>
      <c r="N187" s="261">
        <f t="shared" si="64"/>
        <v>0</v>
      </c>
      <c r="O187" s="261">
        <f t="shared" si="64"/>
        <v>0</v>
      </c>
      <c r="P187" s="261">
        <f t="shared" si="64"/>
        <v>0</v>
      </c>
      <c r="Q187" s="261">
        <f t="shared" si="64"/>
        <v>0</v>
      </c>
      <c r="R187" s="261">
        <f t="shared" si="64"/>
        <v>0</v>
      </c>
      <c r="S187" s="261">
        <f t="shared" si="64"/>
        <v>0</v>
      </c>
      <c r="T187" s="261">
        <f t="shared" si="64"/>
        <v>0</v>
      </c>
      <c r="U187" s="261">
        <f t="shared" si="64"/>
        <v>0</v>
      </c>
      <c r="V187" s="261">
        <f t="shared" si="64"/>
        <v>0</v>
      </c>
      <c r="W187" s="261">
        <f t="shared" si="64"/>
        <v>0</v>
      </c>
      <c r="X187" s="261">
        <f t="shared" si="64"/>
        <v>0</v>
      </c>
      <c r="Y187" s="261">
        <f t="shared" si="64"/>
        <v>0</v>
      </c>
      <c r="Z187" s="261">
        <f t="shared" si="64"/>
        <v>0</v>
      </c>
    </row>
    <row r="188" s="251" customFormat="1" customHeight="1" spans="1:26">
      <c r="A188" s="252"/>
      <c r="B188" s="253"/>
      <c r="C188" s="254"/>
      <c r="D188" s="254"/>
      <c r="E188" s="254"/>
      <c r="F188" s="254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</row>
    <row r="189" s="251" customFormat="1" customHeight="1" spans="1:26">
      <c r="A189" s="252"/>
      <c r="B189" s="257" t="s">
        <v>148</v>
      </c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  <c r="Z189" s="258"/>
    </row>
    <row r="190" s="251" customFormat="1" customHeight="1" spans="1:26">
      <c r="A190" s="252"/>
      <c r="B190" s="253"/>
      <c r="C190" s="254"/>
      <c r="D190" s="254"/>
      <c r="E190" s="254"/>
      <c r="F190" s="254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</row>
    <row r="191" s="251" customFormat="1" customHeight="1" spans="1:26">
      <c r="A191" s="259" t="s">
        <v>31</v>
      </c>
      <c r="B191" s="260" t="s">
        <v>32</v>
      </c>
      <c r="C191" s="261" t="s">
        <v>141</v>
      </c>
      <c r="D191" s="261" t="s">
        <v>34</v>
      </c>
      <c r="E191" s="262" t="s">
        <v>35</v>
      </c>
      <c r="F191" s="262" t="s">
        <v>142</v>
      </c>
      <c r="G191" s="263" t="str">
        <f>立项!$A$3</f>
        <v>RD01</v>
      </c>
      <c r="H191" s="264"/>
      <c r="I191" s="264" t="str">
        <f>立项!$A$4</f>
        <v>RD02</v>
      </c>
      <c r="J191" s="264"/>
      <c r="K191" s="264" t="str">
        <f>立项!$A$5</f>
        <v>RD03</v>
      </c>
      <c r="L191" s="264"/>
      <c r="M191" s="264" t="str">
        <f>立项!$A$6</f>
        <v>RD04</v>
      </c>
      <c r="N191" s="264"/>
      <c r="O191" s="264" t="str">
        <f>立项!$A$7</f>
        <v>RD05</v>
      </c>
      <c r="P191" s="264"/>
      <c r="Q191" s="264" t="str">
        <f>立项!$A$8</f>
        <v>RD06</v>
      </c>
      <c r="R191" s="264"/>
      <c r="S191" s="264" t="str">
        <f>立项!$A$9</f>
        <v>RD07</v>
      </c>
      <c r="T191" s="264"/>
      <c r="U191" s="264" t="str">
        <f>立项!$A$10</f>
        <v>RD08</v>
      </c>
      <c r="V191" s="264"/>
      <c r="W191" s="264" t="str">
        <f>立项!$A$11</f>
        <v>RD09</v>
      </c>
      <c r="X191" s="264"/>
      <c r="Y191" s="264" t="str">
        <f>立项!$A$12</f>
        <v>RD10</v>
      </c>
      <c r="Z191" s="264"/>
    </row>
    <row r="192" s="251" customFormat="1" customHeight="1" spans="1:26">
      <c r="A192" s="265"/>
      <c r="B192" s="260"/>
      <c r="C192" s="261"/>
      <c r="D192" s="261"/>
      <c r="E192" s="262"/>
      <c r="F192" s="262"/>
      <c r="G192" s="267">
        <f>立项!C3</f>
        <v>0</v>
      </c>
      <c r="H192" s="263"/>
      <c r="I192" s="267">
        <f>立项!C4</f>
        <v>0</v>
      </c>
      <c r="J192" s="263"/>
      <c r="K192" s="267">
        <f>立项!C5</f>
        <v>0</v>
      </c>
      <c r="L192" s="263"/>
      <c r="M192" s="267">
        <f>立项!C6</f>
        <v>0</v>
      </c>
      <c r="N192" s="263"/>
      <c r="O192" s="267">
        <f>立项!C7</f>
        <v>0</v>
      </c>
      <c r="P192" s="263"/>
      <c r="Q192" s="267">
        <f>立项!C8</f>
        <v>0</v>
      </c>
      <c r="R192" s="263"/>
      <c r="S192" s="267">
        <f>立项!C9</f>
        <v>0</v>
      </c>
      <c r="T192" s="263"/>
      <c r="U192" s="267">
        <f>立项!C10</f>
        <v>0</v>
      </c>
      <c r="V192" s="263"/>
      <c r="W192" s="267">
        <f>立项!C11</f>
        <v>0</v>
      </c>
      <c r="X192" s="263"/>
      <c r="Y192" s="264">
        <f>立项!C12</f>
        <v>0</v>
      </c>
      <c r="Z192" s="264"/>
    </row>
    <row r="193" s="251" customFormat="1" customHeight="1" spans="1:26">
      <c r="A193" s="268"/>
      <c r="B193" s="260"/>
      <c r="C193" s="261"/>
      <c r="D193" s="261"/>
      <c r="E193" s="262"/>
      <c r="F193" s="262"/>
      <c r="G193" s="264" t="s">
        <v>39</v>
      </c>
      <c r="H193" s="269" t="s">
        <v>143</v>
      </c>
      <c r="I193" s="264" t="s">
        <v>39</v>
      </c>
      <c r="J193" s="269" t="s">
        <v>143</v>
      </c>
      <c r="K193" s="264" t="s">
        <v>39</v>
      </c>
      <c r="L193" s="269" t="s">
        <v>143</v>
      </c>
      <c r="M193" s="264" t="s">
        <v>39</v>
      </c>
      <c r="N193" s="269" t="s">
        <v>143</v>
      </c>
      <c r="O193" s="264" t="s">
        <v>39</v>
      </c>
      <c r="P193" s="269" t="s">
        <v>143</v>
      </c>
      <c r="Q193" s="264" t="s">
        <v>39</v>
      </c>
      <c r="R193" s="269" t="s">
        <v>143</v>
      </c>
      <c r="S193" s="264" t="s">
        <v>39</v>
      </c>
      <c r="T193" s="269" t="s">
        <v>143</v>
      </c>
      <c r="U193" s="264" t="s">
        <v>39</v>
      </c>
      <c r="V193" s="269" t="s">
        <v>143</v>
      </c>
      <c r="W193" s="264" t="s">
        <v>39</v>
      </c>
      <c r="X193" s="269" t="s">
        <v>143</v>
      </c>
      <c r="Y193" s="264" t="s">
        <v>39</v>
      </c>
      <c r="Z193" s="269" t="s">
        <v>143</v>
      </c>
    </row>
    <row r="194" s="251" customFormat="1" customHeight="1" spans="1:26">
      <c r="A194" s="270">
        <v>1</v>
      </c>
      <c r="B194" s="271">
        <f>'人员人工-研发人员工资'!B194</f>
        <v>0</v>
      </c>
      <c r="C194" s="272"/>
      <c r="D194" s="272">
        <f>'人员人工-研发人员工资'!D194</f>
        <v>0</v>
      </c>
      <c r="E194" s="272">
        <f t="shared" ref="E194:E223" si="65">G194+I194+K194+M194+O194+Q194+S194+U194+W194+Y194</f>
        <v>0</v>
      </c>
      <c r="F194" s="272">
        <f t="shared" ref="F194:F223" si="66">H194+J194+L194+N194+P194+R194+T194+V194+X194+Z194</f>
        <v>0</v>
      </c>
      <c r="G194" s="273">
        <f>'人员人工-研发人员工资'!G194</f>
        <v>0</v>
      </c>
      <c r="H194" s="274">
        <f t="shared" ref="H194:H223" si="67">IF($D194=0,0,ROUND(G194/$D194*$C194,2))</f>
        <v>0</v>
      </c>
      <c r="I194" s="273">
        <f>'人员人工-研发人员工资'!I194</f>
        <v>0</v>
      </c>
      <c r="J194" s="274">
        <f t="shared" ref="J194:J223" si="68">IF($D194=0,0,ROUND(I194/$D194*$C194,2))</f>
        <v>0</v>
      </c>
      <c r="K194" s="275">
        <f>'人员人工-研发人员工资'!K194</f>
        <v>0</v>
      </c>
      <c r="L194" s="274">
        <f t="shared" ref="L194:L223" si="69">IF($D194=0,0,ROUND(K194/$D194*$C194,2))</f>
        <v>0</v>
      </c>
      <c r="M194" s="273">
        <f>'人员人工-研发人员工资'!M194</f>
        <v>0</v>
      </c>
      <c r="N194" s="274">
        <f t="shared" ref="N194:N223" si="70">IF($D194=0,0,ROUND(M194/$D194*$C194,2))</f>
        <v>0</v>
      </c>
      <c r="O194" s="273">
        <f>'人员人工-研发人员工资'!O194</f>
        <v>0</v>
      </c>
      <c r="P194" s="274">
        <f t="shared" ref="P194:P223" si="71">IF($D194=0,0,ROUND(O194/$D194*$C194,2))</f>
        <v>0</v>
      </c>
      <c r="Q194" s="273">
        <f>'人员人工-研发人员工资'!Q194</f>
        <v>0</v>
      </c>
      <c r="R194" s="274">
        <f t="shared" ref="R194:R223" si="72">IF($D194=0,0,ROUND(Q194/$D194*$C194,2))</f>
        <v>0</v>
      </c>
      <c r="S194" s="273">
        <f>'人员人工-研发人员工资'!S194</f>
        <v>0</v>
      </c>
      <c r="T194" s="274">
        <f t="shared" ref="T194:T223" si="73">IF($D194=0,0,ROUND(S194/$D194*$C194,2))</f>
        <v>0</v>
      </c>
      <c r="U194" s="273">
        <f>'人员人工-研发人员工资'!U194</f>
        <v>0</v>
      </c>
      <c r="V194" s="274">
        <f t="shared" ref="V194:V223" si="74">IF($D194=0,0,ROUND(U194/$D194*$C194,2))</f>
        <v>0</v>
      </c>
      <c r="W194" s="273">
        <f>'人员人工-研发人员工资'!W194</f>
        <v>0</v>
      </c>
      <c r="X194" s="274">
        <f t="shared" ref="X194:X223" si="75">IF($D194=0,0,ROUND(W194/$D194*$C194,2))</f>
        <v>0</v>
      </c>
      <c r="Y194" s="273">
        <f>'人员人工-研发人员工资'!Y194</f>
        <v>0</v>
      </c>
      <c r="Z194" s="274">
        <f t="shared" ref="Z194:Z223" si="76">IF($D194=0,0,ROUND(Y194/$D194*$C194,2))</f>
        <v>0</v>
      </c>
    </row>
    <row r="195" s="251" customFormat="1" customHeight="1" spans="1:26">
      <c r="A195" s="270">
        <v>2</v>
      </c>
      <c r="B195" s="271">
        <f>'人员人工-研发人员工资'!B195</f>
        <v>0</v>
      </c>
      <c r="C195" s="272"/>
      <c r="D195" s="272">
        <f>'人员人工-研发人员工资'!D195</f>
        <v>0</v>
      </c>
      <c r="E195" s="272">
        <f t="shared" si="65"/>
        <v>0</v>
      </c>
      <c r="F195" s="272">
        <f t="shared" si="66"/>
        <v>0</v>
      </c>
      <c r="G195" s="273">
        <f>'人员人工-研发人员工资'!G195</f>
        <v>0</v>
      </c>
      <c r="H195" s="274">
        <f t="shared" si="67"/>
        <v>0</v>
      </c>
      <c r="I195" s="273">
        <f>'人员人工-研发人员工资'!I195</f>
        <v>0</v>
      </c>
      <c r="J195" s="274">
        <f t="shared" si="68"/>
        <v>0</v>
      </c>
      <c r="K195" s="275">
        <f>'人员人工-研发人员工资'!K195</f>
        <v>0</v>
      </c>
      <c r="L195" s="274">
        <f t="shared" si="69"/>
        <v>0</v>
      </c>
      <c r="M195" s="273">
        <f>'人员人工-研发人员工资'!M195</f>
        <v>0</v>
      </c>
      <c r="N195" s="274">
        <f t="shared" si="70"/>
        <v>0</v>
      </c>
      <c r="O195" s="273">
        <f>'人员人工-研发人员工资'!O195</f>
        <v>0</v>
      </c>
      <c r="P195" s="274">
        <f t="shared" si="71"/>
        <v>0</v>
      </c>
      <c r="Q195" s="273">
        <f>'人员人工-研发人员工资'!Q195</f>
        <v>0</v>
      </c>
      <c r="R195" s="274">
        <f t="shared" si="72"/>
        <v>0</v>
      </c>
      <c r="S195" s="273">
        <f>'人员人工-研发人员工资'!S195</f>
        <v>0</v>
      </c>
      <c r="T195" s="274">
        <f t="shared" si="73"/>
        <v>0</v>
      </c>
      <c r="U195" s="273">
        <f>'人员人工-研发人员工资'!U195</f>
        <v>0</v>
      </c>
      <c r="V195" s="274">
        <f t="shared" si="74"/>
        <v>0</v>
      </c>
      <c r="W195" s="273">
        <f>'人员人工-研发人员工资'!W195</f>
        <v>0</v>
      </c>
      <c r="X195" s="274">
        <f t="shared" si="75"/>
        <v>0</v>
      </c>
      <c r="Y195" s="273">
        <f>'人员人工-研发人员工资'!Y195</f>
        <v>0</v>
      </c>
      <c r="Z195" s="274">
        <f t="shared" si="76"/>
        <v>0</v>
      </c>
    </row>
    <row r="196" s="251" customFormat="1" customHeight="1" spans="1:26">
      <c r="A196" s="270">
        <v>3</v>
      </c>
      <c r="B196" s="271">
        <f>'人员人工-研发人员工资'!B196</f>
        <v>0</v>
      </c>
      <c r="C196" s="272"/>
      <c r="D196" s="272">
        <f>'人员人工-研发人员工资'!D196</f>
        <v>0</v>
      </c>
      <c r="E196" s="272">
        <f t="shared" si="65"/>
        <v>0</v>
      </c>
      <c r="F196" s="272">
        <f t="shared" si="66"/>
        <v>0</v>
      </c>
      <c r="G196" s="273">
        <f>'人员人工-研发人员工资'!G196</f>
        <v>0</v>
      </c>
      <c r="H196" s="274">
        <f t="shared" si="67"/>
        <v>0</v>
      </c>
      <c r="I196" s="273">
        <f>'人员人工-研发人员工资'!I196</f>
        <v>0</v>
      </c>
      <c r="J196" s="274">
        <f t="shared" si="68"/>
        <v>0</v>
      </c>
      <c r="K196" s="275">
        <f>'人员人工-研发人员工资'!K196</f>
        <v>0</v>
      </c>
      <c r="L196" s="274">
        <f t="shared" si="69"/>
        <v>0</v>
      </c>
      <c r="M196" s="273">
        <f>'人员人工-研发人员工资'!M196</f>
        <v>0</v>
      </c>
      <c r="N196" s="274">
        <f t="shared" si="70"/>
        <v>0</v>
      </c>
      <c r="O196" s="273">
        <f>'人员人工-研发人员工资'!O196</f>
        <v>0</v>
      </c>
      <c r="P196" s="274">
        <f t="shared" si="71"/>
        <v>0</v>
      </c>
      <c r="Q196" s="273">
        <f>'人员人工-研发人员工资'!Q196</f>
        <v>0</v>
      </c>
      <c r="R196" s="274">
        <f t="shared" si="72"/>
        <v>0</v>
      </c>
      <c r="S196" s="273">
        <f>'人员人工-研发人员工资'!S196</f>
        <v>0</v>
      </c>
      <c r="T196" s="274">
        <f t="shared" si="73"/>
        <v>0</v>
      </c>
      <c r="U196" s="273">
        <f>'人员人工-研发人员工资'!U196</f>
        <v>0</v>
      </c>
      <c r="V196" s="274">
        <f t="shared" si="74"/>
        <v>0</v>
      </c>
      <c r="W196" s="273">
        <f>'人员人工-研发人员工资'!W196</f>
        <v>0</v>
      </c>
      <c r="X196" s="274">
        <f t="shared" si="75"/>
        <v>0</v>
      </c>
      <c r="Y196" s="273">
        <f>'人员人工-研发人员工资'!Y196</f>
        <v>0</v>
      </c>
      <c r="Z196" s="274">
        <f t="shared" si="76"/>
        <v>0</v>
      </c>
    </row>
    <row r="197" s="251" customFormat="1" customHeight="1" spans="1:26">
      <c r="A197" s="270">
        <v>4</v>
      </c>
      <c r="B197" s="271">
        <f>'人员人工-研发人员工资'!B197</f>
        <v>0</v>
      </c>
      <c r="C197" s="272"/>
      <c r="D197" s="272">
        <f>'人员人工-研发人员工资'!D197</f>
        <v>0</v>
      </c>
      <c r="E197" s="272">
        <f t="shared" si="65"/>
        <v>0</v>
      </c>
      <c r="F197" s="272">
        <f t="shared" si="66"/>
        <v>0</v>
      </c>
      <c r="G197" s="273">
        <f>'人员人工-研发人员工资'!G197</f>
        <v>0</v>
      </c>
      <c r="H197" s="274">
        <f t="shared" si="67"/>
        <v>0</v>
      </c>
      <c r="I197" s="273">
        <f>'人员人工-研发人员工资'!I197</f>
        <v>0</v>
      </c>
      <c r="J197" s="274">
        <f t="shared" si="68"/>
        <v>0</v>
      </c>
      <c r="K197" s="275">
        <f>'人员人工-研发人员工资'!K197</f>
        <v>0</v>
      </c>
      <c r="L197" s="274">
        <f t="shared" si="69"/>
        <v>0</v>
      </c>
      <c r="M197" s="273">
        <f>'人员人工-研发人员工资'!M197</f>
        <v>0</v>
      </c>
      <c r="N197" s="274">
        <f t="shared" si="70"/>
        <v>0</v>
      </c>
      <c r="O197" s="273">
        <f>'人员人工-研发人员工资'!O197</f>
        <v>0</v>
      </c>
      <c r="P197" s="274">
        <f t="shared" si="71"/>
        <v>0</v>
      </c>
      <c r="Q197" s="273">
        <f>'人员人工-研发人员工资'!Q197</f>
        <v>0</v>
      </c>
      <c r="R197" s="274">
        <f t="shared" si="72"/>
        <v>0</v>
      </c>
      <c r="S197" s="273">
        <f>'人员人工-研发人员工资'!S197</f>
        <v>0</v>
      </c>
      <c r="T197" s="274">
        <f t="shared" si="73"/>
        <v>0</v>
      </c>
      <c r="U197" s="273">
        <f>'人员人工-研发人员工资'!U197</f>
        <v>0</v>
      </c>
      <c r="V197" s="274">
        <f t="shared" si="74"/>
        <v>0</v>
      </c>
      <c r="W197" s="273">
        <f>'人员人工-研发人员工资'!W197</f>
        <v>0</v>
      </c>
      <c r="X197" s="274">
        <f t="shared" si="75"/>
        <v>0</v>
      </c>
      <c r="Y197" s="273">
        <f>'人员人工-研发人员工资'!Y197</f>
        <v>0</v>
      </c>
      <c r="Z197" s="274">
        <f t="shared" si="76"/>
        <v>0</v>
      </c>
    </row>
    <row r="198" s="251" customFormat="1" customHeight="1" spans="1:26">
      <c r="A198" s="270">
        <v>5</v>
      </c>
      <c r="B198" s="271">
        <f>'人员人工-研发人员工资'!B198</f>
        <v>0</v>
      </c>
      <c r="C198" s="272"/>
      <c r="D198" s="272">
        <f>'人员人工-研发人员工资'!D198</f>
        <v>0</v>
      </c>
      <c r="E198" s="272">
        <f t="shared" si="65"/>
        <v>0</v>
      </c>
      <c r="F198" s="272">
        <f t="shared" si="66"/>
        <v>0</v>
      </c>
      <c r="G198" s="273">
        <f>'人员人工-研发人员工资'!G198</f>
        <v>0</v>
      </c>
      <c r="H198" s="274">
        <f t="shared" si="67"/>
        <v>0</v>
      </c>
      <c r="I198" s="273">
        <f>'人员人工-研发人员工资'!I198</f>
        <v>0</v>
      </c>
      <c r="J198" s="274">
        <f t="shared" si="68"/>
        <v>0</v>
      </c>
      <c r="K198" s="275">
        <f>'人员人工-研发人员工资'!K198</f>
        <v>0</v>
      </c>
      <c r="L198" s="274">
        <f t="shared" si="69"/>
        <v>0</v>
      </c>
      <c r="M198" s="273">
        <f>'人员人工-研发人员工资'!M198</f>
        <v>0</v>
      </c>
      <c r="N198" s="274">
        <f t="shared" si="70"/>
        <v>0</v>
      </c>
      <c r="O198" s="273">
        <f>'人员人工-研发人员工资'!O198</f>
        <v>0</v>
      </c>
      <c r="P198" s="274">
        <f t="shared" si="71"/>
        <v>0</v>
      </c>
      <c r="Q198" s="273">
        <f>'人员人工-研发人员工资'!Q198</f>
        <v>0</v>
      </c>
      <c r="R198" s="274">
        <f t="shared" si="72"/>
        <v>0</v>
      </c>
      <c r="S198" s="273">
        <f>'人员人工-研发人员工资'!S198</f>
        <v>0</v>
      </c>
      <c r="T198" s="274">
        <f t="shared" si="73"/>
        <v>0</v>
      </c>
      <c r="U198" s="273">
        <f>'人员人工-研发人员工资'!U198</f>
        <v>0</v>
      </c>
      <c r="V198" s="274">
        <f t="shared" si="74"/>
        <v>0</v>
      </c>
      <c r="W198" s="273">
        <f>'人员人工-研发人员工资'!W198</f>
        <v>0</v>
      </c>
      <c r="X198" s="274">
        <f t="shared" si="75"/>
        <v>0</v>
      </c>
      <c r="Y198" s="273">
        <f>'人员人工-研发人员工资'!Y198</f>
        <v>0</v>
      </c>
      <c r="Z198" s="274">
        <f t="shared" si="76"/>
        <v>0</v>
      </c>
    </row>
    <row r="199" s="251" customFormat="1" customHeight="1" spans="1:26">
      <c r="A199" s="270">
        <v>6</v>
      </c>
      <c r="B199" s="271">
        <f>'人员人工-研发人员工资'!B199</f>
        <v>0</v>
      </c>
      <c r="C199" s="274"/>
      <c r="D199" s="272">
        <f>'人员人工-研发人员工资'!D199</f>
        <v>0</v>
      </c>
      <c r="E199" s="272">
        <f t="shared" si="65"/>
        <v>0</v>
      </c>
      <c r="F199" s="272">
        <f t="shared" si="66"/>
        <v>0</v>
      </c>
      <c r="G199" s="273">
        <f>'人员人工-研发人员工资'!G199</f>
        <v>0</v>
      </c>
      <c r="H199" s="274">
        <f t="shared" si="67"/>
        <v>0</v>
      </c>
      <c r="I199" s="273">
        <f>'人员人工-研发人员工资'!I199</f>
        <v>0</v>
      </c>
      <c r="J199" s="274">
        <f t="shared" si="68"/>
        <v>0</v>
      </c>
      <c r="K199" s="275">
        <f>'人员人工-研发人员工资'!K199</f>
        <v>0</v>
      </c>
      <c r="L199" s="274">
        <f t="shared" si="69"/>
        <v>0</v>
      </c>
      <c r="M199" s="273">
        <f>'人员人工-研发人员工资'!M199</f>
        <v>0</v>
      </c>
      <c r="N199" s="274">
        <f t="shared" si="70"/>
        <v>0</v>
      </c>
      <c r="O199" s="273">
        <f>'人员人工-研发人员工资'!O199</f>
        <v>0</v>
      </c>
      <c r="P199" s="274">
        <f t="shared" si="71"/>
        <v>0</v>
      </c>
      <c r="Q199" s="273">
        <f>'人员人工-研发人员工资'!Q199</f>
        <v>0</v>
      </c>
      <c r="R199" s="274">
        <f t="shared" si="72"/>
        <v>0</v>
      </c>
      <c r="S199" s="273">
        <f>'人员人工-研发人员工资'!S199</f>
        <v>0</v>
      </c>
      <c r="T199" s="274">
        <f t="shared" si="73"/>
        <v>0</v>
      </c>
      <c r="U199" s="273">
        <f>'人员人工-研发人员工资'!U199</f>
        <v>0</v>
      </c>
      <c r="V199" s="274">
        <f t="shared" si="74"/>
        <v>0</v>
      </c>
      <c r="W199" s="273">
        <f>'人员人工-研发人员工资'!W199</f>
        <v>0</v>
      </c>
      <c r="X199" s="274">
        <f t="shared" si="75"/>
        <v>0</v>
      </c>
      <c r="Y199" s="273">
        <f>'人员人工-研发人员工资'!Y199</f>
        <v>0</v>
      </c>
      <c r="Z199" s="274">
        <f t="shared" si="76"/>
        <v>0</v>
      </c>
    </row>
    <row r="200" s="251" customFormat="1" customHeight="1" spans="1:26">
      <c r="A200" s="270">
        <v>7</v>
      </c>
      <c r="B200" s="271">
        <f>'人员人工-研发人员工资'!B200</f>
        <v>0</v>
      </c>
      <c r="C200" s="274"/>
      <c r="D200" s="272">
        <f>'人员人工-研发人员工资'!D200</f>
        <v>0</v>
      </c>
      <c r="E200" s="272">
        <f t="shared" si="65"/>
        <v>0</v>
      </c>
      <c r="F200" s="272">
        <f t="shared" si="66"/>
        <v>0</v>
      </c>
      <c r="G200" s="273">
        <f>'人员人工-研发人员工资'!G200</f>
        <v>0</v>
      </c>
      <c r="H200" s="274">
        <f t="shared" si="67"/>
        <v>0</v>
      </c>
      <c r="I200" s="273">
        <f>'人员人工-研发人员工资'!I200</f>
        <v>0</v>
      </c>
      <c r="J200" s="274">
        <f t="shared" si="68"/>
        <v>0</v>
      </c>
      <c r="K200" s="275">
        <f>'人员人工-研发人员工资'!K200</f>
        <v>0</v>
      </c>
      <c r="L200" s="274">
        <f t="shared" si="69"/>
        <v>0</v>
      </c>
      <c r="M200" s="273">
        <f>'人员人工-研发人员工资'!M200</f>
        <v>0</v>
      </c>
      <c r="N200" s="274">
        <f t="shared" si="70"/>
        <v>0</v>
      </c>
      <c r="O200" s="273">
        <f>'人员人工-研发人员工资'!O200</f>
        <v>0</v>
      </c>
      <c r="P200" s="274">
        <f t="shared" si="71"/>
        <v>0</v>
      </c>
      <c r="Q200" s="273">
        <f>'人员人工-研发人员工资'!Q200</f>
        <v>0</v>
      </c>
      <c r="R200" s="274">
        <f t="shared" si="72"/>
        <v>0</v>
      </c>
      <c r="S200" s="273">
        <f>'人员人工-研发人员工资'!S200</f>
        <v>0</v>
      </c>
      <c r="T200" s="274">
        <f t="shared" si="73"/>
        <v>0</v>
      </c>
      <c r="U200" s="273">
        <f>'人员人工-研发人员工资'!U200</f>
        <v>0</v>
      </c>
      <c r="V200" s="274">
        <f t="shared" si="74"/>
        <v>0</v>
      </c>
      <c r="W200" s="273">
        <f>'人员人工-研发人员工资'!W200</f>
        <v>0</v>
      </c>
      <c r="X200" s="274">
        <f t="shared" si="75"/>
        <v>0</v>
      </c>
      <c r="Y200" s="273">
        <f>'人员人工-研发人员工资'!Y200</f>
        <v>0</v>
      </c>
      <c r="Z200" s="274">
        <f t="shared" si="76"/>
        <v>0</v>
      </c>
    </row>
    <row r="201" s="251" customFormat="1" customHeight="1" spans="1:26">
      <c r="A201" s="270">
        <v>8</v>
      </c>
      <c r="B201" s="271">
        <f>'人员人工-研发人员工资'!B201</f>
        <v>0</v>
      </c>
      <c r="C201" s="274"/>
      <c r="D201" s="272">
        <f>'人员人工-研发人员工资'!D201</f>
        <v>0</v>
      </c>
      <c r="E201" s="272">
        <f t="shared" si="65"/>
        <v>0</v>
      </c>
      <c r="F201" s="272">
        <f t="shared" si="66"/>
        <v>0</v>
      </c>
      <c r="G201" s="273">
        <f>'人员人工-研发人员工资'!G201</f>
        <v>0</v>
      </c>
      <c r="H201" s="274">
        <f t="shared" si="67"/>
        <v>0</v>
      </c>
      <c r="I201" s="273">
        <f>'人员人工-研发人员工资'!I201</f>
        <v>0</v>
      </c>
      <c r="J201" s="274">
        <f t="shared" si="68"/>
        <v>0</v>
      </c>
      <c r="K201" s="275">
        <f>'人员人工-研发人员工资'!K201</f>
        <v>0</v>
      </c>
      <c r="L201" s="274">
        <f t="shared" si="69"/>
        <v>0</v>
      </c>
      <c r="M201" s="273">
        <f>'人员人工-研发人员工资'!M201</f>
        <v>0</v>
      </c>
      <c r="N201" s="274">
        <f t="shared" si="70"/>
        <v>0</v>
      </c>
      <c r="O201" s="273">
        <f>'人员人工-研发人员工资'!O201</f>
        <v>0</v>
      </c>
      <c r="P201" s="274">
        <f t="shared" si="71"/>
        <v>0</v>
      </c>
      <c r="Q201" s="273">
        <f>'人员人工-研发人员工资'!Q201</f>
        <v>0</v>
      </c>
      <c r="R201" s="274">
        <f t="shared" si="72"/>
        <v>0</v>
      </c>
      <c r="S201" s="273">
        <f>'人员人工-研发人员工资'!S201</f>
        <v>0</v>
      </c>
      <c r="T201" s="274">
        <f t="shared" si="73"/>
        <v>0</v>
      </c>
      <c r="U201" s="273">
        <f>'人员人工-研发人员工资'!U201</f>
        <v>0</v>
      </c>
      <c r="V201" s="274">
        <f t="shared" si="74"/>
        <v>0</v>
      </c>
      <c r="W201" s="273">
        <f>'人员人工-研发人员工资'!W201</f>
        <v>0</v>
      </c>
      <c r="X201" s="274">
        <f t="shared" si="75"/>
        <v>0</v>
      </c>
      <c r="Y201" s="273">
        <f>'人员人工-研发人员工资'!Y201</f>
        <v>0</v>
      </c>
      <c r="Z201" s="274">
        <f t="shared" si="76"/>
        <v>0</v>
      </c>
    </row>
    <row r="202" s="251" customFormat="1" customHeight="1" spans="1:26">
      <c r="A202" s="270">
        <v>9</v>
      </c>
      <c r="B202" s="271">
        <f>'人员人工-研发人员工资'!B202</f>
        <v>0</v>
      </c>
      <c r="C202" s="274"/>
      <c r="D202" s="272">
        <f>'人员人工-研发人员工资'!D202</f>
        <v>0</v>
      </c>
      <c r="E202" s="272">
        <f t="shared" si="65"/>
        <v>0</v>
      </c>
      <c r="F202" s="272">
        <f t="shared" si="66"/>
        <v>0</v>
      </c>
      <c r="G202" s="273">
        <f>'人员人工-研发人员工资'!G202</f>
        <v>0</v>
      </c>
      <c r="H202" s="274">
        <f t="shared" si="67"/>
        <v>0</v>
      </c>
      <c r="I202" s="273">
        <f>'人员人工-研发人员工资'!I202</f>
        <v>0</v>
      </c>
      <c r="J202" s="274">
        <f t="shared" si="68"/>
        <v>0</v>
      </c>
      <c r="K202" s="275">
        <f>'人员人工-研发人员工资'!K202</f>
        <v>0</v>
      </c>
      <c r="L202" s="274">
        <f t="shared" si="69"/>
        <v>0</v>
      </c>
      <c r="M202" s="273">
        <f>'人员人工-研发人员工资'!M202</f>
        <v>0</v>
      </c>
      <c r="N202" s="274">
        <f t="shared" si="70"/>
        <v>0</v>
      </c>
      <c r="O202" s="273">
        <f>'人员人工-研发人员工资'!O202</f>
        <v>0</v>
      </c>
      <c r="P202" s="274">
        <f t="shared" si="71"/>
        <v>0</v>
      </c>
      <c r="Q202" s="273">
        <f>'人员人工-研发人员工资'!Q202</f>
        <v>0</v>
      </c>
      <c r="R202" s="274">
        <f t="shared" si="72"/>
        <v>0</v>
      </c>
      <c r="S202" s="273">
        <f>'人员人工-研发人员工资'!S202</f>
        <v>0</v>
      </c>
      <c r="T202" s="274">
        <f t="shared" si="73"/>
        <v>0</v>
      </c>
      <c r="U202" s="273">
        <f>'人员人工-研发人员工资'!U202</f>
        <v>0</v>
      </c>
      <c r="V202" s="274">
        <f t="shared" si="74"/>
        <v>0</v>
      </c>
      <c r="W202" s="273">
        <f>'人员人工-研发人员工资'!W202</f>
        <v>0</v>
      </c>
      <c r="X202" s="274">
        <f t="shared" si="75"/>
        <v>0</v>
      </c>
      <c r="Y202" s="273">
        <f>'人员人工-研发人员工资'!Y202</f>
        <v>0</v>
      </c>
      <c r="Z202" s="274">
        <f t="shared" si="76"/>
        <v>0</v>
      </c>
    </row>
    <row r="203" s="251" customFormat="1" customHeight="1" spans="1:26">
      <c r="A203" s="270">
        <v>10</v>
      </c>
      <c r="B203" s="271">
        <f>'人员人工-研发人员工资'!B203</f>
        <v>0</v>
      </c>
      <c r="C203" s="274"/>
      <c r="D203" s="272">
        <f>'人员人工-研发人员工资'!D203</f>
        <v>0</v>
      </c>
      <c r="E203" s="272">
        <f t="shared" si="65"/>
        <v>0</v>
      </c>
      <c r="F203" s="272">
        <f t="shared" si="66"/>
        <v>0</v>
      </c>
      <c r="G203" s="273">
        <f>'人员人工-研发人员工资'!G203</f>
        <v>0</v>
      </c>
      <c r="H203" s="274">
        <f t="shared" si="67"/>
        <v>0</v>
      </c>
      <c r="I203" s="273">
        <f>'人员人工-研发人员工资'!I203</f>
        <v>0</v>
      </c>
      <c r="J203" s="274">
        <f t="shared" si="68"/>
        <v>0</v>
      </c>
      <c r="K203" s="275">
        <f>'人员人工-研发人员工资'!K203</f>
        <v>0</v>
      </c>
      <c r="L203" s="274">
        <f t="shared" si="69"/>
        <v>0</v>
      </c>
      <c r="M203" s="273">
        <f>'人员人工-研发人员工资'!M203</f>
        <v>0</v>
      </c>
      <c r="N203" s="274">
        <f t="shared" si="70"/>
        <v>0</v>
      </c>
      <c r="O203" s="273">
        <f>'人员人工-研发人员工资'!O203</f>
        <v>0</v>
      </c>
      <c r="P203" s="274">
        <f t="shared" si="71"/>
        <v>0</v>
      </c>
      <c r="Q203" s="273">
        <f>'人员人工-研发人员工资'!Q203</f>
        <v>0</v>
      </c>
      <c r="R203" s="274">
        <f t="shared" si="72"/>
        <v>0</v>
      </c>
      <c r="S203" s="273">
        <f>'人员人工-研发人员工资'!S203</f>
        <v>0</v>
      </c>
      <c r="T203" s="274">
        <f t="shared" si="73"/>
        <v>0</v>
      </c>
      <c r="U203" s="273">
        <f>'人员人工-研发人员工资'!U203</f>
        <v>0</v>
      </c>
      <c r="V203" s="274">
        <f t="shared" si="74"/>
        <v>0</v>
      </c>
      <c r="W203" s="273">
        <f>'人员人工-研发人员工资'!W203</f>
        <v>0</v>
      </c>
      <c r="X203" s="274">
        <f t="shared" si="75"/>
        <v>0</v>
      </c>
      <c r="Y203" s="273">
        <f>'人员人工-研发人员工资'!Y203</f>
        <v>0</v>
      </c>
      <c r="Z203" s="274">
        <f t="shared" si="76"/>
        <v>0</v>
      </c>
    </row>
    <row r="204" s="251" customFormat="1" customHeight="1" spans="1:26">
      <c r="A204" s="270">
        <v>11</v>
      </c>
      <c r="B204" s="271">
        <f>'人员人工-研发人员工资'!B204</f>
        <v>0</v>
      </c>
      <c r="C204" s="274"/>
      <c r="D204" s="272">
        <f>'人员人工-研发人员工资'!D204</f>
        <v>0</v>
      </c>
      <c r="E204" s="272">
        <f t="shared" si="65"/>
        <v>0</v>
      </c>
      <c r="F204" s="272">
        <f t="shared" si="66"/>
        <v>0</v>
      </c>
      <c r="G204" s="273">
        <f>'人员人工-研发人员工资'!G204</f>
        <v>0</v>
      </c>
      <c r="H204" s="274">
        <f t="shared" si="67"/>
        <v>0</v>
      </c>
      <c r="I204" s="273">
        <f>'人员人工-研发人员工资'!I204</f>
        <v>0</v>
      </c>
      <c r="J204" s="274">
        <f t="shared" si="68"/>
        <v>0</v>
      </c>
      <c r="K204" s="275">
        <f>'人员人工-研发人员工资'!K204</f>
        <v>0</v>
      </c>
      <c r="L204" s="274">
        <f t="shared" si="69"/>
        <v>0</v>
      </c>
      <c r="M204" s="273">
        <f>'人员人工-研发人员工资'!M204</f>
        <v>0</v>
      </c>
      <c r="N204" s="274">
        <f t="shared" si="70"/>
        <v>0</v>
      </c>
      <c r="O204" s="273">
        <f>'人员人工-研发人员工资'!O204</f>
        <v>0</v>
      </c>
      <c r="P204" s="274">
        <f t="shared" si="71"/>
        <v>0</v>
      </c>
      <c r="Q204" s="273">
        <f>'人员人工-研发人员工资'!Q204</f>
        <v>0</v>
      </c>
      <c r="R204" s="274">
        <f t="shared" si="72"/>
        <v>0</v>
      </c>
      <c r="S204" s="273">
        <f>'人员人工-研发人员工资'!S204</f>
        <v>0</v>
      </c>
      <c r="T204" s="274">
        <f t="shared" si="73"/>
        <v>0</v>
      </c>
      <c r="U204" s="273">
        <f>'人员人工-研发人员工资'!U204</f>
        <v>0</v>
      </c>
      <c r="V204" s="274">
        <f t="shared" si="74"/>
        <v>0</v>
      </c>
      <c r="W204" s="273">
        <f>'人员人工-研发人员工资'!W204</f>
        <v>0</v>
      </c>
      <c r="X204" s="274">
        <f t="shared" si="75"/>
        <v>0</v>
      </c>
      <c r="Y204" s="273">
        <f>'人员人工-研发人员工资'!Y204</f>
        <v>0</v>
      </c>
      <c r="Z204" s="274">
        <f t="shared" si="76"/>
        <v>0</v>
      </c>
    </row>
    <row r="205" s="251" customFormat="1" customHeight="1" spans="1:26">
      <c r="A205" s="270">
        <v>12</v>
      </c>
      <c r="B205" s="271">
        <f>'人员人工-研发人员工资'!B205</f>
        <v>0</v>
      </c>
      <c r="C205" s="274"/>
      <c r="D205" s="272">
        <f>'人员人工-研发人员工资'!D205</f>
        <v>0</v>
      </c>
      <c r="E205" s="272">
        <f t="shared" si="65"/>
        <v>0</v>
      </c>
      <c r="F205" s="272">
        <f t="shared" si="66"/>
        <v>0</v>
      </c>
      <c r="G205" s="273">
        <f>'人员人工-研发人员工资'!G205</f>
        <v>0</v>
      </c>
      <c r="H205" s="274">
        <f t="shared" si="67"/>
        <v>0</v>
      </c>
      <c r="I205" s="273">
        <f>'人员人工-研发人员工资'!I205</f>
        <v>0</v>
      </c>
      <c r="J205" s="274">
        <f t="shared" si="68"/>
        <v>0</v>
      </c>
      <c r="K205" s="275">
        <f>'人员人工-研发人员工资'!K205</f>
        <v>0</v>
      </c>
      <c r="L205" s="274">
        <f t="shared" si="69"/>
        <v>0</v>
      </c>
      <c r="M205" s="273">
        <f>'人员人工-研发人员工资'!M205</f>
        <v>0</v>
      </c>
      <c r="N205" s="274">
        <f t="shared" si="70"/>
        <v>0</v>
      </c>
      <c r="O205" s="273">
        <f>'人员人工-研发人员工资'!O205</f>
        <v>0</v>
      </c>
      <c r="P205" s="274">
        <f t="shared" si="71"/>
        <v>0</v>
      </c>
      <c r="Q205" s="273">
        <f>'人员人工-研发人员工资'!Q205</f>
        <v>0</v>
      </c>
      <c r="R205" s="274">
        <f t="shared" si="72"/>
        <v>0</v>
      </c>
      <c r="S205" s="273">
        <f>'人员人工-研发人员工资'!S205</f>
        <v>0</v>
      </c>
      <c r="T205" s="274">
        <f t="shared" si="73"/>
        <v>0</v>
      </c>
      <c r="U205" s="273">
        <f>'人员人工-研发人员工资'!U205</f>
        <v>0</v>
      </c>
      <c r="V205" s="274">
        <f t="shared" si="74"/>
        <v>0</v>
      </c>
      <c r="W205" s="273">
        <f>'人员人工-研发人员工资'!W205</f>
        <v>0</v>
      </c>
      <c r="X205" s="274">
        <f t="shared" si="75"/>
        <v>0</v>
      </c>
      <c r="Y205" s="273">
        <f>'人员人工-研发人员工资'!Y205</f>
        <v>0</v>
      </c>
      <c r="Z205" s="274">
        <f t="shared" si="76"/>
        <v>0</v>
      </c>
    </row>
    <row r="206" s="251" customFormat="1" customHeight="1" spans="1:26">
      <c r="A206" s="270">
        <v>13</v>
      </c>
      <c r="B206" s="271">
        <f>'人员人工-研发人员工资'!B206</f>
        <v>0</v>
      </c>
      <c r="C206" s="274"/>
      <c r="D206" s="272">
        <f>'人员人工-研发人员工资'!D206</f>
        <v>0</v>
      </c>
      <c r="E206" s="272">
        <f t="shared" si="65"/>
        <v>0</v>
      </c>
      <c r="F206" s="272">
        <f t="shared" si="66"/>
        <v>0</v>
      </c>
      <c r="G206" s="273">
        <f>'人员人工-研发人员工资'!G206</f>
        <v>0</v>
      </c>
      <c r="H206" s="274">
        <f t="shared" si="67"/>
        <v>0</v>
      </c>
      <c r="I206" s="273">
        <f>'人员人工-研发人员工资'!I206</f>
        <v>0</v>
      </c>
      <c r="J206" s="274">
        <f t="shared" si="68"/>
        <v>0</v>
      </c>
      <c r="K206" s="275">
        <f>'人员人工-研发人员工资'!K206</f>
        <v>0</v>
      </c>
      <c r="L206" s="274">
        <f t="shared" si="69"/>
        <v>0</v>
      </c>
      <c r="M206" s="273">
        <f>'人员人工-研发人员工资'!M206</f>
        <v>0</v>
      </c>
      <c r="N206" s="274">
        <f t="shared" si="70"/>
        <v>0</v>
      </c>
      <c r="O206" s="273">
        <f>'人员人工-研发人员工资'!O206</f>
        <v>0</v>
      </c>
      <c r="P206" s="274">
        <f t="shared" si="71"/>
        <v>0</v>
      </c>
      <c r="Q206" s="273">
        <f>'人员人工-研发人员工资'!Q206</f>
        <v>0</v>
      </c>
      <c r="R206" s="274">
        <f t="shared" si="72"/>
        <v>0</v>
      </c>
      <c r="S206" s="273">
        <f>'人员人工-研发人员工资'!S206</f>
        <v>0</v>
      </c>
      <c r="T206" s="274">
        <f t="shared" si="73"/>
        <v>0</v>
      </c>
      <c r="U206" s="273">
        <f>'人员人工-研发人员工资'!U206</f>
        <v>0</v>
      </c>
      <c r="V206" s="274">
        <f t="shared" si="74"/>
        <v>0</v>
      </c>
      <c r="W206" s="273">
        <f>'人员人工-研发人员工资'!W206</f>
        <v>0</v>
      </c>
      <c r="X206" s="274">
        <f t="shared" si="75"/>
        <v>0</v>
      </c>
      <c r="Y206" s="273">
        <f>'人员人工-研发人员工资'!Y206</f>
        <v>0</v>
      </c>
      <c r="Z206" s="274">
        <f t="shared" si="76"/>
        <v>0</v>
      </c>
    </row>
    <row r="207" s="251" customFormat="1" customHeight="1" spans="1:26">
      <c r="A207" s="270">
        <v>14</v>
      </c>
      <c r="B207" s="271">
        <f>'人员人工-研发人员工资'!B207</f>
        <v>0</v>
      </c>
      <c r="C207" s="274"/>
      <c r="D207" s="272">
        <f>'人员人工-研发人员工资'!D207</f>
        <v>0</v>
      </c>
      <c r="E207" s="272">
        <f t="shared" si="65"/>
        <v>0</v>
      </c>
      <c r="F207" s="272">
        <f t="shared" si="66"/>
        <v>0</v>
      </c>
      <c r="G207" s="273">
        <f>'人员人工-研发人员工资'!G207</f>
        <v>0</v>
      </c>
      <c r="H207" s="274">
        <f t="shared" si="67"/>
        <v>0</v>
      </c>
      <c r="I207" s="273">
        <f>'人员人工-研发人员工资'!I207</f>
        <v>0</v>
      </c>
      <c r="J207" s="274">
        <f t="shared" si="68"/>
        <v>0</v>
      </c>
      <c r="K207" s="275">
        <f>'人员人工-研发人员工资'!K207</f>
        <v>0</v>
      </c>
      <c r="L207" s="274">
        <f t="shared" si="69"/>
        <v>0</v>
      </c>
      <c r="M207" s="273">
        <f>'人员人工-研发人员工资'!M207</f>
        <v>0</v>
      </c>
      <c r="N207" s="274">
        <f t="shared" si="70"/>
        <v>0</v>
      </c>
      <c r="O207" s="273">
        <f>'人员人工-研发人员工资'!O207</f>
        <v>0</v>
      </c>
      <c r="P207" s="274">
        <f t="shared" si="71"/>
        <v>0</v>
      </c>
      <c r="Q207" s="273">
        <f>'人员人工-研发人员工资'!Q207</f>
        <v>0</v>
      </c>
      <c r="R207" s="274">
        <f t="shared" si="72"/>
        <v>0</v>
      </c>
      <c r="S207" s="273">
        <f>'人员人工-研发人员工资'!S207</f>
        <v>0</v>
      </c>
      <c r="T207" s="274">
        <f t="shared" si="73"/>
        <v>0</v>
      </c>
      <c r="U207" s="273">
        <f>'人员人工-研发人员工资'!U207</f>
        <v>0</v>
      </c>
      <c r="V207" s="274">
        <f t="shared" si="74"/>
        <v>0</v>
      </c>
      <c r="W207" s="273">
        <f>'人员人工-研发人员工资'!W207</f>
        <v>0</v>
      </c>
      <c r="X207" s="274">
        <f t="shared" si="75"/>
        <v>0</v>
      </c>
      <c r="Y207" s="273">
        <f>'人员人工-研发人员工资'!Y207</f>
        <v>0</v>
      </c>
      <c r="Z207" s="274">
        <f t="shared" si="76"/>
        <v>0</v>
      </c>
    </row>
    <row r="208" s="251" customFormat="1" customHeight="1" spans="1:26">
      <c r="A208" s="270">
        <v>15</v>
      </c>
      <c r="B208" s="271">
        <f>'人员人工-研发人员工资'!B208</f>
        <v>0</v>
      </c>
      <c r="C208" s="274"/>
      <c r="D208" s="272">
        <f>'人员人工-研发人员工资'!D208</f>
        <v>0</v>
      </c>
      <c r="E208" s="272">
        <f t="shared" si="65"/>
        <v>0</v>
      </c>
      <c r="F208" s="272">
        <f t="shared" si="66"/>
        <v>0</v>
      </c>
      <c r="G208" s="273">
        <f>'人员人工-研发人员工资'!G208</f>
        <v>0</v>
      </c>
      <c r="H208" s="274">
        <f t="shared" si="67"/>
        <v>0</v>
      </c>
      <c r="I208" s="273">
        <f>'人员人工-研发人员工资'!I208</f>
        <v>0</v>
      </c>
      <c r="J208" s="274">
        <f t="shared" si="68"/>
        <v>0</v>
      </c>
      <c r="K208" s="275">
        <f>'人员人工-研发人员工资'!K208</f>
        <v>0</v>
      </c>
      <c r="L208" s="274">
        <f t="shared" si="69"/>
        <v>0</v>
      </c>
      <c r="M208" s="273">
        <f>'人员人工-研发人员工资'!M208</f>
        <v>0</v>
      </c>
      <c r="N208" s="274">
        <f t="shared" si="70"/>
        <v>0</v>
      </c>
      <c r="O208" s="273">
        <f>'人员人工-研发人员工资'!O208</f>
        <v>0</v>
      </c>
      <c r="P208" s="274">
        <f t="shared" si="71"/>
        <v>0</v>
      </c>
      <c r="Q208" s="273">
        <f>'人员人工-研发人员工资'!Q208</f>
        <v>0</v>
      </c>
      <c r="R208" s="274">
        <f t="shared" si="72"/>
        <v>0</v>
      </c>
      <c r="S208" s="273">
        <f>'人员人工-研发人员工资'!S208</f>
        <v>0</v>
      </c>
      <c r="T208" s="274">
        <f t="shared" si="73"/>
        <v>0</v>
      </c>
      <c r="U208" s="273">
        <f>'人员人工-研发人员工资'!U208</f>
        <v>0</v>
      </c>
      <c r="V208" s="274">
        <f t="shared" si="74"/>
        <v>0</v>
      </c>
      <c r="W208" s="273">
        <f>'人员人工-研发人员工资'!W208</f>
        <v>0</v>
      </c>
      <c r="X208" s="274">
        <f t="shared" si="75"/>
        <v>0</v>
      </c>
      <c r="Y208" s="273">
        <f>'人员人工-研发人员工资'!Y208</f>
        <v>0</v>
      </c>
      <c r="Z208" s="274">
        <f t="shared" si="76"/>
        <v>0</v>
      </c>
    </row>
    <row r="209" s="251" customFormat="1" customHeight="1" spans="1:26">
      <c r="A209" s="270">
        <v>16</v>
      </c>
      <c r="B209" s="271">
        <f>'人员人工-研发人员工资'!B209</f>
        <v>0</v>
      </c>
      <c r="C209" s="274"/>
      <c r="D209" s="272">
        <f>'人员人工-研发人员工资'!D209</f>
        <v>0</v>
      </c>
      <c r="E209" s="272">
        <f t="shared" si="65"/>
        <v>0</v>
      </c>
      <c r="F209" s="272">
        <f t="shared" si="66"/>
        <v>0</v>
      </c>
      <c r="G209" s="273">
        <f>'人员人工-研发人员工资'!G209</f>
        <v>0</v>
      </c>
      <c r="H209" s="274">
        <f t="shared" si="67"/>
        <v>0</v>
      </c>
      <c r="I209" s="273">
        <f>'人员人工-研发人员工资'!I209</f>
        <v>0</v>
      </c>
      <c r="J209" s="274">
        <f t="shared" si="68"/>
        <v>0</v>
      </c>
      <c r="K209" s="275">
        <f>'人员人工-研发人员工资'!K209</f>
        <v>0</v>
      </c>
      <c r="L209" s="274">
        <f t="shared" si="69"/>
        <v>0</v>
      </c>
      <c r="M209" s="273">
        <f>'人员人工-研发人员工资'!M209</f>
        <v>0</v>
      </c>
      <c r="N209" s="274">
        <f t="shared" si="70"/>
        <v>0</v>
      </c>
      <c r="O209" s="273">
        <f>'人员人工-研发人员工资'!O209</f>
        <v>0</v>
      </c>
      <c r="P209" s="274">
        <f t="shared" si="71"/>
        <v>0</v>
      </c>
      <c r="Q209" s="273">
        <f>'人员人工-研发人员工资'!Q209</f>
        <v>0</v>
      </c>
      <c r="R209" s="274">
        <f t="shared" si="72"/>
        <v>0</v>
      </c>
      <c r="S209" s="273">
        <f>'人员人工-研发人员工资'!S209</f>
        <v>0</v>
      </c>
      <c r="T209" s="274">
        <f t="shared" si="73"/>
        <v>0</v>
      </c>
      <c r="U209" s="273">
        <f>'人员人工-研发人员工资'!U209</f>
        <v>0</v>
      </c>
      <c r="V209" s="274">
        <f t="shared" si="74"/>
        <v>0</v>
      </c>
      <c r="W209" s="273">
        <f>'人员人工-研发人员工资'!W209</f>
        <v>0</v>
      </c>
      <c r="X209" s="274">
        <f t="shared" si="75"/>
        <v>0</v>
      </c>
      <c r="Y209" s="273">
        <f>'人员人工-研发人员工资'!Y209</f>
        <v>0</v>
      </c>
      <c r="Z209" s="274">
        <f t="shared" si="76"/>
        <v>0</v>
      </c>
    </row>
    <row r="210" s="251" customFormat="1" customHeight="1" spans="1:26">
      <c r="A210" s="270">
        <v>17</v>
      </c>
      <c r="B210" s="271">
        <f>'人员人工-研发人员工资'!B210</f>
        <v>0</v>
      </c>
      <c r="C210" s="274"/>
      <c r="D210" s="272">
        <f>'人员人工-研发人员工资'!D210</f>
        <v>0</v>
      </c>
      <c r="E210" s="272">
        <f t="shared" si="65"/>
        <v>0</v>
      </c>
      <c r="F210" s="272">
        <f t="shared" si="66"/>
        <v>0</v>
      </c>
      <c r="G210" s="273">
        <f>'人员人工-研发人员工资'!G210</f>
        <v>0</v>
      </c>
      <c r="H210" s="274">
        <f t="shared" si="67"/>
        <v>0</v>
      </c>
      <c r="I210" s="273">
        <f>'人员人工-研发人员工资'!I210</f>
        <v>0</v>
      </c>
      <c r="J210" s="274">
        <f t="shared" si="68"/>
        <v>0</v>
      </c>
      <c r="K210" s="275">
        <f>'人员人工-研发人员工资'!K210</f>
        <v>0</v>
      </c>
      <c r="L210" s="274">
        <f t="shared" si="69"/>
        <v>0</v>
      </c>
      <c r="M210" s="273">
        <f>'人员人工-研发人员工资'!M210</f>
        <v>0</v>
      </c>
      <c r="N210" s="274">
        <f t="shared" si="70"/>
        <v>0</v>
      </c>
      <c r="O210" s="273">
        <f>'人员人工-研发人员工资'!O210</f>
        <v>0</v>
      </c>
      <c r="P210" s="274">
        <f t="shared" si="71"/>
        <v>0</v>
      </c>
      <c r="Q210" s="273">
        <f>'人员人工-研发人员工资'!Q210</f>
        <v>0</v>
      </c>
      <c r="R210" s="274">
        <f t="shared" si="72"/>
        <v>0</v>
      </c>
      <c r="S210" s="273">
        <f>'人员人工-研发人员工资'!S210</f>
        <v>0</v>
      </c>
      <c r="T210" s="274">
        <f t="shared" si="73"/>
        <v>0</v>
      </c>
      <c r="U210" s="273">
        <f>'人员人工-研发人员工资'!U210</f>
        <v>0</v>
      </c>
      <c r="V210" s="274">
        <f t="shared" si="74"/>
        <v>0</v>
      </c>
      <c r="W210" s="273">
        <f>'人员人工-研发人员工资'!W210</f>
        <v>0</v>
      </c>
      <c r="X210" s="274">
        <f t="shared" si="75"/>
        <v>0</v>
      </c>
      <c r="Y210" s="273">
        <f>'人员人工-研发人员工资'!Y210</f>
        <v>0</v>
      </c>
      <c r="Z210" s="274">
        <f t="shared" si="76"/>
        <v>0</v>
      </c>
    </row>
    <row r="211" s="251" customFormat="1" customHeight="1" spans="1:26">
      <c r="A211" s="270">
        <v>18</v>
      </c>
      <c r="B211" s="271">
        <f>'人员人工-研发人员工资'!B211</f>
        <v>0</v>
      </c>
      <c r="C211" s="274"/>
      <c r="D211" s="272">
        <f>'人员人工-研发人员工资'!D211</f>
        <v>0</v>
      </c>
      <c r="E211" s="272">
        <f t="shared" si="65"/>
        <v>0</v>
      </c>
      <c r="F211" s="272">
        <f t="shared" si="66"/>
        <v>0</v>
      </c>
      <c r="G211" s="273">
        <f>'人员人工-研发人员工资'!G211</f>
        <v>0</v>
      </c>
      <c r="H211" s="274">
        <f t="shared" si="67"/>
        <v>0</v>
      </c>
      <c r="I211" s="273">
        <f>'人员人工-研发人员工资'!I211</f>
        <v>0</v>
      </c>
      <c r="J211" s="274">
        <f t="shared" si="68"/>
        <v>0</v>
      </c>
      <c r="K211" s="275">
        <f>'人员人工-研发人员工资'!K211</f>
        <v>0</v>
      </c>
      <c r="L211" s="274">
        <f t="shared" si="69"/>
        <v>0</v>
      </c>
      <c r="M211" s="273">
        <f>'人员人工-研发人员工资'!M211</f>
        <v>0</v>
      </c>
      <c r="N211" s="274">
        <f t="shared" si="70"/>
        <v>0</v>
      </c>
      <c r="O211" s="273">
        <f>'人员人工-研发人员工资'!O211</f>
        <v>0</v>
      </c>
      <c r="P211" s="274">
        <f t="shared" si="71"/>
        <v>0</v>
      </c>
      <c r="Q211" s="273">
        <f>'人员人工-研发人员工资'!Q211</f>
        <v>0</v>
      </c>
      <c r="R211" s="274">
        <f t="shared" si="72"/>
        <v>0</v>
      </c>
      <c r="S211" s="273">
        <f>'人员人工-研发人员工资'!S211</f>
        <v>0</v>
      </c>
      <c r="T211" s="274">
        <f t="shared" si="73"/>
        <v>0</v>
      </c>
      <c r="U211" s="273">
        <f>'人员人工-研发人员工资'!U211</f>
        <v>0</v>
      </c>
      <c r="V211" s="274">
        <f t="shared" si="74"/>
        <v>0</v>
      </c>
      <c r="W211" s="273">
        <f>'人员人工-研发人员工资'!W211</f>
        <v>0</v>
      </c>
      <c r="X211" s="274">
        <f t="shared" si="75"/>
        <v>0</v>
      </c>
      <c r="Y211" s="273">
        <f>'人员人工-研发人员工资'!Y211</f>
        <v>0</v>
      </c>
      <c r="Z211" s="274">
        <f t="shared" si="76"/>
        <v>0</v>
      </c>
    </row>
    <row r="212" s="251" customFormat="1" customHeight="1" spans="1:26">
      <c r="A212" s="270">
        <v>19</v>
      </c>
      <c r="B212" s="271">
        <f>'人员人工-研发人员工资'!B212</f>
        <v>0</v>
      </c>
      <c r="C212" s="274"/>
      <c r="D212" s="272">
        <f>'人员人工-研发人员工资'!D212</f>
        <v>0</v>
      </c>
      <c r="E212" s="272">
        <f t="shared" si="65"/>
        <v>0</v>
      </c>
      <c r="F212" s="272">
        <f t="shared" si="66"/>
        <v>0</v>
      </c>
      <c r="G212" s="273">
        <f>'人员人工-研发人员工资'!G212</f>
        <v>0</v>
      </c>
      <c r="H212" s="274">
        <f t="shared" si="67"/>
        <v>0</v>
      </c>
      <c r="I212" s="273">
        <f>'人员人工-研发人员工资'!I212</f>
        <v>0</v>
      </c>
      <c r="J212" s="274">
        <f t="shared" si="68"/>
        <v>0</v>
      </c>
      <c r="K212" s="275">
        <f>'人员人工-研发人员工资'!K212</f>
        <v>0</v>
      </c>
      <c r="L212" s="274">
        <f t="shared" si="69"/>
        <v>0</v>
      </c>
      <c r="M212" s="273">
        <f>'人员人工-研发人员工资'!M212</f>
        <v>0</v>
      </c>
      <c r="N212" s="274">
        <f t="shared" si="70"/>
        <v>0</v>
      </c>
      <c r="O212" s="273">
        <f>'人员人工-研发人员工资'!O212</f>
        <v>0</v>
      </c>
      <c r="P212" s="274">
        <f t="shared" si="71"/>
        <v>0</v>
      </c>
      <c r="Q212" s="273">
        <f>'人员人工-研发人员工资'!Q212</f>
        <v>0</v>
      </c>
      <c r="R212" s="274">
        <f t="shared" si="72"/>
        <v>0</v>
      </c>
      <c r="S212" s="273">
        <f>'人员人工-研发人员工资'!S212</f>
        <v>0</v>
      </c>
      <c r="T212" s="274">
        <f t="shared" si="73"/>
        <v>0</v>
      </c>
      <c r="U212" s="273">
        <f>'人员人工-研发人员工资'!U212</f>
        <v>0</v>
      </c>
      <c r="V212" s="274">
        <f t="shared" si="74"/>
        <v>0</v>
      </c>
      <c r="W212" s="273">
        <f>'人员人工-研发人员工资'!W212</f>
        <v>0</v>
      </c>
      <c r="X212" s="274">
        <f t="shared" si="75"/>
        <v>0</v>
      </c>
      <c r="Y212" s="273">
        <f>'人员人工-研发人员工资'!Y212</f>
        <v>0</v>
      </c>
      <c r="Z212" s="274">
        <f t="shared" si="76"/>
        <v>0</v>
      </c>
    </row>
    <row r="213" s="251" customFormat="1" customHeight="1" spans="1:26">
      <c r="A213" s="270">
        <v>20</v>
      </c>
      <c r="B213" s="271">
        <f>'人员人工-研发人员工资'!B213</f>
        <v>0</v>
      </c>
      <c r="C213" s="274"/>
      <c r="D213" s="272">
        <f>'人员人工-研发人员工资'!D213</f>
        <v>0</v>
      </c>
      <c r="E213" s="272">
        <f t="shared" si="65"/>
        <v>0</v>
      </c>
      <c r="F213" s="272">
        <f t="shared" si="66"/>
        <v>0</v>
      </c>
      <c r="G213" s="273">
        <f>'人员人工-研发人员工资'!G213</f>
        <v>0</v>
      </c>
      <c r="H213" s="274">
        <f t="shared" si="67"/>
        <v>0</v>
      </c>
      <c r="I213" s="273">
        <f>'人员人工-研发人员工资'!I213</f>
        <v>0</v>
      </c>
      <c r="J213" s="274">
        <f t="shared" si="68"/>
        <v>0</v>
      </c>
      <c r="K213" s="275">
        <f>'人员人工-研发人员工资'!K213</f>
        <v>0</v>
      </c>
      <c r="L213" s="274">
        <f t="shared" si="69"/>
        <v>0</v>
      </c>
      <c r="M213" s="273">
        <f>'人员人工-研发人员工资'!M213</f>
        <v>0</v>
      </c>
      <c r="N213" s="274">
        <f t="shared" si="70"/>
        <v>0</v>
      </c>
      <c r="O213" s="273">
        <f>'人员人工-研发人员工资'!O213</f>
        <v>0</v>
      </c>
      <c r="P213" s="274">
        <f t="shared" si="71"/>
        <v>0</v>
      </c>
      <c r="Q213" s="273">
        <f>'人员人工-研发人员工资'!Q213</f>
        <v>0</v>
      </c>
      <c r="R213" s="274">
        <f t="shared" si="72"/>
        <v>0</v>
      </c>
      <c r="S213" s="273">
        <f>'人员人工-研发人员工资'!S213</f>
        <v>0</v>
      </c>
      <c r="T213" s="274">
        <f t="shared" si="73"/>
        <v>0</v>
      </c>
      <c r="U213" s="273">
        <f>'人员人工-研发人员工资'!U213</f>
        <v>0</v>
      </c>
      <c r="V213" s="274">
        <f t="shared" si="74"/>
        <v>0</v>
      </c>
      <c r="W213" s="273">
        <f>'人员人工-研发人员工资'!W213</f>
        <v>0</v>
      </c>
      <c r="X213" s="274">
        <f t="shared" si="75"/>
        <v>0</v>
      </c>
      <c r="Y213" s="273">
        <f>'人员人工-研发人员工资'!Y213</f>
        <v>0</v>
      </c>
      <c r="Z213" s="274">
        <f t="shared" si="76"/>
        <v>0</v>
      </c>
    </row>
    <row r="214" s="251" customFormat="1" customHeight="1" spans="1:26">
      <c r="A214" s="270">
        <v>21</v>
      </c>
      <c r="B214" s="271">
        <f>'人员人工-研发人员工资'!B214</f>
        <v>0</v>
      </c>
      <c r="C214" s="274"/>
      <c r="D214" s="272">
        <f>'人员人工-研发人员工资'!D214</f>
        <v>0</v>
      </c>
      <c r="E214" s="272">
        <f t="shared" si="65"/>
        <v>0</v>
      </c>
      <c r="F214" s="272">
        <f t="shared" si="66"/>
        <v>0</v>
      </c>
      <c r="G214" s="273">
        <f>'人员人工-研发人员工资'!G214</f>
        <v>0</v>
      </c>
      <c r="H214" s="274">
        <f t="shared" si="67"/>
        <v>0</v>
      </c>
      <c r="I214" s="273">
        <f>'人员人工-研发人员工资'!I214</f>
        <v>0</v>
      </c>
      <c r="J214" s="274">
        <f t="shared" si="68"/>
        <v>0</v>
      </c>
      <c r="K214" s="275">
        <f>'人员人工-研发人员工资'!K214</f>
        <v>0</v>
      </c>
      <c r="L214" s="274">
        <f t="shared" si="69"/>
        <v>0</v>
      </c>
      <c r="M214" s="273">
        <f>'人员人工-研发人员工资'!M214</f>
        <v>0</v>
      </c>
      <c r="N214" s="274">
        <f t="shared" si="70"/>
        <v>0</v>
      </c>
      <c r="O214" s="273">
        <f>'人员人工-研发人员工资'!O214</f>
        <v>0</v>
      </c>
      <c r="P214" s="274">
        <f t="shared" si="71"/>
        <v>0</v>
      </c>
      <c r="Q214" s="273">
        <f>'人员人工-研发人员工资'!Q214</f>
        <v>0</v>
      </c>
      <c r="R214" s="274">
        <f t="shared" si="72"/>
        <v>0</v>
      </c>
      <c r="S214" s="273">
        <f>'人员人工-研发人员工资'!S214</f>
        <v>0</v>
      </c>
      <c r="T214" s="274">
        <f t="shared" si="73"/>
        <v>0</v>
      </c>
      <c r="U214" s="273">
        <f>'人员人工-研发人员工资'!U214</f>
        <v>0</v>
      </c>
      <c r="V214" s="274">
        <f t="shared" si="74"/>
        <v>0</v>
      </c>
      <c r="W214" s="273">
        <f>'人员人工-研发人员工资'!W214</f>
        <v>0</v>
      </c>
      <c r="X214" s="274">
        <f t="shared" si="75"/>
        <v>0</v>
      </c>
      <c r="Y214" s="273">
        <f>'人员人工-研发人员工资'!Y214</f>
        <v>0</v>
      </c>
      <c r="Z214" s="274">
        <f t="shared" si="76"/>
        <v>0</v>
      </c>
    </row>
    <row r="215" s="251" customFormat="1" customHeight="1" spans="1:26">
      <c r="A215" s="270">
        <v>22</v>
      </c>
      <c r="B215" s="271">
        <f>'人员人工-研发人员工资'!B215</f>
        <v>0</v>
      </c>
      <c r="C215" s="274"/>
      <c r="D215" s="272">
        <f>'人员人工-研发人员工资'!D215</f>
        <v>0</v>
      </c>
      <c r="E215" s="272">
        <f t="shared" si="65"/>
        <v>0</v>
      </c>
      <c r="F215" s="272">
        <f t="shared" si="66"/>
        <v>0</v>
      </c>
      <c r="G215" s="273">
        <f>'人员人工-研发人员工资'!G215</f>
        <v>0</v>
      </c>
      <c r="H215" s="274">
        <f t="shared" si="67"/>
        <v>0</v>
      </c>
      <c r="I215" s="273">
        <f>'人员人工-研发人员工资'!I215</f>
        <v>0</v>
      </c>
      <c r="J215" s="274">
        <f t="shared" si="68"/>
        <v>0</v>
      </c>
      <c r="K215" s="275">
        <f>'人员人工-研发人员工资'!K215</f>
        <v>0</v>
      </c>
      <c r="L215" s="274">
        <f t="shared" si="69"/>
        <v>0</v>
      </c>
      <c r="M215" s="273">
        <f>'人员人工-研发人员工资'!M215</f>
        <v>0</v>
      </c>
      <c r="N215" s="274">
        <f t="shared" si="70"/>
        <v>0</v>
      </c>
      <c r="O215" s="273">
        <f>'人员人工-研发人员工资'!O215</f>
        <v>0</v>
      </c>
      <c r="P215" s="274">
        <f t="shared" si="71"/>
        <v>0</v>
      </c>
      <c r="Q215" s="273">
        <f>'人员人工-研发人员工资'!Q215</f>
        <v>0</v>
      </c>
      <c r="R215" s="274">
        <f t="shared" si="72"/>
        <v>0</v>
      </c>
      <c r="S215" s="273">
        <f>'人员人工-研发人员工资'!S215</f>
        <v>0</v>
      </c>
      <c r="T215" s="274">
        <f t="shared" si="73"/>
        <v>0</v>
      </c>
      <c r="U215" s="273">
        <f>'人员人工-研发人员工资'!U215</f>
        <v>0</v>
      </c>
      <c r="V215" s="274">
        <f t="shared" si="74"/>
        <v>0</v>
      </c>
      <c r="W215" s="273">
        <f>'人员人工-研发人员工资'!W215</f>
        <v>0</v>
      </c>
      <c r="X215" s="274">
        <f t="shared" si="75"/>
        <v>0</v>
      </c>
      <c r="Y215" s="273">
        <f>'人员人工-研发人员工资'!Y215</f>
        <v>0</v>
      </c>
      <c r="Z215" s="274">
        <f t="shared" si="76"/>
        <v>0</v>
      </c>
    </row>
    <row r="216" s="251" customFormat="1" customHeight="1" spans="1:26">
      <c r="A216" s="270">
        <v>23</v>
      </c>
      <c r="B216" s="271">
        <f>'人员人工-研发人员工资'!B216</f>
        <v>0</v>
      </c>
      <c r="C216" s="274"/>
      <c r="D216" s="272">
        <f>'人员人工-研发人员工资'!D216</f>
        <v>0</v>
      </c>
      <c r="E216" s="272">
        <f t="shared" si="65"/>
        <v>0</v>
      </c>
      <c r="F216" s="272">
        <f t="shared" si="66"/>
        <v>0</v>
      </c>
      <c r="G216" s="273">
        <f>'人员人工-研发人员工资'!G216</f>
        <v>0</v>
      </c>
      <c r="H216" s="274">
        <f t="shared" si="67"/>
        <v>0</v>
      </c>
      <c r="I216" s="273">
        <f>'人员人工-研发人员工资'!I216</f>
        <v>0</v>
      </c>
      <c r="J216" s="274">
        <f t="shared" si="68"/>
        <v>0</v>
      </c>
      <c r="K216" s="275">
        <f>'人员人工-研发人员工资'!K216</f>
        <v>0</v>
      </c>
      <c r="L216" s="274">
        <f t="shared" si="69"/>
        <v>0</v>
      </c>
      <c r="M216" s="273">
        <f>'人员人工-研发人员工资'!M216</f>
        <v>0</v>
      </c>
      <c r="N216" s="274">
        <f t="shared" si="70"/>
        <v>0</v>
      </c>
      <c r="O216" s="273">
        <f>'人员人工-研发人员工资'!O216</f>
        <v>0</v>
      </c>
      <c r="P216" s="274">
        <f t="shared" si="71"/>
        <v>0</v>
      </c>
      <c r="Q216" s="273">
        <f>'人员人工-研发人员工资'!Q216</f>
        <v>0</v>
      </c>
      <c r="R216" s="274">
        <f t="shared" si="72"/>
        <v>0</v>
      </c>
      <c r="S216" s="273">
        <f>'人员人工-研发人员工资'!S216</f>
        <v>0</v>
      </c>
      <c r="T216" s="274">
        <f t="shared" si="73"/>
        <v>0</v>
      </c>
      <c r="U216" s="273">
        <f>'人员人工-研发人员工资'!U216</f>
        <v>0</v>
      </c>
      <c r="V216" s="274">
        <f t="shared" si="74"/>
        <v>0</v>
      </c>
      <c r="W216" s="273">
        <f>'人员人工-研发人员工资'!W216</f>
        <v>0</v>
      </c>
      <c r="X216" s="274">
        <f t="shared" si="75"/>
        <v>0</v>
      </c>
      <c r="Y216" s="273">
        <f>'人员人工-研发人员工资'!Y216</f>
        <v>0</v>
      </c>
      <c r="Z216" s="274">
        <f t="shared" si="76"/>
        <v>0</v>
      </c>
    </row>
    <row r="217" s="251" customFormat="1" customHeight="1" spans="1:26">
      <c r="A217" s="270">
        <v>25</v>
      </c>
      <c r="B217" s="271">
        <f>'人员人工-研发人员工资'!B217</f>
        <v>0</v>
      </c>
      <c r="C217" s="274"/>
      <c r="D217" s="272">
        <f>'人员人工-研发人员工资'!D217</f>
        <v>0</v>
      </c>
      <c r="E217" s="272">
        <f t="shared" si="65"/>
        <v>0</v>
      </c>
      <c r="F217" s="272">
        <f t="shared" si="66"/>
        <v>0</v>
      </c>
      <c r="G217" s="273">
        <f>'人员人工-研发人员工资'!G217</f>
        <v>0</v>
      </c>
      <c r="H217" s="274">
        <f t="shared" si="67"/>
        <v>0</v>
      </c>
      <c r="I217" s="273">
        <f>'人员人工-研发人员工资'!I217</f>
        <v>0</v>
      </c>
      <c r="J217" s="274">
        <f t="shared" si="68"/>
        <v>0</v>
      </c>
      <c r="K217" s="275">
        <f>'人员人工-研发人员工资'!K217</f>
        <v>0</v>
      </c>
      <c r="L217" s="274">
        <f t="shared" si="69"/>
        <v>0</v>
      </c>
      <c r="M217" s="273">
        <f>'人员人工-研发人员工资'!M217</f>
        <v>0</v>
      </c>
      <c r="N217" s="274">
        <f t="shared" si="70"/>
        <v>0</v>
      </c>
      <c r="O217" s="273">
        <f>'人员人工-研发人员工资'!O217</f>
        <v>0</v>
      </c>
      <c r="P217" s="274">
        <f t="shared" si="71"/>
        <v>0</v>
      </c>
      <c r="Q217" s="273">
        <f>'人员人工-研发人员工资'!Q217</f>
        <v>0</v>
      </c>
      <c r="R217" s="274">
        <f t="shared" si="72"/>
        <v>0</v>
      </c>
      <c r="S217" s="273">
        <f>'人员人工-研发人员工资'!S217</f>
        <v>0</v>
      </c>
      <c r="T217" s="274">
        <f t="shared" si="73"/>
        <v>0</v>
      </c>
      <c r="U217" s="273">
        <f>'人员人工-研发人员工资'!U217</f>
        <v>0</v>
      </c>
      <c r="V217" s="274">
        <f t="shared" si="74"/>
        <v>0</v>
      </c>
      <c r="W217" s="273">
        <f>'人员人工-研发人员工资'!W217</f>
        <v>0</v>
      </c>
      <c r="X217" s="274">
        <f t="shared" si="75"/>
        <v>0</v>
      </c>
      <c r="Y217" s="273">
        <f>'人员人工-研发人员工资'!Y217</f>
        <v>0</v>
      </c>
      <c r="Z217" s="274">
        <f t="shared" si="76"/>
        <v>0</v>
      </c>
    </row>
    <row r="218" s="251" customFormat="1" customHeight="1" spans="1:26">
      <c r="A218" s="270">
        <v>25</v>
      </c>
      <c r="B218" s="271">
        <f>'人员人工-研发人员工资'!B218</f>
        <v>0</v>
      </c>
      <c r="C218" s="274"/>
      <c r="D218" s="272">
        <f>'人员人工-研发人员工资'!D218</f>
        <v>0</v>
      </c>
      <c r="E218" s="272">
        <f t="shared" si="65"/>
        <v>0</v>
      </c>
      <c r="F218" s="272">
        <f t="shared" si="66"/>
        <v>0</v>
      </c>
      <c r="G218" s="273">
        <f>'人员人工-研发人员工资'!G218</f>
        <v>0</v>
      </c>
      <c r="H218" s="274">
        <f t="shared" si="67"/>
        <v>0</v>
      </c>
      <c r="I218" s="273">
        <f>'人员人工-研发人员工资'!I218</f>
        <v>0</v>
      </c>
      <c r="J218" s="274">
        <f t="shared" si="68"/>
        <v>0</v>
      </c>
      <c r="K218" s="275">
        <f>'人员人工-研发人员工资'!K218</f>
        <v>0</v>
      </c>
      <c r="L218" s="274">
        <f t="shared" si="69"/>
        <v>0</v>
      </c>
      <c r="M218" s="273">
        <f>'人员人工-研发人员工资'!M218</f>
        <v>0</v>
      </c>
      <c r="N218" s="274">
        <f t="shared" si="70"/>
        <v>0</v>
      </c>
      <c r="O218" s="273">
        <f>'人员人工-研发人员工资'!O218</f>
        <v>0</v>
      </c>
      <c r="P218" s="274">
        <f t="shared" si="71"/>
        <v>0</v>
      </c>
      <c r="Q218" s="273">
        <f>'人员人工-研发人员工资'!Q218</f>
        <v>0</v>
      </c>
      <c r="R218" s="274">
        <f t="shared" si="72"/>
        <v>0</v>
      </c>
      <c r="S218" s="273">
        <f>'人员人工-研发人员工资'!S218</f>
        <v>0</v>
      </c>
      <c r="T218" s="274">
        <f t="shared" si="73"/>
        <v>0</v>
      </c>
      <c r="U218" s="273">
        <f>'人员人工-研发人员工资'!U218</f>
        <v>0</v>
      </c>
      <c r="V218" s="274">
        <f t="shared" si="74"/>
        <v>0</v>
      </c>
      <c r="W218" s="273">
        <f>'人员人工-研发人员工资'!W218</f>
        <v>0</v>
      </c>
      <c r="X218" s="274">
        <f t="shared" si="75"/>
        <v>0</v>
      </c>
      <c r="Y218" s="273">
        <f>'人员人工-研发人员工资'!Y218</f>
        <v>0</v>
      </c>
      <c r="Z218" s="274">
        <f t="shared" si="76"/>
        <v>0</v>
      </c>
    </row>
    <row r="219" s="251" customFormat="1" customHeight="1" spans="1:26">
      <c r="A219" s="270">
        <v>26</v>
      </c>
      <c r="B219" s="271">
        <f>'人员人工-研发人员工资'!B219</f>
        <v>0</v>
      </c>
      <c r="C219" s="274"/>
      <c r="D219" s="272">
        <f>'人员人工-研发人员工资'!D219</f>
        <v>0</v>
      </c>
      <c r="E219" s="272">
        <f t="shared" si="65"/>
        <v>0</v>
      </c>
      <c r="F219" s="272">
        <f t="shared" si="66"/>
        <v>0</v>
      </c>
      <c r="G219" s="273">
        <f>'人员人工-研发人员工资'!G219</f>
        <v>0</v>
      </c>
      <c r="H219" s="274">
        <f t="shared" si="67"/>
        <v>0</v>
      </c>
      <c r="I219" s="273">
        <f>'人员人工-研发人员工资'!I219</f>
        <v>0</v>
      </c>
      <c r="J219" s="274">
        <f t="shared" si="68"/>
        <v>0</v>
      </c>
      <c r="K219" s="275">
        <f>'人员人工-研发人员工资'!K219</f>
        <v>0</v>
      </c>
      <c r="L219" s="274">
        <f t="shared" si="69"/>
        <v>0</v>
      </c>
      <c r="M219" s="273">
        <f>'人员人工-研发人员工资'!M219</f>
        <v>0</v>
      </c>
      <c r="N219" s="274">
        <f t="shared" si="70"/>
        <v>0</v>
      </c>
      <c r="O219" s="273">
        <f>'人员人工-研发人员工资'!O219</f>
        <v>0</v>
      </c>
      <c r="P219" s="274">
        <f t="shared" si="71"/>
        <v>0</v>
      </c>
      <c r="Q219" s="273">
        <f>'人员人工-研发人员工资'!Q219</f>
        <v>0</v>
      </c>
      <c r="R219" s="274">
        <f t="shared" si="72"/>
        <v>0</v>
      </c>
      <c r="S219" s="273">
        <f>'人员人工-研发人员工资'!S219</f>
        <v>0</v>
      </c>
      <c r="T219" s="274">
        <f t="shared" si="73"/>
        <v>0</v>
      </c>
      <c r="U219" s="273">
        <f>'人员人工-研发人员工资'!U219</f>
        <v>0</v>
      </c>
      <c r="V219" s="274">
        <f t="shared" si="74"/>
        <v>0</v>
      </c>
      <c r="W219" s="273">
        <f>'人员人工-研发人员工资'!W219</f>
        <v>0</v>
      </c>
      <c r="X219" s="274">
        <f t="shared" si="75"/>
        <v>0</v>
      </c>
      <c r="Y219" s="273">
        <f>'人员人工-研发人员工资'!Y219</f>
        <v>0</v>
      </c>
      <c r="Z219" s="274">
        <f t="shared" si="76"/>
        <v>0</v>
      </c>
    </row>
    <row r="220" s="251" customFormat="1" customHeight="1" spans="1:26">
      <c r="A220" s="270">
        <v>27</v>
      </c>
      <c r="B220" s="271">
        <f>'人员人工-研发人员工资'!B220</f>
        <v>0</v>
      </c>
      <c r="C220" s="274"/>
      <c r="D220" s="272">
        <f>'人员人工-研发人员工资'!D220</f>
        <v>0</v>
      </c>
      <c r="E220" s="272">
        <f t="shared" si="65"/>
        <v>0</v>
      </c>
      <c r="F220" s="272">
        <f t="shared" si="66"/>
        <v>0</v>
      </c>
      <c r="G220" s="273">
        <f>'人员人工-研发人员工资'!G220</f>
        <v>0</v>
      </c>
      <c r="H220" s="274">
        <f t="shared" si="67"/>
        <v>0</v>
      </c>
      <c r="I220" s="273">
        <f>'人员人工-研发人员工资'!I220</f>
        <v>0</v>
      </c>
      <c r="J220" s="274">
        <f t="shared" si="68"/>
        <v>0</v>
      </c>
      <c r="K220" s="275">
        <f>'人员人工-研发人员工资'!K220</f>
        <v>0</v>
      </c>
      <c r="L220" s="274">
        <f t="shared" si="69"/>
        <v>0</v>
      </c>
      <c r="M220" s="273">
        <f>'人员人工-研发人员工资'!M220</f>
        <v>0</v>
      </c>
      <c r="N220" s="274">
        <f t="shared" si="70"/>
        <v>0</v>
      </c>
      <c r="O220" s="273">
        <f>'人员人工-研发人员工资'!O220</f>
        <v>0</v>
      </c>
      <c r="P220" s="274">
        <f t="shared" si="71"/>
        <v>0</v>
      </c>
      <c r="Q220" s="273">
        <f>'人员人工-研发人员工资'!Q220</f>
        <v>0</v>
      </c>
      <c r="R220" s="274">
        <f t="shared" si="72"/>
        <v>0</v>
      </c>
      <c r="S220" s="273">
        <f>'人员人工-研发人员工资'!S220</f>
        <v>0</v>
      </c>
      <c r="T220" s="274">
        <f t="shared" si="73"/>
        <v>0</v>
      </c>
      <c r="U220" s="273">
        <f>'人员人工-研发人员工资'!U220</f>
        <v>0</v>
      </c>
      <c r="V220" s="274">
        <f t="shared" si="74"/>
        <v>0</v>
      </c>
      <c r="W220" s="273">
        <f>'人员人工-研发人员工资'!W220</f>
        <v>0</v>
      </c>
      <c r="X220" s="274">
        <f t="shared" si="75"/>
        <v>0</v>
      </c>
      <c r="Y220" s="273">
        <f>'人员人工-研发人员工资'!Y220</f>
        <v>0</v>
      </c>
      <c r="Z220" s="274">
        <f t="shared" si="76"/>
        <v>0</v>
      </c>
    </row>
    <row r="221" s="251" customFormat="1" customHeight="1" spans="1:26">
      <c r="A221" s="270">
        <v>28</v>
      </c>
      <c r="B221" s="271">
        <f>'人员人工-研发人员工资'!B221</f>
        <v>0</v>
      </c>
      <c r="C221" s="274"/>
      <c r="D221" s="272">
        <f>'人员人工-研发人员工资'!D221</f>
        <v>0</v>
      </c>
      <c r="E221" s="272">
        <f t="shared" si="65"/>
        <v>0</v>
      </c>
      <c r="F221" s="272">
        <f t="shared" si="66"/>
        <v>0</v>
      </c>
      <c r="G221" s="273">
        <f>'人员人工-研发人员工资'!G221</f>
        <v>0</v>
      </c>
      <c r="H221" s="274">
        <f t="shared" si="67"/>
        <v>0</v>
      </c>
      <c r="I221" s="273">
        <f>'人员人工-研发人员工资'!I221</f>
        <v>0</v>
      </c>
      <c r="J221" s="274">
        <f t="shared" si="68"/>
        <v>0</v>
      </c>
      <c r="K221" s="275">
        <f>'人员人工-研发人员工资'!K221</f>
        <v>0</v>
      </c>
      <c r="L221" s="274">
        <f t="shared" si="69"/>
        <v>0</v>
      </c>
      <c r="M221" s="273">
        <f>'人员人工-研发人员工资'!M221</f>
        <v>0</v>
      </c>
      <c r="N221" s="274">
        <f t="shared" si="70"/>
        <v>0</v>
      </c>
      <c r="O221" s="273">
        <f>'人员人工-研发人员工资'!O221</f>
        <v>0</v>
      </c>
      <c r="P221" s="274">
        <f t="shared" si="71"/>
        <v>0</v>
      </c>
      <c r="Q221" s="273">
        <f>'人员人工-研发人员工资'!Q221</f>
        <v>0</v>
      </c>
      <c r="R221" s="274">
        <f t="shared" si="72"/>
        <v>0</v>
      </c>
      <c r="S221" s="273">
        <f>'人员人工-研发人员工资'!S221</f>
        <v>0</v>
      </c>
      <c r="T221" s="274">
        <f t="shared" si="73"/>
        <v>0</v>
      </c>
      <c r="U221" s="273">
        <f>'人员人工-研发人员工资'!U221</f>
        <v>0</v>
      </c>
      <c r="V221" s="274">
        <f t="shared" si="74"/>
        <v>0</v>
      </c>
      <c r="W221" s="273">
        <f>'人员人工-研发人员工资'!W221</f>
        <v>0</v>
      </c>
      <c r="X221" s="274">
        <f t="shared" si="75"/>
        <v>0</v>
      </c>
      <c r="Y221" s="273">
        <f>'人员人工-研发人员工资'!Y221</f>
        <v>0</v>
      </c>
      <c r="Z221" s="274">
        <f t="shared" si="76"/>
        <v>0</v>
      </c>
    </row>
    <row r="222" s="251" customFormat="1" customHeight="1" spans="1:26">
      <c r="A222" s="270">
        <v>29</v>
      </c>
      <c r="B222" s="271">
        <f>'人员人工-研发人员工资'!B222</f>
        <v>0</v>
      </c>
      <c r="C222" s="274"/>
      <c r="D222" s="272">
        <f>'人员人工-研发人员工资'!D222</f>
        <v>0</v>
      </c>
      <c r="E222" s="272">
        <f t="shared" si="65"/>
        <v>0</v>
      </c>
      <c r="F222" s="272">
        <f t="shared" si="66"/>
        <v>0</v>
      </c>
      <c r="G222" s="273">
        <f>'人员人工-研发人员工资'!G222</f>
        <v>0</v>
      </c>
      <c r="H222" s="274">
        <f t="shared" si="67"/>
        <v>0</v>
      </c>
      <c r="I222" s="273">
        <f>'人员人工-研发人员工资'!I222</f>
        <v>0</v>
      </c>
      <c r="J222" s="274">
        <f t="shared" si="68"/>
        <v>0</v>
      </c>
      <c r="K222" s="275">
        <f>'人员人工-研发人员工资'!K222</f>
        <v>0</v>
      </c>
      <c r="L222" s="274">
        <f t="shared" si="69"/>
        <v>0</v>
      </c>
      <c r="M222" s="273">
        <f>'人员人工-研发人员工资'!M222</f>
        <v>0</v>
      </c>
      <c r="N222" s="274">
        <f t="shared" si="70"/>
        <v>0</v>
      </c>
      <c r="O222" s="273">
        <f>'人员人工-研发人员工资'!O222</f>
        <v>0</v>
      </c>
      <c r="P222" s="274">
        <f t="shared" si="71"/>
        <v>0</v>
      </c>
      <c r="Q222" s="273">
        <f>'人员人工-研发人员工资'!Q222</f>
        <v>0</v>
      </c>
      <c r="R222" s="274">
        <f t="shared" si="72"/>
        <v>0</v>
      </c>
      <c r="S222" s="273">
        <f>'人员人工-研发人员工资'!S222</f>
        <v>0</v>
      </c>
      <c r="T222" s="274">
        <f t="shared" si="73"/>
        <v>0</v>
      </c>
      <c r="U222" s="273">
        <f>'人员人工-研发人员工资'!U222</f>
        <v>0</v>
      </c>
      <c r="V222" s="274">
        <f t="shared" si="74"/>
        <v>0</v>
      </c>
      <c r="W222" s="273">
        <f>'人员人工-研发人员工资'!W222</f>
        <v>0</v>
      </c>
      <c r="X222" s="274">
        <f t="shared" si="75"/>
        <v>0</v>
      </c>
      <c r="Y222" s="273">
        <f>'人员人工-研发人员工资'!Y222</f>
        <v>0</v>
      </c>
      <c r="Z222" s="274">
        <f t="shared" si="76"/>
        <v>0</v>
      </c>
    </row>
    <row r="223" s="251" customFormat="1" customHeight="1" spans="1:26">
      <c r="A223" s="270">
        <v>30</v>
      </c>
      <c r="B223" s="271">
        <f>'人员人工-研发人员工资'!B223</f>
        <v>0</v>
      </c>
      <c r="C223" s="274"/>
      <c r="D223" s="272">
        <f>'人员人工-研发人员工资'!D223</f>
        <v>0</v>
      </c>
      <c r="E223" s="272">
        <f t="shared" si="65"/>
        <v>0</v>
      </c>
      <c r="F223" s="272">
        <f t="shared" si="66"/>
        <v>0</v>
      </c>
      <c r="G223" s="273">
        <f>'人员人工-研发人员工资'!G223</f>
        <v>0</v>
      </c>
      <c r="H223" s="274">
        <f t="shared" si="67"/>
        <v>0</v>
      </c>
      <c r="I223" s="273">
        <f>'人员人工-研发人员工资'!I223</f>
        <v>0</v>
      </c>
      <c r="J223" s="274">
        <f t="shared" si="68"/>
        <v>0</v>
      </c>
      <c r="K223" s="275">
        <f>'人员人工-研发人员工资'!K223</f>
        <v>0</v>
      </c>
      <c r="L223" s="274">
        <f t="shared" si="69"/>
        <v>0</v>
      </c>
      <c r="M223" s="273">
        <f>'人员人工-研发人员工资'!M223</f>
        <v>0</v>
      </c>
      <c r="N223" s="274">
        <f t="shared" si="70"/>
        <v>0</v>
      </c>
      <c r="O223" s="273">
        <f>'人员人工-研发人员工资'!O223</f>
        <v>0</v>
      </c>
      <c r="P223" s="274">
        <f t="shared" si="71"/>
        <v>0</v>
      </c>
      <c r="Q223" s="273">
        <f>'人员人工-研发人员工资'!Q223</f>
        <v>0</v>
      </c>
      <c r="R223" s="274">
        <f t="shared" si="72"/>
        <v>0</v>
      </c>
      <c r="S223" s="273">
        <f>'人员人工-研发人员工资'!S223</f>
        <v>0</v>
      </c>
      <c r="T223" s="274">
        <f t="shared" si="73"/>
        <v>0</v>
      </c>
      <c r="U223" s="273">
        <f>'人员人工-研发人员工资'!U223</f>
        <v>0</v>
      </c>
      <c r="V223" s="274">
        <f t="shared" si="74"/>
        <v>0</v>
      </c>
      <c r="W223" s="273">
        <f>'人员人工-研发人员工资'!W223</f>
        <v>0</v>
      </c>
      <c r="X223" s="274">
        <f t="shared" si="75"/>
        <v>0</v>
      </c>
      <c r="Y223" s="273">
        <f>'人员人工-研发人员工资'!Y223</f>
        <v>0</v>
      </c>
      <c r="Z223" s="274">
        <f t="shared" si="76"/>
        <v>0</v>
      </c>
    </row>
    <row r="224" s="251" customFormat="1" customHeight="1" spans="1:26">
      <c r="A224" s="276" t="s">
        <v>22</v>
      </c>
      <c r="B224" s="277"/>
      <c r="C224" s="261">
        <f t="shared" ref="C224:Z224" si="77">SUM(C194:C223)</f>
        <v>0</v>
      </c>
      <c r="D224" s="261">
        <f t="shared" si="77"/>
        <v>0</v>
      </c>
      <c r="E224" s="272">
        <f t="shared" si="77"/>
        <v>0</v>
      </c>
      <c r="F224" s="261">
        <f t="shared" si="77"/>
        <v>0</v>
      </c>
      <c r="G224" s="261">
        <f t="shared" si="77"/>
        <v>0</v>
      </c>
      <c r="H224" s="261">
        <f t="shared" si="77"/>
        <v>0</v>
      </c>
      <c r="I224" s="261">
        <f t="shared" si="77"/>
        <v>0</v>
      </c>
      <c r="J224" s="261">
        <f t="shared" si="77"/>
        <v>0</v>
      </c>
      <c r="K224" s="261">
        <f t="shared" si="77"/>
        <v>0</v>
      </c>
      <c r="L224" s="261">
        <f t="shared" si="77"/>
        <v>0</v>
      </c>
      <c r="M224" s="261">
        <f t="shared" si="77"/>
        <v>0</v>
      </c>
      <c r="N224" s="261">
        <f t="shared" si="77"/>
        <v>0</v>
      </c>
      <c r="O224" s="261">
        <f t="shared" si="77"/>
        <v>0</v>
      </c>
      <c r="P224" s="261">
        <f t="shared" si="77"/>
        <v>0</v>
      </c>
      <c r="Q224" s="261">
        <f t="shared" si="77"/>
        <v>0</v>
      </c>
      <c r="R224" s="261">
        <f t="shared" si="77"/>
        <v>0</v>
      </c>
      <c r="S224" s="261">
        <f t="shared" si="77"/>
        <v>0</v>
      </c>
      <c r="T224" s="261">
        <f t="shared" si="77"/>
        <v>0</v>
      </c>
      <c r="U224" s="261">
        <f t="shared" si="77"/>
        <v>0</v>
      </c>
      <c r="V224" s="261">
        <f t="shared" si="77"/>
        <v>0</v>
      </c>
      <c r="W224" s="261">
        <f t="shared" si="77"/>
        <v>0</v>
      </c>
      <c r="X224" s="261">
        <f t="shared" si="77"/>
        <v>0</v>
      </c>
      <c r="Y224" s="261">
        <f t="shared" si="77"/>
        <v>0</v>
      </c>
      <c r="Z224" s="261">
        <f t="shared" si="77"/>
        <v>0</v>
      </c>
    </row>
    <row r="225" s="251" customFormat="1" customHeight="1" spans="1:26">
      <c r="A225" s="252"/>
      <c r="B225" s="253"/>
      <c r="C225" s="254"/>
      <c r="D225" s="254"/>
      <c r="E225" s="254"/>
      <c r="F225" s="254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</row>
    <row r="226" s="251" customFormat="1" customHeight="1" spans="1:26">
      <c r="A226" s="252"/>
      <c r="B226" s="253"/>
      <c r="C226" s="254"/>
      <c r="D226" s="254"/>
      <c r="E226" s="254"/>
      <c r="F226" s="254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</row>
    <row r="227" s="251" customFormat="1" customHeight="1" spans="1:26">
      <c r="A227" s="252"/>
      <c r="B227" s="257" t="s">
        <v>149</v>
      </c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</row>
    <row r="228" s="251" customFormat="1" customHeight="1" spans="1:26">
      <c r="A228" s="252"/>
      <c r="B228" s="253"/>
      <c r="C228" s="254"/>
      <c r="D228" s="254"/>
      <c r="E228" s="254"/>
      <c r="F228" s="254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</row>
    <row r="229" s="251" customFormat="1" customHeight="1" spans="1:26">
      <c r="A229" s="259" t="s">
        <v>31</v>
      </c>
      <c r="B229" s="260" t="s">
        <v>32</v>
      </c>
      <c r="C229" s="261" t="s">
        <v>141</v>
      </c>
      <c r="D229" s="261" t="s">
        <v>34</v>
      </c>
      <c r="E229" s="262" t="s">
        <v>35</v>
      </c>
      <c r="F229" s="262" t="s">
        <v>142</v>
      </c>
      <c r="G229" s="263" t="str">
        <f>立项!$A$3</f>
        <v>RD01</v>
      </c>
      <c r="H229" s="264"/>
      <c r="I229" s="264" t="str">
        <f>立项!$A$4</f>
        <v>RD02</v>
      </c>
      <c r="J229" s="264"/>
      <c r="K229" s="264" t="str">
        <f>立项!$A$5</f>
        <v>RD03</v>
      </c>
      <c r="L229" s="264"/>
      <c r="M229" s="264" t="str">
        <f>立项!$A$6</f>
        <v>RD04</v>
      </c>
      <c r="N229" s="264"/>
      <c r="O229" s="264" t="str">
        <f>立项!$A$7</f>
        <v>RD05</v>
      </c>
      <c r="P229" s="264"/>
      <c r="Q229" s="264" t="str">
        <f>立项!$A$8</f>
        <v>RD06</v>
      </c>
      <c r="R229" s="264"/>
      <c r="S229" s="264" t="str">
        <f>立项!$A$9</f>
        <v>RD07</v>
      </c>
      <c r="T229" s="264"/>
      <c r="U229" s="264" t="str">
        <f>立项!$A$10</f>
        <v>RD08</v>
      </c>
      <c r="V229" s="264"/>
      <c r="W229" s="264" t="str">
        <f>立项!$A$11</f>
        <v>RD09</v>
      </c>
      <c r="X229" s="264"/>
      <c r="Y229" s="264" t="str">
        <f>立项!$A$12</f>
        <v>RD10</v>
      </c>
      <c r="Z229" s="264"/>
    </row>
    <row r="230" s="251" customFormat="1" customHeight="1" spans="1:26">
      <c r="A230" s="265"/>
      <c r="B230" s="260"/>
      <c r="C230" s="261"/>
      <c r="D230" s="261"/>
      <c r="E230" s="262"/>
      <c r="F230" s="262"/>
      <c r="G230" s="267">
        <f>立项!C3</f>
        <v>0</v>
      </c>
      <c r="H230" s="263"/>
      <c r="I230" s="267">
        <f>立项!C4</f>
        <v>0</v>
      </c>
      <c r="J230" s="263"/>
      <c r="K230" s="267">
        <f>立项!C5</f>
        <v>0</v>
      </c>
      <c r="L230" s="263"/>
      <c r="M230" s="267">
        <f>立项!C6</f>
        <v>0</v>
      </c>
      <c r="N230" s="263"/>
      <c r="O230" s="267">
        <f>立项!C7</f>
        <v>0</v>
      </c>
      <c r="P230" s="263"/>
      <c r="Q230" s="267">
        <f>立项!C8</f>
        <v>0</v>
      </c>
      <c r="R230" s="263"/>
      <c r="S230" s="267">
        <f>立项!C9</f>
        <v>0</v>
      </c>
      <c r="T230" s="263"/>
      <c r="U230" s="267">
        <f>立项!C10</f>
        <v>0</v>
      </c>
      <c r="V230" s="263"/>
      <c r="W230" s="267">
        <f>立项!C11</f>
        <v>0</v>
      </c>
      <c r="X230" s="263"/>
      <c r="Y230" s="264">
        <f>立项!C12</f>
        <v>0</v>
      </c>
      <c r="Z230" s="264"/>
    </row>
    <row r="231" s="251" customFormat="1" customHeight="1" spans="1:26">
      <c r="A231" s="268"/>
      <c r="B231" s="260"/>
      <c r="C231" s="261"/>
      <c r="D231" s="261"/>
      <c r="E231" s="262"/>
      <c r="F231" s="262"/>
      <c r="G231" s="264" t="s">
        <v>39</v>
      </c>
      <c r="H231" s="269" t="s">
        <v>143</v>
      </c>
      <c r="I231" s="264" t="s">
        <v>39</v>
      </c>
      <c r="J231" s="269" t="s">
        <v>143</v>
      </c>
      <c r="K231" s="264" t="s">
        <v>39</v>
      </c>
      <c r="L231" s="269" t="s">
        <v>143</v>
      </c>
      <c r="M231" s="264" t="s">
        <v>39</v>
      </c>
      <c r="N231" s="269" t="s">
        <v>143</v>
      </c>
      <c r="O231" s="264" t="s">
        <v>39</v>
      </c>
      <c r="P231" s="269" t="s">
        <v>143</v>
      </c>
      <c r="Q231" s="264" t="s">
        <v>39</v>
      </c>
      <c r="R231" s="269" t="s">
        <v>143</v>
      </c>
      <c r="S231" s="264" t="s">
        <v>39</v>
      </c>
      <c r="T231" s="269" t="s">
        <v>143</v>
      </c>
      <c r="U231" s="264" t="s">
        <v>39</v>
      </c>
      <c r="V231" s="269" t="s">
        <v>143</v>
      </c>
      <c r="W231" s="264" t="s">
        <v>39</v>
      </c>
      <c r="X231" s="269" t="s">
        <v>143</v>
      </c>
      <c r="Y231" s="264" t="s">
        <v>39</v>
      </c>
      <c r="Z231" s="269" t="s">
        <v>143</v>
      </c>
    </row>
    <row r="232" s="251" customFormat="1" customHeight="1" spans="1:26">
      <c r="A232" s="270">
        <v>1</v>
      </c>
      <c r="B232" s="271">
        <f>'人员人工-研发人员工资'!B232</f>
        <v>0</v>
      </c>
      <c r="C232" s="272"/>
      <c r="D232" s="272">
        <f>'人员人工-研发人员工资'!D232</f>
        <v>0</v>
      </c>
      <c r="E232" s="272">
        <f t="shared" ref="E232:E261" si="78">G232+I232+K232+M232+O232+Q232+S232+U232+W232+Y232</f>
        <v>0</v>
      </c>
      <c r="F232" s="272">
        <f t="shared" ref="F232:F261" si="79">H232+J232+L232+N232+P232+R232+T232+V232+X232+Z232</f>
        <v>0</v>
      </c>
      <c r="G232" s="273">
        <f>'人员人工-研发人员工资'!G232</f>
        <v>0</v>
      </c>
      <c r="H232" s="274">
        <f t="shared" ref="H232:H261" si="80">IF($D232=0,0,ROUND(G232/$D232*$C232,2))</f>
        <v>0</v>
      </c>
      <c r="I232" s="273">
        <f>'人员人工-研发人员工资'!I232</f>
        <v>0</v>
      </c>
      <c r="J232" s="274">
        <f t="shared" ref="J232:J261" si="81">IF($D232=0,0,ROUND(I232/$D232*$C232,2))</f>
        <v>0</v>
      </c>
      <c r="K232" s="275">
        <f>'人员人工-研发人员工资'!K232</f>
        <v>0</v>
      </c>
      <c r="L232" s="274">
        <f t="shared" ref="L232:L261" si="82">IF($D232=0,0,ROUND(K232/$D232*$C232,2))</f>
        <v>0</v>
      </c>
      <c r="M232" s="273">
        <f>'人员人工-研发人员工资'!M232</f>
        <v>0</v>
      </c>
      <c r="N232" s="274">
        <f t="shared" ref="N232:N261" si="83">IF($D232=0,0,ROUND(M232/$D232*$C232,2))</f>
        <v>0</v>
      </c>
      <c r="O232" s="273">
        <f>'人员人工-研发人员工资'!O232</f>
        <v>0</v>
      </c>
      <c r="P232" s="274">
        <f t="shared" ref="P232:P261" si="84">IF($D232=0,0,ROUND(O232/$D232*$C232,2))</f>
        <v>0</v>
      </c>
      <c r="Q232" s="273">
        <f>'人员人工-研发人员工资'!Q232</f>
        <v>0</v>
      </c>
      <c r="R232" s="274">
        <f t="shared" ref="R232:R261" si="85">IF($D232=0,0,ROUND(Q232/$D232*$C232,2))</f>
        <v>0</v>
      </c>
      <c r="S232" s="273">
        <f>'人员人工-研发人员工资'!S232</f>
        <v>0</v>
      </c>
      <c r="T232" s="274">
        <f t="shared" ref="T232:T261" si="86">IF($D232=0,0,ROUND(S232/$D232*$C232,2))</f>
        <v>0</v>
      </c>
      <c r="U232" s="273">
        <f>'人员人工-研发人员工资'!U232</f>
        <v>0</v>
      </c>
      <c r="V232" s="274">
        <f t="shared" ref="V232:V261" si="87">IF($D232=0,0,ROUND(U232/$D232*$C232,2))</f>
        <v>0</v>
      </c>
      <c r="W232" s="273">
        <f>'人员人工-研发人员工资'!W232</f>
        <v>0</v>
      </c>
      <c r="X232" s="274">
        <f t="shared" ref="X232:X261" si="88">IF($D232=0,0,ROUND(W232/$D232*$C232,2))</f>
        <v>0</v>
      </c>
      <c r="Y232" s="273">
        <f>'人员人工-研发人员工资'!Y232</f>
        <v>0</v>
      </c>
      <c r="Z232" s="274">
        <f t="shared" ref="Z232:Z261" si="89">IF($D232=0,0,ROUND(Y232/$D232*$C232,2))</f>
        <v>0</v>
      </c>
    </row>
    <row r="233" s="251" customFormat="1" customHeight="1" spans="1:26">
      <c r="A233" s="270">
        <v>2</v>
      </c>
      <c r="B233" s="271">
        <f>'人员人工-研发人员工资'!B233</f>
        <v>0</v>
      </c>
      <c r="C233" s="272"/>
      <c r="D233" s="272">
        <f>'人员人工-研发人员工资'!D233</f>
        <v>0</v>
      </c>
      <c r="E233" s="272">
        <f t="shared" si="78"/>
        <v>0</v>
      </c>
      <c r="F233" s="272">
        <f t="shared" si="79"/>
        <v>0</v>
      </c>
      <c r="G233" s="273">
        <f>'人员人工-研发人员工资'!G233</f>
        <v>0</v>
      </c>
      <c r="H233" s="274">
        <f t="shared" si="80"/>
        <v>0</v>
      </c>
      <c r="I233" s="273">
        <f>'人员人工-研发人员工资'!I233</f>
        <v>0</v>
      </c>
      <c r="J233" s="274">
        <f t="shared" si="81"/>
        <v>0</v>
      </c>
      <c r="K233" s="275">
        <f>'人员人工-研发人员工资'!K233</f>
        <v>0</v>
      </c>
      <c r="L233" s="274">
        <f t="shared" si="82"/>
        <v>0</v>
      </c>
      <c r="M233" s="273">
        <f>'人员人工-研发人员工资'!M233</f>
        <v>0</v>
      </c>
      <c r="N233" s="274">
        <f t="shared" si="83"/>
        <v>0</v>
      </c>
      <c r="O233" s="273">
        <f>'人员人工-研发人员工资'!O233</f>
        <v>0</v>
      </c>
      <c r="P233" s="274">
        <f t="shared" si="84"/>
        <v>0</v>
      </c>
      <c r="Q233" s="273">
        <f>'人员人工-研发人员工资'!Q233</f>
        <v>0</v>
      </c>
      <c r="R233" s="274">
        <f t="shared" si="85"/>
        <v>0</v>
      </c>
      <c r="S233" s="273">
        <f>'人员人工-研发人员工资'!S233</f>
        <v>0</v>
      </c>
      <c r="T233" s="274">
        <f t="shared" si="86"/>
        <v>0</v>
      </c>
      <c r="U233" s="273">
        <f>'人员人工-研发人员工资'!U233</f>
        <v>0</v>
      </c>
      <c r="V233" s="274">
        <f t="shared" si="87"/>
        <v>0</v>
      </c>
      <c r="W233" s="273">
        <f>'人员人工-研发人员工资'!W233</f>
        <v>0</v>
      </c>
      <c r="X233" s="274">
        <f t="shared" si="88"/>
        <v>0</v>
      </c>
      <c r="Y233" s="273">
        <f>'人员人工-研发人员工资'!Y233</f>
        <v>0</v>
      </c>
      <c r="Z233" s="274">
        <f t="shared" si="89"/>
        <v>0</v>
      </c>
    </row>
    <row r="234" s="251" customFormat="1" customHeight="1" spans="1:26">
      <c r="A234" s="270">
        <v>3</v>
      </c>
      <c r="B234" s="271">
        <f>'人员人工-研发人员工资'!B234</f>
        <v>0</v>
      </c>
      <c r="C234" s="272"/>
      <c r="D234" s="272">
        <f>'人员人工-研发人员工资'!D234</f>
        <v>0</v>
      </c>
      <c r="E234" s="272">
        <f t="shared" si="78"/>
        <v>0</v>
      </c>
      <c r="F234" s="272">
        <f t="shared" si="79"/>
        <v>0</v>
      </c>
      <c r="G234" s="273">
        <f>'人员人工-研发人员工资'!G234</f>
        <v>0</v>
      </c>
      <c r="H234" s="274">
        <f t="shared" si="80"/>
        <v>0</v>
      </c>
      <c r="I234" s="273">
        <f>'人员人工-研发人员工资'!I234</f>
        <v>0</v>
      </c>
      <c r="J234" s="274">
        <f t="shared" si="81"/>
        <v>0</v>
      </c>
      <c r="K234" s="275">
        <f>'人员人工-研发人员工资'!K234</f>
        <v>0</v>
      </c>
      <c r="L234" s="274">
        <f t="shared" si="82"/>
        <v>0</v>
      </c>
      <c r="M234" s="273">
        <f>'人员人工-研发人员工资'!M234</f>
        <v>0</v>
      </c>
      <c r="N234" s="274">
        <f t="shared" si="83"/>
        <v>0</v>
      </c>
      <c r="O234" s="273">
        <f>'人员人工-研发人员工资'!O234</f>
        <v>0</v>
      </c>
      <c r="P234" s="274">
        <f t="shared" si="84"/>
        <v>0</v>
      </c>
      <c r="Q234" s="273">
        <f>'人员人工-研发人员工资'!Q234</f>
        <v>0</v>
      </c>
      <c r="R234" s="274">
        <f t="shared" si="85"/>
        <v>0</v>
      </c>
      <c r="S234" s="273">
        <f>'人员人工-研发人员工资'!S234</f>
        <v>0</v>
      </c>
      <c r="T234" s="274">
        <f t="shared" si="86"/>
        <v>0</v>
      </c>
      <c r="U234" s="273">
        <f>'人员人工-研发人员工资'!U234</f>
        <v>0</v>
      </c>
      <c r="V234" s="274">
        <f t="shared" si="87"/>
        <v>0</v>
      </c>
      <c r="W234" s="273">
        <f>'人员人工-研发人员工资'!W234</f>
        <v>0</v>
      </c>
      <c r="X234" s="274">
        <f t="shared" si="88"/>
        <v>0</v>
      </c>
      <c r="Y234" s="273">
        <f>'人员人工-研发人员工资'!Y234</f>
        <v>0</v>
      </c>
      <c r="Z234" s="274">
        <f t="shared" si="89"/>
        <v>0</v>
      </c>
    </row>
    <row r="235" s="251" customFormat="1" customHeight="1" spans="1:26">
      <c r="A235" s="270">
        <v>4</v>
      </c>
      <c r="B235" s="271">
        <f>'人员人工-研发人员工资'!B235</f>
        <v>0</v>
      </c>
      <c r="C235" s="272"/>
      <c r="D235" s="272">
        <f>'人员人工-研发人员工资'!D235</f>
        <v>0</v>
      </c>
      <c r="E235" s="272">
        <f t="shared" si="78"/>
        <v>0</v>
      </c>
      <c r="F235" s="272">
        <f t="shared" si="79"/>
        <v>0</v>
      </c>
      <c r="G235" s="273">
        <f>'人员人工-研发人员工资'!G235</f>
        <v>0</v>
      </c>
      <c r="H235" s="274">
        <f t="shared" si="80"/>
        <v>0</v>
      </c>
      <c r="I235" s="273">
        <f>'人员人工-研发人员工资'!I235</f>
        <v>0</v>
      </c>
      <c r="J235" s="274">
        <f t="shared" si="81"/>
        <v>0</v>
      </c>
      <c r="K235" s="275">
        <f>'人员人工-研发人员工资'!K235</f>
        <v>0</v>
      </c>
      <c r="L235" s="274">
        <f t="shared" si="82"/>
        <v>0</v>
      </c>
      <c r="M235" s="273">
        <f>'人员人工-研发人员工资'!M235</f>
        <v>0</v>
      </c>
      <c r="N235" s="274">
        <f t="shared" si="83"/>
        <v>0</v>
      </c>
      <c r="O235" s="273">
        <f>'人员人工-研发人员工资'!O235</f>
        <v>0</v>
      </c>
      <c r="P235" s="274">
        <f t="shared" si="84"/>
        <v>0</v>
      </c>
      <c r="Q235" s="273">
        <f>'人员人工-研发人员工资'!Q235</f>
        <v>0</v>
      </c>
      <c r="R235" s="274">
        <f t="shared" si="85"/>
        <v>0</v>
      </c>
      <c r="S235" s="273">
        <f>'人员人工-研发人员工资'!S235</f>
        <v>0</v>
      </c>
      <c r="T235" s="274">
        <f t="shared" si="86"/>
        <v>0</v>
      </c>
      <c r="U235" s="273">
        <f>'人员人工-研发人员工资'!U235</f>
        <v>0</v>
      </c>
      <c r="V235" s="274">
        <f t="shared" si="87"/>
        <v>0</v>
      </c>
      <c r="W235" s="273">
        <f>'人员人工-研发人员工资'!W235</f>
        <v>0</v>
      </c>
      <c r="X235" s="274">
        <f t="shared" si="88"/>
        <v>0</v>
      </c>
      <c r="Y235" s="273">
        <f>'人员人工-研发人员工资'!Y235</f>
        <v>0</v>
      </c>
      <c r="Z235" s="274">
        <f t="shared" si="89"/>
        <v>0</v>
      </c>
    </row>
    <row r="236" s="251" customFormat="1" customHeight="1" spans="1:26">
      <c r="A236" s="270">
        <v>5</v>
      </c>
      <c r="B236" s="271">
        <f>'人员人工-研发人员工资'!B236</f>
        <v>0</v>
      </c>
      <c r="C236" s="272"/>
      <c r="D236" s="272">
        <f>'人员人工-研发人员工资'!D236</f>
        <v>0</v>
      </c>
      <c r="E236" s="272">
        <f t="shared" si="78"/>
        <v>0</v>
      </c>
      <c r="F236" s="272">
        <f t="shared" si="79"/>
        <v>0</v>
      </c>
      <c r="G236" s="273">
        <f>'人员人工-研发人员工资'!G236</f>
        <v>0</v>
      </c>
      <c r="H236" s="274">
        <f t="shared" si="80"/>
        <v>0</v>
      </c>
      <c r="I236" s="273">
        <f>'人员人工-研发人员工资'!I236</f>
        <v>0</v>
      </c>
      <c r="J236" s="274">
        <f t="shared" si="81"/>
        <v>0</v>
      </c>
      <c r="K236" s="275">
        <f>'人员人工-研发人员工资'!K236</f>
        <v>0</v>
      </c>
      <c r="L236" s="274">
        <f t="shared" si="82"/>
        <v>0</v>
      </c>
      <c r="M236" s="273">
        <f>'人员人工-研发人员工资'!M236</f>
        <v>0</v>
      </c>
      <c r="N236" s="274">
        <f t="shared" si="83"/>
        <v>0</v>
      </c>
      <c r="O236" s="273">
        <f>'人员人工-研发人员工资'!O236</f>
        <v>0</v>
      </c>
      <c r="P236" s="274">
        <f t="shared" si="84"/>
        <v>0</v>
      </c>
      <c r="Q236" s="273">
        <f>'人员人工-研发人员工资'!Q236</f>
        <v>0</v>
      </c>
      <c r="R236" s="274">
        <f t="shared" si="85"/>
        <v>0</v>
      </c>
      <c r="S236" s="273">
        <f>'人员人工-研发人员工资'!S236</f>
        <v>0</v>
      </c>
      <c r="T236" s="274">
        <f t="shared" si="86"/>
        <v>0</v>
      </c>
      <c r="U236" s="273">
        <f>'人员人工-研发人员工资'!U236</f>
        <v>0</v>
      </c>
      <c r="V236" s="274">
        <f t="shared" si="87"/>
        <v>0</v>
      </c>
      <c r="W236" s="273">
        <f>'人员人工-研发人员工资'!W236</f>
        <v>0</v>
      </c>
      <c r="X236" s="274">
        <f t="shared" si="88"/>
        <v>0</v>
      </c>
      <c r="Y236" s="273">
        <f>'人员人工-研发人员工资'!Y236</f>
        <v>0</v>
      </c>
      <c r="Z236" s="274">
        <f t="shared" si="89"/>
        <v>0</v>
      </c>
    </row>
    <row r="237" s="251" customFormat="1" customHeight="1" spans="1:26">
      <c r="A237" s="270">
        <v>6</v>
      </c>
      <c r="B237" s="271">
        <f>'人员人工-研发人员工资'!B237</f>
        <v>0</v>
      </c>
      <c r="C237" s="274"/>
      <c r="D237" s="272">
        <f>'人员人工-研发人员工资'!D237</f>
        <v>0</v>
      </c>
      <c r="E237" s="272">
        <f t="shared" si="78"/>
        <v>0</v>
      </c>
      <c r="F237" s="272">
        <f t="shared" si="79"/>
        <v>0</v>
      </c>
      <c r="G237" s="273">
        <f>'人员人工-研发人员工资'!G237</f>
        <v>0</v>
      </c>
      <c r="H237" s="274">
        <f t="shared" si="80"/>
        <v>0</v>
      </c>
      <c r="I237" s="273">
        <f>'人员人工-研发人员工资'!I237</f>
        <v>0</v>
      </c>
      <c r="J237" s="274">
        <f t="shared" si="81"/>
        <v>0</v>
      </c>
      <c r="K237" s="275">
        <f>'人员人工-研发人员工资'!K237</f>
        <v>0</v>
      </c>
      <c r="L237" s="274">
        <f t="shared" si="82"/>
        <v>0</v>
      </c>
      <c r="M237" s="273">
        <f>'人员人工-研发人员工资'!M237</f>
        <v>0</v>
      </c>
      <c r="N237" s="274">
        <f t="shared" si="83"/>
        <v>0</v>
      </c>
      <c r="O237" s="273">
        <f>'人员人工-研发人员工资'!O237</f>
        <v>0</v>
      </c>
      <c r="P237" s="274">
        <f t="shared" si="84"/>
        <v>0</v>
      </c>
      <c r="Q237" s="273">
        <f>'人员人工-研发人员工资'!Q237</f>
        <v>0</v>
      </c>
      <c r="R237" s="274">
        <f t="shared" si="85"/>
        <v>0</v>
      </c>
      <c r="S237" s="273">
        <f>'人员人工-研发人员工资'!S237</f>
        <v>0</v>
      </c>
      <c r="T237" s="274">
        <f t="shared" si="86"/>
        <v>0</v>
      </c>
      <c r="U237" s="273">
        <f>'人员人工-研发人员工资'!U237</f>
        <v>0</v>
      </c>
      <c r="V237" s="274">
        <f t="shared" si="87"/>
        <v>0</v>
      </c>
      <c r="W237" s="273">
        <f>'人员人工-研发人员工资'!W237</f>
        <v>0</v>
      </c>
      <c r="X237" s="274">
        <f t="shared" si="88"/>
        <v>0</v>
      </c>
      <c r="Y237" s="273">
        <f>'人员人工-研发人员工资'!Y237</f>
        <v>0</v>
      </c>
      <c r="Z237" s="274">
        <f t="shared" si="89"/>
        <v>0</v>
      </c>
    </row>
    <row r="238" s="251" customFormat="1" customHeight="1" spans="1:26">
      <c r="A238" s="270">
        <v>7</v>
      </c>
      <c r="B238" s="271">
        <f>'人员人工-研发人员工资'!B238</f>
        <v>0</v>
      </c>
      <c r="C238" s="274"/>
      <c r="D238" s="272">
        <f>'人员人工-研发人员工资'!D238</f>
        <v>0</v>
      </c>
      <c r="E238" s="272">
        <f t="shared" si="78"/>
        <v>0</v>
      </c>
      <c r="F238" s="272">
        <f t="shared" si="79"/>
        <v>0</v>
      </c>
      <c r="G238" s="273">
        <f>'人员人工-研发人员工资'!G238</f>
        <v>0</v>
      </c>
      <c r="H238" s="274">
        <f t="shared" si="80"/>
        <v>0</v>
      </c>
      <c r="I238" s="273">
        <f>'人员人工-研发人员工资'!I238</f>
        <v>0</v>
      </c>
      <c r="J238" s="274">
        <f t="shared" si="81"/>
        <v>0</v>
      </c>
      <c r="K238" s="275">
        <f>'人员人工-研发人员工资'!K238</f>
        <v>0</v>
      </c>
      <c r="L238" s="274">
        <f t="shared" si="82"/>
        <v>0</v>
      </c>
      <c r="M238" s="273">
        <f>'人员人工-研发人员工资'!M238</f>
        <v>0</v>
      </c>
      <c r="N238" s="274">
        <f t="shared" si="83"/>
        <v>0</v>
      </c>
      <c r="O238" s="273">
        <f>'人员人工-研发人员工资'!O238</f>
        <v>0</v>
      </c>
      <c r="P238" s="274">
        <f t="shared" si="84"/>
        <v>0</v>
      </c>
      <c r="Q238" s="273">
        <f>'人员人工-研发人员工资'!Q238</f>
        <v>0</v>
      </c>
      <c r="R238" s="274">
        <f t="shared" si="85"/>
        <v>0</v>
      </c>
      <c r="S238" s="273">
        <f>'人员人工-研发人员工资'!S238</f>
        <v>0</v>
      </c>
      <c r="T238" s="274">
        <f t="shared" si="86"/>
        <v>0</v>
      </c>
      <c r="U238" s="273">
        <f>'人员人工-研发人员工资'!U238</f>
        <v>0</v>
      </c>
      <c r="V238" s="274">
        <f t="shared" si="87"/>
        <v>0</v>
      </c>
      <c r="W238" s="273">
        <f>'人员人工-研发人员工资'!W238</f>
        <v>0</v>
      </c>
      <c r="X238" s="274">
        <f t="shared" si="88"/>
        <v>0</v>
      </c>
      <c r="Y238" s="273">
        <f>'人员人工-研发人员工资'!Y238</f>
        <v>0</v>
      </c>
      <c r="Z238" s="274">
        <f t="shared" si="89"/>
        <v>0</v>
      </c>
    </row>
    <row r="239" s="251" customFormat="1" customHeight="1" spans="1:26">
      <c r="A239" s="270">
        <v>8</v>
      </c>
      <c r="B239" s="271">
        <f>'人员人工-研发人员工资'!B239</f>
        <v>0</v>
      </c>
      <c r="C239" s="274"/>
      <c r="D239" s="272">
        <f>'人员人工-研发人员工资'!D239</f>
        <v>0</v>
      </c>
      <c r="E239" s="272">
        <f t="shared" si="78"/>
        <v>0</v>
      </c>
      <c r="F239" s="272">
        <f t="shared" si="79"/>
        <v>0</v>
      </c>
      <c r="G239" s="273">
        <f>'人员人工-研发人员工资'!G239</f>
        <v>0</v>
      </c>
      <c r="H239" s="274">
        <f t="shared" si="80"/>
        <v>0</v>
      </c>
      <c r="I239" s="273">
        <f>'人员人工-研发人员工资'!I239</f>
        <v>0</v>
      </c>
      <c r="J239" s="274">
        <f t="shared" si="81"/>
        <v>0</v>
      </c>
      <c r="K239" s="275">
        <f>'人员人工-研发人员工资'!K239</f>
        <v>0</v>
      </c>
      <c r="L239" s="274">
        <f t="shared" si="82"/>
        <v>0</v>
      </c>
      <c r="M239" s="273">
        <f>'人员人工-研发人员工资'!M239</f>
        <v>0</v>
      </c>
      <c r="N239" s="274">
        <f t="shared" si="83"/>
        <v>0</v>
      </c>
      <c r="O239" s="273">
        <f>'人员人工-研发人员工资'!O239</f>
        <v>0</v>
      </c>
      <c r="P239" s="274">
        <f t="shared" si="84"/>
        <v>0</v>
      </c>
      <c r="Q239" s="273">
        <f>'人员人工-研发人员工资'!Q239</f>
        <v>0</v>
      </c>
      <c r="R239" s="274">
        <f t="shared" si="85"/>
        <v>0</v>
      </c>
      <c r="S239" s="273">
        <f>'人员人工-研发人员工资'!S239</f>
        <v>0</v>
      </c>
      <c r="T239" s="274">
        <f t="shared" si="86"/>
        <v>0</v>
      </c>
      <c r="U239" s="273">
        <f>'人员人工-研发人员工资'!U239</f>
        <v>0</v>
      </c>
      <c r="V239" s="274">
        <f t="shared" si="87"/>
        <v>0</v>
      </c>
      <c r="W239" s="273">
        <f>'人员人工-研发人员工资'!W239</f>
        <v>0</v>
      </c>
      <c r="X239" s="274">
        <f t="shared" si="88"/>
        <v>0</v>
      </c>
      <c r="Y239" s="273">
        <f>'人员人工-研发人员工资'!Y239</f>
        <v>0</v>
      </c>
      <c r="Z239" s="274">
        <f t="shared" si="89"/>
        <v>0</v>
      </c>
    </row>
    <row r="240" s="251" customFormat="1" customHeight="1" spans="1:26">
      <c r="A240" s="270">
        <v>9</v>
      </c>
      <c r="B240" s="271">
        <f>'人员人工-研发人员工资'!B250</f>
        <v>0</v>
      </c>
      <c r="C240" s="274"/>
      <c r="D240" s="272">
        <f>'人员人工-研发人员工资'!D250</f>
        <v>0</v>
      </c>
      <c r="E240" s="272">
        <f t="shared" ref="E240:E249" si="90">G250+I250+K250+M250+O250+Q250+S250+U250+W250+Y250</f>
        <v>0</v>
      </c>
      <c r="F240" s="272">
        <f t="shared" ref="F240:F249" si="91">H250+J250+L250+N250+P250+R250+T250+V250+X250+Z250</f>
        <v>0</v>
      </c>
      <c r="G240" s="273">
        <f>'人员人工-研发人员工资'!G250</f>
        <v>0</v>
      </c>
      <c r="H240" s="274">
        <f t="shared" ref="H240:H249" si="92">IF($D250=0,0,ROUND(G250/$D250*$C250,2))</f>
        <v>0</v>
      </c>
      <c r="I240" s="273">
        <f>'人员人工-研发人员工资'!I250</f>
        <v>0</v>
      </c>
      <c r="J240" s="274">
        <f t="shared" ref="J240:J249" si="93">IF($D250=0,0,ROUND(I250/$D250*$C250,2))</f>
        <v>0</v>
      </c>
      <c r="K240" s="275">
        <f>'人员人工-研发人员工资'!K250</f>
        <v>0</v>
      </c>
      <c r="L240" s="274">
        <f t="shared" ref="L240:L249" si="94">IF($D250=0,0,ROUND(K250/$D250*$C250,2))</f>
        <v>0</v>
      </c>
      <c r="M240" s="273">
        <f>'人员人工-研发人员工资'!M250</f>
        <v>0</v>
      </c>
      <c r="N240" s="274">
        <f t="shared" ref="N240:N249" si="95">IF($D250=0,0,ROUND(M250/$D250*$C250,2))</f>
        <v>0</v>
      </c>
      <c r="O240" s="273">
        <f>'人员人工-研发人员工资'!O250</f>
        <v>0</v>
      </c>
      <c r="P240" s="274">
        <f t="shared" ref="P240:P249" si="96">IF($D250=0,0,ROUND(O250/$D250*$C250,2))</f>
        <v>0</v>
      </c>
      <c r="Q240" s="273">
        <f>'人员人工-研发人员工资'!Q250</f>
        <v>0</v>
      </c>
      <c r="R240" s="274">
        <f t="shared" ref="R240:R249" si="97">IF($D250=0,0,ROUND(Q250/$D250*$C250,2))</f>
        <v>0</v>
      </c>
      <c r="S240" s="273">
        <f>'人员人工-研发人员工资'!S250</f>
        <v>0</v>
      </c>
      <c r="T240" s="274">
        <f t="shared" ref="T240:T249" si="98">IF($D250=0,0,ROUND(S250/$D250*$C250,2))</f>
        <v>0</v>
      </c>
      <c r="U240" s="273">
        <f>'人员人工-研发人员工资'!U250</f>
        <v>0</v>
      </c>
      <c r="V240" s="274">
        <f t="shared" ref="V240:V249" si="99">IF($D250=0,0,ROUND(U250/$D250*$C250,2))</f>
        <v>0</v>
      </c>
      <c r="W240" s="273">
        <f>'人员人工-研发人员工资'!W250</f>
        <v>0</v>
      </c>
      <c r="X240" s="274">
        <f t="shared" ref="X240:X249" si="100">IF($D250=0,0,ROUND(W250/$D250*$C250,2))</f>
        <v>0</v>
      </c>
      <c r="Y240" s="273">
        <f>'人员人工-研发人员工资'!Y250</f>
        <v>0</v>
      </c>
      <c r="Z240" s="274">
        <f t="shared" ref="Z240:Z249" si="101">IF($D250=0,0,ROUND(Y250/$D250*$C250,2))</f>
        <v>0</v>
      </c>
    </row>
    <row r="241" s="251" customFormat="1" customHeight="1" spans="1:26">
      <c r="A241" s="270">
        <v>10</v>
      </c>
      <c r="B241" s="271">
        <f>'人员人工-研发人员工资'!B251</f>
        <v>0</v>
      </c>
      <c r="C241" s="274"/>
      <c r="D241" s="272">
        <f>'人员人工-研发人员工资'!D251</f>
        <v>0</v>
      </c>
      <c r="E241" s="272">
        <f t="shared" si="90"/>
        <v>0</v>
      </c>
      <c r="F241" s="272">
        <f t="shared" si="91"/>
        <v>0</v>
      </c>
      <c r="G241" s="273">
        <f>'人员人工-研发人员工资'!G251</f>
        <v>0</v>
      </c>
      <c r="H241" s="274">
        <f t="shared" si="92"/>
        <v>0</v>
      </c>
      <c r="I241" s="273">
        <f>'人员人工-研发人员工资'!I251</f>
        <v>0</v>
      </c>
      <c r="J241" s="274">
        <f t="shared" si="93"/>
        <v>0</v>
      </c>
      <c r="K241" s="275">
        <f>'人员人工-研发人员工资'!K251</f>
        <v>0</v>
      </c>
      <c r="L241" s="274">
        <f t="shared" si="94"/>
        <v>0</v>
      </c>
      <c r="M241" s="273">
        <f>'人员人工-研发人员工资'!M251</f>
        <v>0</v>
      </c>
      <c r="N241" s="274">
        <f t="shared" si="95"/>
        <v>0</v>
      </c>
      <c r="O241" s="273">
        <f>'人员人工-研发人员工资'!O251</f>
        <v>0</v>
      </c>
      <c r="P241" s="274">
        <f t="shared" si="96"/>
        <v>0</v>
      </c>
      <c r="Q241" s="273">
        <f>'人员人工-研发人员工资'!Q251</f>
        <v>0</v>
      </c>
      <c r="R241" s="274">
        <f t="shared" si="97"/>
        <v>0</v>
      </c>
      <c r="S241" s="273">
        <f>'人员人工-研发人员工资'!S251</f>
        <v>0</v>
      </c>
      <c r="T241" s="274">
        <f t="shared" si="98"/>
        <v>0</v>
      </c>
      <c r="U241" s="273">
        <f>'人员人工-研发人员工资'!U251</f>
        <v>0</v>
      </c>
      <c r="V241" s="274">
        <f t="shared" si="99"/>
        <v>0</v>
      </c>
      <c r="W241" s="273">
        <f>'人员人工-研发人员工资'!W251</f>
        <v>0</v>
      </c>
      <c r="X241" s="274">
        <f t="shared" si="100"/>
        <v>0</v>
      </c>
      <c r="Y241" s="273">
        <f>'人员人工-研发人员工资'!Y251</f>
        <v>0</v>
      </c>
      <c r="Z241" s="274">
        <f t="shared" si="101"/>
        <v>0</v>
      </c>
    </row>
    <row r="242" s="251" customFormat="1" customHeight="1" spans="1:26">
      <c r="A242" s="270">
        <v>11</v>
      </c>
      <c r="B242" s="271">
        <f>'人员人工-研发人员工资'!B252</f>
        <v>0</v>
      </c>
      <c r="C242" s="274"/>
      <c r="D242" s="272">
        <f>'人员人工-研发人员工资'!D252</f>
        <v>0</v>
      </c>
      <c r="E242" s="272">
        <f t="shared" si="90"/>
        <v>0</v>
      </c>
      <c r="F242" s="272">
        <f t="shared" si="91"/>
        <v>0</v>
      </c>
      <c r="G242" s="273">
        <f>'人员人工-研发人员工资'!G252</f>
        <v>0</v>
      </c>
      <c r="H242" s="274">
        <f t="shared" si="92"/>
        <v>0</v>
      </c>
      <c r="I242" s="273">
        <f>'人员人工-研发人员工资'!I252</f>
        <v>0</v>
      </c>
      <c r="J242" s="274">
        <f t="shared" si="93"/>
        <v>0</v>
      </c>
      <c r="K242" s="275">
        <f>'人员人工-研发人员工资'!K252</f>
        <v>0</v>
      </c>
      <c r="L242" s="274">
        <f t="shared" si="94"/>
        <v>0</v>
      </c>
      <c r="M242" s="273">
        <f>'人员人工-研发人员工资'!M252</f>
        <v>0</v>
      </c>
      <c r="N242" s="274">
        <f t="shared" si="95"/>
        <v>0</v>
      </c>
      <c r="O242" s="273">
        <f>'人员人工-研发人员工资'!O252</f>
        <v>0</v>
      </c>
      <c r="P242" s="274">
        <f t="shared" si="96"/>
        <v>0</v>
      </c>
      <c r="Q242" s="273">
        <f>'人员人工-研发人员工资'!Q252</f>
        <v>0</v>
      </c>
      <c r="R242" s="274">
        <f t="shared" si="97"/>
        <v>0</v>
      </c>
      <c r="S242" s="273">
        <f>'人员人工-研发人员工资'!S252</f>
        <v>0</v>
      </c>
      <c r="T242" s="274">
        <f t="shared" si="98"/>
        <v>0</v>
      </c>
      <c r="U242" s="273">
        <f>'人员人工-研发人员工资'!U252</f>
        <v>0</v>
      </c>
      <c r="V242" s="274">
        <f t="shared" si="99"/>
        <v>0</v>
      </c>
      <c r="W242" s="273">
        <f>'人员人工-研发人员工资'!W252</f>
        <v>0</v>
      </c>
      <c r="X242" s="274">
        <f t="shared" si="100"/>
        <v>0</v>
      </c>
      <c r="Y242" s="273">
        <f>'人员人工-研发人员工资'!Y252</f>
        <v>0</v>
      </c>
      <c r="Z242" s="274">
        <f t="shared" si="101"/>
        <v>0</v>
      </c>
    </row>
    <row r="243" s="251" customFormat="1" customHeight="1" spans="1:26">
      <c r="A243" s="270">
        <v>12</v>
      </c>
      <c r="B243" s="271">
        <f>'人员人工-研发人员工资'!B253</f>
        <v>0</v>
      </c>
      <c r="C243" s="274"/>
      <c r="D243" s="272">
        <f>'人员人工-研发人员工资'!D253</f>
        <v>0</v>
      </c>
      <c r="E243" s="272">
        <f t="shared" si="90"/>
        <v>0</v>
      </c>
      <c r="F243" s="272">
        <f t="shared" si="91"/>
        <v>0</v>
      </c>
      <c r="G243" s="273">
        <f>'人员人工-研发人员工资'!G253</f>
        <v>0</v>
      </c>
      <c r="H243" s="274">
        <f t="shared" si="92"/>
        <v>0</v>
      </c>
      <c r="I243" s="273">
        <f>'人员人工-研发人员工资'!I253</f>
        <v>0</v>
      </c>
      <c r="J243" s="274">
        <f t="shared" si="93"/>
        <v>0</v>
      </c>
      <c r="K243" s="275">
        <f>'人员人工-研发人员工资'!K253</f>
        <v>0</v>
      </c>
      <c r="L243" s="274">
        <f t="shared" si="94"/>
        <v>0</v>
      </c>
      <c r="M243" s="273">
        <f>'人员人工-研发人员工资'!M253</f>
        <v>0</v>
      </c>
      <c r="N243" s="274">
        <f t="shared" si="95"/>
        <v>0</v>
      </c>
      <c r="O243" s="273">
        <f>'人员人工-研发人员工资'!O253</f>
        <v>0</v>
      </c>
      <c r="P243" s="274">
        <f t="shared" si="96"/>
        <v>0</v>
      </c>
      <c r="Q243" s="273">
        <f>'人员人工-研发人员工资'!Q253</f>
        <v>0</v>
      </c>
      <c r="R243" s="274">
        <f t="shared" si="97"/>
        <v>0</v>
      </c>
      <c r="S243" s="273">
        <f>'人员人工-研发人员工资'!S253</f>
        <v>0</v>
      </c>
      <c r="T243" s="274">
        <f t="shared" si="98"/>
        <v>0</v>
      </c>
      <c r="U243" s="273">
        <f>'人员人工-研发人员工资'!U253</f>
        <v>0</v>
      </c>
      <c r="V243" s="274">
        <f t="shared" si="99"/>
        <v>0</v>
      </c>
      <c r="W243" s="273">
        <f>'人员人工-研发人员工资'!W253</f>
        <v>0</v>
      </c>
      <c r="X243" s="274">
        <f t="shared" si="100"/>
        <v>0</v>
      </c>
      <c r="Y243" s="273">
        <f>'人员人工-研发人员工资'!Y253</f>
        <v>0</v>
      </c>
      <c r="Z243" s="274">
        <f t="shared" si="101"/>
        <v>0</v>
      </c>
    </row>
    <row r="244" s="251" customFormat="1" customHeight="1" spans="1:26">
      <c r="A244" s="270">
        <v>13</v>
      </c>
      <c r="B244" s="271">
        <f>'人员人工-研发人员工资'!B254</f>
        <v>0</v>
      </c>
      <c r="C244" s="274"/>
      <c r="D244" s="272">
        <f>'人员人工-研发人员工资'!D254</f>
        <v>0</v>
      </c>
      <c r="E244" s="272">
        <f t="shared" si="90"/>
        <v>0</v>
      </c>
      <c r="F244" s="272">
        <f t="shared" si="91"/>
        <v>0</v>
      </c>
      <c r="G244" s="273">
        <f>'人员人工-研发人员工资'!G254</f>
        <v>0</v>
      </c>
      <c r="H244" s="274">
        <f t="shared" si="92"/>
        <v>0</v>
      </c>
      <c r="I244" s="273">
        <f>'人员人工-研发人员工资'!I254</f>
        <v>0</v>
      </c>
      <c r="J244" s="274">
        <f t="shared" si="93"/>
        <v>0</v>
      </c>
      <c r="K244" s="275">
        <f>'人员人工-研发人员工资'!K254</f>
        <v>0</v>
      </c>
      <c r="L244" s="274">
        <f t="shared" si="94"/>
        <v>0</v>
      </c>
      <c r="M244" s="273">
        <f>'人员人工-研发人员工资'!M254</f>
        <v>0</v>
      </c>
      <c r="N244" s="274">
        <f t="shared" si="95"/>
        <v>0</v>
      </c>
      <c r="O244" s="273">
        <f>'人员人工-研发人员工资'!O254</f>
        <v>0</v>
      </c>
      <c r="P244" s="274">
        <f t="shared" si="96"/>
        <v>0</v>
      </c>
      <c r="Q244" s="273">
        <f>'人员人工-研发人员工资'!Q254</f>
        <v>0</v>
      </c>
      <c r="R244" s="274">
        <f t="shared" si="97"/>
        <v>0</v>
      </c>
      <c r="S244" s="273">
        <f>'人员人工-研发人员工资'!S254</f>
        <v>0</v>
      </c>
      <c r="T244" s="274">
        <f t="shared" si="98"/>
        <v>0</v>
      </c>
      <c r="U244" s="273">
        <f>'人员人工-研发人员工资'!U254</f>
        <v>0</v>
      </c>
      <c r="V244" s="274">
        <f t="shared" si="99"/>
        <v>0</v>
      </c>
      <c r="W244" s="273">
        <f>'人员人工-研发人员工资'!W254</f>
        <v>0</v>
      </c>
      <c r="X244" s="274">
        <f t="shared" si="100"/>
        <v>0</v>
      </c>
      <c r="Y244" s="273">
        <f>'人员人工-研发人员工资'!Y254</f>
        <v>0</v>
      </c>
      <c r="Z244" s="274">
        <f t="shared" si="101"/>
        <v>0</v>
      </c>
    </row>
    <row r="245" s="251" customFormat="1" customHeight="1" spans="1:26">
      <c r="A245" s="270">
        <v>14</v>
      </c>
      <c r="B245" s="271">
        <f>'人员人工-研发人员工资'!B255</f>
        <v>0</v>
      </c>
      <c r="C245" s="274"/>
      <c r="D245" s="272">
        <f>'人员人工-研发人员工资'!D255</f>
        <v>0</v>
      </c>
      <c r="E245" s="272">
        <f t="shared" si="90"/>
        <v>0</v>
      </c>
      <c r="F245" s="272">
        <f t="shared" si="91"/>
        <v>0</v>
      </c>
      <c r="G245" s="273">
        <f>'人员人工-研发人员工资'!G255</f>
        <v>0</v>
      </c>
      <c r="H245" s="274">
        <f t="shared" si="92"/>
        <v>0</v>
      </c>
      <c r="I245" s="273">
        <f>'人员人工-研发人员工资'!I255</f>
        <v>0</v>
      </c>
      <c r="J245" s="274">
        <f t="shared" si="93"/>
        <v>0</v>
      </c>
      <c r="K245" s="275">
        <f>'人员人工-研发人员工资'!K255</f>
        <v>0</v>
      </c>
      <c r="L245" s="274">
        <f t="shared" si="94"/>
        <v>0</v>
      </c>
      <c r="M245" s="273">
        <f>'人员人工-研发人员工资'!M255</f>
        <v>0</v>
      </c>
      <c r="N245" s="274">
        <f t="shared" si="95"/>
        <v>0</v>
      </c>
      <c r="O245" s="273">
        <f>'人员人工-研发人员工资'!O255</f>
        <v>0</v>
      </c>
      <c r="P245" s="274">
        <f t="shared" si="96"/>
        <v>0</v>
      </c>
      <c r="Q245" s="273">
        <f>'人员人工-研发人员工资'!Q255</f>
        <v>0</v>
      </c>
      <c r="R245" s="274">
        <f t="shared" si="97"/>
        <v>0</v>
      </c>
      <c r="S245" s="273">
        <f>'人员人工-研发人员工资'!S255</f>
        <v>0</v>
      </c>
      <c r="T245" s="274">
        <f t="shared" si="98"/>
        <v>0</v>
      </c>
      <c r="U245" s="273">
        <f>'人员人工-研发人员工资'!U255</f>
        <v>0</v>
      </c>
      <c r="V245" s="274">
        <f t="shared" si="99"/>
        <v>0</v>
      </c>
      <c r="W245" s="273">
        <f>'人员人工-研发人员工资'!W255</f>
        <v>0</v>
      </c>
      <c r="X245" s="274">
        <f t="shared" si="100"/>
        <v>0</v>
      </c>
      <c r="Y245" s="273">
        <f>'人员人工-研发人员工资'!Y255</f>
        <v>0</v>
      </c>
      <c r="Z245" s="274">
        <f t="shared" si="101"/>
        <v>0</v>
      </c>
    </row>
    <row r="246" s="251" customFormat="1" customHeight="1" spans="1:26">
      <c r="A246" s="270">
        <v>15</v>
      </c>
      <c r="B246" s="271">
        <f>'人员人工-研发人员工资'!B256</f>
        <v>0</v>
      </c>
      <c r="C246" s="274"/>
      <c r="D246" s="272">
        <f>'人员人工-研发人员工资'!D256</f>
        <v>0</v>
      </c>
      <c r="E246" s="272">
        <f t="shared" si="90"/>
        <v>0</v>
      </c>
      <c r="F246" s="272">
        <f t="shared" si="91"/>
        <v>0</v>
      </c>
      <c r="G246" s="273">
        <f>'人员人工-研发人员工资'!G256</f>
        <v>0</v>
      </c>
      <c r="H246" s="274">
        <f t="shared" si="92"/>
        <v>0</v>
      </c>
      <c r="I246" s="273">
        <f>'人员人工-研发人员工资'!I256</f>
        <v>0</v>
      </c>
      <c r="J246" s="274">
        <f t="shared" si="93"/>
        <v>0</v>
      </c>
      <c r="K246" s="275">
        <f>'人员人工-研发人员工资'!K256</f>
        <v>0</v>
      </c>
      <c r="L246" s="274">
        <f t="shared" si="94"/>
        <v>0</v>
      </c>
      <c r="M246" s="273">
        <f>'人员人工-研发人员工资'!M256</f>
        <v>0</v>
      </c>
      <c r="N246" s="274">
        <f t="shared" si="95"/>
        <v>0</v>
      </c>
      <c r="O246" s="273">
        <f>'人员人工-研发人员工资'!O256</f>
        <v>0</v>
      </c>
      <c r="P246" s="274">
        <f t="shared" si="96"/>
        <v>0</v>
      </c>
      <c r="Q246" s="273">
        <f>'人员人工-研发人员工资'!Q256</f>
        <v>0</v>
      </c>
      <c r="R246" s="274">
        <f t="shared" si="97"/>
        <v>0</v>
      </c>
      <c r="S246" s="273">
        <f>'人员人工-研发人员工资'!S256</f>
        <v>0</v>
      </c>
      <c r="T246" s="274">
        <f t="shared" si="98"/>
        <v>0</v>
      </c>
      <c r="U246" s="273">
        <f>'人员人工-研发人员工资'!U256</f>
        <v>0</v>
      </c>
      <c r="V246" s="274">
        <f t="shared" si="99"/>
        <v>0</v>
      </c>
      <c r="W246" s="273">
        <f>'人员人工-研发人员工资'!W256</f>
        <v>0</v>
      </c>
      <c r="X246" s="274">
        <f t="shared" si="100"/>
        <v>0</v>
      </c>
      <c r="Y246" s="273">
        <f>'人员人工-研发人员工资'!Y256</f>
        <v>0</v>
      </c>
      <c r="Z246" s="274">
        <f t="shared" si="101"/>
        <v>0</v>
      </c>
    </row>
    <row r="247" s="251" customFormat="1" customHeight="1" spans="1:26">
      <c r="A247" s="270">
        <v>16</v>
      </c>
      <c r="B247" s="271">
        <f>'人员人工-研发人员工资'!B257</f>
        <v>0</v>
      </c>
      <c r="C247" s="274"/>
      <c r="D247" s="272">
        <f>'人员人工-研发人员工资'!D257</f>
        <v>0</v>
      </c>
      <c r="E247" s="272">
        <f t="shared" si="90"/>
        <v>0</v>
      </c>
      <c r="F247" s="272">
        <f t="shared" si="91"/>
        <v>0</v>
      </c>
      <c r="G247" s="273">
        <f>'人员人工-研发人员工资'!G257</f>
        <v>0</v>
      </c>
      <c r="H247" s="274">
        <f t="shared" si="92"/>
        <v>0</v>
      </c>
      <c r="I247" s="273">
        <f>'人员人工-研发人员工资'!I257</f>
        <v>0</v>
      </c>
      <c r="J247" s="274">
        <f t="shared" si="93"/>
        <v>0</v>
      </c>
      <c r="K247" s="275">
        <f>'人员人工-研发人员工资'!K257</f>
        <v>0</v>
      </c>
      <c r="L247" s="274">
        <f t="shared" si="94"/>
        <v>0</v>
      </c>
      <c r="M247" s="273">
        <f>'人员人工-研发人员工资'!M257</f>
        <v>0</v>
      </c>
      <c r="N247" s="274">
        <f t="shared" si="95"/>
        <v>0</v>
      </c>
      <c r="O247" s="273">
        <f>'人员人工-研发人员工资'!O257</f>
        <v>0</v>
      </c>
      <c r="P247" s="274">
        <f t="shared" si="96"/>
        <v>0</v>
      </c>
      <c r="Q247" s="273">
        <f>'人员人工-研发人员工资'!Q257</f>
        <v>0</v>
      </c>
      <c r="R247" s="274">
        <f t="shared" si="97"/>
        <v>0</v>
      </c>
      <c r="S247" s="273">
        <f>'人员人工-研发人员工资'!S257</f>
        <v>0</v>
      </c>
      <c r="T247" s="274">
        <f t="shared" si="98"/>
        <v>0</v>
      </c>
      <c r="U247" s="273">
        <f>'人员人工-研发人员工资'!U257</f>
        <v>0</v>
      </c>
      <c r="V247" s="274">
        <f t="shared" si="99"/>
        <v>0</v>
      </c>
      <c r="W247" s="273">
        <f>'人员人工-研发人员工资'!W257</f>
        <v>0</v>
      </c>
      <c r="X247" s="274">
        <f t="shared" si="100"/>
        <v>0</v>
      </c>
      <c r="Y247" s="273">
        <f>'人员人工-研发人员工资'!Y257</f>
        <v>0</v>
      </c>
      <c r="Z247" s="274">
        <f t="shared" si="101"/>
        <v>0</v>
      </c>
    </row>
    <row r="248" s="251" customFormat="1" customHeight="1" spans="1:26">
      <c r="A248" s="270">
        <v>17</v>
      </c>
      <c r="B248" s="271">
        <f>'人员人工-研发人员工资'!B258</f>
        <v>0</v>
      </c>
      <c r="C248" s="274"/>
      <c r="D248" s="272">
        <f>'人员人工-研发人员工资'!D258</f>
        <v>0</v>
      </c>
      <c r="E248" s="272">
        <f t="shared" si="90"/>
        <v>0</v>
      </c>
      <c r="F248" s="272">
        <f t="shared" si="91"/>
        <v>0</v>
      </c>
      <c r="G248" s="273">
        <f>'人员人工-研发人员工资'!G258</f>
        <v>0</v>
      </c>
      <c r="H248" s="274">
        <f t="shared" si="92"/>
        <v>0</v>
      </c>
      <c r="I248" s="273">
        <f>'人员人工-研发人员工资'!I258</f>
        <v>0</v>
      </c>
      <c r="J248" s="274">
        <f t="shared" si="93"/>
        <v>0</v>
      </c>
      <c r="K248" s="275">
        <f>'人员人工-研发人员工资'!K258</f>
        <v>0</v>
      </c>
      <c r="L248" s="274">
        <f t="shared" si="94"/>
        <v>0</v>
      </c>
      <c r="M248" s="273">
        <f>'人员人工-研发人员工资'!M258</f>
        <v>0</v>
      </c>
      <c r="N248" s="274">
        <f t="shared" si="95"/>
        <v>0</v>
      </c>
      <c r="O248" s="273">
        <f>'人员人工-研发人员工资'!O258</f>
        <v>0</v>
      </c>
      <c r="P248" s="274">
        <f t="shared" si="96"/>
        <v>0</v>
      </c>
      <c r="Q248" s="273">
        <f>'人员人工-研发人员工资'!Q258</f>
        <v>0</v>
      </c>
      <c r="R248" s="274">
        <f t="shared" si="97"/>
        <v>0</v>
      </c>
      <c r="S248" s="273">
        <f>'人员人工-研发人员工资'!S258</f>
        <v>0</v>
      </c>
      <c r="T248" s="274">
        <f t="shared" si="98"/>
        <v>0</v>
      </c>
      <c r="U248" s="273">
        <f>'人员人工-研发人员工资'!U258</f>
        <v>0</v>
      </c>
      <c r="V248" s="274">
        <f t="shared" si="99"/>
        <v>0</v>
      </c>
      <c r="W248" s="273">
        <f>'人员人工-研发人员工资'!W258</f>
        <v>0</v>
      </c>
      <c r="X248" s="274">
        <f t="shared" si="100"/>
        <v>0</v>
      </c>
      <c r="Y248" s="273">
        <f>'人员人工-研发人员工资'!Y258</f>
        <v>0</v>
      </c>
      <c r="Z248" s="274">
        <f t="shared" si="101"/>
        <v>0</v>
      </c>
    </row>
    <row r="249" s="251" customFormat="1" customHeight="1" spans="1:26">
      <c r="A249" s="270">
        <v>18</v>
      </c>
      <c r="B249" s="271">
        <f>'人员人工-研发人员工资'!B259</f>
        <v>0</v>
      </c>
      <c r="C249" s="274"/>
      <c r="D249" s="272">
        <f>'人员人工-研发人员工资'!D259</f>
        <v>0</v>
      </c>
      <c r="E249" s="272">
        <f t="shared" si="90"/>
        <v>0</v>
      </c>
      <c r="F249" s="272">
        <f t="shared" si="91"/>
        <v>0</v>
      </c>
      <c r="G249" s="273">
        <f>'人员人工-研发人员工资'!G259</f>
        <v>0</v>
      </c>
      <c r="H249" s="274">
        <f t="shared" si="92"/>
        <v>0</v>
      </c>
      <c r="I249" s="273">
        <f>'人员人工-研发人员工资'!I259</f>
        <v>0</v>
      </c>
      <c r="J249" s="274">
        <f t="shared" si="93"/>
        <v>0</v>
      </c>
      <c r="K249" s="275">
        <f>'人员人工-研发人员工资'!K259</f>
        <v>0</v>
      </c>
      <c r="L249" s="274">
        <f t="shared" si="94"/>
        <v>0</v>
      </c>
      <c r="M249" s="273">
        <f>'人员人工-研发人员工资'!M259</f>
        <v>0</v>
      </c>
      <c r="N249" s="274">
        <f t="shared" si="95"/>
        <v>0</v>
      </c>
      <c r="O249" s="273">
        <f>'人员人工-研发人员工资'!O259</f>
        <v>0</v>
      </c>
      <c r="P249" s="274">
        <f t="shared" si="96"/>
        <v>0</v>
      </c>
      <c r="Q249" s="273">
        <f>'人员人工-研发人员工资'!Q259</f>
        <v>0</v>
      </c>
      <c r="R249" s="274">
        <f t="shared" si="97"/>
        <v>0</v>
      </c>
      <c r="S249" s="273">
        <f>'人员人工-研发人员工资'!S259</f>
        <v>0</v>
      </c>
      <c r="T249" s="274">
        <f t="shared" si="98"/>
        <v>0</v>
      </c>
      <c r="U249" s="273">
        <f>'人员人工-研发人员工资'!U259</f>
        <v>0</v>
      </c>
      <c r="V249" s="274">
        <f t="shared" si="99"/>
        <v>0</v>
      </c>
      <c r="W249" s="273">
        <f>'人员人工-研发人员工资'!W259</f>
        <v>0</v>
      </c>
      <c r="X249" s="274">
        <f t="shared" si="100"/>
        <v>0</v>
      </c>
      <c r="Y249" s="273">
        <f>'人员人工-研发人员工资'!Y259</f>
        <v>0</v>
      </c>
      <c r="Z249" s="274">
        <f t="shared" si="101"/>
        <v>0</v>
      </c>
    </row>
    <row r="250" s="251" customFormat="1" customHeight="1" spans="1:26">
      <c r="A250" s="270">
        <v>19</v>
      </c>
      <c r="B250" s="271">
        <f>'人员人工-研发人员工资'!B250</f>
        <v>0</v>
      </c>
      <c r="C250" s="274"/>
      <c r="D250" s="272">
        <f>'人员人工-研发人员工资'!D250</f>
        <v>0</v>
      </c>
      <c r="E250" s="272">
        <f t="shared" si="78"/>
        <v>0</v>
      </c>
      <c r="F250" s="272">
        <f t="shared" si="79"/>
        <v>0</v>
      </c>
      <c r="G250" s="273">
        <f>'人员人工-研发人员工资'!G250</f>
        <v>0</v>
      </c>
      <c r="H250" s="274">
        <f t="shared" si="80"/>
        <v>0</v>
      </c>
      <c r="I250" s="273">
        <f>'人员人工-研发人员工资'!I250</f>
        <v>0</v>
      </c>
      <c r="J250" s="274">
        <f t="shared" si="81"/>
        <v>0</v>
      </c>
      <c r="K250" s="275">
        <f>'人员人工-研发人员工资'!K250</f>
        <v>0</v>
      </c>
      <c r="L250" s="274">
        <f t="shared" si="82"/>
        <v>0</v>
      </c>
      <c r="M250" s="273">
        <f>'人员人工-研发人员工资'!M250</f>
        <v>0</v>
      </c>
      <c r="N250" s="274">
        <f t="shared" si="83"/>
        <v>0</v>
      </c>
      <c r="O250" s="273">
        <f>'人员人工-研发人员工资'!O250</f>
        <v>0</v>
      </c>
      <c r="P250" s="274">
        <f t="shared" si="84"/>
        <v>0</v>
      </c>
      <c r="Q250" s="273">
        <f>'人员人工-研发人员工资'!Q250</f>
        <v>0</v>
      </c>
      <c r="R250" s="274">
        <f t="shared" si="85"/>
        <v>0</v>
      </c>
      <c r="S250" s="273">
        <f>'人员人工-研发人员工资'!S250</f>
        <v>0</v>
      </c>
      <c r="T250" s="274">
        <f t="shared" si="86"/>
        <v>0</v>
      </c>
      <c r="U250" s="273">
        <f>'人员人工-研发人员工资'!U250</f>
        <v>0</v>
      </c>
      <c r="V250" s="274">
        <f t="shared" si="87"/>
        <v>0</v>
      </c>
      <c r="W250" s="273">
        <f>'人员人工-研发人员工资'!W250</f>
        <v>0</v>
      </c>
      <c r="X250" s="274">
        <f t="shared" si="88"/>
        <v>0</v>
      </c>
      <c r="Y250" s="273">
        <f>'人员人工-研发人员工资'!Y250</f>
        <v>0</v>
      </c>
      <c r="Z250" s="274">
        <f t="shared" si="89"/>
        <v>0</v>
      </c>
    </row>
    <row r="251" s="251" customFormat="1" customHeight="1" spans="1:26">
      <c r="A251" s="270">
        <v>20</v>
      </c>
      <c r="B251" s="271">
        <f>'人员人工-研发人员工资'!B251</f>
        <v>0</v>
      </c>
      <c r="C251" s="274"/>
      <c r="D251" s="272">
        <f>'人员人工-研发人员工资'!D251</f>
        <v>0</v>
      </c>
      <c r="E251" s="272">
        <f t="shared" si="78"/>
        <v>0</v>
      </c>
      <c r="F251" s="272">
        <f t="shared" si="79"/>
        <v>0</v>
      </c>
      <c r="G251" s="273">
        <f>'人员人工-研发人员工资'!G251</f>
        <v>0</v>
      </c>
      <c r="H251" s="274">
        <f t="shared" si="80"/>
        <v>0</v>
      </c>
      <c r="I251" s="273">
        <f>'人员人工-研发人员工资'!I251</f>
        <v>0</v>
      </c>
      <c r="J251" s="274">
        <f t="shared" si="81"/>
        <v>0</v>
      </c>
      <c r="K251" s="275">
        <f>'人员人工-研发人员工资'!K251</f>
        <v>0</v>
      </c>
      <c r="L251" s="274">
        <f t="shared" si="82"/>
        <v>0</v>
      </c>
      <c r="M251" s="273">
        <f>'人员人工-研发人员工资'!M251</f>
        <v>0</v>
      </c>
      <c r="N251" s="274">
        <f t="shared" si="83"/>
        <v>0</v>
      </c>
      <c r="O251" s="273">
        <f>'人员人工-研发人员工资'!O251</f>
        <v>0</v>
      </c>
      <c r="P251" s="274">
        <f t="shared" si="84"/>
        <v>0</v>
      </c>
      <c r="Q251" s="273">
        <f>'人员人工-研发人员工资'!Q251</f>
        <v>0</v>
      </c>
      <c r="R251" s="274">
        <f t="shared" si="85"/>
        <v>0</v>
      </c>
      <c r="S251" s="273">
        <f>'人员人工-研发人员工资'!S251</f>
        <v>0</v>
      </c>
      <c r="T251" s="274">
        <f t="shared" si="86"/>
        <v>0</v>
      </c>
      <c r="U251" s="273">
        <f>'人员人工-研发人员工资'!U251</f>
        <v>0</v>
      </c>
      <c r="V251" s="274">
        <f t="shared" si="87"/>
        <v>0</v>
      </c>
      <c r="W251" s="273">
        <f>'人员人工-研发人员工资'!W251</f>
        <v>0</v>
      </c>
      <c r="X251" s="274">
        <f t="shared" si="88"/>
        <v>0</v>
      </c>
      <c r="Y251" s="273">
        <f>'人员人工-研发人员工资'!Y251</f>
        <v>0</v>
      </c>
      <c r="Z251" s="274">
        <f t="shared" si="89"/>
        <v>0</v>
      </c>
    </row>
    <row r="252" s="251" customFormat="1" customHeight="1" spans="1:26">
      <c r="A252" s="270">
        <v>21</v>
      </c>
      <c r="B252" s="271">
        <f>'人员人工-研发人员工资'!B252</f>
        <v>0</v>
      </c>
      <c r="C252" s="274"/>
      <c r="D252" s="272">
        <f>'人员人工-研发人员工资'!D252</f>
        <v>0</v>
      </c>
      <c r="E252" s="272">
        <f t="shared" si="78"/>
        <v>0</v>
      </c>
      <c r="F252" s="272">
        <f t="shared" si="79"/>
        <v>0</v>
      </c>
      <c r="G252" s="273">
        <f>'人员人工-研发人员工资'!G252</f>
        <v>0</v>
      </c>
      <c r="H252" s="274">
        <f t="shared" si="80"/>
        <v>0</v>
      </c>
      <c r="I252" s="273">
        <f>'人员人工-研发人员工资'!I252</f>
        <v>0</v>
      </c>
      <c r="J252" s="274">
        <f t="shared" si="81"/>
        <v>0</v>
      </c>
      <c r="K252" s="275">
        <f>'人员人工-研发人员工资'!K252</f>
        <v>0</v>
      </c>
      <c r="L252" s="274">
        <f t="shared" si="82"/>
        <v>0</v>
      </c>
      <c r="M252" s="273">
        <f>'人员人工-研发人员工资'!M252</f>
        <v>0</v>
      </c>
      <c r="N252" s="274">
        <f t="shared" si="83"/>
        <v>0</v>
      </c>
      <c r="O252" s="273">
        <f>'人员人工-研发人员工资'!O252</f>
        <v>0</v>
      </c>
      <c r="P252" s="274">
        <f t="shared" si="84"/>
        <v>0</v>
      </c>
      <c r="Q252" s="273">
        <f>'人员人工-研发人员工资'!Q252</f>
        <v>0</v>
      </c>
      <c r="R252" s="274">
        <f t="shared" si="85"/>
        <v>0</v>
      </c>
      <c r="S252" s="273">
        <f>'人员人工-研发人员工资'!S252</f>
        <v>0</v>
      </c>
      <c r="T252" s="274">
        <f t="shared" si="86"/>
        <v>0</v>
      </c>
      <c r="U252" s="273">
        <f>'人员人工-研发人员工资'!U252</f>
        <v>0</v>
      </c>
      <c r="V252" s="274">
        <f t="shared" si="87"/>
        <v>0</v>
      </c>
      <c r="W252" s="273">
        <f>'人员人工-研发人员工资'!W252</f>
        <v>0</v>
      </c>
      <c r="X252" s="274">
        <f t="shared" si="88"/>
        <v>0</v>
      </c>
      <c r="Y252" s="273">
        <f>'人员人工-研发人员工资'!Y252</f>
        <v>0</v>
      </c>
      <c r="Z252" s="274">
        <f t="shared" si="89"/>
        <v>0</v>
      </c>
    </row>
    <row r="253" s="251" customFormat="1" customHeight="1" spans="1:26">
      <c r="A253" s="270">
        <v>22</v>
      </c>
      <c r="B253" s="271">
        <f>'人员人工-研发人员工资'!B253</f>
        <v>0</v>
      </c>
      <c r="C253" s="274"/>
      <c r="D253" s="272">
        <f>'人员人工-研发人员工资'!D253</f>
        <v>0</v>
      </c>
      <c r="E253" s="272">
        <f t="shared" si="78"/>
        <v>0</v>
      </c>
      <c r="F253" s="272">
        <f t="shared" si="79"/>
        <v>0</v>
      </c>
      <c r="G253" s="273">
        <f>'人员人工-研发人员工资'!G253</f>
        <v>0</v>
      </c>
      <c r="H253" s="274">
        <f t="shared" si="80"/>
        <v>0</v>
      </c>
      <c r="I253" s="273">
        <f>'人员人工-研发人员工资'!I253</f>
        <v>0</v>
      </c>
      <c r="J253" s="274">
        <f t="shared" si="81"/>
        <v>0</v>
      </c>
      <c r="K253" s="275">
        <f>'人员人工-研发人员工资'!K253</f>
        <v>0</v>
      </c>
      <c r="L253" s="274">
        <f t="shared" si="82"/>
        <v>0</v>
      </c>
      <c r="M253" s="273">
        <f>'人员人工-研发人员工资'!M253</f>
        <v>0</v>
      </c>
      <c r="N253" s="274">
        <f t="shared" si="83"/>
        <v>0</v>
      </c>
      <c r="O253" s="273">
        <f>'人员人工-研发人员工资'!O253</f>
        <v>0</v>
      </c>
      <c r="P253" s="274">
        <f t="shared" si="84"/>
        <v>0</v>
      </c>
      <c r="Q253" s="273">
        <f>'人员人工-研发人员工资'!Q253</f>
        <v>0</v>
      </c>
      <c r="R253" s="274">
        <f t="shared" si="85"/>
        <v>0</v>
      </c>
      <c r="S253" s="273">
        <f>'人员人工-研发人员工资'!S253</f>
        <v>0</v>
      </c>
      <c r="T253" s="274">
        <f t="shared" si="86"/>
        <v>0</v>
      </c>
      <c r="U253" s="273">
        <f>'人员人工-研发人员工资'!U253</f>
        <v>0</v>
      </c>
      <c r="V253" s="274">
        <f t="shared" si="87"/>
        <v>0</v>
      </c>
      <c r="W253" s="273">
        <f>'人员人工-研发人员工资'!W253</f>
        <v>0</v>
      </c>
      <c r="X253" s="274">
        <f t="shared" si="88"/>
        <v>0</v>
      </c>
      <c r="Y253" s="273">
        <f>'人员人工-研发人员工资'!Y253</f>
        <v>0</v>
      </c>
      <c r="Z253" s="274">
        <f t="shared" si="89"/>
        <v>0</v>
      </c>
    </row>
    <row r="254" s="251" customFormat="1" customHeight="1" spans="1:26">
      <c r="A254" s="270">
        <v>23</v>
      </c>
      <c r="B254" s="271">
        <f>'人员人工-研发人员工资'!B254</f>
        <v>0</v>
      </c>
      <c r="C254" s="274"/>
      <c r="D254" s="272">
        <f>'人员人工-研发人员工资'!D254</f>
        <v>0</v>
      </c>
      <c r="E254" s="272">
        <f t="shared" si="78"/>
        <v>0</v>
      </c>
      <c r="F254" s="272">
        <f t="shared" si="79"/>
        <v>0</v>
      </c>
      <c r="G254" s="273">
        <f>'人员人工-研发人员工资'!G254</f>
        <v>0</v>
      </c>
      <c r="H254" s="274">
        <f t="shared" si="80"/>
        <v>0</v>
      </c>
      <c r="I254" s="273">
        <f>'人员人工-研发人员工资'!I254</f>
        <v>0</v>
      </c>
      <c r="J254" s="274">
        <f t="shared" si="81"/>
        <v>0</v>
      </c>
      <c r="K254" s="275">
        <f>'人员人工-研发人员工资'!K254</f>
        <v>0</v>
      </c>
      <c r="L254" s="274">
        <f t="shared" si="82"/>
        <v>0</v>
      </c>
      <c r="M254" s="273">
        <f>'人员人工-研发人员工资'!M254</f>
        <v>0</v>
      </c>
      <c r="N254" s="274">
        <f t="shared" si="83"/>
        <v>0</v>
      </c>
      <c r="O254" s="273">
        <f>'人员人工-研发人员工资'!O254</f>
        <v>0</v>
      </c>
      <c r="P254" s="274">
        <f t="shared" si="84"/>
        <v>0</v>
      </c>
      <c r="Q254" s="273">
        <f>'人员人工-研发人员工资'!Q254</f>
        <v>0</v>
      </c>
      <c r="R254" s="274">
        <f t="shared" si="85"/>
        <v>0</v>
      </c>
      <c r="S254" s="273">
        <f>'人员人工-研发人员工资'!S254</f>
        <v>0</v>
      </c>
      <c r="T254" s="274">
        <f t="shared" si="86"/>
        <v>0</v>
      </c>
      <c r="U254" s="273">
        <f>'人员人工-研发人员工资'!U254</f>
        <v>0</v>
      </c>
      <c r="V254" s="274">
        <f t="shared" si="87"/>
        <v>0</v>
      </c>
      <c r="W254" s="273">
        <f>'人员人工-研发人员工资'!W254</f>
        <v>0</v>
      </c>
      <c r="X254" s="274">
        <f t="shared" si="88"/>
        <v>0</v>
      </c>
      <c r="Y254" s="273">
        <f>'人员人工-研发人员工资'!Y254</f>
        <v>0</v>
      </c>
      <c r="Z254" s="274">
        <f t="shared" si="89"/>
        <v>0</v>
      </c>
    </row>
    <row r="255" s="251" customFormat="1" customHeight="1" spans="1:26">
      <c r="A255" s="270">
        <v>25</v>
      </c>
      <c r="B255" s="271">
        <f>'人员人工-研发人员工资'!B255</f>
        <v>0</v>
      </c>
      <c r="C255" s="274"/>
      <c r="D255" s="272">
        <f>'人员人工-研发人员工资'!D255</f>
        <v>0</v>
      </c>
      <c r="E255" s="272">
        <f t="shared" si="78"/>
        <v>0</v>
      </c>
      <c r="F255" s="272">
        <f t="shared" si="79"/>
        <v>0</v>
      </c>
      <c r="G255" s="273">
        <f>'人员人工-研发人员工资'!G255</f>
        <v>0</v>
      </c>
      <c r="H255" s="274">
        <f t="shared" si="80"/>
        <v>0</v>
      </c>
      <c r="I255" s="273">
        <f>'人员人工-研发人员工资'!I255</f>
        <v>0</v>
      </c>
      <c r="J255" s="274">
        <f t="shared" si="81"/>
        <v>0</v>
      </c>
      <c r="K255" s="275">
        <f>'人员人工-研发人员工资'!K255</f>
        <v>0</v>
      </c>
      <c r="L255" s="274">
        <f t="shared" si="82"/>
        <v>0</v>
      </c>
      <c r="M255" s="273">
        <f>'人员人工-研发人员工资'!M255</f>
        <v>0</v>
      </c>
      <c r="N255" s="274">
        <f t="shared" si="83"/>
        <v>0</v>
      </c>
      <c r="O255" s="273">
        <f>'人员人工-研发人员工资'!O255</f>
        <v>0</v>
      </c>
      <c r="P255" s="274">
        <f t="shared" si="84"/>
        <v>0</v>
      </c>
      <c r="Q255" s="273">
        <f>'人员人工-研发人员工资'!Q255</f>
        <v>0</v>
      </c>
      <c r="R255" s="274">
        <f t="shared" si="85"/>
        <v>0</v>
      </c>
      <c r="S255" s="273">
        <f>'人员人工-研发人员工资'!S255</f>
        <v>0</v>
      </c>
      <c r="T255" s="274">
        <f t="shared" si="86"/>
        <v>0</v>
      </c>
      <c r="U255" s="273">
        <f>'人员人工-研发人员工资'!U255</f>
        <v>0</v>
      </c>
      <c r="V255" s="274">
        <f t="shared" si="87"/>
        <v>0</v>
      </c>
      <c r="W255" s="273">
        <f>'人员人工-研发人员工资'!W255</f>
        <v>0</v>
      </c>
      <c r="X255" s="274">
        <f t="shared" si="88"/>
        <v>0</v>
      </c>
      <c r="Y255" s="273">
        <f>'人员人工-研发人员工资'!Y255</f>
        <v>0</v>
      </c>
      <c r="Z255" s="274">
        <f t="shared" si="89"/>
        <v>0</v>
      </c>
    </row>
    <row r="256" s="251" customFormat="1" customHeight="1" spans="1:26">
      <c r="A256" s="270">
        <v>25</v>
      </c>
      <c r="B256" s="271">
        <f>'人员人工-研发人员工资'!B256</f>
        <v>0</v>
      </c>
      <c r="C256" s="274"/>
      <c r="D256" s="272">
        <f>'人员人工-研发人员工资'!D256</f>
        <v>0</v>
      </c>
      <c r="E256" s="272">
        <f t="shared" si="78"/>
        <v>0</v>
      </c>
      <c r="F256" s="272">
        <f t="shared" si="79"/>
        <v>0</v>
      </c>
      <c r="G256" s="273">
        <f>'人员人工-研发人员工资'!G256</f>
        <v>0</v>
      </c>
      <c r="H256" s="274">
        <f t="shared" si="80"/>
        <v>0</v>
      </c>
      <c r="I256" s="273">
        <f>'人员人工-研发人员工资'!I256</f>
        <v>0</v>
      </c>
      <c r="J256" s="274">
        <f t="shared" si="81"/>
        <v>0</v>
      </c>
      <c r="K256" s="275">
        <f>'人员人工-研发人员工资'!K256</f>
        <v>0</v>
      </c>
      <c r="L256" s="274">
        <f t="shared" si="82"/>
        <v>0</v>
      </c>
      <c r="M256" s="273">
        <f>'人员人工-研发人员工资'!M256</f>
        <v>0</v>
      </c>
      <c r="N256" s="274">
        <f t="shared" si="83"/>
        <v>0</v>
      </c>
      <c r="O256" s="273">
        <f>'人员人工-研发人员工资'!O256</f>
        <v>0</v>
      </c>
      <c r="P256" s="274">
        <f t="shared" si="84"/>
        <v>0</v>
      </c>
      <c r="Q256" s="273">
        <f>'人员人工-研发人员工资'!Q256</f>
        <v>0</v>
      </c>
      <c r="R256" s="274">
        <f t="shared" si="85"/>
        <v>0</v>
      </c>
      <c r="S256" s="273">
        <f>'人员人工-研发人员工资'!S256</f>
        <v>0</v>
      </c>
      <c r="T256" s="274">
        <f t="shared" si="86"/>
        <v>0</v>
      </c>
      <c r="U256" s="273">
        <f>'人员人工-研发人员工资'!U256</f>
        <v>0</v>
      </c>
      <c r="V256" s="274">
        <f t="shared" si="87"/>
        <v>0</v>
      </c>
      <c r="W256" s="273">
        <f>'人员人工-研发人员工资'!W256</f>
        <v>0</v>
      </c>
      <c r="X256" s="274">
        <f t="shared" si="88"/>
        <v>0</v>
      </c>
      <c r="Y256" s="273">
        <f>'人员人工-研发人员工资'!Y256</f>
        <v>0</v>
      </c>
      <c r="Z256" s="274">
        <f t="shared" si="89"/>
        <v>0</v>
      </c>
    </row>
    <row r="257" s="251" customFormat="1" customHeight="1" spans="1:26">
      <c r="A257" s="270">
        <v>26</v>
      </c>
      <c r="B257" s="271">
        <f>'人员人工-研发人员工资'!B257</f>
        <v>0</v>
      </c>
      <c r="C257" s="274"/>
      <c r="D257" s="272">
        <f>'人员人工-研发人员工资'!D257</f>
        <v>0</v>
      </c>
      <c r="E257" s="272">
        <f t="shared" si="78"/>
        <v>0</v>
      </c>
      <c r="F257" s="272">
        <f t="shared" si="79"/>
        <v>0</v>
      </c>
      <c r="G257" s="273">
        <f>'人员人工-研发人员工资'!G257</f>
        <v>0</v>
      </c>
      <c r="H257" s="274">
        <f t="shared" si="80"/>
        <v>0</v>
      </c>
      <c r="I257" s="273">
        <f>'人员人工-研发人员工资'!I257</f>
        <v>0</v>
      </c>
      <c r="J257" s="274">
        <f t="shared" si="81"/>
        <v>0</v>
      </c>
      <c r="K257" s="275">
        <f>'人员人工-研发人员工资'!K257</f>
        <v>0</v>
      </c>
      <c r="L257" s="274">
        <f t="shared" si="82"/>
        <v>0</v>
      </c>
      <c r="M257" s="273">
        <f>'人员人工-研发人员工资'!M257</f>
        <v>0</v>
      </c>
      <c r="N257" s="274">
        <f t="shared" si="83"/>
        <v>0</v>
      </c>
      <c r="O257" s="273">
        <f>'人员人工-研发人员工资'!O257</f>
        <v>0</v>
      </c>
      <c r="P257" s="274">
        <f t="shared" si="84"/>
        <v>0</v>
      </c>
      <c r="Q257" s="273">
        <f>'人员人工-研发人员工资'!Q257</f>
        <v>0</v>
      </c>
      <c r="R257" s="274">
        <f t="shared" si="85"/>
        <v>0</v>
      </c>
      <c r="S257" s="273">
        <f>'人员人工-研发人员工资'!S257</f>
        <v>0</v>
      </c>
      <c r="T257" s="274">
        <f t="shared" si="86"/>
        <v>0</v>
      </c>
      <c r="U257" s="273">
        <f>'人员人工-研发人员工资'!U257</f>
        <v>0</v>
      </c>
      <c r="V257" s="274">
        <f t="shared" si="87"/>
        <v>0</v>
      </c>
      <c r="W257" s="273">
        <f>'人员人工-研发人员工资'!W257</f>
        <v>0</v>
      </c>
      <c r="X257" s="274">
        <f t="shared" si="88"/>
        <v>0</v>
      </c>
      <c r="Y257" s="273">
        <f>'人员人工-研发人员工资'!Y257</f>
        <v>0</v>
      </c>
      <c r="Z257" s="274">
        <f t="shared" si="89"/>
        <v>0</v>
      </c>
    </row>
    <row r="258" s="251" customFormat="1" customHeight="1" spans="1:26">
      <c r="A258" s="270">
        <v>27</v>
      </c>
      <c r="B258" s="271">
        <f>'人员人工-研发人员工资'!B258</f>
        <v>0</v>
      </c>
      <c r="C258" s="274"/>
      <c r="D258" s="272">
        <f>'人员人工-研发人员工资'!D258</f>
        <v>0</v>
      </c>
      <c r="E258" s="272">
        <f t="shared" si="78"/>
        <v>0</v>
      </c>
      <c r="F258" s="272">
        <f t="shared" si="79"/>
        <v>0</v>
      </c>
      <c r="G258" s="273">
        <f>'人员人工-研发人员工资'!G258</f>
        <v>0</v>
      </c>
      <c r="H258" s="274">
        <f t="shared" si="80"/>
        <v>0</v>
      </c>
      <c r="I258" s="273">
        <f>'人员人工-研发人员工资'!I258</f>
        <v>0</v>
      </c>
      <c r="J258" s="274">
        <f t="shared" si="81"/>
        <v>0</v>
      </c>
      <c r="K258" s="275">
        <f>'人员人工-研发人员工资'!K258</f>
        <v>0</v>
      </c>
      <c r="L258" s="274">
        <f t="shared" si="82"/>
        <v>0</v>
      </c>
      <c r="M258" s="273">
        <f>'人员人工-研发人员工资'!M258</f>
        <v>0</v>
      </c>
      <c r="N258" s="274">
        <f t="shared" si="83"/>
        <v>0</v>
      </c>
      <c r="O258" s="273">
        <f>'人员人工-研发人员工资'!O258</f>
        <v>0</v>
      </c>
      <c r="P258" s="274">
        <f t="shared" si="84"/>
        <v>0</v>
      </c>
      <c r="Q258" s="273">
        <f>'人员人工-研发人员工资'!Q258</f>
        <v>0</v>
      </c>
      <c r="R258" s="274">
        <f t="shared" si="85"/>
        <v>0</v>
      </c>
      <c r="S258" s="273">
        <f>'人员人工-研发人员工资'!S258</f>
        <v>0</v>
      </c>
      <c r="T258" s="274">
        <f t="shared" si="86"/>
        <v>0</v>
      </c>
      <c r="U258" s="273">
        <f>'人员人工-研发人员工资'!U258</f>
        <v>0</v>
      </c>
      <c r="V258" s="274">
        <f t="shared" si="87"/>
        <v>0</v>
      </c>
      <c r="W258" s="273">
        <f>'人员人工-研发人员工资'!W258</f>
        <v>0</v>
      </c>
      <c r="X258" s="274">
        <f t="shared" si="88"/>
        <v>0</v>
      </c>
      <c r="Y258" s="273">
        <f>'人员人工-研发人员工资'!Y258</f>
        <v>0</v>
      </c>
      <c r="Z258" s="274">
        <f t="shared" si="89"/>
        <v>0</v>
      </c>
    </row>
    <row r="259" s="251" customFormat="1" customHeight="1" spans="1:26">
      <c r="A259" s="270">
        <v>28</v>
      </c>
      <c r="B259" s="271">
        <f>'人员人工-研发人员工资'!B259</f>
        <v>0</v>
      </c>
      <c r="C259" s="274"/>
      <c r="D259" s="272">
        <f>'人员人工-研发人员工资'!D259</f>
        <v>0</v>
      </c>
      <c r="E259" s="272">
        <f t="shared" si="78"/>
        <v>0</v>
      </c>
      <c r="F259" s="272">
        <f t="shared" si="79"/>
        <v>0</v>
      </c>
      <c r="G259" s="273">
        <f>'人员人工-研发人员工资'!G259</f>
        <v>0</v>
      </c>
      <c r="H259" s="274">
        <f t="shared" si="80"/>
        <v>0</v>
      </c>
      <c r="I259" s="273">
        <f>'人员人工-研发人员工资'!I259</f>
        <v>0</v>
      </c>
      <c r="J259" s="274">
        <f t="shared" si="81"/>
        <v>0</v>
      </c>
      <c r="K259" s="275">
        <f>'人员人工-研发人员工资'!K259</f>
        <v>0</v>
      </c>
      <c r="L259" s="274">
        <f t="shared" si="82"/>
        <v>0</v>
      </c>
      <c r="M259" s="273">
        <f>'人员人工-研发人员工资'!M259</f>
        <v>0</v>
      </c>
      <c r="N259" s="274">
        <f t="shared" si="83"/>
        <v>0</v>
      </c>
      <c r="O259" s="273">
        <f>'人员人工-研发人员工资'!O259</f>
        <v>0</v>
      </c>
      <c r="P259" s="274">
        <f t="shared" si="84"/>
        <v>0</v>
      </c>
      <c r="Q259" s="273">
        <f>'人员人工-研发人员工资'!Q259</f>
        <v>0</v>
      </c>
      <c r="R259" s="274">
        <f t="shared" si="85"/>
        <v>0</v>
      </c>
      <c r="S259" s="273">
        <f>'人员人工-研发人员工资'!S259</f>
        <v>0</v>
      </c>
      <c r="T259" s="274">
        <f t="shared" si="86"/>
        <v>0</v>
      </c>
      <c r="U259" s="273">
        <f>'人员人工-研发人员工资'!U259</f>
        <v>0</v>
      </c>
      <c r="V259" s="274">
        <f t="shared" si="87"/>
        <v>0</v>
      </c>
      <c r="W259" s="273">
        <f>'人员人工-研发人员工资'!W259</f>
        <v>0</v>
      </c>
      <c r="X259" s="274">
        <f t="shared" si="88"/>
        <v>0</v>
      </c>
      <c r="Y259" s="273">
        <f>'人员人工-研发人员工资'!Y259</f>
        <v>0</v>
      </c>
      <c r="Z259" s="274">
        <f t="shared" si="89"/>
        <v>0</v>
      </c>
    </row>
    <row r="260" s="251" customFormat="1" customHeight="1" spans="1:26">
      <c r="A260" s="270">
        <v>29</v>
      </c>
      <c r="B260" s="271">
        <f>'人员人工-研发人员工资'!B260</f>
        <v>0</v>
      </c>
      <c r="C260" s="274"/>
      <c r="D260" s="272">
        <f>'人员人工-研发人员工资'!D260</f>
        <v>0</v>
      </c>
      <c r="E260" s="272">
        <f t="shared" si="78"/>
        <v>0</v>
      </c>
      <c r="F260" s="272">
        <f t="shared" si="79"/>
        <v>0</v>
      </c>
      <c r="G260" s="273">
        <f>'人员人工-研发人员工资'!G260</f>
        <v>0</v>
      </c>
      <c r="H260" s="274">
        <f t="shared" si="80"/>
        <v>0</v>
      </c>
      <c r="I260" s="273">
        <f>'人员人工-研发人员工资'!I260</f>
        <v>0</v>
      </c>
      <c r="J260" s="274">
        <f t="shared" si="81"/>
        <v>0</v>
      </c>
      <c r="K260" s="275">
        <f>'人员人工-研发人员工资'!K260</f>
        <v>0</v>
      </c>
      <c r="L260" s="274">
        <f t="shared" si="82"/>
        <v>0</v>
      </c>
      <c r="M260" s="273">
        <f>'人员人工-研发人员工资'!M260</f>
        <v>0</v>
      </c>
      <c r="N260" s="274">
        <f t="shared" si="83"/>
        <v>0</v>
      </c>
      <c r="O260" s="273">
        <f>'人员人工-研发人员工资'!O260</f>
        <v>0</v>
      </c>
      <c r="P260" s="274">
        <f t="shared" si="84"/>
        <v>0</v>
      </c>
      <c r="Q260" s="273">
        <f>'人员人工-研发人员工资'!Q260</f>
        <v>0</v>
      </c>
      <c r="R260" s="274">
        <f t="shared" si="85"/>
        <v>0</v>
      </c>
      <c r="S260" s="273">
        <f>'人员人工-研发人员工资'!S260</f>
        <v>0</v>
      </c>
      <c r="T260" s="274">
        <f t="shared" si="86"/>
        <v>0</v>
      </c>
      <c r="U260" s="273">
        <f>'人员人工-研发人员工资'!U260</f>
        <v>0</v>
      </c>
      <c r="V260" s="274">
        <f t="shared" si="87"/>
        <v>0</v>
      </c>
      <c r="W260" s="273">
        <f>'人员人工-研发人员工资'!W260</f>
        <v>0</v>
      </c>
      <c r="X260" s="274">
        <f t="shared" si="88"/>
        <v>0</v>
      </c>
      <c r="Y260" s="273">
        <f>'人员人工-研发人员工资'!Y260</f>
        <v>0</v>
      </c>
      <c r="Z260" s="274">
        <f t="shared" si="89"/>
        <v>0</v>
      </c>
    </row>
    <row r="261" s="251" customFormat="1" customHeight="1" spans="1:26">
      <c r="A261" s="270">
        <v>30</v>
      </c>
      <c r="B261" s="271">
        <f>'人员人工-研发人员工资'!B261</f>
        <v>0</v>
      </c>
      <c r="C261" s="274"/>
      <c r="D261" s="272">
        <f>'人员人工-研发人员工资'!D261</f>
        <v>0</v>
      </c>
      <c r="E261" s="272">
        <f t="shared" si="78"/>
        <v>0</v>
      </c>
      <c r="F261" s="272">
        <f t="shared" si="79"/>
        <v>0</v>
      </c>
      <c r="G261" s="273">
        <f>'人员人工-研发人员工资'!G261</f>
        <v>0</v>
      </c>
      <c r="H261" s="274">
        <f t="shared" si="80"/>
        <v>0</v>
      </c>
      <c r="I261" s="273">
        <f>'人员人工-研发人员工资'!I261</f>
        <v>0</v>
      </c>
      <c r="J261" s="274">
        <f t="shared" si="81"/>
        <v>0</v>
      </c>
      <c r="K261" s="275">
        <f>'人员人工-研发人员工资'!K261</f>
        <v>0</v>
      </c>
      <c r="L261" s="274">
        <f t="shared" si="82"/>
        <v>0</v>
      </c>
      <c r="M261" s="273">
        <f>'人员人工-研发人员工资'!M261</f>
        <v>0</v>
      </c>
      <c r="N261" s="274">
        <f t="shared" si="83"/>
        <v>0</v>
      </c>
      <c r="O261" s="273">
        <f>'人员人工-研发人员工资'!O261</f>
        <v>0</v>
      </c>
      <c r="P261" s="274">
        <f t="shared" si="84"/>
        <v>0</v>
      </c>
      <c r="Q261" s="273">
        <f>'人员人工-研发人员工资'!Q261</f>
        <v>0</v>
      </c>
      <c r="R261" s="274">
        <f t="shared" si="85"/>
        <v>0</v>
      </c>
      <c r="S261" s="273">
        <f>'人员人工-研发人员工资'!S261</f>
        <v>0</v>
      </c>
      <c r="T261" s="274">
        <f t="shared" si="86"/>
        <v>0</v>
      </c>
      <c r="U261" s="273">
        <f>'人员人工-研发人员工资'!U261</f>
        <v>0</v>
      </c>
      <c r="V261" s="274">
        <f t="shared" si="87"/>
        <v>0</v>
      </c>
      <c r="W261" s="273">
        <f>'人员人工-研发人员工资'!W261</f>
        <v>0</v>
      </c>
      <c r="X261" s="274">
        <f t="shared" si="88"/>
        <v>0</v>
      </c>
      <c r="Y261" s="273">
        <f>'人员人工-研发人员工资'!Y261</f>
        <v>0</v>
      </c>
      <c r="Z261" s="274">
        <f t="shared" si="89"/>
        <v>0</v>
      </c>
    </row>
    <row r="262" s="251" customFormat="1" customHeight="1" spans="1:26">
      <c r="A262" s="276" t="s">
        <v>22</v>
      </c>
      <c r="B262" s="277"/>
      <c r="C262" s="261">
        <f t="shared" ref="C262:Z262" si="102">SUM(C232:C261)</f>
        <v>0</v>
      </c>
      <c r="D262" s="261">
        <f t="shared" si="102"/>
        <v>0</v>
      </c>
      <c r="E262" s="272">
        <f t="shared" si="102"/>
        <v>0</v>
      </c>
      <c r="F262" s="261">
        <f t="shared" si="102"/>
        <v>0</v>
      </c>
      <c r="G262" s="261">
        <f t="shared" si="102"/>
        <v>0</v>
      </c>
      <c r="H262" s="261">
        <f t="shared" si="102"/>
        <v>0</v>
      </c>
      <c r="I262" s="261">
        <f t="shared" si="102"/>
        <v>0</v>
      </c>
      <c r="J262" s="261">
        <f t="shared" si="102"/>
        <v>0</v>
      </c>
      <c r="K262" s="261">
        <f t="shared" si="102"/>
        <v>0</v>
      </c>
      <c r="L262" s="261">
        <f t="shared" si="102"/>
        <v>0</v>
      </c>
      <c r="M262" s="261">
        <f t="shared" si="102"/>
        <v>0</v>
      </c>
      <c r="N262" s="261">
        <f t="shared" si="102"/>
        <v>0</v>
      </c>
      <c r="O262" s="261">
        <f t="shared" si="102"/>
        <v>0</v>
      </c>
      <c r="P262" s="261">
        <f t="shared" si="102"/>
        <v>0</v>
      </c>
      <c r="Q262" s="261">
        <f t="shared" si="102"/>
        <v>0</v>
      </c>
      <c r="R262" s="261">
        <f t="shared" si="102"/>
        <v>0</v>
      </c>
      <c r="S262" s="261">
        <f t="shared" si="102"/>
        <v>0</v>
      </c>
      <c r="T262" s="261">
        <f t="shared" si="102"/>
        <v>0</v>
      </c>
      <c r="U262" s="261">
        <f t="shared" si="102"/>
        <v>0</v>
      </c>
      <c r="V262" s="261">
        <f t="shared" si="102"/>
        <v>0</v>
      </c>
      <c r="W262" s="261">
        <f t="shared" si="102"/>
        <v>0</v>
      </c>
      <c r="X262" s="261">
        <f t="shared" si="102"/>
        <v>0</v>
      </c>
      <c r="Y262" s="261">
        <f t="shared" si="102"/>
        <v>0</v>
      </c>
      <c r="Z262" s="261">
        <f t="shared" si="102"/>
        <v>0</v>
      </c>
    </row>
    <row r="263" s="251" customFormat="1" customHeight="1" spans="1:26">
      <c r="A263" s="252"/>
      <c r="B263" s="253"/>
      <c r="C263" s="254"/>
      <c r="D263" s="254"/>
      <c r="E263" s="254"/>
      <c r="F263" s="254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</row>
    <row r="264" s="251" customFormat="1" customHeight="1" spans="1:26">
      <c r="A264" s="252"/>
      <c r="B264" s="253"/>
      <c r="C264" s="254"/>
      <c r="D264" s="254"/>
      <c r="E264" s="254"/>
      <c r="F264" s="254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</row>
    <row r="265" s="251" customFormat="1" customHeight="1" spans="1:26">
      <c r="A265" s="252"/>
      <c r="B265" s="257" t="s">
        <v>150</v>
      </c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  <c r="Z265" s="258"/>
    </row>
    <row r="266" s="251" customFormat="1" customHeight="1" spans="1:26">
      <c r="A266" s="252"/>
      <c r="B266" s="253"/>
      <c r="C266" s="254"/>
      <c r="D266" s="254"/>
      <c r="E266" s="254"/>
      <c r="F266" s="254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</row>
    <row r="267" s="251" customFormat="1" customHeight="1" spans="1:26">
      <c r="A267" s="259" t="s">
        <v>31</v>
      </c>
      <c r="B267" s="260" t="s">
        <v>32</v>
      </c>
      <c r="C267" s="261" t="s">
        <v>141</v>
      </c>
      <c r="D267" s="261" t="s">
        <v>34</v>
      </c>
      <c r="E267" s="262" t="s">
        <v>35</v>
      </c>
      <c r="F267" s="262" t="s">
        <v>142</v>
      </c>
      <c r="G267" s="263" t="str">
        <f>立项!$A$3</f>
        <v>RD01</v>
      </c>
      <c r="H267" s="264"/>
      <c r="I267" s="264" t="str">
        <f>立项!$A$4</f>
        <v>RD02</v>
      </c>
      <c r="J267" s="264"/>
      <c r="K267" s="264" t="str">
        <f>立项!$A$5</f>
        <v>RD03</v>
      </c>
      <c r="L267" s="264"/>
      <c r="M267" s="264" t="str">
        <f>立项!$A$6</f>
        <v>RD04</v>
      </c>
      <c r="N267" s="264"/>
      <c r="O267" s="264" t="str">
        <f>立项!$A$7</f>
        <v>RD05</v>
      </c>
      <c r="P267" s="264"/>
      <c r="Q267" s="264" t="str">
        <f>立项!$A$8</f>
        <v>RD06</v>
      </c>
      <c r="R267" s="264"/>
      <c r="S267" s="264" t="str">
        <f>立项!$A$9</f>
        <v>RD07</v>
      </c>
      <c r="T267" s="264"/>
      <c r="U267" s="264" t="str">
        <f>立项!$A$10</f>
        <v>RD08</v>
      </c>
      <c r="V267" s="264"/>
      <c r="W267" s="264" t="str">
        <f>立项!$A$11</f>
        <v>RD09</v>
      </c>
      <c r="X267" s="264"/>
      <c r="Y267" s="264" t="str">
        <f>立项!$A$12</f>
        <v>RD10</v>
      </c>
      <c r="Z267" s="264"/>
    </row>
    <row r="268" s="251" customFormat="1" customHeight="1" spans="1:26">
      <c r="A268" s="265"/>
      <c r="B268" s="260"/>
      <c r="C268" s="261"/>
      <c r="D268" s="261"/>
      <c r="E268" s="262"/>
      <c r="F268" s="262"/>
      <c r="G268" s="267">
        <f>立项!C3</f>
        <v>0</v>
      </c>
      <c r="H268" s="263"/>
      <c r="I268" s="267">
        <f>立项!C4</f>
        <v>0</v>
      </c>
      <c r="J268" s="263"/>
      <c r="K268" s="267">
        <f>立项!C5</f>
        <v>0</v>
      </c>
      <c r="L268" s="263"/>
      <c r="M268" s="267">
        <f>立项!C6</f>
        <v>0</v>
      </c>
      <c r="N268" s="263"/>
      <c r="O268" s="267">
        <f>立项!C7</f>
        <v>0</v>
      </c>
      <c r="P268" s="263"/>
      <c r="Q268" s="267">
        <f>立项!C8</f>
        <v>0</v>
      </c>
      <c r="R268" s="263"/>
      <c r="S268" s="267">
        <f>立项!C9</f>
        <v>0</v>
      </c>
      <c r="T268" s="263"/>
      <c r="U268" s="267">
        <f>立项!C10</f>
        <v>0</v>
      </c>
      <c r="V268" s="263"/>
      <c r="W268" s="267">
        <f>立项!C11</f>
        <v>0</v>
      </c>
      <c r="X268" s="263"/>
      <c r="Y268" s="264">
        <f>立项!C12</f>
        <v>0</v>
      </c>
      <c r="Z268" s="264"/>
    </row>
    <row r="269" s="251" customFormat="1" customHeight="1" spans="1:26">
      <c r="A269" s="268"/>
      <c r="B269" s="260"/>
      <c r="C269" s="261"/>
      <c r="D269" s="261"/>
      <c r="E269" s="262"/>
      <c r="F269" s="262"/>
      <c r="G269" s="264" t="s">
        <v>39</v>
      </c>
      <c r="H269" s="269" t="s">
        <v>143</v>
      </c>
      <c r="I269" s="264" t="s">
        <v>39</v>
      </c>
      <c r="J269" s="269" t="s">
        <v>143</v>
      </c>
      <c r="K269" s="264" t="s">
        <v>39</v>
      </c>
      <c r="L269" s="269" t="s">
        <v>143</v>
      </c>
      <c r="M269" s="264" t="s">
        <v>39</v>
      </c>
      <c r="N269" s="269" t="s">
        <v>143</v>
      </c>
      <c r="O269" s="264" t="s">
        <v>39</v>
      </c>
      <c r="P269" s="269" t="s">
        <v>143</v>
      </c>
      <c r="Q269" s="264" t="s">
        <v>39</v>
      </c>
      <c r="R269" s="269" t="s">
        <v>143</v>
      </c>
      <c r="S269" s="264" t="s">
        <v>39</v>
      </c>
      <c r="T269" s="269" t="s">
        <v>143</v>
      </c>
      <c r="U269" s="264" t="s">
        <v>39</v>
      </c>
      <c r="V269" s="269" t="s">
        <v>143</v>
      </c>
      <c r="W269" s="264" t="s">
        <v>39</v>
      </c>
      <c r="X269" s="269" t="s">
        <v>143</v>
      </c>
      <c r="Y269" s="264" t="s">
        <v>39</v>
      </c>
      <c r="Z269" s="269" t="s">
        <v>143</v>
      </c>
    </row>
    <row r="270" s="251" customFormat="1" customHeight="1" spans="1:26">
      <c r="A270" s="270">
        <v>1</v>
      </c>
      <c r="B270" s="271">
        <f>'人员人工-研发人员工资'!B270</f>
        <v>0</v>
      </c>
      <c r="C270" s="272"/>
      <c r="D270" s="272">
        <f>'人员人工-研发人员工资'!D270</f>
        <v>0</v>
      </c>
      <c r="E270" s="272">
        <f t="shared" ref="E270:E299" si="103">G270+I270+K270+M270+O270+Q270+S270+U270+W270+Y270</f>
        <v>0</v>
      </c>
      <c r="F270" s="272">
        <f t="shared" ref="F270:F299" si="104">H270+J270+L270+N270+P270+R270+T270+V270+X270+Z270</f>
        <v>0</v>
      </c>
      <c r="G270" s="273">
        <f>'人员人工-研发人员工资'!G270</f>
        <v>0</v>
      </c>
      <c r="H270" s="274">
        <f t="shared" ref="H270:H299" si="105">IF($D270=0,0,ROUND(G270/$D270*$C270,2))</f>
        <v>0</v>
      </c>
      <c r="I270" s="273">
        <f>'人员人工-研发人员工资'!I270</f>
        <v>0</v>
      </c>
      <c r="J270" s="274">
        <f t="shared" ref="J270:J299" si="106">IF($D270=0,0,ROUND(I270/$D270*$C270,2))</f>
        <v>0</v>
      </c>
      <c r="K270" s="275">
        <f>'人员人工-研发人员工资'!K270</f>
        <v>0</v>
      </c>
      <c r="L270" s="274">
        <f t="shared" ref="L270:L299" si="107">IF($D270=0,0,ROUND(K270/$D270*$C270,2))</f>
        <v>0</v>
      </c>
      <c r="M270" s="273">
        <f>'人员人工-研发人员工资'!M270</f>
        <v>0</v>
      </c>
      <c r="N270" s="274">
        <f t="shared" ref="N270:N299" si="108">IF($D270=0,0,ROUND(M270/$D270*$C270,2))</f>
        <v>0</v>
      </c>
      <c r="O270" s="273">
        <f>'人员人工-研发人员工资'!O270</f>
        <v>0</v>
      </c>
      <c r="P270" s="274">
        <f t="shared" ref="P270:P299" si="109">IF($D270=0,0,ROUND(O270/$D270*$C270,2))</f>
        <v>0</v>
      </c>
      <c r="Q270" s="273">
        <f>'人员人工-研发人员工资'!Q270</f>
        <v>0</v>
      </c>
      <c r="R270" s="274">
        <f t="shared" ref="R270:R299" si="110">IF($D270=0,0,ROUND(Q270/$D270*$C270,2))</f>
        <v>0</v>
      </c>
      <c r="S270" s="273">
        <f>'人员人工-研发人员工资'!S270</f>
        <v>0</v>
      </c>
      <c r="T270" s="274">
        <f t="shared" ref="T270:T299" si="111">IF($D270=0,0,ROUND(S270/$D270*$C270,2))</f>
        <v>0</v>
      </c>
      <c r="U270" s="273">
        <f>'人员人工-研发人员工资'!U270</f>
        <v>0</v>
      </c>
      <c r="V270" s="274">
        <f t="shared" ref="V270:V299" si="112">IF($D270=0,0,ROUND(U270/$D270*$C270,2))</f>
        <v>0</v>
      </c>
      <c r="W270" s="273">
        <f>'人员人工-研发人员工资'!W270</f>
        <v>0</v>
      </c>
      <c r="X270" s="274">
        <f t="shared" ref="X270:X299" si="113">IF($D270=0,0,ROUND(W270/$D270*$C270,2))</f>
        <v>0</v>
      </c>
      <c r="Y270" s="273">
        <f>'人员人工-研发人员工资'!Y270</f>
        <v>0</v>
      </c>
      <c r="Z270" s="274">
        <f t="shared" ref="Z270:Z299" si="114">IF($D270=0,0,ROUND(Y270/$D270*$C270,2))</f>
        <v>0</v>
      </c>
    </row>
    <row r="271" s="251" customFormat="1" customHeight="1" spans="1:26">
      <c r="A271" s="270">
        <v>2</v>
      </c>
      <c r="B271" s="271">
        <f>'人员人工-研发人员工资'!B271</f>
        <v>0</v>
      </c>
      <c r="C271" s="272"/>
      <c r="D271" s="272">
        <f>'人员人工-研发人员工资'!D271</f>
        <v>0</v>
      </c>
      <c r="E271" s="272">
        <f t="shared" si="103"/>
        <v>0</v>
      </c>
      <c r="F271" s="272">
        <f t="shared" si="104"/>
        <v>0</v>
      </c>
      <c r="G271" s="273">
        <f>'人员人工-研发人员工资'!G271</f>
        <v>0</v>
      </c>
      <c r="H271" s="274">
        <f t="shared" si="105"/>
        <v>0</v>
      </c>
      <c r="I271" s="273">
        <f>'人员人工-研发人员工资'!I271</f>
        <v>0</v>
      </c>
      <c r="J271" s="274">
        <f t="shared" si="106"/>
        <v>0</v>
      </c>
      <c r="K271" s="275">
        <f>'人员人工-研发人员工资'!K271</f>
        <v>0</v>
      </c>
      <c r="L271" s="274">
        <f t="shared" si="107"/>
        <v>0</v>
      </c>
      <c r="M271" s="273">
        <f>'人员人工-研发人员工资'!M271</f>
        <v>0</v>
      </c>
      <c r="N271" s="274">
        <f t="shared" si="108"/>
        <v>0</v>
      </c>
      <c r="O271" s="273">
        <f>'人员人工-研发人员工资'!O271</f>
        <v>0</v>
      </c>
      <c r="P271" s="274">
        <f t="shared" si="109"/>
        <v>0</v>
      </c>
      <c r="Q271" s="273">
        <f>'人员人工-研发人员工资'!Q271</f>
        <v>0</v>
      </c>
      <c r="R271" s="274">
        <f t="shared" si="110"/>
        <v>0</v>
      </c>
      <c r="S271" s="273">
        <f>'人员人工-研发人员工资'!S271</f>
        <v>0</v>
      </c>
      <c r="T271" s="274">
        <f t="shared" si="111"/>
        <v>0</v>
      </c>
      <c r="U271" s="273">
        <f>'人员人工-研发人员工资'!U271</f>
        <v>0</v>
      </c>
      <c r="V271" s="274">
        <f t="shared" si="112"/>
        <v>0</v>
      </c>
      <c r="W271" s="273">
        <f>'人员人工-研发人员工资'!W271</f>
        <v>0</v>
      </c>
      <c r="X271" s="274">
        <f t="shared" si="113"/>
        <v>0</v>
      </c>
      <c r="Y271" s="273">
        <f>'人员人工-研发人员工资'!Y271</f>
        <v>0</v>
      </c>
      <c r="Z271" s="274">
        <f t="shared" si="114"/>
        <v>0</v>
      </c>
    </row>
    <row r="272" s="251" customFormat="1" customHeight="1" spans="1:26">
      <c r="A272" s="270">
        <v>3</v>
      </c>
      <c r="B272" s="271">
        <f>'人员人工-研发人员工资'!B272</f>
        <v>0</v>
      </c>
      <c r="C272" s="272"/>
      <c r="D272" s="272">
        <f>'人员人工-研发人员工资'!D272</f>
        <v>0</v>
      </c>
      <c r="E272" s="272">
        <f t="shared" si="103"/>
        <v>0</v>
      </c>
      <c r="F272" s="272">
        <f t="shared" si="104"/>
        <v>0</v>
      </c>
      <c r="G272" s="273">
        <f>'人员人工-研发人员工资'!G272</f>
        <v>0</v>
      </c>
      <c r="H272" s="274">
        <f t="shared" si="105"/>
        <v>0</v>
      </c>
      <c r="I272" s="273">
        <f>'人员人工-研发人员工资'!I272</f>
        <v>0</v>
      </c>
      <c r="J272" s="274">
        <f t="shared" si="106"/>
        <v>0</v>
      </c>
      <c r="K272" s="275">
        <f>'人员人工-研发人员工资'!K272</f>
        <v>0</v>
      </c>
      <c r="L272" s="274">
        <f t="shared" si="107"/>
        <v>0</v>
      </c>
      <c r="M272" s="273">
        <f>'人员人工-研发人员工资'!M272</f>
        <v>0</v>
      </c>
      <c r="N272" s="274">
        <f t="shared" si="108"/>
        <v>0</v>
      </c>
      <c r="O272" s="273">
        <f>'人员人工-研发人员工资'!O272</f>
        <v>0</v>
      </c>
      <c r="P272" s="274">
        <f t="shared" si="109"/>
        <v>0</v>
      </c>
      <c r="Q272" s="273">
        <f>'人员人工-研发人员工资'!Q272</f>
        <v>0</v>
      </c>
      <c r="R272" s="274">
        <f t="shared" si="110"/>
        <v>0</v>
      </c>
      <c r="S272" s="273">
        <f>'人员人工-研发人员工资'!S272</f>
        <v>0</v>
      </c>
      <c r="T272" s="274">
        <f t="shared" si="111"/>
        <v>0</v>
      </c>
      <c r="U272" s="273">
        <f>'人员人工-研发人员工资'!U272</f>
        <v>0</v>
      </c>
      <c r="V272" s="274">
        <f t="shared" si="112"/>
        <v>0</v>
      </c>
      <c r="W272" s="273">
        <f>'人员人工-研发人员工资'!W272</f>
        <v>0</v>
      </c>
      <c r="X272" s="274">
        <f t="shared" si="113"/>
        <v>0</v>
      </c>
      <c r="Y272" s="273">
        <f>'人员人工-研发人员工资'!Y272</f>
        <v>0</v>
      </c>
      <c r="Z272" s="274">
        <f t="shared" si="114"/>
        <v>0</v>
      </c>
    </row>
    <row r="273" s="251" customFormat="1" customHeight="1" spans="1:26">
      <c r="A273" s="270">
        <v>4</v>
      </c>
      <c r="B273" s="271">
        <f>'人员人工-研发人员工资'!B273</f>
        <v>0</v>
      </c>
      <c r="C273" s="272"/>
      <c r="D273" s="272">
        <f>'人员人工-研发人员工资'!D273</f>
        <v>0</v>
      </c>
      <c r="E273" s="272">
        <f t="shared" si="103"/>
        <v>0</v>
      </c>
      <c r="F273" s="272">
        <f t="shared" si="104"/>
        <v>0</v>
      </c>
      <c r="G273" s="273">
        <f>'人员人工-研发人员工资'!G273</f>
        <v>0</v>
      </c>
      <c r="H273" s="274">
        <f t="shared" si="105"/>
        <v>0</v>
      </c>
      <c r="I273" s="273">
        <f>'人员人工-研发人员工资'!I273</f>
        <v>0</v>
      </c>
      <c r="J273" s="274">
        <f t="shared" si="106"/>
        <v>0</v>
      </c>
      <c r="K273" s="275">
        <f>'人员人工-研发人员工资'!K273</f>
        <v>0</v>
      </c>
      <c r="L273" s="274">
        <f t="shared" si="107"/>
        <v>0</v>
      </c>
      <c r="M273" s="273">
        <f>'人员人工-研发人员工资'!M273</f>
        <v>0</v>
      </c>
      <c r="N273" s="274">
        <f t="shared" si="108"/>
        <v>0</v>
      </c>
      <c r="O273" s="273">
        <f>'人员人工-研发人员工资'!O273</f>
        <v>0</v>
      </c>
      <c r="P273" s="274">
        <f t="shared" si="109"/>
        <v>0</v>
      </c>
      <c r="Q273" s="273">
        <f>'人员人工-研发人员工资'!Q273</f>
        <v>0</v>
      </c>
      <c r="R273" s="274">
        <f t="shared" si="110"/>
        <v>0</v>
      </c>
      <c r="S273" s="273">
        <f>'人员人工-研发人员工资'!S273</f>
        <v>0</v>
      </c>
      <c r="T273" s="274">
        <f t="shared" si="111"/>
        <v>0</v>
      </c>
      <c r="U273" s="273">
        <f>'人员人工-研发人员工资'!U273</f>
        <v>0</v>
      </c>
      <c r="V273" s="274">
        <f t="shared" si="112"/>
        <v>0</v>
      </c>
      <c r="W273" s="273">
        <f>'人员人工-研发人员工资'!W273</f>
        <v>0</v>
      </c>
      <c r="X273" s="274">
        <f t="shared" si="113"/>
        <v>0</v>
      </c>
      <c r="Y273" s="273">
        <f>'人员人工-研发人员工资'!Y273</f>
        <v>0</v>
      </c>
      <c r="Z273" s="274">
        <f t="shared" si="114"/>
        <v>0</v>
      </c>
    </row>
    <row r="274" s="251" customFormat="1" customHeight="1" spans="1:26">
      <c r="A274" s="270">
        <v>5</v>
      </c>
      <c r="B274" s="271">
        <f>'人员人工-研发人员工资'!B274</f>
        <v>0</v>
      </c>
      <c r="C274" s="272"/>
      <c r="D274" s="272">
        <f>'人员人工-研发人员工资'!D274</f>
        <v>0</v>
      </c>
      <c r="E274" s="272">
        <f t="shared" si="103"/>
        <v>0</v>
      </c>
      <c r="F274" s="272">
        <f t="shared" si="104"/>
        <v>0</v>
      </c>
      <c r="G274" s="273">
        <f>'人员人工-研发人员工资'!G274</f>
        <v>0</v>
      </c>
      <c r="H274" s="274">
        <f t="shared" si="105"/>
        <v>0</v>
      </c>
      <c r="I274" s="273">
        <f>'人员人工-研发人员工资'!I274</f>
        <v>0</v>
      </c>
      <c r="J274" s="274">
        <f t="shared" si="106"/>
        <v>0</v>
      </c>
      <c r="K274" s="275">
        <f>'人员人工-研发人员工资'!K274</f>
        <v>0</v>
      </c>
      <c r="L274" s="274">
        <f t="shared" si="107"/>
        <v>0</v>
      </c>
      <c r="M274" s="273">
        <f>'人员人工-研发人员工资'!M274</f>
        <v>0</v>
      </c>
      <c r="N274" s="274">
        <f t="shared" si="108"/>
        <v>0</v>
      </c>
      <c r="O274" s="273">
        <f>'人员人工-研发人员工资'!O274</f>
        <v>0</v>
      </c>
      <c r="P274" s="274">
        <f t="shared" si="109"/>
        <v>0</v>
      </c>
      <c r="Q274" s="273">
        <f>'人员人工-研发人员工资'!Q274</f>
        <v>0</v>
      </c>
      <c r="R274" s="274">
        <f t="shared" si="110"/>
        <v>0</v>
      </c>
      <c r="S274" s="273">
        <f>'人员人工-研发人员工资'!S274</f>
        <v>0</v>
      </c>
      <c r="T274" s="274">
        <f t="shared" si="111"/>
        <v>0</v>
      </c>
      <c r="U274" s="273">
        <f>'人员人工-研发人员工资'!U274</f>
        <v>0</v>
      </c>
      <c r="V274" s="274">
        <f t="shared" si="112"/>
        <v>0</v>
      </c>
      <c r="W274" s="273">
        <f>'人员人工-研发人员工资'!W274</f>
        <v>0</v>
      </c>
      <c r="X274" s="274">
        <f t="shared" si="113"/>
        <v>0</v>
      </c>
      <c r="Y274" s="273">
        <f>'人员人工-研发人员工资'!Y274</f>
        <v>0</v>
      </c>
      <c r="Z274" s="274">
        <f t="shared" si="114"/>
        <v>0</v>
      </c>
    </row>
    <row r="275" s="251" customFormat="1" customHeight="1" spans="1:26">
      <c r="A275" s="270">
        <v>6</v>
      </c>
      <c r="B275" s="271">
        <f>'人员人工-研发人员工资'!B275</f>
        <v>0</v>
      </c>
      <c r="C275" s="274"/>
      <c r="D275" s="272">
        <f>'人员人工-研发人员工资'!D275</f>
        <v>0</v>
      </c>
      <c r="E275" s="272">
        <f t="shared" si="103"/>
        <v>0</v>
      </c>
      <c r="F275" s="272">
        <f t="shared" si="104"/>
        <v>0</v>
      </c>
      <c r="G275" s="273">
        <f>'人员人工-研发人员工资'!G275</f>
        <v>0</v>
      </c>
      <c r="H275" s="274">
        <f t="shared" si="105"/>
        <v>0</v>
      </c>
      <c r="I275" s="273">
        <f>'人员人工-研发人员工资'!I275</f>
        <v>0</v>
      </c>
      <c r="J275" s="274">
        <f t="shared" si="106"/>
        <v>0</v>
      </c>
      <c r="K275" s="275">
        <f>'人员人工-研发人员工资'!K275</f>
        <v>0</v>
      </c>
      <c r="L275" s="274">
        <f t="shared" si="107"/>
        <v>0</v>
      </c>
      <c r="M275" s="273">
        <f>'人员人工-研发人员工资'!M275</f>
        <v>0</v>
      </c>
      <c r="N275" s="274">
        <f t="shared" si="108"/>
        <v>0</v>
      </c>
      <c r="O275" s="273">
        <f>'人员人工-研发人员工资'!O275</f>
        <v>0</v>
      </c>
      <c r="P275" s="274">
        <f t="shared" si="109"/>
        <v>0</v>
      </c>
      <c r="Q275" s="273">
        <f>'人员人工-研发人员工资'!Q275</f>
        <v>0</v>
      </c>
      <c r="R275" s="274">
        <f t="shared" si="110"/>
        <v>0</v>
      </c>
      <c r="S275" s="273">
        <f>'人员人工-研发人员工资'!S275</f>
        <v>0</v>
      </c>
      <c r="T275" s="274">
        <f t="shared" si="111"/>
        <v>0</v>
      </c>
      <c r="U275" s="273">
        <f>'人员人工-研发人员工资'!U275</f>
        <v>0</v>
      </c>
      <c r="V275" s="274">
        <f t="shared" si="112"/>
        <v>0</v>
      </c>
      <c r="W275" s="273">
        <f>'人员人工-研发人员工资'!W275</f>
        <v>0</v>
      </c>
      <c r="X275" s="274">
        <f t="shared" si="113"/>
        <v>0</v>
      </c>
      <c r="Y275" s="273">
        <f>'人员人工-研发人员工资'!Y275</f>
        <v>0</v>
      </c>
      <c r="Z275" s="274">
        <f t="shared" si="114"/>
        <v>0</v>
      </c>
    </row>
    <row r="276" s="251" customFormat="1" customHeight="1" spans="1:26">
      <c r="A276" s="270">
        <v>7</v>
      </c>
      <c r="B276" s="271">
        <f>'人员人工-研发人员工资'!B276</f>
        <v>0</v>
      </c>
      <c r="C276" s="274"/>
      <c r="D276" s="272">
        <f>'人员人工-研发人员工资'!D276</f>
        <v>0</v>
      </c>
      <c r="E276" s="272">
        <f t="shared" si="103"/>
        <v>0</v>
      </c>
      <c r="F276" s="272">
        <f t="shared" si="104"/>
        <v>0</v>
      </c>
      <c r="G276" s="273">
        <f>'人员人工-研发人员工资'!G276</f>
        <v>0</v>
      </c>
      <c r="H276" s="274">
        <f t="shared" si="105"/>
        <v>0</v>
      </c>
      <c r="I276" s="273">
        <f>'人员人工-研发人员工资'!I276</f>
        <v>0</v>
      </c>
      <c r="J276" s="274">
        <f t="shared" si="106"/>
        <v>0</v>
      </c>
      <c r="K276" s="275">
        <f>'人员人工-研发人员工资'!K276</f>
        <v>0</v>
      </c>
      <c r="L276" s="274">
        <f t="shared" si="107"/>
        <v>0</v>
      </c>
      <c r="M276" s="273">
        <f>'人员人工-研发人员工资'!M276</f>
        <v>0</v>
      </c>
      <c r="N276" s="274">
        <f t="shared" si="108"/>
        <v>0</v>
      </c>
      <c r="O276" s="273">
        <f>'人员人工-研发人员工资'!O276</f>
        <v>0</v>
      </c>
      <c r="P276" s="274">
        <f t="shared" si="109"/>
        <v>0</v>
      </c>
      <c r="Q276" s="273">
        <f>'人员人工-研发人员工资'!Q276</f>
        <v>0</v>
      </c>
      <c r="R276" s="274">
        <f t="shared" si="110"/>
        <v>0</v>
      </c>
      <c r="S276" s="273">
        <f>'人员人工-研发人员工资'!S276</f>
        <v>0</v>
      </c>
      <c r="T276" s="274">
        <f t="shared" si="111"/>
        <v>0</v>
      </c>
      <c r="U276" s="273">
        <f>'人员人工-研发人员工资'!U276</f>
        <v>0</v>
      </c>
      <c r="V276" s="274">
        <f t="shared" si="112"/>
        <v>0</v>
      </c>
      <c r="W276" s="273">
        <f>'人员人工-研发人员工资'!W276</f>
        <v>0</v>
      </c>
      <c r="X276" s="274">
        <f t="shared" si="113"/>
        <v>0</v>
      </c>
      <c r="Y276" s="273">
        <f>'人员人工-研发人员工资'!Y276</f>
        <v>0</v>
      </c>
      <c r="Z276" s="274">
        <f t="shared" si="114"/>
        <v>0</v>
      </c>
    </row>
    <row r="277" s="251" customFormat="1" customHeight="1" spans="1:26">
      <c r="A277" s="270">
        <v>8</v>
      </c>
      <c r="B277" s="271">
        <f>'人员人工-研发人员工资'!B277</f>
        <v>0</v>
      </c>
      <c r="C277" s="274"/>
      <c r="D277" s="272">
        <f>'人员人工-研发人员工资'!D277</f>
        <v>0</v>
      </c>
      <c r="E277" s="272">
        <f t="shared" si="103"/>
        <v>0</v>
      </c>
      <c r="F277" s="272">
        <f t="shared" si="104"/>
        <v>0</v>
      </c>
      <c r="G277" s="273">
        <f>'人员人工-研发人员工资'!G277</f>
        <v>0</v>
      </c>
      <c r="H277" s="274">
        <f t="shared" si="105"/>
        <v>0</v>
      </c>
      <c r="I277" s="273">
        <f>'人员人工-研发人员工资'!I277</f>
        <v>0</v>
      </c>
      <c r="J277" s="274">
        <f t="shared" si="106"/>
        <v>0</v>
      </c>
      <c r="K277" s="275">
        <f>'人员人工-研发人员工资'!K277</f>
        <v>0</v>
      </c>
      <c r="L277" s="274">
        <f t="shared" si="107"/>
        <v>0</v>
      </c>
      <c r="M277" s="273">
        <f>'人员人工-研发人员工资'!M277</f>
        <v>0</v>
      </c>
      <c r="N277" s="274">
        <f t="shared" si="108"/>
        <v>0</v>
      </c>
      <c r="O277" s="273">
        <f>'人员人工-研发人员工资'!O277</f>
        <v>0</v>
      </c>
      <c r="P277" s="274">
        <f t="shared" si="109"/>
        <v>0</v>
      </c>
      <c r="Q277" s="273">
        <f>'人员人工-研发人员工资'!Q277</f>
        <v>0</v>
      </c>
      <c r="R277" s="274">
        <f t="shared" si="110"/>
        <v>0</v>
      </c>
      <c r="S277" s="273">
        <f>'人员人工-研发人员工资'!S277</f>
        <v>0</v>
      </c>
      <c r="T277" s="274">
        <f t="shared" si="111"/>
        <v>0</v>
      </c>
      <c r="U277" s="273">
        <f>'人员人工-研发人员工资'!U277</f>
        <v>0</v>
      </c>
      <c r="V277" s="274">
        <f t="shared" si="112"/>
        <v>0</v>
      </c>
      <c r="W277" s="273">
        <f>'人员人工-研发人员工资'!W277</f>
        <v>0</v>
      </c>
      <c r="X277" s="274">
        <f t="shared" si="113"/>
        <v>0</v>
      </c>
      <c r="Y277" s="273">
        <f>'人员人工-研发人员工资'!Y277</f>
        <v>0</v>
      </c>
      <c r="Z277" s="274">
        <f t="shared" si="114"/>
        <v>0</v>
      </c>
    </row>
    <row r="278" s="251" customFormat="1" customHeight="1" spans="1:26">
      <c r="A278" s="270">
        <v>9</v>
      </c>
      <c r="B278" s="271">
        <f>'人员人工-研发人员工资'!B278</f>
        <v>0</v>
      </c>
      <c r="C278" s="274"/>
      <c r="D278" s="272">
        <f>'人员人工-研发人员工资'!D278</f>
        <v>0</v>
      </c>
      <c r="E278" s="272">
        <f t="shared" si="103"/>
        <v>0</v>
      </c>
      <c r="F278" s="272">
        <f t="shared" si="104"/>
        <v>0</v>
      </c>
      <c r="G278" s="273">
        <f>'人员人工-研发人员工资'!G278</f>
        <v>0</v>
      </c>
      <c r="H278" s="274">
        <f t="shared" si="105"/>
        <v>0</v>
      </c>
      <c r="I278" s="273">
        <f>'人员人工-研发人员工资'!I278</f>
        <v>0</v>
      </c>
      <c r="J278" s="274">
        <f t="shared" si="106"/>
        <v>0</v>
      </c>
      <c r="K278" s="275">
        <f>'人员人工-研发人员工资'!K278</f>
        <v>0</v>
      </c>
      <c r="L278" s="274">
        <f t="shared" si="107"/>
        <v>0</v>
      </c>
      <c r="M278" s="273">
        <f>'人员人工-研发人员工资'!M278</f>
        <v>0</v>
      </c>
      <c r="N278" s="274">
        <f t="shared" si="108"/>
        <v>0</v>
      </c>
      <c r="O278" s="273">
        <f>'人员人工-研发人员工资'!O278</f>
        <v>0</v>
      </c>
      <c r="P278" s="274">
        <f t="shared" si="109"/>
        <v>0</v>
      </c>
      <c r="Q278" s="273">
        <f>'人员人工-研发人员工资'!Q278</f>
        <v>0</v>
      </c>
      <c r="R278" s="274">
        <f t="shared" si="110"/>
        <v>0</v>
      </c>
      <c r="S278" s="273">
        <f>'人员人工-研发人员工资'!S278</f>
        <v>0</v>
      </c>
      <c r="T278" s="274">
        <f t="shared" si="111"/>
        <v>0</v>
      </c>
      <c r="U278" s="273">
        <f>'人员人工-研发人员工资'!U278</f>
        <v>0</v>
      </c>
      <c r="V278" s="274">
        <f t="shared" si="112"/>
        <v>0</v>
      </c>
      <c r="W278" s="273">
        <f>'人员人工-研发人员工资'!W278</f>
        <v>0</v>
      </c>
      <c r="X278" s="274">
        <f t="shared" si="113"/>
        <v>0</v>
      </c>
      <c r="Y278" s="273">
        <f>'人员人工-研发人员工资'!Y278</f>
        <v>0</v>
      </c>
      <c r="Z278" s="274">
        <f t="shared" si="114"/>
        <v>0</v>
      </c>
    </row>
    <row r="279" s="251" customFormat="1" customHeight="1" spans="1:26">
      <c r="A279" s="270">
        <v>10</v>
      </c>
      <c r="B279" s="271">
        <f>'人员人工-研发人员工资'!B279</f>
        <v>0</v>
      </c>
      <c r="C279" s="274"/>
      <c r="D279" s="272">
        <f>'人员人工-研发人员工资'!D279</f>
        <v>0</v>
      </c>
      <c r="E279" s="272">
        <f t="shared" si="103"/>
        <v>0</v>
      </c>
      <c r="F279" s="272">
        <f t="shared" si="104"/>
        <v>0</v>
      </c>
      <c r="G279" s="273">
        <f>'人员人工-研发人员工资'!G279</f>
        <v>0</v>
      </c>
      <c r="H279" s="274">
        <f t="shared" si="105"/>
        <v>0</v>
      </c>
      <c r="I279" s="273">
        <f>'人员人工-研发人员工资'!I279</f>
        <v>0</v>
      </c>
      <c r="J279" s="274">
        <f t="shared" si="106"/>
        <v>0</v>
      </c>
      <c r="K279" s="275">
        <f>'人员人工-研发人员工资'!K279</f>
        <v>0</v>
      </c>
      <c r="L279" s="274">
        <f t="shared" si="107"/>
        <v>0</v>
      </c>
      <c r="M279" s="273">
        <f>'人员人工-研发人员工资'!M279</f>
        <v>0</v>
      </c>
      <c r="N279" s="274">
        <f t="shared" si="108"/>
        <v>0</v>
      </c>
      <c r="O279" s="273">
        <f>'人员人工-研发人员工资'!O279</f>
        <v>0</v>
      </c>
      <c r="P279" s="274">
        <f t="shared" si="109"/>
        <v>0</v>
      </c>
      <c r="Q279" s="273">
        <f>'人员人工-研发人员工资'!Q279</f>
        <v>0</v>
      </c>
      <c r="R279" s="274">
        <f t="shared" si="110"/>
        <v>0</v>
      </c>
      <c r="S279" s="273">
        <f>'人员人工-研发人员工资'!S279</f>
        <v>0</v>
      </c>
      <c r="T279" s="274">
        <f t="shared" si="111"/>
        <v>0</v>
      </c>
      <c r="U279" s="273">
        <f>'人员人工-研发人员工资'!U279</f>
        <v>0</v>
      </c>
      <c r="V279" s="274">
        <f t="shared" si="112"/>
        <v>0</v>
      </c>
      <c r="W279" s="273">
        <f>'人员人工-研发人员工资'!W279</f>
        <v>0</v>
      </c>
      <c r="X279" s="274">
        <f t="shared" si="113"/>
        <v>0</v>
      </c>
      <c r="Y279" s="273">
        <f>'人员人工-研发人员工资'!Y279</f>
        <v>0</v>
      </c>
      <c r="Z279" s="274">
        <f t="shared" si="114"/>
        <v>0</v>
      </c>
    </row>
    <row r="280" s="251" customFormat="1" customHeight="1" spans="1:26">
      <c r="A280" s="270">
        <v>11</v>
      </c>
      <c r="B280" s="271">
        <f>'人员人工-研发人员工资'!B280</f>
        <v>0</v>
      </c>
      <c r="C280" s="274"/>
      <c r="D280" s="272">
        <f>'人员人工-研发人员工资'!D280</f>
        <v>0</v>
      </c>
      <c r="E280" s="272">
        <f t="shared" si="103"/>
        <v>0</v>
      </c>
      <c r="F280" s="272">
        <f t="shared" si="104"/>
        <v>0</v>
      </c>
      <c r="G280" s="273">
        <f>'人员人工-研发人员工资'!G280</f>
        <v>0</v>
      </c>
      <c r="H280" s="274">
        <f t="shared" si="105"/>
        <v>0</v>
      </c>
      <c r="I280" s="273">
        <f>'人员人工-研发人员工资'!I280</f>
        <v>0</v>
      </c>
      <c r="J280" s="274">
        <f t="shared" si="106"/>
        <v>0</v>
      </c>
      <c r="K280" s="275">
        <f>'人员人工-研发人员工资'!K280</f>
        <v>0</v>
      </c>
      <c r="L280" s="274">
        <f t="shared" si="107"/>
        <v>0</v>
      </c>
      <c r="M280" s="273">
        <f>'人员人工-研发人员工资'!M280</f>
        <v>0</v>
      </c>
      <c r="N280" s="274">
        <f t="shared" si="108"/>
        <v>0</v>
      </c>
      <c r="O280" s="273">
        <f>'人员人工-研发人员工资'!O280</f>
        <v>0</v>
      </c>
      <c r="P280" s="274">
        <f t="shared" si="109"/>
        <v>0</v>
      </c>
      <c r="Q280" s="273">
        <f>'人员人工-研发人员工资'!Q280</f>
        <v>0</v>
      </c>
      <c r="R280" s="274">
        <f t="shared" si="110"/>
        <v>0</v>
      </c>
      <c r="S280" s="273">
        <f>'人员人工-研发人员工资'!S280</f>
        <v>0</v>
      </c>
      <c r="T280" s="274">
        <f t="shared" si="111"/>
        <v>0</v>
      </c>
      <c r="U280" s="273">
        <f>'人员人工-研发人员工资'!U280</f>
        <v>0</v>
      </c>
      <c r="V280" s="274">
        <f t="shared" si="112"/>
        <v>0</v>
      </c>
      <c r="W280" s="273">
        <f>'人员人工-研发人员工资'!W280</f>
        <v>0</v>
      </c>
      <c r="X280" s="274">
        <f t="shared" si="113"/>
        <v>0</v>
      </c>
      <c r="Y280" s="273">
        <f>'人员人工-研发人员工资'!Y280</f>
        <v>0</v>
      </c>
      <c r="Z280" s="274">
        <f t="shared" si="114"/>
        <v>0</v>
      </c>
    </row>
    <row r="281" s="251" customFormat="1" customHeight="1" spans="1:26">
      <c r="A281" s="270">
        <v>12</v>
      </c>
      <c r="B281" s="271">
        <f>'人员人工-研发人员工资'!B281</f>
        <v>0</v>
      </c>
      <c r="C281" s="274"/>
      <c r="D281" s="272">
        <f>'人员人工-研发人员工资'!D281</f>
        <v>0</v>
      </c>
      <c r="E281" s="272">
        <f t="shared" si="103"/>
        <v>0</v>
      </c>
      <c r="F281" s="272">
        <f t="shared" si="104"/>
        <v>0</v>
      </c>
      <c r="G281" s="273">
        <f>'人员人工-研发人员工资'!G281</f>
        <v>0</v>
      </c>
      <c r="H281" s="274">
        <f t="shared" si="105"/>
        <v>0</v>
      </c>
      <c r="I281" s="273">
        <f>'人员人工-研发人员工资'!I281</f>
        <v>0</v>
      </c>
      <c r="J281" s="274">
        <f t="shared" si="106"/>
        <v>0</v>
      </c>
      <c r="K281" s="275">
        <f>'人员人工-研发人员工资'!K281</f>
        <v>0</v>
      </c>
      <c r="L281" s="274">
        <f t="shared" si="107"/>
        <v>0</v>
      </c>
      <c r="M281" s="273">
        <f>'人员人工-研发人员工资'!M281</f>
        <v>0</v>
      </c>
      <c r="N281" s="274">
        <f t="shared" si="108"/>
        <v>0</v>
      </c>
      <c r="O281" s="273">
        <f>'人员人工-研发人员工资'!O281</f>
        <v>0</v>
      </c>
      <c r="P281" s="274">
        <f t="shared" si="109"/>
        <v>0</v>
      </c>
      <c r="Q281" s="273">
        <f>'人员人工-研发人员工资'!Q281</f>
        <v>0</v>
      </c>
      <c r="R281" s="274">
        <f t="shared" si="110"/>
        <v>0</v>
      </c>
      <c r="S281" s="273">
        <f>'人员人工-研发人员工资'!S281</f>
        <v>0</v>
      </c>
      <c r="T281" s="274">
        <f t="shared" si="111"/>
        <v>0</v>
      </c>
      <c r="U281" s="273">
        <f>'人员人工-研发人员工资'!U281</f>
        <v>0</v>
      </c>
      <c r="V281" s="274">
        <f t="shared" si="112"/>
        <v>0</v>
      </c>
      <c r="W281" s="273">
        <f>'人员人工-研发人员工资'!W281</f>
        <v>0</v>
      </c>
      <c r="X281" s="274">
        <f t="shared" si="113"/>
        <v>0</v>
      </c>
      <c r="Y281" s="273">
        <f>'人员人工-研发人员工资'!Y281</f>
        <v>0</v>
      </c>
      <c r="Z281" s="274">
        <f t="shared" si="114"/>
        <v>0</v>
      </c>
    </row>
    <row r="282" s="251" customFormat="1" customHeight="1" spans="1:26">
      <c r="A282" s="270">
        <v>13</v>
      </c>
      <c r="B282" s="271">
        <f>'人员人工-研发人员工资'!B282</f>
        <v>0</v>
      </c>
      <c r="C282" s="274"/>
      <c r="D282" s="272">
        <f>'人员人工-研发人员工资'!D282</f>
        <v>0</v>
      </c>
      <c r="E282" s="272">
        <f t="shared" si="103"/>
        <v>0</v>
      </c>
      <c r="F282" s="272">
        <f t="shared" si="104"/>
        <v>0</v>
      </c>
      <c r="G282" s="273">
        <f>'人员人工-研发人员工资'!G282</f>
        <v>0</v>
      </c>
      <c r="H282" s="274">
        <f t="shared" si="105"/>
        <v>0</v>
      </c>
      <c r="I282" s="273">
        <f>'人员人工-研发人员工资'!I282</f>
        <v>0</v>
      </c>
      <c r="J282" s="274">
        <f t="shared" si="106"/>
        <v>0</v>
      </c>
      <c r="K282" s="275">
        <f>'人员人工-研发人员工资'!K282</f>
        <v>0</v>
      </c>
      <c r="L282" s="274">
        <f t="shared" si="107"/>
        <v>0</v>
      </c>
      <c r="M282" s="273">
        <f>'人员人工-研发人员工资'!M282</f>
        <v>0</v>
      </c>
      <c r="N282" s="274">
        <f t="shared" si="108"/>
        <v>0</v>
      </c>
      <c r="O282" s="273">
        <f>'人员人工-研发人员工资'!O282</f>
        <v>0</v>
      </c>
      <c r="P282" s="274">
        <f t="shared" si="109"/>
        <v>0</v>
      </c>
      <c r="Q282" s="273">
        <f>'人员人工-研发人员工资'!Q282</f>
        <v>0</v>
      </c>
      <c r="R282" s="274">
        <f t="shared" si="110"/>
        <v>0</v>
      </c>
      <c r="S282" s="273">
        <f>'人员人工-研发人员工资'!S282</f>
        <v>0</v>
      </c>
      <c r="T282" s="274">
        <f t="shared" si="111"/>
        <v>0</v>
      </c>
      <c r="U282" s="273">
        <f>'人员人工-研发人员工资'!U282</f>
        <v>0</v>
      </c>
      <c r="V282" s="274">
        <f t="shared" si="112"/>
        <v>0</v>
      </c>
      <c r="W282" s="273">
        <f>'人员人工-研发人员工资'!W282</f>
        <v>0</v>
      </c>
      <c r="X282" s="274">
        <f t="shared" si="113"/>
        <v>0</v>
      </c>
      <c r="Y282" s="273">
        <f>'人员人工-研发人员工资'!Y282</f>
        <v>0</v>
      </c>
      <c r="Z282" s="274">
        <f t="shared" si="114"/>
        <v>0</v>
      </c>
    </row>
    <row r="283" s="251" customFormat="1" customHeight="1" spans="1:26">
      <c r="A283" s="270">
        <v>14</v>
      </c>
      <c r="B283" s="271">
        <f>'人员人工-研发人员工资'!B283</f>
        <v>0</v>
      </c>
      <c r="C283" s="274"/>
      <c r="D283" s="272">
        <f>'人员人工-研发人员工资'!D283</f>
        <v>0</v>
      </c>
      <c r="E283" s="272">
        <f t="shared" si="103"/>
        <v>0</v>
      </c>
      <c r="F283" s="272">
        <f t="shared" si="104"/>
        <v>0</v>
      </c>
      <c r="G283" s="273">
        <f>'人员人工-研发人员工资'!G283</f>
        <v>0</v>
      </c>
      <c r="H283" s="274">
        <f t="shared" si="105"/>
        <v>0</v>
      </c>
      <c r="I283" s="273">
        <f>'人员人工-研发人员工资'!I283</f>
        <v>0</v>
      </c>
      <c r="J283" s="274">
        <f t="shared" si="106"/>
        <v>0</v>
      </c>
      <c r="K283" s="275">
        <f>'人员人工-研发人员工资'!K283</f>
        <v>0</v>
      </c>
      <c r="L283" s="274">
        <f t="shared" si="107"/>
        <v>0</v>
      </c>
      <c r="M283" s="273">
        <f>'人员人工-研发人员工资'!M283</f>
        <v>0</v>
      </c>
      <c r="N283" s="274">
        <f t="shared" si="108"/>
        <v>0</v>
      </c>
      <c r="O283" s="273">
        <f>'人员人工-研发人员工资'!O283</f>
        <v>0</v>
      </c>
      <c r="P283" s="274">
        <f t="shared" si="109"/>
        <v>0</v>
      </c>
      <c r="Q283" s="273">
        <f>'人员人工-研发人员工资'!Q283</f>
        <v>0</v>
      </c>
      <c r="R283" s="274">
        <f t="shared" si="110"/>
        <v>0</v>
      </c>
      <c r="S283" s="273">
        <f>'人员人工-研发人员工资'!S283</f>
        <v>0</v>
      </c>
      <c r="T283" s="274">
        <f t="shared" si="111"/>
        <v>0</v>
      </c>
      <c r="U283" s="273">
        <f>'人员人工-研发人员工资'!U283</f>
        <v>0</v>
      </c>
      <c r="V283" s="274">
        <f t="shared" si="112"/>
        <v>0</v>
      </c>
      <c r="W283" s="273">
        <f>'人员人工-研发人员工资'!W283</f>
        <v>0</v>
      </c>
      <c r="X283" s="274">
        <f t="shared" si="113"/>
        <v>0</v>
      </c>
      <c r="Y283" s="273">
        <f>'人员人工-研发人员工资'!Y283</f>
        <v>0</v>
      </c>
      <c r="Z283" s="274">
        <f t="shared" si="114"/>
        <v>0</v>
      </c>
    </row>
    <row r="284" s="251" customFormat="1" customHeight="1" spans="1:26">
      <c r="A284" s="270">
        <v>15</v>
      </c>
      <c r="B284" s="271">
        <f>'人员人工-研发人员工资'!B284</f>
        <v>0</v>
      </c>
      <c r="C284" s="274"/>
      <c r="D284" s="272">
        <f>'人员人工-研发人员工资'!D284</f>
        <v>0</v>
      </c>
      <c r="E284" s="272">
        <f t="shared" si="103"/>
        <v>0</v>
      </c>
      <c r="F284" s="272">
        <f t="shared" si="104"/>
        <v>0</v>
      </c>
      <c r="G284" s="273">
        <f>'人员人工-研发人员工资'!G284</f>
        <v>0</v>
      </c>
      <c r="H284" s="274">
        <f t="shared" si="105"/>
        <v>0</v>
      </c>
      <c r="I284" s="273">
        <f>'人员人工-研发人员工资'!I284</f>
        <v>0</v>
      </c>
      <c r="J284" s="274">
        <f t="shared" si="106"/>
        <v>0</v>
      </c>
      <c r="K284" s="275">
        <f>'人员人工-研发人员工资'!K284</f>
        <v>0</v>
      </c>
      <c r="L284" s="274">
        <f t="shared" si="107"/>
        <v>0</v>
      </c>
      <c r="M284" s="273">
        <f>'人员人工-研发人员工资'!M284</f>
        <v>0</v>
      </c>
      <c r="N284" s="274">
        <f t="shared" si="108"/>
        <v>0</v>
      </c>
      <c r="O284" s="273">
        <f>'人员人工-研发人员工资'!O284</f>
        <v>0</v>
      </c>
      <c r="P284" s="274">
        <f t="shared" si="109"/>
        <v>0</v>
      </c>
      <c r="Q284" s="273">
        <f>'人员人工-研发人员工资'!Q284</f>
        <v>0</v>
      </c>
      <c r="R284" s="274">
        <f t="shared" si="110"/>
        <v>0</v>
      </c>
      <c r="S284" s="273">
        <f>'人员人工-研发人员工资'!S284</f>
        <v>0</v>
      </c>
      <c r="T284" s="274">
        <f t="shared" si="111"/>
        <v>0</v>
      </c>
      <c r="U284" s="273">
        <f>'人员人工-研发人员工资'!U284</f>
        <v>0</v>
      </c>
      <c r="V284" s="274">
        <f t="shared" si="112"/>
        <v>0</v>
      </c>
      <c r="W284" s="273">
        <f>'人员人工-研发人员工资'!W284</f>
        <v>0</v>
      </c>
      <c r="X284" s="274">
        <f t="shared" si="113"/>
        <v>0</v>
      </c>
      <c r="Y284" s="273">
        <f>'人员人工-研发人员工资'!Y284</f>
        <v>0</v>
      </c>
      <c r="Z284" s="274">
        <f t="shared" si="114"/>
        <v>0</v>
      </c>
    </row>
    <row r="285" s="251" customFormat="1" customHeight="1" spans="1:26">
      <c r="A285" s="270">
        <v>16</v>
      </c>
      <c r="B285" s="271">
        <f>'人员人工-研发人员工资'!B285</f>
        <v>0</v>
      </c>
      <c r="C285" s="274"/>
      <c r="D285" s="272">
        <f>'人员人工-研发人员工资'!D285</f>
        <v>0</v>
      </c>
      <c r="E285" s="272">
        <f t="shared" si="103"/>
        <v>0</v>
      </c>
      <c r="F285" s="272">
        <f t="shared" si="104"/>
        <v>0</v>
      </c>
      <c r="G285" s="273">
        <f>'人员人工-研发人员工资'!G285</f>
        <v>0</v>
      </c>
      <c r="H285" s="274">
        <f t="shared" si="105"/>
        <v>0</v>
      </c>
      <c r="I285" s="273">
        <f>'人员人工-研发人员工资'!I285</f>
        <v>0</v>
      </c>
      <c r="J285" s="274">
        <f t="shared" si="106"/>
        <v>0</v>
      </c>
      <c r="K285" s="275">
        <f>'人员人工-研发人员工资'!K285</f>
        <v>0</v>
      </c>
      <c r="L285" s="274">
        <f t="shared" si="107"/>
        <v>0</v>
      </c>
      <c r="M285" s="273">
        <f>'人员人工-研发人员工资'!M285</f>
        <v>0</v>
      </c>
      <c r="N285" s="274">
        <f t="shared" si="108"/>
        <v>0</v>
      </c>
      <c r="O285" s="273">
        <f>'人员人工-研发人员工资'!O285</f>
        <v>0</v>
      </c>
      <c r="P285" s="274">
        <f t="shared" si="109"/>
        <v>0</v>
      </c>
      <c r="Q285" s="273">
        <f>'人员人工-研发人员工资'!Q285</f>
        <v>0</v>
      </c>
      <c r="R285" s="274">
        <f t="shared" si="110"/>
        <v>0</v>
      </c>
      <c r="S285" s="273">
        <f>'人员人工-研发人员工资'!S285</f>
        <v>0</v>
      </c>
      <c r="T285" s="274">
        <f t="shared" si="111"/>
        <v>0</v>
      </c>
      <c r="U285" s="273">
        <f>'人员人工-研发人员工资'!U285</f>
        <v>0</v>
      </c>
      <c r="V285" s="274">
        <f t="shared" si="112"/>
        <v>0</v>
      </c>
      <c r="W285" s="273">
        <f>'人员人工-研发人员工资'!W285</f>
        <v>0</v>
      </c>
      <c r="X285" s="274">
        <f t="shared" si="113"/>
        <v>0</v>
      </c>
      <c r="Y285" s="273">
        <f>'人员人工-研发人员工资'!Y285</f>
        <v>0</v>
      </c>
      <c r="Z285" s="274">
        <f t="shared" si="114"/>
        <v>0</v>
      </c>
    </row>
    <row r="286" s="251" customFormat="1" customHeight="1" spans="1:26">
      <c r="A286" s="270">
        <v>17</v>
      </c>
      <c r="B286" s="271">
        <f>'人员人工-研发人员工资'!B286</f>
        <v>0</v>
      </c>
      <c r="C286" s="274"/>
      <c r="D286" s="272">
        <f>'人员人工-研发人员工资'!D286</f>
        <v>0</v>
      </c>
      <c r="E286" s="272">
        <f t="shared" si="103"/>
        <v>0</v>
      </c>
      <c r="F286" s="272">
        <f t="shared" si="104"/>
        <v>0</v>
      </c>
      <c r="G286" s="273">
        <f>'人员人工-研发人员工资'!G286</f>
        <v>0</v>
      </c>
      <c r="H286" s="274">
        <f t="shared" si="105"/>
        <v>0</v>
      </c>
      <c r="I286" s="273">
        <f>'人员人工-研发人员工资'!I286</f>
        <v>0</v>
      </c>
      <c r="J286" s="274">
        <f t="shared" si="106"/>
        <v>0</v>
      </c>
      <c r="K286" s="275">
        <f>'人员人工-研发人员工资'!K286</f>
        <v>0</v>
      </c>
      <c r="L286" s="274">
        <f t="shared" si="107"/>
        <v>0</v>
      </c>
      <c r="M286" s="273">
        <f>'人员人工-研发人员工资'!M286</f>
        <v>0</v>
      </c>
      <c r="N286" s="274">
        <f t="shared" si="108"/>
        <v>0</v>
      </c>
      <c r="O286" s="273">
        <f>'人员人工-研发人员工资'!O286</f>
        <v>0</v>
      </c>
      <c r="P286" s="274">
        <f t="shared" si="109"/>
        <v>0</v>
      </c>
      <c r="Q286" s="273">
        <f>'人员人工-研发人员工资'!Q286</f>
        <v>0</v>
      </c>
      <c r="R286" s="274">
        <f t="shared" si="110"/>
        <v>0</v>
      </c>
      <c r="S286" s="273">
        <f>'人员人工-研发人员工资'!S286</f>
        <v>0</v>
      </c>
      <c r="T286" s="274">
        <f t="shared" si="111"/>
        <v>0</v>
      </c>
      <c r="U286" s="273">
        <f>'人员人工-研发人员工资'!U286</f>
        <v>0</v>
      </c>
      <c r="V286" s="274">
        <f t="shared" si="112"/>
        <v>0</v>
      </c>
      <c r="W286" s="273">
        <f>'人员人工-研发人员工资'!W286</f>
        <v>0</v>
      </c>
      <c r="X286" s="274">
        <f t="shared" si="113"/>
        <v>0</v>
      </c>
      <c r="Y286" s="273">
        <f>'人员人工-研发人员工资'!Y286</f>
        <v>0</v>
      </c>
      <c r="Z286" s="274">
        <f t="shared" si="114"/>
        <v>0</v>
      </c>
    </row>
    <row r="287" s="251" customFormat="1" customHeight="1" spans="1:26">
      <c r="A287" s="270">
        <v>18</v>
      </c>
      <c r="B287" s="271">
        <f>'人员人工-研发人员工资'!B287</f>
        <v>0</v>
      </c>
      <c r="C287" s="274"/>
      <c r="D287" s="272">
        <f>'人员人工-研发人员工资'!D287</f>
        <v>0</v>
      </c>
      <c r="E287" s="272">
        <f t="shared" si="103"/>
        <v>0</v>
      </c>
      <c r="F287" s="272">
        <f t="shared" si="104"/>
        <v>0</v>
      </c>
      <c r="G287" s="273">
        <f>'人员人工-研发人员工资'!G287</f>
        <v>0</v>
      </c>
      <c r="H287" s="274">
        <f t="shared" si="105"/>
        <v>0</v>
      </c>
      <c r="I287" s="273">
        <f>'人员人工-研发人员工资'!I287</f>
        <v>0</v>
      </c>
      <c r="J287" s="274">
        <f t="shared" si="106"/>
        <v>0</v>
      </c>
      <c r="K287" s="275">
        <f>'人员人工-研发人员工资'!K287</f>
        <v>0</v>
      </c>
      <c r="L287" s="274">
        <f t="shared" si="107"/>
        <v>0</v>
      </c>
      <c r="M287" s="273">
        <f>'人员人工-研发人员工资'!M287</f>
        <v>0</v>
      </c>
      <c r="N287" s="274">
        <f t="shared" si="108"/>
        <v>0</v>
      </c>
      <c r="O287" s="273">
        <f>'人员人工-研发人员工资'!O287</f>
        <v>0</v>
      </c>
      <c r="P287" s="274">
        <f t="shared" si="109"/>
        <v>0</v>
      </c>
      <c r="Q287" s="273">
        <f>'人员人工-研发人员工资'!Q287</f>
        <v>0</v>
      </c>
      <c r="R287" s="274">
        <f t="shared" si="110"/>
        <v>0</v>
      </c>
      <c r="S287" s="273">
        <f>'人员人工-研发人员工资'!S287</f>
        <v>0</v>
      </c>
      <c r="T287" s="274">
        <f t="shared" si="111"/>
        <v>0</v>
      </c>
      <c r="U287" s="273">
        <f>'人员人工-研发人员工资'!U287</f>
        <v>0</v>
      </c>
      <c r="V287" s="274">
        <f t="shared" si="112"/>
        <v>0</v>
      </c>
      <c r="W287" s="273">
        <f>'人员人工-研发人员工资'!W287</f>
        <v>0</v>
      </c>
      <c r="X287" s="274">
        <f t="shared" si="113"/>
        <v>0</v>
      </c>
      <c r="Y287" s="273">
        <f>'人员人工-研发人员工资'!Y287</f>
        <v>0</v>
      </c>
      <c r="Z287" s="274">
        <f t="shared" si="114"/>
        <v>0</v>
      </c>
    </row>
    <row r="288" s="251" customFormat="1" customHeight="1" spans="1:26">
      <c r="A288" s="270">
        <v>19</v>
      </c>
      <c r="B288" s="271">
        <f>'人员人工-研发人员工资'!B288</f>
        <v>0</v>
      </c>
      <c r="C288" s="274"/>
      <c r="D288" s="272">
        <f>'人员人工-研发人员工资'!D288</f>
        <v>0</v>
      </c>
      <c r="E288" s="272">
        <f t="shared" si="103"/>
        <v>0</v>
      </c>
      <c r="F288" s="272">
        <f t="shared" si="104"/>
        <v>0</v>
      </c>
      <c r="G288" s="273">
        <f>'人员人工-研发人员工资'!G288</f>
        <v>0</v>
      </c>
      <c r="H288" s="274">
        <f t="shared" si="105"/>
        <v>0</v>
      </c>
      <c r="I288" s="273">
        <f>'人员人工-研发人员工资'!I288</f>
        <v>0</v>
      </c>
      <c r="J288" s="274">
        <f t="shared" si="106"/>
        <v>0</v>
      </c>
      <c r="K288" s="275">
        <f>'人员人工-研发人员工资'!K288</f>
        <v>0</v>
      </c>
      <c r="L288" s="274">
        <f t="shared" si="107"/>
        <v>0</v>
      </c>
      <c r="M288" s="273">
        <f>'人员人工-研发人员工资'!M288</f>
        <v>0</v>
      </c>
      <c r="N288" s="274">
        <f t="shared" si="108"/>
        <v>0</v>
      </c>
      <c r="O288" s="273">
        <f>'人员人工-研发人员工资'!O288</f>
        <v>0</v>
      </c>
      <c r="P288" s="274">
        <f t="shared" si="109"/>
        <v>0</v>
      </c>
      <c r="Q288" s="273">
        <f>'人员人工-研发人员工资'!Q288</f>
        <v>0</v>
      </c>
      <c r="R288" s="274">
        <f t="shared" si="110"/>
        <v>0</v>
      </c>
      <c r="S288" s="273">
        <f>'人员人工-研发人员工资'!S288</f>
        <v>0</v>
      </c>
      <c r="T288" s="274">
        <f t="shared" si="111"/>
        <v>0</v>
      </c>
      <c r="U288" s="273">
        <f>'人员人工-研发人员工资'!U288</f>
        <v>0</v>
      </c>
      <c r="V288" s="274">
        <f t="shared" si="112"/>
        <v>0</v>
      </c>
      <c r="W288" s="273">
        <f>'人员人工-研发人员工资'!W288</f>
        <v>0</v>
      </c>
      <c r="X288" s="274">
        <f t="shared" si="113"/>
        <v>0</v>
      </c>
      <c r="Y288" s="273">
        <f>'人员人工-研发人员工资'!Y288</f>
        <v>0</v>
      </c>
      <c r="Z288" s="274">
        <f t="shared" si="114"/>
        <v>0</v>
      </c>
    </row>
    <row r="289" s="251" customFormat="1" customHeight="1" spans="1:26">
      <c r="A289" s="270">
        <v>20</v>
      </c>
      <c r="B289" s="271">
        <f>'人员人工-研发人员工资'!B289</f>
        <v>0</v>
      </c>
      <c r="C289" s="274"/>
      <c r="D289" s="272">
        <f>'人员人工-研发人员工资'!D289</f>
        <v>0</v>
      </c>
      <c r="E289" s="272">
        <f t="shared" si="103"/>
        <v>0</v>
      </c>
      <c r="F289" s="272">
        <f t="shared" si="104"/>
        <v>0</v>
      </c>
      <c r="G289" s="273">
        <f>'人员人工-研发人员工资'!G289</f>
        <v>0</v>
      </c>
      <c r="H289" s="274">
        <f t="shared" si="105"/>
        <v>0</v>
      </c>
      <c r="I289" s="273">
        <f>'人员人工-研发人员工资'!I289</f>
        <v>0</v>
      </c>
      <c r="J289" s="274">
        <f t="shared" si="106"/>
        <v>0</v>
      </c>
      <c r="K289" s="275">
        <f>'人员人工-研发人员工资'!K289</f>
        <v>0</v>
      </c>
      <c r="L289" s="274">
        <f t="shared" si="107"/>
        <v>0</v>
      </c>
      <c r="M289" s="273">
        <f>'人员人工-研发人员工资'!M289</f>
        <v>0</v>
      </c>
      <c r="N289" s="274">
        <f t="shared" si="108"/>
        <v>0</v>
      </c>
      <c r="O289" s="273">
        <f>'人员人工-研发人员工资'!O289</f>
        <v>0</v>
      </c>
      <c r="P289" s="274">
        <f t="shared" si="109"/>
        <v>0</v>
      </c>
      <c r="Q289" s="273">
        <f>'人员人工-研发人员工资'!Q289</f>
        <v>0</v>
      </c>
      <c r="R289" s="274">
        <f t="shared" si="110"/>
        <v>0</v>
      </c>
      <c r="S289" s="273">
        <f>'人员人工-研发人员工资'!S289</f>
        <v>0</v>
      </c>
      <c r="T289" s="274">
        <f t="shared" si="111"/>
        <v>0</v>
      </c>
      <c r="U289" s="273">
        <f>'人员人工-研发人员工资'!U289</f>
        <v>0</v>
      </c>
      <c r="V289" s="274">
        <f t="shared" si="112"/>
        <v>0</v>
      </c>
      <c r="W289" s="273">
        <f>'人员人工-研发人员工资'!W289</f>
        <v>0</v>
      </c>
      <c r="X289" s="274">
        <f t="shared" si="113"/>
        <v>0</v>
      </c>
      <c r="Y289" s="273">
        <f>'人员人工-研发人员工资'!Y289</f>
        <v>0</v>
      </c>
      <c r="Z289" s="274">
        <f t="shared" si="114"/>
        <v>0</v>
      </c>
    </row>
    <row r="290" s="251" customFormat="1" customHeight="1" spans="1:26">
      <c r="A290" s="270">
        <v>21</v>
      </c>
      <c r="B290" s="271">
        <f>'人员人工-研发人员工资'!B290</f>
        <v>0</v>
      </c>
      <c r="C290" s="274"/>
      <c r="D290" s="272">
        <f>'人员人工-研发人员工资'!D290</f>
        <v>0</v>
      </c>
      <c r="E290" s="272">
        <f t="shared" si="103"/>
        <v>0</v>
      </c>
      <c r="F290" s="272">
        <f t="shared" si="104"/>
        <v>0</v>
      </c>
      <c r="G290" s="273">
        <f>'人员人工-研发人员工资'!G290</f>
        <v>0</v>
      </c>
      <c r="H290" s="274">
        <f t="shared" si="105"/>
        <v>0</v>
      </c>
      <c r="I290" s="273">
        <f>'人员人工-研发人员工资'!I290</f>
        <v>0</v>
      </c>
      <c r="J290" s="274">
        <f t="shared" si="106"/>
        <v>0</v>
      </c>
      <c r="K290" s="275">
        <f>'人员人工-研发人员工资'!K290</f>
        <v>0</v>
      </c>
      <c r="L290" s="274">
        <f t="shared" si="107"/>
        <v>0</v>
      </c>
      <c r="M290" s="273">
        <f>'人员人工-研发人员工资'!M290</f>
        <v>0</v>
      </c>
      <c r="N290" s="274">
        <f t="shared" si="108"/>
        <v>0</v>
      </c>
      <c r="O290" s="273">
        <f>'人员人工-研发人员工资'!O290</f>
        <v>0</v>
      </c>
      <c r="P290" s="274">
        <f t="shared" si="109"/>
        <v>0</v>
      </c>
      <c r="Q290" s="273">
        <f>'人员人工-研发人员工资'!Q290</f>
        <v>0</v>
      </c>
      <c r="R290" s="274">
        <f t="shared" si="110"/>
        <v>0</v>
      </c>
      <c r="S290" s="273">
        <f>'人员人工-研发人员工资'!S290</f>
        <v>0</v>
      </c>
      <c r="T290" s="274">
        <f t="shared" si="111"/>
        <v>0</v>
      </c>
      <c r="U290" s="273">
        <f>'人员人工-研发人员工资'!U290</f>
        <v>0</v>
      </c>
      <c r="V290" s="274">
        <f t="shared" si="112"/>
        <v>0</v>
      </c>
      <c r="W290" s="273">
        <f>'人员人工-研发人员工资'!W290</f>
        <v>0</v>
      </c>
      <c r="X290" s="274">
        <f t="shared" si="113"/>
        <v>0</v>
      </c>
      <c r="Y290" s="273">
        <f>'人员人工-研发人员工资'!Y290</f>
        <v>0</v>
      </c>
      <c r="Z290" s="274">
        <f t="shared" si="114"/>
        <v>0</v>
      </c>
    </row>
    <row r="291" s="251" customFormat="1" customHeight="1" spans="1:26">
      <c r="A291" s="270">
        <v>22</v>
      </c>
      <c r="B291" s="271">
        <f>'人员人工-研发人员工资'!B291</f>
        <v>0</v>
      </c>
      <c r="C291" s="274"/>
      <c r="D291" s="272">
        <f>'人员人工-研发人员工资'!D291</f>
        <v>0</v>
      </c>
      <c r="E291" s="272">
        <f t="shared" si="103"/>
        <v>0</v>
      </c>
      <c r="F291" s="272">
        <f t="shared" si="104"/>
        <v>0</v>
      </c>
      <c r="G291" s="273">
        <f>'人员人工-研发人员工资'!G291</f>
        <v>0</v>
      </c>
      <c r="H291" s="274">
        <f t="shared" si="105"/>
        <v>0</v>
      </c>
      <c r="I291" s="273">
        <f>'人员人工-研发人员工资'!I291</f>
        <v>0</v>
      </c>
      <c r="J291" s="274">
        <f t="shared" si="106"/>
        <v>0</v>
      </c>
      <c r="K291" s="275">
        <f>'人员人工-研发人员工资'!K291</f>
        <v>0</v>
      </c>
      <c r="L291" s="274">
        <f t="shared" si="107"/>
        <v>0</v>
      </c>
      <c r="M291" s="273">
        <f>'人员人工-研发人员工资'!M291</f>
        <v>0</v>
      </c>
      <c r="N291" s="274">
        <f t="shared" si="108"/>
        <v>0</v>
      </c>
      <c r="O291" s="273">
        <f>'人员人工-研发人员工资'!O291</f>
        <v>0</v>
      </c>
      <c r="P291" s="274">
        <f t="shared" si="109"/>
        <v>0</v>
      </c>
      <c r="Q291" s="273">
        <f>'人员人工-研发人员工资'!Q291</f>
        <v>0</v>
      </c>
      <c r="R291" s="274">
        <f t="shared" si="110"/>
        <v>0</v>
      </c>
      <c r="S291" s="273">
        <f>'人员人工-研发人员工资'!S291</f>
        <v>0</v>
      </c>
      <c r="T291" s="274">
        <f t="shared" si="111"/>
        <v>0</v>
      </c>
      <c r="U291" s="273">
        <f>'人员人工-研发人员工资'!U291</f>
        <v>0</v>
      </c>
      <c r="V291" s="274">
        <f t="shared" si="112"/>
        <v>0</v>
      </c>
      <c r="W291" s="273">
        <f>'人员人工-研发人员工资'!W291</f>
        <v>0</v>
      </c>
      <c r="X291" s="274">
        <f t="shared" si="113"/>
        <v>0</v>
      </c>
      <c r="Y291" s="273">
        <f>'人员人工-研发人员工资'!Y291</f>
        <v>0</v>
      </c>
      <c r="Z291" s="274">
        <f t="shared" si="114"/>
        <v>0</v>
      </c>
    </row>
    <row r="292" s="251" customFormat="1" customHeight="1" spans="1:26">
      <c r="A292" s="270">
        <v>23</v>
      </c>
      <c r="B292" s="271">
        <f>'人员人工-研发人员工资'!B292</f>
        <v>0</v>
      </c>
      <c r="C292" s="274"/>
      <c r="D292" s="272">
        <f>'人员人工-研发人员工资'!D292</f>
        <v>0</v>
      </c>
      <c r="E292" s="272">
        <f t="shared" si="103"/>
        <v>0</v>
      </c>
      <c r="F292" s="272">
        <f t="shared" si="104"/>
        <v>0</v>
      </c>
      <c r="G292" s="273">
        <f>'人员人工-研发人员工资'!G292</f>
        <v>0</v>
      </c>
      <c r="H292" s="274">
        <f t="shared" si="105"/>
        <v>0</v>
      </c>
      <c r="I292" s="273">
        <f>'人员人工-研发人员工资'!I292</f>
        <v>0</v>
      </c>
      <c r="J292" s="274">
        <f t="shared" si="106"/>
        <v>0</v>
      </c>
      <c r="K292" s="275">
        <f>'人员人工-研发人员工资'!K292</f>
        <v>0</v>
      </c>
      <c r="L292" s="274">
        <f t="shared" si="107"/>
        <v>0</v>
      </c>
      <c r="M292" s="273">
        <f>'人员人工-研发人员工资'!M292</f>
        <v>0</v>
      </c>
      <c r="N292" s="274">
        <f t="shared" si="108"/>
        <v>0</v>
      </c>
      <c r="O292" s="273">
        <f>'人员人工-研发人员工资'!O292</f>
        <v>0</v>
      </c>
      <c r="P292" s="274">
        <f t="shared" si="109"/>
        <v>0</v>
      </c>
      <c r="Q292" s="273">
        <f>'人员人工-研发人员工资'!Q292</f>
        <v>0</v>
      </c>
      <c r="R292" s="274">
        <f t="shared" si="110"/>
        <v>0</v>
      </c>
      <c r="S292" s="273">
        <f>'人员人工-研发人员工资'!S292</f>
        <v>0</v>
      </c>
      <c r="T292" s="274">
        <f t="shared" si="111"/>
        <v>0</v>
      </c>
      <c r="U292" s="273">
        <f>'人员人工-研发人员工资'!U292</f>
        <v>0</v>
      </c>
      <c r="V292" s="274">
        <f t="shared" si="112"/>
        <v>0</v>
      </c>
      <c r="W292" s="273">
        <f>'人员人工-研发人员工资'!W292</f>
        <v>0</v>
      </c>
      <c r="X292" s="274">
        <f t="shared" si="113"/>
        <v>0</v>
      </c>
      <c r="Y292" s="273">
        <f>'人员人工-研发人员工资'!Y292</f>
        <v>0</v>
      </c>
      <c r="Z292" s="274">
        <f t="shared" si="114"/>
        <v>0</v>
      </c>
    </row>
    <row r="293" s="251" customFormat="1" customHeight="1" spans="1:26">
      <c r="A293" s="270">
        <v>25</v>
      </c>
      <c r="B293" s="271">
        <f>'人员人工-研发人员工资'!B293</f>
        <v>0</v>
      </c>
      <c r="C293" s="274"/>
      <c r="D293" s="272">
        <f>'人员人工-研发人员工资'!D293</f>
        <v>0</v>
      </c>
      <c r="E293" s="272">
        <f t="shared" si="103"/>
        <v>0</v>
      </c>
      <c r="F293" s="272">
        <f t="shared" si="104"/>
        <v>0</v>
      </c>
      <c r="G293" s="273">
        <f>'人员人工-研发人员工资'!G293</f>
        <v>0</v>
      </c>
      <c r="H293" s="274">
        <f t="shared" si="105"/>
        <v>0</v>
      </c>
      <c r="I293" s="273">
        <f>'人员人工-研发人员工资'!I293</f>
        <v>0</v>
      </c>
      <c r="J293" s="274">
        <f t="shared" si="106"/>
        <v>0</v>
      </c>
      <c r="K293" s="275">
        <f>'人员人工-研发人员工资'!K293</f>
        <v>0</v>
      </c>
      <c r="L293" s="274">
        <f t="shared" si="107"/>
        <v>0</v>
      </c>
      <c r="M293" s="273">
        <f>'人员人工-研发人员工资'!M293</f>
        <v>0</v>
      </c>
      <c r="N293" s="274">
        <f t="shared" si="108"/>
        <v>0</v>
      </c>
      <c r="O293" s="273">
        <f>'人员人工-研发人员工资'!O293</f>
        <v>0</v>
      </c>
      <c r="P293" s="274">
        <f t="shared" si="109"/>
        <v>0</v>
      </c>
      <c r="Q293" s="273">
        <f>'人员人工-研发人员工资'!Q293</f>
        <v>0</v>
      </c>
      <c r="R293" s="274">
        <f t="shared" si="110"/>
        <v>0</v>
      </c>
      <c r="S293" s="273">
        <f>'人员人工-研发人员工资'!S293</f>
        <v>0</v>
      </c>
      <c r="T293" s="274">
        <f t="shared" si="111"/>
        <v>0</v>
      </c>
      <c r="U293" s="273">
        <f>'人员人工-研发人员工资'!U293</f>
        <v>0</v>
      </c>
      <c r="V293" s="274">
        <f t="shared" si="112"/>
        <v>0</v>
      </c>
      <c r="W293" s="273">
        <f>'人员人工-研发人员工资'!W293</f>
        <v>0</v>
      </c>
      <c r="X293" s="274">
        <f t="shared" si="113"/>
        <v>0</v>
      </c>
      <c r="Y293" s="273">
        <f>'人员人工-研发人员工资'!Y293</f>
        <v>0</v>
      </c>
      <c r="Z293" s="274">
        <f t="shared" si="114"/>
        <v>0</v>
      </c>
    </row>
    <row r="294" s="251" customFormat="1" customHeight="1" spans="1:26">
      <c r="A294" s="270">
        <v>25</v>
      </c>
      <c r="B294" s="271">
        <f>'人员人工-研发人员工资'!B294</f>
        <v>0</v>
      </c>
      <c r="C294" s="274"/>
      <c r="D294" s="272">
        <f>'人员人工-研发人员工资'!D294</f>
        <v>0</v>
      </c>
      <c r="E294" s="272">
        <f t="shared" si="103"/>
        <v>0</v>
      </c>
      <c r="F294" s="272">
        <f t="shared" si="104"/>
        <v>0</v>
      </c>
      <c r="G294" s="273">
        <f>'人员人工-研发人员工资'!G294</f>
        <v>0</v>
      </c>
      <c r="H294" s="274">
        <f t="shared" si="105"/>
        <v>0</v>
      </c>
      <c r="I294" s="273">
        <f>'人员人工-研发人员工资'!I294</f>
        <v>0</v>
      </c>
      <c r="J294" s="274">
        <f t="shared" si="106"/>
        <v>0</v>
      </c>
      <c r="K294" s="275">
        <f>'人员人工-研发人员工资'!K294</f>
        <v>0</v>
      </c>
      <c r="L294" s="274">
        <f t="shared" si="107"/>
        <v>0</v>
      </c>
      <c r="M294" s="273">
        <f>'人员人工-研发人员工资'!M294</f>
        <v>0</v>
      </c>
      <c r="N294" s="274">
        <f t="shared" si="108"/>
        <v>0</v>
      </c>
      <c r="O294" s="273">
        <f>'人员人工-研发人员工资'!O294</f>
        <v>0</v>
      </c>
      <c r="P294" s="274">
        <f t="shared" si="109"/>
        <v>0</v>
      </c>
      <c r="Q294" s="273">
        <f>'人员人工-研发人员工资'!Q294</f>
        <v>0</v>
      </c>
      <c r="R294" s="274">
        <f t="shared" si="110"/>
        <v>0</v>
      </c>
      <c r="S294" s="273">
        <f>'人员人工-研发人员工资'!S294</f>
        <v>0</v>
      </c>
      <c r="T294" s="274">
        <f t="shared" si="111"/>
        <v>0</v>
      </c>
      <c r="U294" s="273">
        <f>'人员人工-研发人员工资'!U294</f>
        <v>0</v>
      </c>
      <c r="V294" s="274">
        <f t="shared" si="112"/>
        <v>0</v>
      </c>
      <c r="W294" s="273">
        <f>'人员人工-研发人员工资'!W294</f>
        <v>0</v>
      </c>
      <c r="X294" s="274">
        <f t="shared" si="113"/>
        <v>0</v>
      </c>
      <c r="Y294" s="273">
        <f>'人员人工-研发人员工资'!Y294</f>
        <v>0</v>
      </c>
      <c r="Z294" s="274">
        <f t="shared" si="114"/>
        <v>0</v>
      </c>
    </row>
    <row r="295" s="251" customFormat="1" customHeight="1" spans="1:26">
      <c r="A295" s="270">
        <v>26</v>
      </c>
      <c r="B295" s="271">
        <f>'人员人工-研发人员工资'!B295</f>
        <v>0</v>
      </c>
      <c r="C295" s="274"/>
      <c r="D295" s="272">
        <f>'人员人工-研发人员工资'!D295</f>
        <v>0</v>
      </c>
      <c r="E295" s="272">
        <f t="shared" si="103"/>
        <v>0</v>
      </c>
      <c r="F295" s="272">
        <f t="shared" si="104"/>
        <v>0</v>
      </c>
      <c r="G295" s="273">
        <f>'人员人工-研发人员工资'!G295</f>
        <v>0</v>
      </c>
      <c r="H295" s="274">
        <f t="shared" si="105"/>
        <v>0</v>
      </c>
      <c r="I295" s="273">
        <f>'人员人工-研发人员工资'!I295</f>
        <v>0</v>
      </c>
      <c r="J295" s="274">
        <f t="shared" si="106"/>
        <v>0</v>
      </c>
      <c r="K295" s="275">
        <f>'人员人工-研发人员工资'!K295</f>
        <v>0</v>
      </c>
      <c r="L295" s="274">
        <f t="shared" si="107"/>
        <v>0</v>
      </c>
      <c r="M295" s="273">
        <f>'人员人工-研发人员工资'!M295</f>
        <v>0</v>
      </c>
      <c r="N295" s="274">
        <f t="shared" si="108"/>
        <v>0</v>
      </c>
      <c r="O295" s="273">
        <f>'人员人工-研发人员工资'!O295</f>
        <v>0</v>
      </c>
      <c r="P295" s="274">
        <f t="shared" si="109"/>
        <v>0</v>
      </c>
      <c r="Q295" s="273">
        <f>'人员人工-研发人员工资'!Q295</f>
        <v>0</v>
      </c>
      <c r="R295" s="274">
        <f t="shared" si="110"/>
        <v>0</v>
      </c>
      <c r="S295" s="273">
        <f>'人员人工-研发人员工资'!S295</f>
        <v>0</v>
      </c>
      <c r="T295" s="274">
        <f t="shared" si="111"/>
        <v>0</v>
      </c>
      <c r="U295" s="273">
        <f>'人员人工-研发人员工资'!U295</f>
        <v>0</v>
      </c>
      <c r="V295" s="274">
        <f t="shared" si="112"/>
        <v>0</v>
      </c>
      <c r="W295" s="273">
        <f>'人员人工-研发人员工资'!W295</f>
        <v>0</v>
      </c>
      <c r="X295" s="274">
        <f t="shared" si="113"/>
        <v>0</v>
      </c>
      <c r="Y295" s="273">
        <f>'人员人工-研发人员工资'!Y295</f>
        <v>0</v>
      </c>
      <c r="Z295" s="274">
        <f t="shared" si="114"/>
        <v>0</v>
      </c>
    </row>
    <row r="296" s="251" customFormat="1" customHeight="1" spans="1:26">
      <c r="A296" s="270">
        <v>27</v>
      </c>
      <c r="B296" s="271">
        <f>'人员人工-研发人员工资'!B296</f>
        <v>0</v>
      </c>
      <c r="C296" s="274"/>
      <c r="D296" s="272">
        <f>'人员人工-研发人员工资'!D296</f>
        <v>0</v>
      </c>
      <c r="E296" s="272">
        <f t="shared" si="103"/>
        <v>0</v>
      </c>
      <c r="F296" s="272">
        <f t="shared" si="104"/>
        <v>0</v>
      </c>
      <c r="G296" s="273">
        <f>'人员人工-研发人员工资'!G296</f>
        <v>0</v>
      </c>
      <c r="H296" s="274">
        <f t="shared" si="105"/>
        <v>0</v>
      </c>
      <c r="I296" s="273">
        <f>'人员人工-研发人员工资'!I296</f>
        <v>0</v>
      </c>
      <c r="J296" s="274">
        <f t="shared" si="106"/>
        <v>0</v>
      </c>
      <c r="K296" s="275">
        <f>'人员人工-研发人员工资'!K296</f>
        <v>0</v>
      </c>
      <c r="L296" s="274">
        <f t="shared" si="107"/>
        <v>0</v>
      </c>
      <c r="M296" s="273">
        <f>'人员人工-研发人员工资'!M296</f>
        <v>0</v>
      </c>
      <c r="N296" s="274">
        <f t="shared" si="108"/>
        <v>0</v>
      </c>
      <c r="O296" s="273">
        <f>'人员人工-研发人员工资'!O296</f>
        <v>0</v>
      </c>
      <c r="P296" s="274">
        <f t="shared" si="109"/>
        <v>0</v>
      </c>
      <c r="Q296" s="273">
        <f>'人员人工-研发人员工资'!Q296</f>
        <v>0</v>
      </c>
      <c r="R296" s="274">
        <f t="shared" si="110"/>
        <v>0</v>
      </c>
      <c r="S296" s="273">
        <f>'人员人工-研发人员工资'!S296</f>
        <v>0</v>
      </c>
      <c r="T296" s="274">
        <f t="shared" si="111"/>
        <v>0</v>
      </c>
      <c r="U296" s="273">
        <f>'人员人工-研发人员工资'!U296</f>
        <v>0</v>
      </c>
      <c r="V296" s="274">
        <f t="shared" si="112"/>
        <v>0</v>
      </c>
      <c r="W296" s="273">
        <f>'人员人工-研发人员工资'!W296</f>
        <v>0</v>
      </c>
      <c r="X296" s="274">
        <f t="shared" si="113"/>
        <v>0</v>
      </c>
      <c r="Y296" s="273">
        <f>'人员人工-研发人员工资'!Y296</f>
        <v>0</v>
      </c>
      <c r="Z296" s="274">
        <f t="shared" si="114"/>
        <v>0</v>
      </c>
    </row>
    <row r="297" s="251" customFormat="1" customHeight="1" spans="1:26">
      <c r="A297" s="270">
        <v>28</v>
      </c>
      <c r="B297" s="271">
        <f>'人员人工-研发人员工资'!B297</f>
        <v>0</v>
      </c>
      <c r="C297" s="274"/>
      <c r="D297" s="272">
        <f>'人员人工-研发人员工资'!D297</f>
        <v>0</v>
      </c>
      <c r="E297" s="272">
        <f t="shared" si="103"/>
        <v>0</v>
      </c>
      <c r="F297" s="272">
        <f t="shared" si="104"/>
        <v>0</v>
      </c>
      <c r="G297" s="273">
        <f>'人员人工-研发人员工资'!G297</f>
        <v>0</v>
      </c>
      <c r="H297" s="274">
        <f t="shared" si="105"/>
        <v>0</v>
      </c>
      <c r="I297" s="273">
        <f>'人员人工-研发人员工资'!I297</f>
        <v>0</v>
      </c>
      <c r="J297" s="274">
        <f t="shared" si="106"/>
        <v>0</v>
      </c>
      <c r="K297" s="275">
        <f>'人员人工-研发人员工资'!K297</f>
        <v>0</v>
      </c>
      <c r="L297" s="274">
        <f t="shared" si="107"/>
        <v>0</v>
      </c>
      <c r="M297" s="273">
        <f>'人员人工-研发人员工资'!M297</f>
        <v>0</v>
      </c>
      <c r="N297" s="274">
        <f t="shared" si="108"/>
        <v>0</v>
      </c>
      <c r="O297" s="273">
        <f>'人员人工-研发人员工资'!O297</f>
        <v>0</v>
      </c>
      <c r="P297" s="274">
        <f t="shared" si="109"/>
        <v>0</v>
      </c>
      <c r="Q297" s="273">
        <f>'人员人工-研发人员工资'!Q297</f>
        <v>0</v>
      </c>
      <c r="R297" s="274">
        <f t="shared" si="110"/>
        <v>0</v>
      </c>
      <c r="S297" s="273">
        <f>'人员人工-研发人员工资'!S297</f>
        <v>0</v>
      </c>
      <c r="T297" s="274">
        <f t="shared" si="111"/>
        <v>0</v>
      </c>
      <c r="U297" s="273">
        <f>'人员人工-研发人员工资'!U297</f>
        <v>0</v>
      </c>
      <c r="V297" s="274">
        <f t="shared" si="112"/>
        <v>0</v>
      </c>
      <c r="W297" s="273">
        <f>'人员人工-研发人员工资'!W297</f>
        <v>0</v>
      </c>
      <c r="X297" s="274">
        <f t="shared" si="113"/>
        <v>0</v>
      </c>
      <c r="Y297" s="273">
        <f>'人员人工-研发人员工资'!Y297</f>
        <v>0</v>
      </c>
      <c r="Z297" s="274">
        <f t="shared" si="114"/>
        <v>0</v>
      </c>
    </row>
    <row r="298" s="251" customFormat="1" customHeight="1" spans="1:26">
      <c r="A298" s="270">
        <v>29</v>
      </c>
      <c r="B298" s="271">
        <f>'人员人工-研发人员工资'!B298</f>
        <v>0</v>
      </c>
      <c r="C298" s="274"/>
      <c r="D298" s="272">
        <f>'人员人工-研发人员工资'!D298</f>
        <v>0</v>
      </c>
      <c r="E298" s="272">
        <f t="shared" si="103"/>
        <v>0</v>
      </c>
      <c r="F298" s="272">
        <f t="shared" si="104"/>
        <v>0</v>
      </c>
      <c r="G298" s="273">
        <f>'人员人工-研发人员工资'!G298</f>
        <v>0</v>
      </c>
      <c r="H298" s="274">
        <f t="shared" si="105"/>
        <v>0</v>
      </c>
      <c r="I298" s="273">
        <f>'人员人工-研发人员工资'!I298</f>
        <v>0</v>
      </c>
      <c r="J298" s="274">
        <f t="shared" si="106"/>
        <v>0</v>
      </c>
      <c r="K298" s="275">
        <f>'人员人工-研发人员工资'!K298</f>
        <v>0</v>
      </c>
      <c r="L298" s="274">
        <f t="shared" si="107"/>
        <v>0</v>
      </c>
      <c r="M298" s="273">
        <f>'人员人工-研发人员工资'!M298</f>
        <v>0</v>
      </c>
      <c r="N298" s="274">
        <f t="shared" si="108"/>
        <v>0</v>
      </c>
      <c r="O298" s="273">
        <f>'人员人工-研发人员工资'!O298</f>
        <v>0</v>
      </c>
      <c r="P298" s="274">
        <f t="shared" si="109"/>
        <v>0</v>
      </c>
      <c r="Q298" s="273">
        <f>'人员人工-研发人员工资'!Q298</f>
        <v>0</v>
      </c>
      <c r="R298" s="274">
        <f t="shared" si="110"/>
        <v>0</v>
      </c>
      <c r="S298" s="273">
        <f>'人员人工-研发人员工资'!S298</f>
        <v>0</v>
      </c>
      <c r="T298" s="274">
        <f t="shared" si="111"/>
        <v>0</v>
      </c>
      <c r="U298" s="273">
        <f>'人员人工-研发人员工资'!U298</f>
        <v>0</v>
      </c>
      <c r="V298" s="274">
        <f t="shared" si="112"/>
        <v>0</v>
      </c>
      <c r="W298" s="273">
        <f>'人员人工-研发人员工资'!W298</f>
        <v>0</v>
      </c>
      <c r="X298" s="274">
        <f t="shared" si="113"/>
        <v>0</v>
      </c>
      <c r="Y298" s="273">
        <f>'人员人工-研发人员工资'!Y298</f>
        <v>0</v>
      </c>
      <c r="Z298" s="274">
        <f t="shared" si="114"/>
        <v>0</v>
      </c>
    </row>
    <row r="299" s="251" customFormat="1" customHeight="1" spans="1:26">
      <c r="A299" s="270">
        <v>30</v>
      </c>
      <c r="B299" s="271">
        <f>'人员人工-研发人员工资'!B299</f>
        <v>0</v>
      </c>
      <c r="C299" s="274"/>
      <c r="D299" s="272">
        <f>'人员人工-研发人员工资'!D299</f>
        <v>0</v>
      </c>
      <c r="E299" s="272">
        <f t="shared" si="103"/>
        <v>0</v>
      </c>
      <c r="F299" s="272">
        <f t="shared" si="104"/>
        <v>0</v>
      </c>
      <c r="G299" s="273">
        <f>'人员人工-研发人员工资'!G299</f>
        <v>0</v>
      </c>
      <c r="H299" s="274">
        <f t="shared" si="105"/>
        <v>0</v>
      </c>
      <c r="I299" s="273">
        <f>'人员人工-研发人员工资'!I299</f>
        <v>0</v>
      </c>
      <c r="J299" s="274">
        <f t="shared" si="106"/>
        <v>0</v>
      </c>
      <c r="K299" s="275">
        <f>'人员人工-研发人员工资'!K299</f>
        <v>0</v>
      </c>
      <c r="L299" s="274">
        <f t="shared" si="107"/>
        <v>0</v>
      </c>
      <c r="M299" s="273">
        <f>'人员人工-研发人员工资'!M299</f>
        <v>0</v>
      </c>
      <c r="N299" s="274">
        <f t="shared" si="108"/>
        <v>0</v>
      </c>
      <c r="O299" s="273">
        <f>'人员人工-研发人员工资'!O299</f>
        <v>0</v>
      </c>
      <c r="P299" s="274">
        <f t="shared" si="109"/>
        <v>0</v>
      </c>
      <c r="Q299" s="273">
        <f>'人员人工-研发人员工资'!Q299</f>
        <v>0</v>
      </c>
      <c r="R299" s="274">
        <f t="shared" si="110"/>
        <v>0</v>
      </c>
      <c r="S299" s="273">
        <f>'人员人工-研发人员工资'!S299</f>
        <v>0</v>
      </c>
      <c r="T299" s="274">
        <f t="shared" si="111"/>
        <v>0</v>
      </c>
      <c r="U299" s="273">
        <f>'人员人工-研发人员工资'!U299</f>
        <v>0</v>
      </c>
      <c r="V299" s="274">
        <f t="shared" si="112"/>
        <v>0</v>
      </c>
      <c r="W299" s="273">
        <f>'人员人工-研发人员工资'!W299</f>
        <v>0</v>
      </c>
      <c r="X299" s="274">
        <f t="shared" si="113"/>
        <v>0</v>
      </c>
      <c r="Y299" s="273">
        <f>'人员人工-研发人员工资'!Y299</f>
        <v>0</v>
      </c>
      <c r="Z299" s="274">
        <f t="shared" si="114"/>
        <v>0</v>
      </c>
    </row>
    <row r="300" s="251" customFormat="1" customHeight="1" spans="1:26">
      <c r="A300" s="276" t="s">
        <v>22</v>
      </c>
      <c r="B300" s="277"/>
      <c r="C300" s="261">
        <f t="shared" ref="C300:Z300" si="115">SUM(C270:C299)</f>
        <v>0</v>
      </c>
      <c r="D300" s="261">
        <f t="shared" si="115"/>
        <v>0</v>
      </c>
      <c r="E300" s="272">
        <f t="shared" si="115"/>
        <v>0</v>
      </c>
      <c r="F300" s="261">
        <f t="shared" si="115"/>
        <v>0</v>
      </c>
      <c r="G300" s="261">
        <f t="shared" si="115"/>
        <v>0</v>
      </c>
      <c r="H300" s="261">
        <f t="shared" si="115"/>
        <v>0</v>
      </c>
      <c r="I300" s="261">
        <f t="shared" si="115"/>
        <v>0</v>
      </c>
      <c r="J300" s="261">
        <f t="shared" si="115"/>
        <v>0</v>
      </c>
      <c r="K300" s="261">
        <f t="shared" si="115"/>
        <v>0</v>
      </c>
      <c r="L300" s="261">
        <f t="shared" si="115"/>
        <v>0</v>
      </c>
      <c r="M300" s="261">
        <f t="shared" si="115"/>
        <v>0</v>
      </c>
      <c r="N300" s="261">
        <f t="shared" si="115"/>
        <v>0</v>
      </c>
      <c r="O300" s="261">
        <f t="shared" si="115"/>
        <v>0</v>
      </c>
      <c r="P300" s="261">
        <f t="shared" si="115"/>
        <v>0</v>
      </c>
      <c r="Q300" s="261">
        <f t="shared" si="115"/>
        <v>0</v>
      </c>
      <c r="R300" s="261">
        <f t="shared" si="115"/>
        <v>0</v>
      </c>
      <c r="S300" s="261">
        <f t="shared" si="115"/>
        <v>0</v>
      </c>
      <c r="T300" s="261">
        <f t="shared" si="115"/>
        <v>0</v>
      </c>
      <c r="U300" s="261">
        <f t="shared" si="115"/>
        <v>0</v>
      </c>
      <c r="V300" s="261">
        <f t="shared" si="115"/>
        <v>0</v>
      </c>
      <c r="W300" s="261">
        <f t="shared" si="115"/>
        <v>0</v>
      </c>
      <c r="X300" s="261">
        <f t="shared" si="115"/>
        <v>0</v>
      </c>
      <c r="Y300" s="261">
        <f t="shared" si="115"/>
        <v>0</v>
      </c>
      <c r="Z300" s="261">
        <f t="shared" si="115"/>
        <v>0</v>
      </c>
    </row>
    <row r="301" s="251" customFormat="1" customHeight="1" spans="1:26">
      <c r="A301" s="252"/>
      <c r="B301" s="253"/>
      <c r="C301" s="254"/>
      <c r="D301" s="254"/>
      <c r="E301" s="254"/>
      <c r="F301" s="254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</row>
    <row r="302" s="251" customFormat="1" customHeight="1" spans="1:26">
      <c r="A302" s="252"/>
      <c r="B302" s="253"/>
      <c r="C302" s="254"/>
      <c r="D302" s="254"/>
      <c r="E302" s="254"/>
      <c r="F302" s="254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</row>
    <row r="303" s="251" customFormat="1" customHeight="1" spans="1:26">
      <c r="A303" s="252"/>
      <c r="B303" s="257" t="s">
        <v>151</v>
      </c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  <c r="Z303" s="258"/>
    </row>
    <row r="304" s="251" customFormat="1" customHeight="1" spans="1:26">
      <c r="A304" s="252"/>
      <c r="B304" s="253"/>
      <c r="C304" s="254"/>
      <c r="D304" s="254"/>
      <c r="E304" s="254"/>
      <c r="F304" s="254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</row>
    <row r="305" s="251" customFormat="1" customHeight="1" spans="1:26">
      <c r="A305" s="259" t="s">
        <v>31</v>
      </c>
      <c r="B305" s="260" t="s">
        <v>32</v>
      </c>
      <c r="C305" s="261" t="s">
        <v>141</v>
      </c>
      <c r="D305" s="261" t="s">
        <v>34</v>
      </c>
      <c r="E305" s="262" t="s">
        <v>35</v>
      </c>
      <c r="F305" s="262" t="s">
        <v>142</v>
      </c>
      <c r="G305" s="263" t="str">
        <f>立项!$A$3</f>
        <v>RD01</v>
      </c>
      <c r="H305" s="264"/>
      <c r="I305" s="264" t="str">
        <f>立项!$A$4</f>
        <v>RD02</v>
      </c>
      <c r="J305" s="264"/>
      <c r="K305" s="264" t="str">
        <f>立项!$A$5</f>
        <v>RD03</v>
      </c>
      <c r="L305" s="264"/>
      <c r="M305" s="264" t="str">
        <f>立项!$A$6</f>
        <v>RD04</v>
      </c>
      <c r="N305" s="264"/>
      <c r="O305" s="264" t="str">
        <f>立项!$A$7</f>
        <v>RD05</v>
      </c>
      <c r="P305" s="264"/>
      <c r="Q305" s="264" t="str">
        <f>立项!$A$8</f>
        <v>RD06</v>
      </c>
      <c r="R305" s="264"/>
      <c r="S305" s="264" t="str">
        <f>立项!$A$9</f>
        <v>RD07</v>
      </c>
      <c r="T305" s="264"/>
      <c r="U305" s="264" t="str">
        <f>立项!$A$10</f>
        <v>RD08</v>
      </c>
      <c r="V305" s="264"/>
      <c r="W305" s="264" t="str">
        <f>立项!$A$11</f>
        <v>RD09</v>
      </c>
      <c r="X305" s="264"/>
      <c r="Y305" s="264" t="str">
        <f>立项!$A$12</f>
        <v>RD10</v>
      </c>
      <c r="Z305" s="264"/>
    </row>
    <row r="306" s="251" customFormat="1" customHeight="1" spans="1:26">
      <c r="A306" s="265"/>
      <c r="B306" s="260"/>
      <c r="C306" s="261"/>
      <c r="D306" s="261"/>
      <c r="E306" s="262"/>
      <c r="F306" s="262"/>
      <c r="G306" s="267">
        <f>立项!C3</f>
        <v>0</v>
      </c>
      <c r="H306" s="263"/>
      <c r="I306" s="267">
        <f>立项!C4</f>
        <v>0</v>
      </c>
      <c r="J306" s="263"/>
      <c r="K306" s="267">
        <f>立项!C5</f>
        <v>0</v>
      </c>
      <c r="L306" s="263"/>
      <c r="M306" s="267">
        <f>立项!C6</f>
        <v>0</v>
      </c>
      <c r="N306" s="263"/>
      <c r="O306" s="267">
        <f>立项!C7</f>
        <v>0</v>
      </c>
      <c r="P306" s="263"/>
      <c r="Q306" s="267">
        <f>立项!C8</f>
        <v>0</v>
      </c>
      <c r="R306" s="263"/>
      <c r="S306" s="267">
        <f>立项!C9</f>
        <v>0</v>
      </c>
      <c r="T306" s="263"/>
      <c r="U306" s="267">
        <f>立项!C10</f>
        <v>0</v>
      </c>
      <c r="V306" s="263"/>
      <c r="W306" s="267">
        <f>立项!C11</f>
        <v>0</v>
      </c>
      <c r="X306" s="263"/>
      <c r="Y306" s="264">
        <f>立项!C12</f>
        <v>0</v>
      </c>
      <c r="Z306" s="264"/>
    </row>
    <row r="307" s="251" customFormat="1" customHeight="1" spans="1:26">
      <c r="A307" s="268"/>
      <c r="B307" s="260"/>
      <c r="C307" s="261"/>
      <c r="D307" s="261"/>
      <c r="E307" s="262"/>
      <c r="F307" s="262"/>
      <c r="G307" s="264" t="s">
        <v>39</v>
      </c>
      <c r="H307" s="269" t="s">
        <v>143</v>
      </c>
      <c r="I307" s="264" t="s">
        <v>39</v>
      </c>
      <c r="J307" s="269" t="s">
        <v>143</v>
      </c>
      <c r="K307" s="264" t="s">
        <v>39</v>
      </c>
      <c r="L307" s="269" t="s">
        <v>143</v>
      </c>
      <c r="M307" s="264" t="s">
        <v>39</v>
      </c>
      <c r="N307" s="269" t="s">
        <v>143</v>
      </c>
      <c r="O307" s="264" t="s">
        <v>39</v>
      </c>
      <c r="P307" s="269" t="s">
        <v>143</v>
      </c>
      <c r="Q307" s="264" t="s">
        <v>39</v>
      </c>
      <c r="R307" s="269" t="s">
        <v>143</v>
      </c>
      <c r="S307" s="264" t="s">
        <v>39</v>
      </c>
      <c r="T307" s="269" t="s">
        <v>143</v>
      </c>
      <c r="U307" s="264" t="s">
        <v>39</v>
      </c>
      <c r="V307" s="269" t="s">
        <v>143</v>
      </c>
      <c r="W307" s="264" t="s">
        <v>39</v>
      </c>
      <c r="X307" s="269" t="s">
        <v>143</v>
      </c>
      <c r="Y307" s="264" t="s">
        <v>39</v>
      </c>
      <c r="Z307" s="269" t="s">
        <v>143</v>
      </c>
    </row>
    <row r="308" s="251" customFormat="1" customHeight="1" spans="1:26">
      <c r="A308" s="270">
        <v>1</v>
      </c>
      <c r="B308" s="271">
        <f>'人员人工-研发人员工资'!B308</f>
        <v>0</v>
      </c>
      <c r="C308" s="272"/>
      <c r="D308" s="272">
        <f>'人员人工-研发人员工资'!D308</f>
        <v>0</v>
      </c>
      <c r="E308" s="272">
        <f>G308+I308+K308+M308+O308+Q308+S308+U308+W308+Y308</f>
        <v>0</v>
      </c>
      <c r="F308" s="272">
        <f>H308+J308+L308+N308+P308+R308+T308+V308+X308+Z308</f>
        <v>0</v>
      </c>
      <c r="G308" s="273">
        <f>'人员人工-研发人员工资'!G308</f>
        <v>0</v>
      </c>
      <c r="H308" s="274">
        <f>IF($D308=0,0,ROUND(G308/$D308*$C308,2))</f>
        <v>0</v>
      </c>
      <c r="I308" s="273">
        <f>'人员人工-研发人员工资'!I308</f>
        <v>0</v>
      </c>
      <c r="J308" s="274">
        <f>IF($D308=0,0,ROUND(I308/$D308*$C308,2))</f>
        <v>0</v>
      </c>
      <c r="K308" s="275">
        <f>'人员人工-研发人员工资'!K308</f>
        <v>0</v>
      </c>
      <c r="L308" s="274">
        <f>IF($D308=0,0,ROUND(K308/$D308*$C308,2))</f>
        <v>0</v>
      </c>
      <c r="M308" s="273">
        <f>'人员人工-研发人员工资'!M308</f>
        <v>0</v>
      </c>
      <c r="N308" s="274">
        <f>IF($D308=0,0,ROUND(M308/$D308*$C308,2))</f>
        <v>0</v>
      </c>
      <c r="O308" s="273">
        <f>'人员人工-研发人员工资'!O308</f>
        <v>0</v>
      </c>
      <c r="P308" s="274">
        <f>IF($D308=0,0,ROUND(O308/$D308*$C308,2))</f>
        <v>0</v>
      </c>
      <c r="Q308" s="273">
        <f>'人员人工-研发人员工资'!Q308</f>
        <v>0</v>
      </c>
      <c r="R308" s="274">
        <f>IF($D308=0,0,ROUND(Q308/$D308*$C308,2))</f>
        <v>0</v>
      </c>
      <c r="S308" s="273">
        <f>'人员人工-研发人员工资'!S308</f>
        <v>0</v>
      </c>
      <c r="T308" s="274">
        <f>IF($D308=0,0,ROUND(S308/$D308*$C308,2))</f>
        <v>0</v>
      </c>
      <c r="U308" s="273">
        <f>'人员人工-研发人员工资'!U308</f>
        <v>0</v>
      </c>
      <c r="V308" s="274">
        <f>IF($D308=0,0,ROUND(U308/$D308*$C308,2))</f>
        <v>0</v>
      </c>
      <c r="W308" s="273">
        <f>'人员人工-研发人员工资'!W308</f>
        <v>0</v>
      </c>
      <c r="X308" s="274">
        <f>IF($D308=0,0,ROUND(W308/$D308*$C308,2))</f>
        <v>0</v>
      </c>
      <c r="Y308" s="273">
        <f>'人员人工-研发人员工资'!Y308</f>
        <v>0</v>
      </c>
      <c r="Z308" s="274">
        <f>IF($D308=0,0,ROUND(Y308/$D308*$C308,2))</f>
        <v>0</v>
      </c>
    </row>
    <row r="309" s="251" customFormat="1" customHeight="1" spans="1:26">
      <c r="A309" s="270">
        <v>2</v>
      </c>
      <c r="B309" s="271">
        <f>'人员人工-研发人员工资'!B309</f>
        <v>0</v>
      </c>
      <c r="C309" s="272"/>
      <c r="D309" s="272">
        <f>'人员人工-研发人员工资'!D309</f>
        <v>0</v>
      </c>
      <c r="E309" s="272">
        <f t="shared" ref="E309:E337" si="116">G309+I309+K309+M309+O309+Q309+S309+U309+W309+Y309</f>
        <v>0</v>
      </c>
      <c r="F309" s="272">
        <f t="shared" ref="F309:F337" si="117">H309+J309+L309+N309+P309+R309+T309+V309+X309+Z309</f>
        <v>0</v>
      </c>
      <c r="G309" s="273">
        <f>'人员人工-研发人员工资'!G309</f>
        <v>0</v>
      </c>
      <c r="H309" s="274">
        <f t="shared" ref="H309:H337" si="118">IF($D309=0,0,ROUND(G309/$D309*$C309,2))</f>
        <v>0</v>
      </c>
      <c r="I309" s="273">
        <f>'人员人工-研发人员工资'!I309</f>
        <v>0</v>
      </c>
      <c r="J309" s="274">
        <f t="shared" ref="J309:J337" si="119">IF($D309=0,0,ROUND(I309/$D309*$C309,2))</f>
        <v>0</v>
      </c>
      <c r="K309" s="275">
        <f>'人员人工-研发人员工资'!K309</f>
        <v>0</v>
      </c>
      <c r="L309" s="274">
        <f t="shared" ref="L309:L337" si="120">IF($D309=0,0,ROUND(K309/$D309*$C309,2))</f>
        <v>0</v>
      </c>
      <c r="M309" s="273">
        <f>'人员人工-研发人员工资'!M309</f>
        <v>0</v>
      </c>
      <c r="N309" s="274">
        <f t="shared" ref="N309:N337" si="121">IF($D309=0,0,ROUND(M309/$D309*$C309,2))</f>
        <v>0</v>
      </c>
      <c r="O309" s="273">
        <f>'人员人工-研发人员工资'!O309</f>
        <v>0</v>
      </c>
      <c r="P309" s="274">
        <f t="shared" ref="P309:P337" si="122">IF($D309=0,0,ROUND(O309/$D309*$C309,2))</f>
        <v>0</v>
      </c>
      <c r="Q309" s="273">
        <f>'人员人工-研发人员工资'!Q309</f>
        <v>0</v>
      </c>
      <c r="R309" s="274">
        <f t="shared" ref="R309:R337" si="123">IF($D309=0,0,ROUND(Q309/$D309*$C309,2))</f>
        <v>0</v>
      </c>
      <c r="S309" s="273">
        <f>'人员人工-研发人员工资'!S309</f>
        <v>0</v>
      </c>
      <c r="T309" s="274">
        <f t="shared" ref="T309:T337" si="124">IF($D309=0,0,ROUND(S309/$D309*$C309,2))</f>
        <v>0</v>
      </c>
      <c r="U309" s="273">
        <f>'人员人工-研发人员工资'!U309</f>
        <v>0</v>
      </c>
      <c r="V309" s="274">
        <f t="shared" ref="V309:V337" si="125">IF($D309=0,0,ROUND(U309/$D309*$C309,2))</f>
        <v>0</v>
      </c>
      <c r="W309" s="273">
        <f>'人员人工-研发人员工资'!W309</f>
        <v>0</v>
      </c>
      <c r="X309" s="274">
        <f t="shared" ref="X309:X337" si="126">IF($D309=0,0,ROUND(W309/$D309*$C309,2))</f>
        <v>0</v>
      </c>
      <c r="Y309" s="273">
        <f>'人员人工-研发人员工资'!Y309</f>
        <v>0</v>
      </c>
      <c r="Z309" s="274">
        <f t="shared" ref="Z309:Z337" si="127">IF($D309=0,0,ROUND(Y309/$D309*$C309,2))</f>
        <v>0</v>
      </c>
    </row>
    <row r="310" s="251" customFormat="1" customHeight="1" spans="1:26">
      <c r="A310" s="270">
        <v>3</v>
      </c>
      <c r="B310" s="271">
        <f>'人员人工-研发人员工资'!B310</f>
        <v>0</v>
      </c>
      <c r="C310" s="272"/>
      <c r="D310" s="272">
        <f>'人员人工-研发人员工资'!D310</f>
        <v>0</v>
      </c>
      <c r="E310" s="272">
        <f t="shared" si="116"/>
        <v>0</v>
      </c>
      <c r="F310" s="272">
        <f t="shared" si="117"/>
        <v>0</v>
      </c>
      <c r="G310" s="273">
        <f>'人员人工-研发人员工资'!G310</f>
        <v>0</v>
      </c>
      <c r="H310" s="274">
        <f t="shared" si="118"/>
        <v>0</v>
      </c>
      <c r="I310" s="273">
        <f>'人员人工-研发人员工资'!I310</f>
        <v>0</v>
      </c>
      <c r="J310" s="274">
        <f t="shared" si="119"/>
        <v>0</v>
      </c>
      <c r="K310" s="275">
        <f>'人员人工-研发人员工资'!K310</f>
        <v>0</v>
      </c>
      <c r="L310" s="274">
        <f t="shared" si="120"/>
        <v>0</v>
      </c>
      <c r="M310" s="273">
        <f>'人员人工-研发人员工资'!M310</f>
        <v>0</v>
      </c>
      <c r="N310" s="274">
        <f t="shared" si="121"/>
        <v>0</v>
      </c>
      <c r="O310" s="273">
        <f>'人员人工-研发人员工资'!O310</f>
        <v>0</v>
      </c>
      <c r="P310" s="274">
        <f t="shared" si="122"/>
        <v>0</v>
      </c>
      <c r="Q310" s="273">
        <f>'人员人工-研发人员工资'!Q310</f>
        <v>0</v>
      </c>
      <c r="R310" s="274">
        <f t="shared" si="123"/>
        <v>0</v>
      </c>
      <c r="S310" s="273">
        <f>'人员人工-研发人员工资'!S310</f>
        <v>0</v>
      </c>
      <c r="T310" s="274">
        <f t="shared" si="124"/>
        <v>0</v>
      </c>
      <c r="U310" s="273">
        <f>'人员人工-研发人员工资'!U310</f>
        <v>0</v>
      </c>
      <c r="V310" s="274">
        <f t="shared" si="125"/>
        <v>0</v>
      </c>
      <c r="W310" s="273">
        <f>'人员人工-研发人员工资'!W310</f>
        <v>0</v>
      </c>
      <c r="X310" s="274">
        <f t="shared" si="126"/>
        <v>0</v>
      </c>
      <c r="Y310" s="273">
        <f>'人员人工-研发人员工资'!Y310</f>
        <v>0</v>
      </c>
      <c r="Z310" s="274">
        <f t="shared" si="127"/>
        <v>0</v>
      </c>
    </row>
    <row r="311" s="251" customFormat="1" customHeight="1" spans="1:26">
      <c r="A311" s="270">
        <v>4</v>
      </c>
      <c r="B311" s="271">
        <f>'人员人工-研发人员工资'!B311</f>
        <v>0</v>
      </c>
      <c r="C311" s="272"/>
      <c r="D311" s="272">
        <f>'人员人工-研发人员工资'!D311</f>
        <v>0</v>
      </c>
      <c r="E311" s="272">
        <f t="shared" si="116"/>
        <v>0</v>
      </c>
      <c r="F311" s="272">
        <f t="shared" si="117"/>
        <v>0</v>
      </c>
      <c r="G311" s="273">
        <f>'人员人工-研发人员工资'!G311</f>
        <v>0</v>
      </c>
      <c r="H311" s="274">
        <f t="shared" si="118"/>
        <v>0</v>
      </c>
      <c r="I311" s="273">
        <f>'人员人工-研发人员工资'!I311</f>
        <v>0</v>
      </c>
      <c r="J311" s="274">
        <f t="shared" si="119"/>
        <v>0</v>
      </c>
      <c r="K311" s="275">
        <f>'人员人工-研发人员工资'!K311</f>
        <v>0</v>
      </c>
      <c r="L311" s="274">
        <f t="shared" si="120"/>
        <v>0</v>
      </c>
      <c r="M311" s="273">
        <f>'人员人工-研发人员工资'!M311</f>
        <v>0</v>
      </c>
      <c r="N311" s="274">
        <f t="shared" si="121"/>
        <v>0</v>
      </c>
      <c r="O311" s="273">
        <f>'人员人工-研发人员工资'!O311</f>
        <v>0</v>
      </c>
      <c r="P311" s="274">
        <f t="shared" si="122"/>
        <v>0</v>
      </c>
      <c r="Q311" s="273">
        <f>'人员人工-研发人员工资'!Q311</f>
        <v>0</v>
      </c>
      <c r="R311" s="274">
        <f t="shared" si="123"/>
        <v>0</v>
      </c>
      <c r="S311" s="273">
        <f>'人员人工-研发人员工资'!S311</f>
        <v>0</v>
      </c>
      <c r="T311" s="274">
        <f t="shared" si="124"/>
        <v>0</v>
      </c>
      <c r="U311" s="273">
        <f>'人员人工-研发人员工资'!U311</f>
        <v>0</v>
      </c>
      <c r="V311" s="274">
        <f t="shared" si="125"/>
        <v>0</v>
      </c>
      <c r="W311" s="273">
        <f>'人员人工-研发人员工资'!W311</f>
        <v>0</v>
      </c>
      <c r="X311" s="274">
        <f t="shared" si="126"/>
        <v>0</v>
      </c>
      <c r="Y311" s="273">
        <f>'人员人工-研发人员工资'!Y311</f>
        <v>0</v>
      </c>
      <c r="Z311" s="274">
        <f t="shared" si="127"/>
        <v>0</v>
      </c>
    </row>
    <row r="312" s="251" customFormat="1" customHeight="1" spans="1:26">
      <c r="A312" s="270">
        <v>5</v>
      </c>
      <c r="B312" s="271">
        <f>'人员人工-研发人员工资'!B312</f>
        <v>0</v>
      </c>
      <c r="C312" s="272"/>
      <c r="D312" s="272">
        <f>'人员人工-研发人员工资'!D312</f>
        <v>0</v>
      </c>
      <c r="E312" s="272">
        <f t="shared" si="116"/>
        <v>0</v>
      </c>
      <c r="F312" s="272">
        <f t="shared" si="117"/>
        <v>0</v>
      </c>
      <c r="G312" s="273">
        <f>'人员人工-研发人员工资'!G312</f>
        <v>0</v>
      </c>
      <c r="H312" s="274">
        <f t="shared" si="118"/>
        <v>0</v>
      </c>
      <c r="I312" s="273">
        <f>'人员人工-研发人员工资'!I312</f>
        <v>0</v>
      </c>
      <c r="J312" s="274">
        <f t="shared" si="119"/>
        <v>0</v>
      </c>
      <c r="K312" s="275">
        <f>'人员人工-研发人员工资'!K312</f>
        <v>0</v>
      </c>
      <c r="L312" s="274">
        <f t="shared" si="120"/>
        <v>0</v>
      </c>
      <c r="M312" s="273">
        <f>'人员人工-研发人员工资'!M312</f>
        <v>0</v>
      </c>
      <c r="N312" s="274">
        <f t="shared" si="121"/>
        <v>0</v>
      </c>
      <c r="O312" s="273">
        <f>'人员人工-研发人员工资'!O312</f>
        <v>0</v>
      </c>
      <c r="P312" s="274">
        <f t="shared" si="122"/>
        <v>0</v>
      </c>
      <c r="Q312" s="273">
        <f>'人员人工-研发人员工资'!Q312</f>
        <v>0</v>
      </c>
      <c r="R312" s="274">
        <f t="shared" si="123"/>
        <v>0</v>
      </c>
      <c r="S312" s="273">
        <f>'人员人工-研发人员工资'!S312</f>
        <v>0</v>
      </c>
      <c r="T312" s="274">
        <f t="shared" si="124"/>
        <v>0</v>
      </c>
      <c r="U312" s="273">
        <f>'人员人工-研发人员工资'!U312</f>
        <v>0</v>
      </c>
      <c r="V312" s="274">
        <f t="shared" si="125"/>
        <v>0</v>
      </c>
      <c r="W312" s="273">
        <f>'人员人工-研发人员工资'!W312</f>
        <v>0</v>
      </c>
      <c r="X312" s="274">
        <f t="shared" si="126"/>
        <v>0</v>
      </c>
      <c r="Y312" s="273">
        <f>'人员人工-研发人员工资'!Y312</f>
        <v>0</v>
      </c>
      <c r="Z312" s="274">
        <f t="shared" si="127"/>
        <v>0</v>
      </c>
    </row>
    <row r="313" s="251" customFormat="1" customHeight="1" spans="1:26">
      <c r="A313" s="270">
        <v>6</v>
      </c>
      <c r="B313" s="271">
        <f>'人员人工-研发人员工资'!B313</f>
        <v>0</v>
      </c>
      <c r="C313" s="272"/>
      <c r="D313" s="272">
        <f>'人员人工-研发人员工资'!D313</f>
        <v>0</v>
      </c>
      <c r="E313" s="272">
        <f t="shared" si="116"/>
        <v>0</v>
      </c>
      <c r="F313" s="272">
        <f t="shared" si="117"/>
        <v>0</v>
      </c>
      <c r="G313" s="273">
        <f>'人员人工-研发人员工资'!G313</f>
        <v>0</v>
      </c>
      <c r="H313" s="274">
        <f t="shared" si="118"/>
        <v>0</v>
      </c>
      <c r="I313" s="273">
        <f>'人员人工-研发人员工资'!I313</f>
        <v>0</v>
      </c>
      <c r="J313" s="274">
        <f t="shared" si="119"/>
        <v>0</v>
      </c>
      <c r="K313" s="275">
        <f>'人员人工-研发人员工资'!K313</f>
        <v>0</v>
      </c>
      <c r="L313" s="274">
        <f t="shared" si="120"/>
        <v>0</v>
      </c>
      <c r="M313" s="273">
        <f>'人员人工-研发人员工资'!M313</f>
        <v>0</v>
      </c>
      <c r="N313" s="274">
        <f t="shared" si="121"/>
        <v>0</v>
      </c>
      <c r="O313" s="273">
        <f>'人员人工-研发人员工资'!O313</f>
        <v>0</v>
      </c>
      <c r="P313" s="274">
        <f t="shared" si="122"/>
        <v>0</v>
      </c>
      <c r="Q313" s="273">
        <f>'人员人工-研发人员工资'!Q313</f>
        <v>0</v>
      </c>
      <c r="R313" s="274">
        <f t="shared" si="123"/>
        <v>0</v>
      </c>
      <c r="S313" s="273">
        <f>'人员人工-研发人员工资'!S313</f>
        <v>0</v>
      </c>
      <c r="T313" s="274">
        <f t="shared" si="124"/>
        <v>0</v>
      </c>
      <c r="U313" s="273">
        <f>'人员人工-研发人员工资'!U313</f>
        <v>0</v>
      </c>
      <c r="V313" s="274">
        <f t="shared" si="125"/>
        <v>0</v>
      </c>
      <c r="W313" s="273">
        <f>'人员人工-研发人员工资'!W313</f>
        <v>0</v>
      </c>
      <c r="X313" s="274">
        <f t="shared" si="126"/>
        <v>0</v>
      </c>
      <c r="Y313" s="273">
        <f>'人员人工-研发人员工资'!Y313</f>
        <v>0</v>
      </c>
      <c r="Z313" s="274">
        <f t="shared" si="127"/>
        <v>0</v>
      </c>
    </row>
    <row r="314" s="251" customFormat="1" customHeight="1" spans="1:26">
      <c r="A314" s="270">
        <v>7</v>
      </c>
      <c r="B314" s="271">
        <f>'人员人工-研发人员工资'!B314</f>
        <v>0</v>
      </c>
      <c r="C314" s="272"/>
      <c r="D314" s="272">
        <f>'人员人工-研发人员工资'!D314</f>
        <v>0</v>
      </c>
      <c r="E314" s="272">
        <f t="shared" si="116"/>
        <v>0</v>
      </c>
      <c r="F314" s="272">
        <f t="shared" si="117"/>
        <v>0</v>
      </c>
      <c r="G314" s="273">
        <f>'人员人工-研发人员工资'!G314</f>
        <v>0</v>
      </c>
      <c r="H314" s="274">
        <f t="shared" si="118"/>
        <v>0</v>
      </c>
      <c r="I314" s="273">
        <f>'人员人工-研发人员工资'!I314</f>
        <v>0</v>
      </c>
      <c r="J314" s="274">
        <f t="shared" si="119"/>
        <v>0</v>
      </c>
      <c r="K314" s="275">
        <f>'人员人工-研发人员工资'!K314</f>
        <v>0</v>
      </c>
      <c r="L314" s="274">
        <f t="shared" si="120"/>
        <v>0</v>
      </c>
      <c r="M314" s="273">
        <f>'人员人工-研发人员工资'!M314</f>
        <v>0</v>
      </c>
      <c r="N314" s="274">
        <f t="shared" si="121"/>
        <v>0</v>
      </c>
      <c r="O314" s="273">
        <f>'人员人工-研发人员工资'!O314</f>
        <v>0</v>
      </c>
      <c r="P314" s="274">
        <f t="shared" si="122"/>
        <v>0</v>
      </c>
      <c r="Q314" s="273">
        <f>'人员人工-研发人员工资'!Q314</f>
        <v>0</v>
      </c>
      <c r="R314" s="274">
        <f t="shared" si="123"/>
        <v>0</v>
      </c>
      <c r="S314" s="273">
        <f>'人员人工-研发人员工资'!S314</f>
        <v>0</v>
      </c>
      <c r="T314" s="274">
        <f t="shared" si="124"/>
        <v>0</v>
      </c>
      <c r="U314" s="273">
        <f>'人员人工-研发人员工资'!U314</f>
        <v>0</v>
      </c>
      <c r="V314" s="274">
        <f t="shared" si="125"/>
        <v>0</v>
      </c>
      <c r="W314" s="273">
        <f>'人员人工-研发人员工资'!W314</f>
        <v>0</v>
      </c>
      <c r="X314" s="274">
        <f t="shared" si="126"/>
        <v>0</v>
      </c>
      <c r="Y314" s="273">
        <f>'人员人工-研发人员工资'!Y314</f>
        <v>0</v>
      </c>
      <c r="Z314" s="274">
        <f t="shared" si="127"/>
        <v>0</v>
      </c>
    </row>
    <row r="315" s="251" customFormat="1" customHeight="1" spans="1:26">
      <c r="A315" s="270">
        <v>8</v>
      </c>
      <c r="B315" s="271">
        <f>'人员人工-研发人员工资'!B315</f>
        <v>0</v>
      </c>
      <c r="C315" s="272"/>
      <c r="D315" s="272">
        <f>'人员人工-研发人员工资'!D315</f>
        <v>0</v>
      </c>
      <c r="E315" s="272">
        <f t="shared" si="116"/>
        <v>0</v>
      </c>
      <c r="F315" s="272">
        <f t="shared" si="117"/>
        <v>0</v>
      </c>
      <c r="G315" s="273">
        <f>'人员人工-研发人员工资'!G315</f>
        <v>0</v>
      </c>
      <c r="H315" s="274">
        <f t="shared" si="118"/>
        <v>0</v>
      </c>
      <c r="I315" s="273">
        <f>'人员人工-研发人员工资'!I315</f>
        <v>0</v>
      </c>
      <c r="J315" s="274">
        <f t="shared" si="119"/>
        <v>0</v>
      </c>
      <c r="K315" s="275">
        <f>'人员人工-研发人员工资'!K315</f>
        <v>0</v>
      </c>
      <c r="L315" s="274">
        <f t="shared" si="120"/>
        <v>0</v>
      </c>
      <c r="M315" s="273">
        <f>'人员人工-研发人员工资'!M315</f>
        <v>0</v>
      </c>
      <c r="N315" s="274">
        <f t="shared" si="121"/>
        <v>0</v>
      </c>
      <c r="O315" s="273">
        <f>'人员人工-研发人员工资'!O315</f>
        <v>0</v>
      </c>
      <c r="P315" s="274">
        <f t="shared" si="122"/>
        <v>0</v>
      </c>
      <c r="Q315" s="273">
        <f>'人员人工-研发人员工资'!Q315</f>
        <v>0</v>
      </c>
      <c r="R315" s="274">
        <f t="shared" si="123"/>
        <v>0</v>
      </c>
      <c r="S315" s="273">
        <f>'人员人工-研发人员工资'!S315</f>
        <v>0</v>
      </c>
      <c r="T315" s="274">
        <f t="shared" si="124"/>
        <v>0</v>
      </c>
      <c r="U315" s="273">
        <f>'人员人工-研发人员工资'!U315</f>
        <v>0</v>
      </c>
      <c r="V315" s="274">
        <f t="shared" si="125"/>
        <v>0</v>
      </c>
      <c r="W315" s="273">
        <f>'人员人工-研发人员工资'!W315</f>
        <v>0</v>
      </c>
      <c r="X315" s="274">
        <f t="shared" si="126"/>
        <v>0</v>
      </c>
      <c r="Y315" s="273">
        <f>'人员人工-研发人员工资'!Y315</f>
        <v>0</v>
      </c>
      <c r="Z315" s="274">
        <f t="shared" si="127"/>
        <v>0</v>
      </c>
    </row>
    <row r="316" s="251" customFormat="1" customHeight="1" spans="1:26">
      <c r="A316" s="270">
        <v>9</v>
      </c>
      <c r="B316" s="271">
        <f>'人员人工-研发人员工资'!B316</f>
        <v>0</v>
      </c>
      <c r="C316" s="272"/>
      <c r="D316" s="272">
        <f>'人员人工-研发人员工资'!D316</f>
        <v>0</v>
      </c>
      <c r="E316" s="272">
        <f t="shared" si="116"/>
        <v>0</v>
      </c>
      <c r="F316" s="272">
        <f t="shared" si="117"/>
        <v>0</v>
      </c>
      <c r="G316" s="273">
        <f>'人员人工-研发人员工资'!G316</f>
        <v>0</v>
      </c>
      <c r="H316" s="274">
        <f t="shared" si="118"/>
        <v>0</v>
      </c>
      <c r="I316" s="273">
        <f>'人员人工-研发人员工资'!I316</f>
        <v>0</v>
      </c>
      <c r="J316" s="274">
        <f t="shared" si="119"/>
        <v>0</v>
      </c>
      <c r="K316" s="275">
        <f>'人员人工-研发人员工资'!K316</f>
        <v>0</v>
      </c>
      <c r="L316" s="274">
        <f t="shared" si="120"/>
        <v>0</v>
      </c>
      <c r="M316" s="273">
        <f>'人员人工-研发人员工资'!M316</f>
        <v>0</v>
      </c>
      <c r="N316" s="274">
        <f t="shared" si="121"/>
        <v>0</v>
      </c>
      <c r="O316" s="273">
        <f>'人员人工-研发人员工资'!O316</f>
        <v>0</v>
      </c>
      <c r="P316" s="274">
        <f t="shared" si="122"/>
        <v>0</v>
      </c>
      <c r="Q316" s="273">
        <f>'人员人工-研发人员工资'!Q316</f>
        <v>0</v>
      </c>
      <c r="R316" s="274">
        <f t="shared" si="123"/>
        <v>0</v>
      </c>
      <c r="S316" s="273">
        <f>'人员人工-研发人员工资'!S316</f>
        <v>0</v>
      </c>
      <c r="T316" s="274">
        <f t="shared" si="124"/>
        <v>0</v>
      </c>
      <c r="U316" s="273">
        <f>'人员人工-研发人员工资'!U316</f>
        <v>0</v>
      </c>
      <c r="V316" s="274">
        <f t="shared" si="125"/>
        <v>0</v>
      </c>
      <c r="W316" s="273">
        <f>'人员人工-研发人员工资'!W316</f>
        <v>0</v>
      </c>
      <c r="X316" s="274">
        <f t="shared" si="126"/>
        <v>0</v>
      </c>
      <c r="Y316" s="273">
        <f>'人员人工-研发人员工资'!Y316</f>
        <v>0</v>
      </c>
      <c r="Z316" s="274">
        <f t="shared" si="127"/>
        <v>0</v>
      </c>
    </row>
    <row r="317" s="251" customFormat="1" customHeight="1" spans="1:26">
      <c r="A317" s="270">
        <v>10</v>
      </c>
      <c r="B317" s="271">
        <f>'人员人工-研发人员工资'!B317</f>
        <v>0</v>
      </c>
      <c r="C317" s="272"/>
      <c r="D317" s="272">
        <f>'人员人工-研发人员工资'!D317</f>
        <v>0</v>
      </c>
      <c r="E317" s="272">
        <f t="shared" si="116"/>
        <v>0</v>
      </c>
      <c r="F317" s="272">
        <f t="shared" si="117"/>
        <v>0</v>
      </c>
      <c r="G317" s="273">
        <f>'人员人工-研发人员工资'!G317</f>
        <v>0</v>
      </c>
      <c r="H317" s="274">
        <f t="shared" si="118"/>
        <v>0</v>
      </c>
      <c r="I317" s="273">
        <f>'人员人工-研发人员工资'!I317</f>
        <v>0</v>
      </c>
      <c r="J317" s="274">
        <f t="shared" si="119"/>
        <v>0</v>
      </c>
      <c r="K317" s="275">
        <f>'人员人工-研发人员工资'!K317</f>
        <v>0</v>
      </c>
      <c r="L317" s="274">
        <f t="shared" si="120"/>
        <v>0</v>
      </c>
      <c r="M317" s="273">
        <f>'人员人工-研发人员工资'!M317</f>
        <v>0</v>
      </c>
      <c r="N317" s="274">
        <f t="shared" si="121"/>
        <v>0</v>
      </c>
      <c r="O317" s="273">
        <f>'人员人工-研发人员工资'!O317</f>
        <v>0</v>
      </c>
      <c r="P317" s="274">
        <f t="shared" si="122"/>
        <v>0</v>
      </c>
      <c r="Q317" s="273">
        <f>'人员人工-研发人员工资'!Q317</f>
        <v>0</v>
      </c>
      <c r="R317" s="274">
        <f t="shared" si="123"/>
        <v>0</v>
      </c>
      <c r="S317" s="273">
        <f>'人员人工-研发人员工资'!S317</f>
        <v>0</v>
      </c>
      <c r="T317" s="274">
        <f t="shared" si="124"/>
        <v>0</v>
      </c>
      <c r="U317" s="273">
        <f>'人员人工-研发人员工资'!U317</f>
        <v>0</v>
      </c>
      <c r="V317" s="274">
        <f t="shared" si="125"/>
        <v>0</v>
      </c>
      <c r="W317" s="273">
        <f>'人员人工-研发人员工资'!W317</f>
        <v>0</v>
      </c>
      <c r="X317" s="274">
        <f t="shared" si="126"/>
        <v>0</v>
      </c>
      <c r="Y317" s="273">
        <f>'人员人工-研发人员工资'!Y317</f>
        <v>0</v>
      </c>
      <c r="Z317" s="274">
        <f t="shared" si="127"/>
        <v>0</v>
      </c>
    </row>
    <row r="318" s="251" customFormat="1" customHeight="1" spans="1:26">
      <c r="A318" s="270">
        <v>11</v>
      </c>
      <c r="B318" s="271">
        <f>'人员人工-研发人员工资'!B318</f>
        <v>0</v>
      </c>
      <c r="C318" s="272"/>
      <c r="D318" s="272">
        <f>'人员人工-研发人员工资'!D318</f>
        <v>0</v>
      </c>
      <c r="E318" s="272">
        <f t="shared" si="116"/>
        <v>0</v>
      </c>
      <c r="F318" s="272">
        <f t="shared" si="117"/>
        <v>0</v>
      </c>
      <c r="G318" s="273">
        <f>'人员人工-研发人员工资'!G318</f>
        <v>0</v>
      </c>
      <c r="H318" s="274">
        <f t="shared" si="118"/>
        <v>0</v>
      </c>
      <c r="I318" s="273">
        <f>'人员人工-研发人员工资'!I318</f>
        <v>0</v>
      </c>
      <c r="J318" s="274">
        <f t="shared" si="119"/>
        <v>0</v>
      </c>
      <c r="K318" s="275">
        <f>'人员人工-研发人员工资'!K318</f>
        <v>0</v>
      </c>
      <c r="L318" s="274">
        <f t="shared" si="120"/>
        <v>0</v>
      </c>
      <c r="M318" s="273">
        <f>'人员人工-研发人员工资'!M318</f>
        <v>0</v>
      </c>
      <c r="N318" s="274">
        <f t="shared" si="121"/>
        <v>0</v>
      </c>
      <c r="O318" s="273">
        <f>'人员人工-研发人员工资'!O318</f>
        <v>0</v>
      </c>
      <c r="P318" s="274">
        <f t="shared" si="122"/>
        <v>0</v>
      </c>
      <c r="Q318" s="273">
        <f>'人员人工-研发人员工资'!Q318</f>
        <v>0</v>
      </c>
      <c r="R318" s="274">
        <f t="shared" si="123"/>
        <v>0</v>
      </c>
      <c r="S318" s="273">
        <f>'人员人工-研发人员工资'!S318</f>
        <v>0</v>
      </c>
      <c r="T318" s="274">
        <f t="shared" si="124"/>
        <v>0</v>
      </c>
      <c r="U318" s="273">
        <f>'人员人工-研发人员工资'!U318</f>
        <v>0</v>
      </c>
      <c r="V318" s="274">
        <f t="shared" si="125"/>
        <v>0</v>
      </c>
      <c r="W318" s="273">
        <f>'人员人工-研发人员工资'!W318</f>
        <v>0</v>
      </c>
      <c r="X318" s="274">
        <f t="shared" si="126"/>
        <v>0</v>
      </c>
      <c r="Y318" s="273">
        <f>'人员人工-研发人员工资'!Y318</f>
        <v>0</v>
      </c>
      <c r="Z318" s="274">
        <f t="shared" si="127"/>
        <v>0</v>
      </c>
    </row>
    <row r="319" s="251" customFormat="1" customHeight="1" spans="1:26">
      <c r="A319" s="270">
        <v>12</v>
      </c>
      <c r="B319" s="271">
        <f>'人员人工-研发人员工资'!B319</f>
        <v>0</v>
      </c>
      <c r="C319" s="272"/>
      <c r="D319" s="272">
        <f>'人员人工-研发人员工资'!D319</f>
        <v>0</v>
      </c>
      <c r="E319" s="272">
        <f t="shared" si="116"/>
        <v>0</v>
      </c>
      <c r="F319" s="272">
        <f t="shared" si="117"/>
        <v>0</v>
      </c>
      <c r="G319" s="273">
        <f>'人员人工-研发人员工资'!G319</f>
        <v>0</v>
      </c>
      <c r="H319" s="274">
        <f t="shared" si="118"/>
        <v>0</v>
      </c>
      <c r="I319" s="273">
        <f>'人员人工-研发人员工资'!I319</f>
        <v>0</v>
      </c>
      <c r="J319" s="274">
        <f t="shared" si="119"/>
        <v>0</v>
      </c>
      <c r="K319" s="275">
        <f>'人员人工-研发人员工资'!K319</f>
        <v>0</v>
      </c>
      <c r="L319" s="274">
        <f t="shared" si="120"/>
        <v>0</v>
      </c>
      <c r="M319" s="273">
        <f>'人员人工-研发人员工资'!M319</f>
        <v>0</v>
      </c>
      <c r="N319" s="274">
        <f t="shared" si="121"/>
        <v>0</v>
      </c>
      <c r="O319" s="273">
        <f>'人员人工-研发人员工资'!O319</f>
        <v>0</v>
      </c>
      <c r="P319" s="274">
        <f t="shared" si="122"/>
        <v>0</v>
      </c>
      <c r="Q319" s="273">
        <f>'人员人工-研发人员工资'!Q319</f>
        <v>0</v>
      </c>
      <c r="R319" s="274">
        <f t="shared" si="123"/>
        <v>0</v>
      </c>
      <c r="S319" s="273">
        <f>'人员人工-研发人员工资'!S319</f>
        <v>0</v>
      </c>
      <c r="T319" s="274">
        <f t="shared" si="124"/>
        <v>0</v>
      </c>
      <c r="U319" s="273">
        <f>'人员人工-研发人员工资'!U319</f>
        <v>0</v>
      </c>
      <c r="V319" s="274">
        <f t="shared" si="125"/>
        <v>0</v>
      </c>
      <c r="W319" s="273">
        <f>'人员人工-研发人员工资'!W319</f>
        <v>0</v>
      </c>
      <c r="X319" s="274">
        <f t="shared" si="126"/>
        <v>0</v>
      </c>
      <c r="Y319" s="273">
        <f>'人员人工-研发人员工资'!Y319</f>
        <v>0</v>
      </c>
      <c r="Z319" s="274">
        <f t="shared" si="127"/>
        <v>0</v>
      </c>
    </row>
    <row r="320" s="251" customFormat="1" customHeight="1" spans="1:26">
      <c r="A320" s="270">
        <v>13</v>
      </c>
      <c r="B320" s="271">
        <f>'人员人工-研发人员工资'!B320</f>
        <v>0</v>
      </c>
      <c r="C320" s="272"/>
      <c r="D320" s="272">
        <f>'人员人工-研发人员工资'!D320</f>
        <v>0</v>
      </c>
      <c r="E320" s="272">
        <f t="shared" si="116"/>
        <v>0</v>
      </c>
      <c r="F320" s="272">
        <f t="shared" si="117"/>
        <v>0</v>
      </c>
      <c r="G320" s="273">
        <f>'人员人工-研发人员工资'!G320</f>
        <v>0</v>
      </c>
      <c r="H320" s="274">
        <f t="shared" si="118"/>
        <v>0</v>
      </c>
      <c r="I320" s="273">
        <f>'人员人工-研发人员工资'!I320</f>
        <v>0</v>
      </c>
      <c r="J320" s="274">
        <f t="shared" si="119"/>
        <v>0</v>
      </c>
      <c r="K320" s="275">
        <f>'人员人工-研发人员工资'!K320</f>
        <v>0</v>
      </c>
      <c r="L320" s="274">
        <f t="shared" si="120"/>
        <v>0</v>
      </c>
      <c r="M320" s="273">
        <f>'人员人工-研发人员工资'!M320</f>
        <v>0</v>
      </c>
      <c r="N320" s="274">
        <f t="shared" si="121"/>
        <v>0</v>
      </c>
      <c r="O320" s="273">
        <f>'人员人工-研发人员工资'!O320</f>
        <v>0</v>
      </c>
      <c r="P320" s="274">
        <f t="shared" si="122"/>
        <v>0</v>
      </c>
      <c r="Q320" s="273">
        <f>'人员人工-研发人员工资'!Q320</f>
        <v>0</v>
      </c>
      <c r="R320" s="274">
        <f t="shared" si="123"/>
        <v>0</v>
      </c>
      <c r="S320" s="273">
        <f>'人员人工-研发人员工资'!S320</f>
        <v>0</v>
      </c>
      <c r="T320" s="274">
        <f t="shared" si="124"/>
        <v>0</v>
      </c>
      <c r="U320" s="273">
        <f>'人员人工-研发人员工资'!U320</f>
        <v>0</v>
      </c>
      <c r="V320" s="274">
        <f t="shared" si="125"/>
        <v>0</v>
      </c>
      <c r="W320" s="273">
        <f>'人员人工-研发人员工资'!W320</f>
        <v>0</v>
      </c>
      <c r="X320" s="274">
        <f t="shared" si="126"/>
        <v>0</v>
      </c>
      <c r="Y320" s="273">
        <f>'人员人工-研发人员工资'!Y320</f>
        <v>0</v>
      </c>
      <c r="Z320" s="274">
        <f t="shared" si="127"/>
        <v>0</v>
      </c>
    </row>
    <row r="321" s="251" customFormat="1" customHeight="1" spans="1:26">
      <c r="A321" s="270">
        <v>14</v>
      </c>
      <c r="B321" s="271">
        <f>'人员人工-研发人员工资'!B321</f>
        <v>0</v>
      </c>
      <c r="C321" s="272"/>
      <c r="D321" s="272">
        <f>'人员人工-研发人员工资'!D321</f>
        <v>0</v>
      </c>
      <c r="E321" s="272">
        <f t="shared" si="116"/>
        <v>0</v>
      </c>
      <c r="F321" s="272">
        <f t="shared" si="117"/>
        <v>0</v>
      </c>
      <c r="G321" s="273">
        <f>'人员人工-研发人员工资'!G321</f>
        <v>0</v>
      </c>
      <c r="H321" s="274">
        <f t="shared" si="118"/>
        <v>0</v>
      </c>
      <c r="I321" s="273">
        <f>'人员人工-研发人员工资'!I321</f>
        <v>0</v>
      </c>
      <c r="J321" s="274">
        <f t="shared" si="119"/>
        <v>0</v>
      </c>
      <c r="K321" s="275">
        <f>'人员人工-研发人员工资'!K321</f>
        <v>0</v>
      </c>
      <c r="L321" s="274">
        <f t="shared" si="120"/>
        <v>0</v>
      </c>
      <c r="M321" s="273">
        <f>'人员人工-研发人员工资'!M321</f>
        <v>0</v>
      </c>
      <c r="N321" s="274">
        <f t="shared" si="121"/>
        <v>0</v>
      </c>
      <c r="O321" s="273">
        <f>'人员人工-研发人员工资'!O321</f>
        <v>0</v>
      </c>
      <c r="P321" s="274">
        <f t="shared" si="122"/>
        <v>0</v>
      </c>
      <c r="Q321" s="273">
        <f>'人员人工-研发人员工资'!Q321</f>
        <v>0</v>
      </c>
      <c r="R321" s="274">
        <f t="shared" si="123"/>
        <v>0</v>
      </c>
      <c r="S321" s="273">
        <f>'人员人工-研发人员工资'!S321</f>
        <v>0</v>
      </c>
      <c r="T321" s="274">
        <f t="shared" si="124"/>
        <v>0</v>
      </c>
      <c r="U321" s="273">
        <f>'人员人工-研发人员工资'!U321</f>
        <v>0</v>
      </c>
      <c r="V321" s="274">
        <f t="shared" si="125"/>
        <v>0</v>
      </c>
      <c r="W321" s="273">
        <f>'人员人工-研发人员工资'!W321</f>
        <v>0</v>
      </c>
      <c r="X321" s="274">
        <f t="shared" si="126"/>
        <v>0</v>
      </c>
      <c r="Y321" s="273">
        <f>'人员人工-研发人员工资'!Y321</f>
        <v>0</v>
      </c>
      <c r="Z321" s="274">
        <f t="shared" si="127"/>
        <v>0</v>
      </c>
    </row>
    <row r="322" s="251" customFormat="1" customHeight="1" spans="1:26">
      <c r="A322" s="270">
        <v>15</v>
      </c>
      <c r="B322" s="271">
        <f>'人员人工-研发人员工资'!B322</f>
        <v>0</v>
      </c>
      <c r="C322" s="272"/>
      <c r="D322" s="272">
        <f>'人员人工-研发人员工资'!D322</f>
        <v>0</v>
      </c>
      <c r="E322" s="272">
        <f t="shared" si="116"/>
        <v>0</v>
      </c>
      <c r="F322" s="272">
        <f t="shared" si="117"/>
        <v>0</v>
      </c>
      <c r="G322" s="273">
        <f>'人员人工-研发人员工资'!G322</f>
        <v>0</v>
      </c>
      <c r="H322" s="274">
        <f t="shared" si="118"/>
        <v>0</v>
      </c>
      <c r="I322" s="273">
        <f>'人员人工-研发人员工资'!I322</f>
        <v>0</v>
      </c>
      <c r="J322" s="274">
        <f t="shared" si="119"/>
        <v>0</v>
      </c>
      <c r="K322" s="275">
        <f>'人员人工-研发人员工资'!K322</f>
        <v>0</v>
      </c>
      <c r="L322" s="274">
        <f t="shared" si="120"/>
        <v>0</v>
      </c>
      <c r="M322" s="273">
        <f>'人员人工-研发人员工资'!M322</f>
        <v>0</v>
      </c>
      <c r="N322" s="274">
        <f t="shared" si="121"/>
        <v>0</v>
      </c>
      <c r="O322" s="273">
        <f>'人员人工-研发人员工资'!O322</f>
        <v>0</v>
      </c>
      <c r="P322" s="274">
        <f t="shared" si="122"/>
        <v>0</v>
      </c>
      <c r="Q322" s="273">
        <f>'人员人工-研发人员工资'!Q322</f>
        <v>0</v>
      </c>
      <c r="R322" s="274">
        <f t="shared" si="123"/>
        <v>0</v>
      </c>
      <c r="S322" s="273">
        <f>'人员人工-研发人员工资'!S322</f>
        <v>0</v>
      </c>
      <c r="T322" s="274">
        <f t="shared" si="124"/>
        <v>0</v>
      </c>
      <c r="U322" s="273">
        <f>'人员人工-研发人员工资'!U322</f>
        <v>0</v>
      </c>
      <c r="V322" s="274">
        <f t="shared" si="125"/>
        <v>0</v>
      </c>
      <c r="W322" s="273">
        <f>'人员人工-研发人员工资'!W322</f>
        <v>0</v>
      </c>
      <c r="X322" s="274">
        <f t="shared" si="126"/>
        <v>0</v>
      </c>
      <c r="Y322" s="273">
        <f>'人员人工-研发人员工资'!Y322</f>
        <v>0</v>
      </c>
      <c r="Z322" s="274">
        <f t="shared" si="127"/>
        <v>0</v>
      </c>
    </row>
    <row r="323" s="251" customFormat="1" customHeight="1" spans="1:26">
      <c r="A323" s="270">
        <v>16</v>
      </c>
      <c r="B323" s="271">
        <f>'人员人工-研发人员工资'!B323</f>
        <v>0</v>
      </c>
      <c r="C323" s="272"/>
      <c r="D323" s="272">
        <f>'人员人工-研发人员工资'!D323</f>
        <v>0</v>
      </c>
      <c r="E323" s="272">
        <f t="shared" si="116"/>
        <v>0</v>
      </c>
      <c r="F323" s="272">
        <f t="shared" si="117"/>
        <v>0</v>
      </c>
      <c r="G323" s="273">
        <f>'人员人工-研发人员工资'!G323</f>
        <v>0</v>
      </c>
      <c r="H323" s="274">
        <f t="shared" si="118"/>
        <v>0</v>
      </c>
      <c r="I323" s="273">
        <f>'人员人工-研发人员工资'!I323</f>
        <v>0</v>
      </c>
      <c r="J323" s="274">
        <f t="shared" si="119"/>
        <v>0</v>
      </c>
      <c r="K323" s="275">
        <f>'人员人工-研发人员工资'!K323</f>
        <v>0</v>
      </c>
      <c r="L323" s="274">
        <f t="shared" si="120"/>
        <v>0</v>
      </c>
      <c r="M323" s="273">
        <f>'人员人工-研发人员工资'!M323</f>
        <v>0</v>
      </c>
      <c r="N323" s="274">
        <f t="shared" si="121"/>
        <v>0</v>
      </c>
      <c r="O323" s="273">
        <f>'人员人工-研发人员工资'!O323</f>
        <v>0</v>
      </c>
      <c r="P323" s="274">
        <f t="shared" si="122"/>
        <v>0</v>
      </c>
      <c r="Q323" s="273">
        <f>'人员人工-研发人员工资'!Q323</f>
        <v>0</v>
      </c>
      <c r="R323" s="274">
        <f t="shared" si="123"/>
        <v>0</v>
      </c>
      <c r="S323" s="273">
        <f>'人员人工-研发人员工资'!S323</f>
        <v>0</v>
      </c>
      <c r="T323" s="274">
        <f t="shared" si="124"/>
        <v>0</v>
      </c>
      <c r="U323" s="273">
        <f>'人员人工-研发人员工资'!U323</f>
        <v>0</v>
      </c>
      <c r="V323" s="274">
        <f t="shared" si="125"/>
        <v>0</v>
      </c>
      <c r="W323" s="273">
        <f>'人员人工-研发人员工资'!W323</f>
        <v>0</v>
      </c>
      <c r="X323" s="274">
        <f t="shared" si="126"/>
        <v>0</v>
      </c>
      <c r="Y323" s="273">
        <f>'人员人工-研发人员工资'!Y323</f>
        <v>0</v>
      </c>
      <c r="Z323" s="274">
        <f t="shared" si="127"/>
        <v>0</v>
      </c>
    </row>
    <row r="324" s="251" customFormat="1" customHeight="1" spans="1:26">
      <c r="A324" s="270">
        <v>17</v>
      </c>
      <c r="B324" s="271">
        <f>'人员人工-研发人员工资'!B324</f>
        <v>0</v>
      </c>
      <c r="C324" s="272"/>
      <c r="D324" s="272">
        <f>'人员人工-研发人员工资'!D324</f>
        <v>0</v>
      </c>
      <c r="E324" s="272">
        <f t="shared" si="116"/>
        <v>0</v>
      </c>
      <c r="F324" s="272">
        <f t="shared" si="117"/>
        <v>0</v>
      </c>
      <c r="G324" s="273">
        <f>'人员人工-研发人员工资'!G325</f>
        <v>0</v>
      </c>
      <c r="H324" s="274">
        <f t="shared" si="118"/>
        <v>0</v>
      </c>
      <c r="I324" s="273">
        <f>'人员人工-研发人员工资'!I325</f>
        <v>0</v>
      </c>
      <c r="J324" s="274">
        <f t="shared" si="119"/>
        <v>0</v>
      </c>
      <c r="K324" s="275">
        <f>'人员人工-研发人员工资'!K325</f>
        <v>0</v>
      </c>
      <c r="L324" s="274">
        <f t="shared" si="120"/>
        <v>0</v>
      </c>
      <c r="M324" s="273">
        <f>'人员人工-研发人员工资'!M325</f>
        <v>0</v>
      </c>
      <c r="N324" s="274">
        <f t="shared" si="121"/>
        <v>0</v>
      </c>
      <c r="O324" s="273">
        <f>'人员人工-研发人员工资'!O325</f>
        <v>0</v>
      </c>
      <c r="P324" s="274">
        <f t="shared" si="122"/>
        <v>0</v>
      </c>
      <c r="Q324" s="273">
        <f>'人员人工-研发人员工资'!Q325</f>
        <v>0</v>
      </c>
      <c r="R324" s="274">
        <f t="shared" si="123"/>
        <v>0</v>
      </c>
      <c r="S324" s="273">
        <f>'人员人工-研发人员工资'!S325</f>
        <v>0</v>
      </c>
      <c r="T324" s="274">
        <f t="shared" si="124"/>
        <v>0</v>
      </c>
      <c r="U324" s="273">
        <f>'人员人工-研发人员工资'!U325</f>
        <v>0</v>
      </c>
      <c r="V324" s="274">
        <f t="shared" si="125"/>
        <v>0</v>
      </c>
      <c r="W324" s="273">
        <f>'人员人工-研发人员工资'!W325</f>
        <v>0</v>
      </c>
      <c r="X324" s="274">
        <f t="shared" si="126"/>
        <v>0</v>
      </c>
      <c r="Y324" s="273">
        <f>'人员人工-研发人员工资'!Y325</f>
        <v>0</v>
      </c>
      <c r="Z324" s="274">
        <f t="shared" si="127"/>
        <v>0</v>
      </c>
    </row>
    <row r="325" s="251" customFormat="1" customHeight="1" spans="1:26">
      <c r="A325" s="270">
        <v>18</v>
      </c>
      <c r="B325" s="271">
        <f>'人员人工-研发人员工资'!B325</f>
        <v>0</v>
      </c>
      <c r="C325" s="272"/>
      <c r="D325" s="272">
        <f>'人员人工-研发人员工资'!D325</f>
        <v>0</v>
      </c>
      <c r="E325" s="272">
        <f t="shared" si="116"/>
        <v>0</v>
      </c>
      <c r="F325" s="272">
        <f t="shared" si="117"/>
        <v>0</v>
      </c>
      <c r="G325" s="273">
        <f>'人员人工-研发人员工资'!G325</f>
        <v>0</v>
      </c>
      <c r="H325" s="274">
        <f t="shared" si="118"/>
        <v>0</v>
      </c>
      <c r="I325" s="273">
        <f>'人员人工-研发人员工资'!I325</f>
        <v>0</v>
      </c>
      <c r="J325" s="274">
        <f t="shared" si="119"/>
        <v>0</v>
      </c>
      <c r="K325" s="275">
        <f>'人员人工-研发人员工资'!K325</f>
        <v>0</v>
      </c>
      <c r="L325" s="274">
        <f t="shared" si="120"/>
        <v>0</v>
      </c>
      <c r="M325" s="273">
        <f>'人员人工-研发人员工资'!M325</f>
        <v>0</v>
      </c>
      <c r="N325" s="274">
        <f t="shared" si="121"/>
        <v>0</v>
      </c>
      <c r="O325" s="273">
        <f>'人员人工-研发人员工资'!O325</f>
        <v>0</v>
      </c>
      <c r="P325" s="274">
        <f t="shared" si="122"/>
        <v>0</v>
      </c>
      <c r="Q325" s="273">
        <f>'人员人工-研发人员工资'!Q325</f>
        <v>0</v>
      </c>
      <c r="R325" s="274">
        <f t="shared" si="123"/>
        <v>0</v>
      </c>
      <c r="S325" s="273">
        <f>'人员人工-研发人员工资'!S325</f>
        <v>0</v>
      </c>
      <c r="T325" s="274">
        <f t="shared" si="124"/>
        <v>0</v>
      </c>
      <c r="U325" s="273">
        <f>'人员人工-研发人员工资'!U325</f>
        <v>0</v>
      </c>
      <c r="V325" s="274">
        <f t="shared" si="125"/>
        <v>0</v>
      </c>
      <c r="W325" s="273">
        <f>'人员人工-研发人员工资'!W325</f>
        <v>0</v>
      </c>
      <c r="X325" s="274">
        <f t="shared" si="126"/>
        <v>0</v>
      </c>
      <c r="Y325" s="273">
        <f>'人员人工-研发人员工资'!Y325</f>
        <v>0</v>
      </c>
      <c r="Z325" s="274">
        <f t="shared" si="127"/>
        <v>0</v>
      </c>
    </row>
    <row r="326" s="251" customFormat="1" customHeight="1" spans="1:26">
      <c r="A326" s="270">
        <v>19</v>
      </c>
      <c r="B326" s="271">
        <f>'人员人工-研发人员工资'!B326</f>
        <v>0</v>
      </c>
      <c r="C326" s="272"/>
      <c r="D326" s="272">
        <f>'人员人工-研发人员工资'!D326</f>
        <v>0</v>
      </c>
      <c r="E326" s="272">
        <f t="shared" si="116"/>
        <v>0</v>
      </c>
      <c r="F326" s="272">
        <f t="shared" si="117"/>
        <v>0</v>
      </c>
      <c r="G326" s="273">
        <f>'人员人工-研发人员工资'!G326</f>
        <v>0</v>
      </c>
      <c r="H326" s="274">
        <f t="shared" si="118"/>
        <v>0</v>
      </c>
      <c r="I326" s="273">
        <f>'人员人工-研发人员工资'!I326</f>
        <v>0</v>
      </c>
      <c r="J326" s="274">
        <f t="shared" si="119"/>
        <v>0</v>
      </c>
      <c r="K326" s="275">
        <f>'人员人工-研发人员工资'!K326</f>
        <v>0</v>
      </c>
      <c r="L326" s="274">
        <f t="shared" si="120"/>
        <v>0</v>
      </c>
      <c r="M326" s="273">
        <f>'人员人工-研发人员工资'!M326</f>
        <v>0</v>
      </c>
      <c r="N326" s="274">
        <f t="shared" si="121"/>
        <v>0</v>
      </c>
      <c r="O326" s="273">
        <f>'人员人工-研发人员工资'!O326</f>
        <v>0</v>
      </c>
      <c r="P326" s="274">
        <f t="shared" si="122"/>
        <v>0</v>
      </c>
      <c r="Q326" s="273">
        <f>'人员人工-研发人员工资'!Q326</f>
        <v>0</v>
      </c>
      <c r="R326" s="274">
        <f t="shared" si="123"/>
        <v>0</v>
      </c>
      <c r="S326" s="273">
        <f>'人员人工-研发人员工资'!S326</f>
        <v>0</v>
      </c>
      <c r="T326" s="274">
        <f t="shared" si="124"/>
        <v>0</v>
      </c>
      <c r="U326" s="273">
        <f>'人员人工-研发人员工资'!U326</f>
        <v>0</v>
      </c>
      <c r="V326" s="274">
        <f t="shared" si="125"/>
        <v>0</v>
      </c>
      <c r="W326" s="273">
        <f>'人员人工-研发人员工资'!W326</f>
        <v>0</v>
      </c>
      <c r="X326" s="274">
        <f t="shared" si="126"/>
        <v>0</v>
      </c>
      <c r="Y326" s="273">
        <f>'人员人工-研发人员工资'!Y326</f>
        <v>0</v>
      </c>
      <c r="Z326" s="274">
        <f t="shared" si="127"/>
        <v>0</v>
      </c>
    </row>
    <row r="327" s="251" customFormat="1" customHeight="1" spans="1:26">
      <c r="A327" s="270">
        <v>20</v>
      </c>
      <c r="B327" s="271">
        <f>'人员人工-研发人员工资'!B327</f>
        <v>0</v>
      </c>
      <c r="C327" s="272"/>
      <c r="D327" s="272">
        <f>'人员人工-研发人员工资'!D327</f>
        <v>0</v>
      </c>
      <c r="E327" s="272">
        <f t="shared" si="116"/>
        <v>0</v>
      </c>
      <c r="F327" s="272">
        <f t="shared" si="117"/>
        <v>0</v>
      </c>
      <c r="G327" s="273">
        <f>'人员人工-研发人员工资'!G327</f>
        <v>0</v>
      </c>
      <c r="H327" s="274">
        <f t="shared" si="118"/>
        <v>0</v>
      </c>
      <c r="I327" s="273">
        <f>'人员人工-研发人员工资'!I327</f>
        <v>0</v>
      </c>
      <c r="J327" s="274">
        <f t="shared" si="119"/>
        <v>0</v>
      </c>
      <c r="K327" s="275">
        <f>'人员人工-研发人员工资'!K327</f>
        <v>0</v>
      </c>
      <c r="L327" s="274">
        <f t="shared" si="120"/>
        <v>0</v>
      </c>
      <c r="M327" s="273">
        <f>'人员人工-研发人员工资'!M327</f>
        <v>0</v>
      </c>
      <c r="N327" s="274">
        <f t="shared" si="121"/>
        <v>0</v>
      </c>
      <c r="O327" s="273">
        <f>'人员人工-研发人员工资'!O327</f>
        <v>0</v>
      </c>
      <c r="P327" s="274">
        <f t="shared" si="122"/>
        <v>0</v>
      </c>
      <c r="Q327" s="273">
        <f>'人员人工-研发人员工资'!Q327</f>
        <v>0</v>
      </c>
      <c r="R327" s="274">
        <f t="shared" si="123"/>
        <v>0</v>
      </c>
      <c r="S327" s="273">
        <f>'人员人工-研发人员工资'!S327</f>
        <v>0</v>
      </c>
      <c r="T327" s="274">
        <f t="shared" si="124"/>
        <v>0</v>
      </c>
      <c r="U327" s="273">
        <f>'人员人工-研发人员工资'!U327</f>
        <v>0</v>
      </c>
      <c r="V327" s="274">
        <f t="shared" si="125"/>
        <v>0</v>
      </c>
      <c r="W327" s="273">
        <f>'人员人工-研发人员工资'!W327</f>
        <v>0</v>
      </c>
      <c r="X327" s="274">
        <f t="shared" si="126"/>
        <v>0</v>
      </c>
      <c r="Y327" s="273">
        <f>'人员人工-研发人员工资'!Y327</f>
        <v>0</v>
      </c>
      <c r="Z327" s="274">
        <f t="shared" si="127"/>
        <v>0</v>
      </c>
    </row>
    <row r="328" s="251" customFormat="1" customHeight="1" spans="1:26">
      <c r="A328" s="270">
        <v>21</v>
      </c>
      <c r="B328" s="271">
        <f>'人员人工-研发人员工资'!B328</f>
        <v>0</v>
      </c>
      <c r="C328" s="272"/>
      <c r="D328" s="272">
        <f>'人员人工-研发人员工资'!D328</f>
        <v>0</v>
      </c>
      <c r="E328" s="272">
        <f t="shared" si="116"/>
        <v>0</v>
      </c>
      <c r="F328" s="272">
        <f t="shared" si="117"/>
        <v>0</v>
      </c>
      <c r="G328" s="273">
        <f>'人员人工-研发人员工资'!G328</f>
        <v>0</v>
      </c>
      <c r="H328" s="274">
        <f t="shared" si="118"/>
        <v>0</v>
      </c>
      <c r="I328" s="273">
        <f>'人员人工-研发人员工资'!I328</f>
        <v>0</v>
      </c>
      <c r="J328" s="274">
        <f t="shared" si="119"/>
        <v>0</v>
      </c>
      <c r="K328" s="275">
        <f>'人员人工-研发人员工资'!K328</f>
        <v>0</v>
      </c>
      <c r="L328" s="274">
        <f t="shared" si="120"/>
        <v>0</v>
      </c>
      <c r="M328" s="273">
        <f>'人员人工-研发人员工资'!M328</f>
        <v>0</v>
      </c>
      <c r="N328" s="274">
        <f t="shared" si="121"/>
        <v>0</v>
      </c>
      <c r="O328" s="273">
        <f>'人员人工-研发人员工资'!O328</f>
        <v>0</v>
      </c>
      <c r="P328" s="274">
        <f t="shared" si="122"/>
        <v>0</v>
      </c>
      <c r="Q328" s="273">
        <f>'人员人工-研发人员工资'!Q328</f>
        <v>0</v>
      </c>
      <c r="R328" s="274">
        <f t="shared" si="123"/>
        <v>0</v>
      </c>
      <c r="S328" s="273">
        <f>'人员人工-研发人员工资'!S328</f>
        <v>0</v>
      </c>
      <c r="T328" s="274">
        <f t="shared" si="124"/>
        <v>0</v>
      </c>
      <c r="U328" s="273">
        <f>'人员人工-研发人员工资'!U328</f>
        <v>0</v>
      </c>
      <c r="V328" s="274">
        <f t="shared" si="125"/>
        <v>0</v>
      </c>
      <c r="W328" s="273">
        <f>'人员人工-研发人员工资'!W328</f>
        <v>0</v>
      </c>
      <c r="X328" s="274">
        <f t="shared" si="126"/>
        <v>0</v>
      </c>
      <c r="Y328" s="273">
        <f>'人员人工-研发人员工资'!Y328</f>
        <v>0</v>
      </c>
      <c r="Z328" s="274">
        <f t="shared" si="127"/>
        <v>0</v>
      </c>
    </row>
    <row r="329" s="251" customFormat="1" customHeight="1" spans="1:26">
      <c r="A329" s="270">
        <v>22</v>
      </c>
      <c r="B329" s="271">
        <f>'人员人工-研发人员工资'!B329</f>
        <v>0</v>
      </c>
      <c r="C329" s="272"/>
      <c r="D329" s="272">
        <f>'人员人工-研发人员工资'!D329</f>
        <v>0</v>
      </c>
      <c r="E329" s="272">
        <f t="shared" si="116"/>
        <v>0</v>
      </c>
      <c r="F329" s="272">
        <f t="shared" si="117"/>
        <v>0</v>
      </c>
      <c r="G329" s="273">
        <f>'人员人工-研发人员工资'!G329</f>
        <v>0</v>
      </c>
      <c r="H329" s="274">
        <f t="shared" si="118"/>
        <v>0</v>
      </c>
      <c r="I329" s="273">
        <f>'人员人工-研发人员工资'!I329</f>
        <v>0</v>
      </c>
      <c r="J329" s="274">
        <f t="shared" si="119"/>
        <v>0</v>
      </c>
      <c r="K329" s="275">
        <f>'人员人工-研发人员工资'!K329</f>
        <v>0</v>
      </c>
      <c r="L329" s="274">
        <f t="shared" si="120"/>
        <v>0</v>
      </c>
      <c r="M329" s="273">
        <f>'人员人工-研发人员工资'!M329</f>
        <v>0</v>
      </c>
      <c r="N329" s="274">
        <f t="shared" si="121"/>
        <v>0</v>
      </c>
      <c r="O329" s="273">
        <f>'人员人工-研发人员工资'!O329</f>
        <v>0</v>
      </c>
      <c r="P329" s="274">
        <f t="shared" si="122"/>
        <v>0</v>
      </c>
      <c r="Q329" s="273">
        <f>'人员人工-研发人员工资'!Q329</f>
        <v>0</v>
      </c>
      <c r="R329" s="274">
        <f t="shared" si="123"/>
        <v>0</v>
      </c>
      <c r="S329" s="273">
        <f>'人员人工-研发人员工资'!S329</f>
        <v>0</v>
      </c>
      <c r="T329" s="274">
        <f t="shared" si="124"/>
        <v>0</v>
      </c>
      <c r="U329" s="273">
        <f>'人员人工-研发人员工资'!U329</f>
        <v>0</v>
      </c>
      <c r="V329" s="274">
        <f t="shared" si="125"/>
        <v>0</v>
      </c>
      <c r="W329" s="273">
        <f>'人员人工-研发人员工资'!W329</f>
        <v>0</v>
      </c>
      <c r="X329" s="274">
        <f t="shared" si="126"/>
        <v>0</v>
      </c>
      <c r="Y329" s="273">
        <f>'人员人工-研发人员工资'!Y329</f>
        <v>0</v>
      </c>
      <c r="Z329" s="274">
        <f t="shared" si="127"/>
        <v>0</v>
      </c>
    </row>
    <row r="330" s="251" customFormat="1" customHeight="1" spans="1:26">
      <c r="A330" s="270">
        <v>23</v>
      </c>
      <c r="B330" s="271">
        <f>'人员人工-研发人员工资'!B330</f>
        <v>0</v>
      </c>
      <c r="C330" s="272"/>
      <c r="D330" s="272">
        <f>'人员人工-研发人员工资'!D330</f>
        <v>0</v>
      </c>
      <c r="E330" s="272">
        <f t="shared" si="116"/>
        <v>0</v>
      </c>
      <c r="F330" s="272">
        <f t="shared" si="117"/>
        <v>0</v>
      </c>
      <c r="G330" s="273">
        <f>'人员人工-研发人员工资'!G330</f>
        <v>0</v>
      </c>
      <c r="H330" s="274">
        <f t="shared" si="118"/>
        <v>0</v>
      </c>
      <c r="I330" s="273">
        <f>'人员人工-研发人员工资'!I330</f>
        <v>0</v>
      </c>
      <c r="J330" s="274">
        <f t="shared" si="119"/>
        <v>0</v>
      </c>
      <c r="K330" s="275">
        <f>'人员人工-研发人员工资'!K330</f>
        <v>0</v>
      </c>
      <c r="L330" s="274">
        <f t="shared" si="120"/>
        <v>0</v>
      </c>
      <c r="M330" s="273">
        <f>'人员人工-研发人员工资'!M330</f>
        <v>0</v>
      </c>
      <c r="N330" s="274">
        <f t="shared" si="121"/>
        <v>0</v>
      </c>
      <c r="O330" s="273">
        <f>'人员人工-研发人员工资'!O330</f>
        <v>0</v>
      </c>
      <c r="P330" s="274">
        <f t="shared" si="122"/>
        <v>0</v>
      </c>
      <c r="Q330" s="273">
        <f>'人员人工-研发人员工资'!Q330</f>
        <v>0</v>
      </c>
      <c r="R330" s="274">
        <f t="shared" si="123"/>
        <v>0</v>
      </c>
      <c r="S330" s="273">
        <f>'人员人工-研发人员工资'!S330</f>
        <v>0</v>
      </c>
      <c r="T330" s="274">
        <f t="shared" si="124"/>
        <v>0</v>
      </c>
      <c r="U330" s="273">
        <f>'人员人工-研发人员工资'!U330</f>
        <v>0</v>
      </c>
      <c r="V330" s="274">
        <f t="shared" si="125"/>
        <v>0</v>
      </c>
      <c r="W330" s="273">
        <f>'人员人工-研发人员工资'!W330</f>
        <v>0</v>
      </c>
      <c r="X330" s="274">
        <f t="shared" si="126"/>
        <v>0</v>
      </c>
      <c r="Y330" s="273">
        <f>'人员人工-研发人员工资'!Y330</f>
        <v>0</v>
      </c>
      <c r="Z330" s="274">
        <f t="shared" si="127"/>
        <v>0</v>
      </c>
    </row>
    <row r="331" s="251" customFormat="1" customHeight="1" spans="1:26">
      <c r="A331" s="270">
        <v>25</v>
      </c>
      <c r="B331" s="271">
        <f>'人员人工-研发人员工资'!B331</f>
        <v>0</v>
      </c>
      <c r="C331" s="272"/>
      <c r="D331" s="272">
        <f>'人员人工-研发人员工资'!D331</f>
        <v>0</v>
      </c>
      <c r="E331" s="272">
        <f t="shared" si="116"/>
        <v>0</v>
      </c>
      <c r="F331" s="272">
        <f t="shared" si="117"/>
        <v>0</v>
      </c>
      <c r="G331" s="273">
        <f>'人员人工-研发人员工资'!G331</f>
        <v>0</v>
      </c>
      <c r="H331" s="274">
        <f t="shared" si="118"/>
        <v>0</v>
      </c>
      <c r="I331" s="273">
        <f>'人员人工-研发人员工资'!I331</f>
        <v>0</v>
      </c>
      <c r="J331" s="274">
        <f t="shared" si="119"/>
        <v>0</v>
      </c>
      <c r="K331" s="275">
        <f>'人员人工-研发人员工资'!K331</f>
        <v>0</v>
      </c>
      <c r="L331" s="274">
        <f t="shared" si="120"/>
        <v>0</v>
      </c>
      <c r="M331" s="273">
        <f>'人员人工-研发人员工资'!M331</f>
        <v>0</v>
      </c>
      <c r="N331" s="274">
        <f t="shared" si="121"/>
        <v>0</v>
      </c>
      <c r="O331" s="273">
        <f>'人员人工-研发人员工资'!O331</f>
        <v>0</v>
      </c>
      <c r="P331" s="274">
        <f t="shared" si="122"/>
        <v>0</v>
      </c>
      <c r="Q331" s="273">
        <f>'人员人工-研发人员工资'!Q331</f>
        <v>0</v>
      </c>
      <c r="R331" s="274">
        <f t="shared" si="123"/>
        <v>0</v>
      </c>
      <c r="S331" s="273">
        <f>'人员人工-研发人员工资'!S331</f>
        <v>0</v>
      </c>
      <c r="T331" s="274">
        <f t="shared" si="124"/>
        <v>0</v>
      </c>
      <c r="U331" s="273">
        <f>'人员人工-研发人员工资'!U331</f>
        <v>0</v>
      </c>
      <c r="V331" s="274">
        <f t="shared" si="125"/>
        <v>0</v>
      </c>
      <c r="W331" s="273">
        <f>'人员人工-研发人员工资'!W331</f>
        <v>0</v>
      </c>
      <c r="X331" s="274">
        <f t="shared" si="126"/>
        <v>0</v>
      </c>
      <c r="Y331" s="273">
        <f>'人员人工-研发人员工资'!Y331</f>
        <v>0</v>
      </c>
      <c r="Z331" s="274">
        <f t="shared" si="127"/>
        <v>0</v>
      </c>
    </row>
    <row r="332" s="251" customFormat="1" customHeight="1" spans="1:26">
      <c r="A332" s="270">
        <v>25</v>
      </c>
      <c r="B332" s="271">
        <f>'人员人工-研发人员工资'!B332</f>
        <v>0</v>
      </c>
      <c r="C332" s="272"/>
      <c r="D332" s="272">
        <f>'人员人工-研发人员工资'!D332</f>
        <v>0</v>
      </c>
      <c r="E332" s="272">
        <f t="shared" si="116"/>
        <v>0</v>
      </c>
      <c r="F332" s="272">
        <f t="shared" si="117"/>
        <v>0</v>
      </c>
      <c r="G332" s="273">
        <f>'人员人工-研发人员工资'!G332</f>
        <v>0</v>
      </c>
      <c r="H332" s="274">
        <f t="shared" si="118"/>
        <v>0</v>
      </c>
      <c r="I332" s="273">
        <f>'人员人工-研发人员工资'!I332</f>
        <v>0</v>
      </c>
      <c r="J332" s="274">
        <f t="shared" si="119"/>
        <v>0</v>
      </c>
      <c r="K332" s="275">
        <f>'人员人工-研发人员工资'!K332</f>
        <v>0</v>
      </c>
      <c r="L332" s="274">
        <f t="shared" si="120"/>
        <v>0</v>
      </c>
      <c r="M332" s="273">
        <f>'人员人工-研发人员工资'!M332</f>
        <v>0</v>
      </c>
      <c r="N332" s="274">
        <f t="shared" si="121"/>
        <v>0</v>
      </c>
      <c r="O332" s="273">
        <f>'人员人工-研发人员工资'!O332</f>
        <v>0</v>
      </c>
      <c r="P332" s="274">
        <f t="shared" si="122"/>
        <v>0</v>
      </c>
      <c r="Q332" s="273">
        <f>'人员人工-研发人员工资'!Q332</f>
        <v>0</v>
      </c>
      <c r="R332" s="274">
        <f t="shared" si="123"/>
        <v>0</v>
      </c>
      <c r="S332" s="273">
        <f>'人员人工-研发人员工资'!S332</f>
        <v>0</v>
      </c>
      <c r="T332" s="274">
        <f t="shared" si="124"/>
        <v>0</v>
      </c>
      <c r="U332" s="273">
        <f>'人员人工-研发人员工资'!U332</f>
        <v>0</v>
      </c>
      <c r="V332" s="274">
        <f t="shared" si="125"/>
        <v>0</v>
      </c>
      <c r="W332" s="273">
        <f>'人员人工-研发人员工资'!W332</f>
        <v>0</v>
      </c>
      <c r="X332" s="274">
        <f t="shared" si="126"/>
        <v>0</v>
      </c>
      <c r="Y332" s="273">
        <f>'人员人工-研发人员工资'!Y332</f>
        <v>0</v>
      </c>
      <c r="Z332" s="274">
        <f t="shared" si="127"/>
        <v>0</v>
      </c>
    </row>
    <row r="333" s="251" customFormat="1" customHeight="1" spans="1:26">
      <c r="A333" s="270">
        <v>26</v>
      </c>
      <c r="B333" s="271">
        <f>'人员人工-研发人员工资'!B333</f>
        <v>0</v>
      </c>
      <c r="C333" s="272"/>
      <c r="D333" s="272">
        <f>'人员人工-研发人员工资'!D333</f>
        <v>0</v>
      </c>
      <c r="E333" s="272">
        <f t="shared" si="116"/>
        <v>0</v>
      </c>
      <c r="F333" s="272">
        <f t="shared" si="117"/>
        <v>0</v>
      </c>
      <c r="G333" s="273">
        <f>'人员人工-研发人员工资'!G333</f>
        <v>0</v>
      </c>
      <c r="H333" s="274">
        <f t="shared" si="118"/>
        <v>0</v>
      </c>
      <c r="I333" s="273">
        <f>'人员人工-研发人员工资'!I333</f>
        <v>0</v>
      </c>
      <c r="J333" s="274">
        <f t="shared" si="119"/>
        <v>0</v>
      </c>
      <c r="K333" s="275">
        <f>'人员人工-研发人员工资'!K333</f>
        <v>0</v>
      </c>
      <c r="L333" s="274">
        <f t="shared" si="120"/>
        <v>0</v>
      </c>
      <c r="M333" s="273">
        <f>'人员人工-研发人员工资'!M333</f>
        <v>0</v>
      </c>
      <c r="N333" s="274">
        <f t="shared" si="121"/>
        <v>0</v>
      </c>
      <c r="O333" s="273">
        <f>'人员人工-研发人员工资'!O333</f>
        <v>0</v>
      </c>
      <c r="P333" s="274">
        <f t="shared" si="122"/>
        <v>0</v>
      </c>
      <c r="Q333" s="273">
        <f>'人员人工-研发人员工资'!Q333</f>
        <v>0</v>
      </c>
      <c r="R333" s="274">
        <f t="shared" si="123"/>
        <v>0</v>
      </c>
      <c r="S333" s="273">
        <f>'人员人工-研发人员工资'!S333</f>
        <v>0</v>
      </c>
      <c r="T333" s="274">
        <f t="shared" si="124"/>
        <v>0</v>
      </c>
      <c r="U333" s="273">
        <f>'人员人工-研发人员工资'!U333</f>
        <v>0</v>
      </c>
      <c r="V333" s="274">
        <f t="shared" si="125"/>
        <v>0</v>
      </c>
      <c r="W333" s="273">
        <f>'人员人工-研发人员工资'!W333</f>
        <v>0</v>
      </c>
      <c r="X333" s="274">
        <f t="shared" si="126"/>
        <v>0</v>
      </c>
      <c r="Y333" s="273">
        <f>'人员人工-研发人员工资'!Y333</f>
        <v>0</v>
      </c>
      <c r="Z333" s="274">
        <f t="shared" si="127"/>
        <v>0</v>
      </c>
    </row>
    <row r="334" s="251" customFormat="1" customHeight="1" spans="1:26">
      <c r="A334" s="270">
        <v>27</v>
      </c>
      <c r="B334" s="271">
        <f>'人员人工-研发人员工资'!B334</f>
        <v>0</v>
      </c>
      <c r="C334" s="272"/>
      <c r="D334" s="272">
        <f>'人员人工-研发人员工资'!D334</f>
        <v>0</v>
      </c>
      <c r="E334" s="272">
        <f t="shared" si="116"/>
        <v>0</v>
      </c>
      <c r="F334" s="272">
        <f t="shared" si="117"/>
        <v>0</v>
      </c>
      <c r="G334" s="273">
        <f>'人员人工-研发人员工资'!G334</f>
        <v>0</v>
      </c>
      <c r="H334" s="274">
        <f t="shared" si="118"/>
        <v>0</v>
      </c>
      <c r="I334" s="273">
        <f>'人员人工-研发人员工资'!I334</f>
        <v>0</v>
      </c>
      <c r="J334" s="274">
        <f t="shared" si="119"/>
        <v>0</v>
      </c>
      <c r="K334" s="275">
        <f>'人员人工-研发人员工资'!K334</f>
        <v>0</v>
      </c>
      <c r="L334" s="274">
        <f t="shared" si="120"/>
        <v>0</v>
      </c>
      <c r="M334" s="273">
        <f>'人员人工-研发人员工资'!M334</f>
        <v>0</v>
      </c>
      <c r="N334" s="274">
        <f t="shared" si="121"/>
        <v>0</v>
      </c>
      <c r="O334" s="273">
        <f>'人员人工-研发人员工资'!O334</f>
        <v>0</v>
      </c>
      <c r="P334" s="274">
        <f t="shared" si="122"/>
        <v>0</v>
      </c>
      <c r="Q334" s="273">
        <f>'人员人工-研发人员工资'!Q334</f>
        <v>0</v>
      </c>
      <c r="R334" s="274">
        <f t="shared" si="123"/>
        <v>0</v>
      </c>
      <c r="S334" s="273">
        <f>'人员人工-研发人员工资'!S334</f>
        <v>0</v>
      </c>
      <c r="T334" s="274">
        <f t="shared" si="124"/>
        <v>0</v>
      </c>
      <c r="U334" s="273">
        <f>'人员人工-研发人员工资'!U334</f>
        <v>0</v>
      </c>
      <c r="V334" s="274">
        <f t="shared" si="125"/>
        <v>0</v>
      </c>
      <c r="W334" s="273">
        <f>'人员人工-研发人员工资'!W334</f>
        <v>0</v>
      </c>
      <c r="X334" s="274">
        <f t="shared" si="126"/>
        <v>0</v>
      </c>
      <c r="Y334" s="273">
        <f>'人员人工-研发人员工资'!Y334</f>
        <v>0</v>
      </c>
      <c r="Z334" s="274">
        <f t="shared" si="127"/>
        <v>0</v>
      </c>
    </row>
    <row r="335" s="251" customFormat="1" customHeight="1" spans="1:26">
      <c r="A335" s="270">
        <v>28</v>
      </c>
      <c r="B335" s="271">
        <f>'人员人工-研发人员工资'!B335</f>
        <v>0</v>
      </c>
      <c r="C335" s="272"/>
      <c r="D335" s="272">
        <f>'人员人工-研发人员工资'!D335</f>
        <v>0</v>
      </c>
      <c r="E335" s="272">
        <f t="shared" si="116"/>
        <v>0</v>
      </c>
      <c r="F335" s="272">
        <f t="shared" si="117"/>
        <v>0</v>
      </c>
      <c r="G335" s="273">
        <f>'人员人工-研发人员工资'!G335</f>
        <v>0</v>
      </c>
      <c r="H335" s="274">
        <f t="shared" si="118"/>
        <v>0</v>
      </c>
      <c r="I335" s="273">
        <f>'人员人工-研发人员工资'!I335</f>
        <v>0</v>
      </c>
      <c r="J335" s="274">
        <f t="shared" si="119"/>
        <v>0</v>
      </c>
      <c r="K335" s="275">
        <f>'人员人工-研发人员工资'!K335</f>
        <v>0</v>
      </c>
      <c r="L335" s="274">
        <f t="shared" si="120"/>
        <v>0</v>
      </c>
      <c r="M335" s="273">
        <f>'人员人工-研发人员工资'!M335</f>
        <v>0</v>
      </c>
      <c r="N335" s="274">
        <f t="shared" si="121"/>
        <v>0</v>
      </c>
      <c r="O335" s="273">
        <f>'人员人工-研发人员工资'!O335</f>
        <v>0</v>
      </c>
      <c r="P335" s="274">
        <f t="shared" si="122"/>
        <v>0</v>
      </c>
      <c r="Q335" s="273">
        <f>'人员人工-研发人员工资'!Q335</f>
        <v>0</v>
      </c>
      <c r="R335" s="274">
        <f t="shared" si="123"/>
        <v>0</v>
      </c>
      <c r="S335" s="273">
        <f>'人员人工-研发人员工资'!S335</f>
        <v>0</v>
      </c>
      <c r="T335" s="274">
        <f t="shared" si="124"/>
        <v>0</v>
      </c>
      <c r="U335" s="273">
        <f>'人员人工-研发人员工资'!U335</f>
        <v>0</v>
      </c>
      <c r="V335" s="274">
        <f t="shared" si="125"/>
        <v>0</v>
      </c>
      <c r="W335" s="273">
        <f>'人员人工-研发人员工资'!W335</f>
        <v>0</v>
      </c>
      <c r="X335" s="274">
        <f t="shared" si="126"/>
        <v>0</v>
      </c>
      <c r="Y335" s="273">
        <f>'人员人工-研发人员工资'!Y335</f>
        <v>0</v>
      </c>
      <c r="Z335" s="274">
        <f t="shared" si="127"/>
        <v>0</v>
      </c>
    </row>
    <row r="336" s="251" customFormat="1" customHeight="1" spans="1:26">
      <c r="A336" s="270">
        <v>29</v>
      </c>
      <c r="B336" s="271">
        <f>'人员人工-研发人员工资'!B336</f>
        <v>0</v>
      </c>
      <c r="C336" s="272"/>
      <c r="D336" s="272">
        <f>'人员人工-研发人员工资'!D336</f>
        <v>0</v>
      </c>
      <c r="E336" s="272">
        <f t="shared" si="116"/>
        <v>0</v>
      </c>
      <c r="F336" s="272">
        <f t="shared" si="117"/>
        <v>0</v>
      </c>
      <c r="G336" s="273">
        <f>'人员人工-研发人员工资'!G336</f>
        <v>0</v>
      </c>
      <c r="H336" s="274">
        <f t="shared" si="118"/>
        <v>0</v>
      </c>
      <c r="I336" s="273">
        <f>'人员人工-研发人员工资'!I336</f>
        <v>0</v>
      </c>
      <c r="J336" s="274">
        <f t="shared" si="119"/>
        <v>0</v>
      </c>
      <c r="K336" s="275">
        <f>'人员人工-研发人员工资'!K336</f>
        <v>0</v>
      </c>
      <c r="L336" s="274">
        <f t="shared" si="120"/>
        <v>0</v>
      </c>
      <c r="M336" s="273">
        <f>'人员人工-研发人员工资'!M336</f>
        <v>0</v>
      </c>
      <c r="N336" s="274">
        <f t="shared" si="121"/>
        <v>0</v>
      </c>
      <c r="O336" s="273">
        <f>'人员人工-研发人员工资'!O336</f>
        <v>0</v>
      </c>
      <c r="P336" s="274">
        <f t="shared" si="122"/>
        <v>0</v>
      </c>
      <c r="Q336" s="273">
        <f>'人员人工-研发人员工资'!Q336</f>
        <v>0</v>
      </c>
      <c r="R336" s="274">
        <f t="shared" si="123"/>
        <v>0</v>
      </c>
      <c r="S336" s="273">
        <f>'人员人工-研发人员工资'!S336</f>
        <v>0</v>
      </c>
      <c r="T336" s="274">
        <f t="shared" si="124"/>
        <v>0</v>
      </c>
      <c r="U336" s="273">
        <f>'人员人工-研发人员工资'!U336</f>
        <v>0</v>
      </c>
      <c r="V336" s="274">
        <f t="shared" si="125"/>
        <v>0</v>
      </c>
      <c r="W336" s="273">
        <f>'人员人工-研发人员工资'!W336</f>
        <v>0</v>
      </c>
      <c r="X336" s="274">
        <f t="shared" si="126"/>
        <v>0</v>
      </c>
      <c r="Y336" s="273">
        <f>'人员人工-研发人员工资'!Y336</f>
        <v>0</v>
      </c>
      <c r="Z336" s="274">
        <f t="shared" si="127"/>
        <v>0</v>
      </c>
    </row>
    <row r="337" s="251" customFormat="1" customHeight="1" spans="1:26">
      <c r="A337" s="270">
        <v>30</v>
      </c>
      <c r="B337" s="271">
        <f>'人员人工-研发人员工资'!B337</f>
        <v>0</v>
      </c>
      <c r="C337" s="272"/>
      <c r="D337" s="272">
        <f>'人员人工-研发人员工资'!D337</f>
        <v>0</v>
      </c>
      <c r="E337" s="272">
        <f t="shared" si="116"/>
        <v>0</v>
      </c>
      <c r="F337" s="272">
        <f t="shared" si="117"/>
        <v>0</v>
      </c>
      <c r="G337" s="273">
        <f>'人员人工-研发人员工资'!G337</f>
        <v>0</v>
      </c>
      <c r="H337" s="274">
        <f t="shared" si="118"/>
        <v>0</v>
      </c>
      <c r="I337" s="273">
        <f>'人员人工-研发人员工资'!I337</f>
        <v>0</v>
      </c>
      <c r="J337" s="274">
        <f t="shared" si="119"/>
        <v>0</v>
      </c>
      <c r="K337" s="275">
        <f>'人员人工-研发人员工资'!K337</f>
        <v>0</v>
      </c>
      <c r="L337" s="274">
        <f t="shared" si="120"/>
        <v>0</v>
      </c>
      <c r="M337" s="273">
        <f>'人员人工-研发人员工资'!M337</f>
        <v>0</v>
      </c>
      <c r="N337" s="274">
        <f t="shared" si="121"/>
        <v>0</v>
      </c>
      <c r="O337" s="273">
        <f>'人员人工-研发人员工资'!O337</f>
        <v>0</v>
      </c>
      <c r="P337" s="274">
        <f t="shared" si="122"/>
        <v>0</v>
      </c>
      <c r="Q337" s="273">
        <f>'人员人工-研发人员工资'!Q337</f>
        <v>0</v>
      </c>
      <c r="R337" s="274">
        <f t="shared" si="123"/>
        <v>0</v>
      </c>
      <c r="S337" s="273">
        <f>'人员人工-研发人员工资'!S337</f>
        <v>0</v>
      </c>
      <c r="T337" s="274">
        <f t="shared" si="124"/>
        <v>0</v>
      </c>
      <c r="U337" s="273">
        <f>'人员人工-研发人员工资'!U337</f>
        <v>0</v>
      </c>
      <c r="V337" s="274">
        <f t="shared" si="125"/>
        <v>0</v>
      </c>
      <c r="W337" s="273">
        <f>'人员人工-研发人员工资'!W337</f>
        <v>0</v>
      </c>
      <c r="X337" s="274">
        <f t="shared" si="126"/>
        <v>0</v>
      </c>
      <c r="Y337" s="273">
        <f>'人员人工-研发人员工资'!Y337</f>
        <v>0</v>
      </c>
      <c r="Z337" s="274">
        <f t="shared" si="127"/>
        <v>0</v>
      </c>
    </row>
    <row r="338" s="251" customFormat="1" customHeight="1" spans="1:26">
      <c r="A338" s="276" t="s">
        <v>22</v>
      </c>
      <c r="B338" s="277"/>
      <c r="C338" s="261">
        <f t="shared" ref="C338:Z338" si="128">SUM(C308:C337)</f>
        <v>0</v>
      </c>
      <c r="D338" s="261">
        <f t="shared" si="128"/>
        <v>0</v>
      </c>
      <c r="E338" s="272">
        <f t="shared" si="128"/>
        <v>0</v>
      </c>
      <c r="F338" s="261">
        <f t="shared" si="128"/>
        <v>0</v>
      </c>
      <c r="G338" s="261">
        <f t="shared" si="128"/>
        <v>0</v>
      </c>
      <c r="H338" s="261">
        <f t="shared" si="128"/>
        <v>0</v>
      </c>
      <c r="I338" s="261">
        <f t="shared" si="128"/>
        <v>0</v>
      </c>
      <c r="J338" s="261">
        <f t="shared" si="128"/>
        <v>0</v>
      </c>
      <c r="K338" s="261">
        <f t="shared" si="128"/>
        <v>0</v>
      </c>
      <c r="L338" s="261">
        <f t="shared" si="128"/>
        <v>0</v>
      </c>
      <c r="M338" s="261">
        <f t="shared" si="128"/>
        <v>0</v>
      </c>
      <c r="N338" s="261">
        <f t="shared" si="128"/>
        <v>0</v>
      </c>
      <c r="O338" s="261">
        <f t="shared" si="128"/>
        <v>0</v>
      </c>
      <c r="P338" s="261">
        <f t="shared" si="128"/>
        <v>0</v>
      </c>
      <c r="Q338" s="261">
        <f t="shared" si="128"/>
        <v>0</v>
      </c>
      <c r="R338" s="261">
        <f t="shared" si="128"/>
        <v>0</v>
      </c>
      <c r="S338" s="261">
        <f t="shared" si="128"/>
        <v>0</v>
      </c>
      <c r="T338" s="261">
        <f t="shared" si="128"/>
        <v>0</v>
      </c>
      <c r="U338" s="261">
        <f t="shared" si="128"/>
        <v>0</v>
      </c>
      <c r="V338" s="261">
        <f t="shared" si="128"/>
        <v>0</v>
      </c>
      <c r="W338" s="261">
        <f t="shared" si="128"/>
        <v>0</v>
      </c>
      <c r="X338" s="261">
        <f t="shared" si="128"/>
        <v>0</v>
      </c>
      <c r="Y338" s="261">
        <f t="shared" si="128"/>
        <v>0</v>
      </c>
      <c r="Z338" s="261">
        <f t="shared" si="128"/>
        <v>0</v>
      </c>
    </row>
    <row r="339" s="251" customFormat="1" customHeight="1" spans="1:26">
      <c r="A339" s="252"/>
      <c r="B339" s="253"/>
      <c r="C339" s="254"/>
      <c r="D339" s="254"/>
      <c r="E339" s="254"/>
      <c r="F339" s="254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</row>
    <row r="340" s="251" customFormat="1" customHeight="1" spans="1:26">
      <c r="A340" s="252"/>
      <c r="B340" s="253"/>
      <c r="C340" s="254"/>
      <c r="D340" s="254"/>
      <c r="E340" s="254"/>
      <c r="F340" s="254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</row>
    <row r="341" s="251" customFormat="1" customHeight="1" spans="1:26">
      <c r="A341" s="252"/>
      <c r="B341" s="257" t="s">
        <v>152</v>
      </c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  <c r="Z341" s="258"/>
    </row>
    <row r="342" s="251" customFormat="1" customHeight="1" spans="1:26">
      <c r="A342" s="252"/>
      <c r="B342" s="253"/>
      <c r="C342" s="254"/>
      <c r="D342" s="254"/>
      <c r="E342" s="254"/>
      <c r="F342" s="254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</row>
    <row r="343" s="251" customFormat="1" customHeight="1" spans="1:26">
      <c r="A343" s="259" t="s">
        <v>31</v>
      </c>
      <c r="B343" s="260" t="s">
        <v>32</v>
      </c>
      <c r="C343" s="261" t="s">
        <v>141</v>
      </c>
      <c r="D343" s="261" t="s">
        <v>34</v>
      </c>
      <c r="E343" s="262" t="s">
        <v>35</v>
      </c>
      <c r="F343" s="262" t="s">
        <v>142</v>
      </c>
      <c r="G343" s="263" t="str">
        <f>立项!$A$3</f>
        <v>RD01</v>
      </c>
      <c r="H343" s="264"/>
      <c r="I343" s="264" t="str">
        <f>立项!$A$4</f>
        <v>RD02</v>
      </c>
      <c r="J343" s="264"/>
      <c r="K343" s="264" t="str">
        <f>立项!$A$5</f>
        <v>RD03</v>
      </c>
      <c r="L343" s="264"/>
      <c r="M343" s="264" t="str">
        <f>立项!$A$6</f>
        <v>RD04</v>
      </c>
      <c r="N343" s="264"/>
      <c r="O343" s="264" t="str">
        <f>立项!$A$7</f>
        <v>RD05</v>
      </c>
      <c r="P343" s="264"/>
      <c r="Q343" s="264" t="str">
        <f>立项!$A$8</f>
        <v>RD06</v>
      </c>
      <c r="R343" s="264"/>
      <c r="S343" s="264" t="str">
        <f>立项!$A$9</f>
        <v>RD07</v>
      </c>
      <c r="T343" s="264"/>
      <c r="U343" s="264" t="str">
        <f>立项!$A$10</f>
        <v>RD08</v>
      </c>
      <c r="V343" s="264"/>
      <c r="W343" s="264" t="str">
        <f>立项!$A$11</f>
        <v>RD09</v>
      </c>
      <c r="X343" s="264"/>
      <c r="Y343" s="264" t="str">
        <f>立项!$A$12</f>
        <v>RD10</v>
      </c>
      <c r="Z343" s="264"/>
    </row>
    <row r="344" s="251" customFormat="1" customHeight="1" spans="1:26">
      <c r="A344" s="265"/>
      <c r="B344" s="260"/>
      <c r="C344" s="261"/>
      <c r="D344" s="261"/>
      <c r="E344" s="262"/>
      <c r="F344" s="262"/>
      <c r="G344" s="267">
        <f>立项!C3</f>
        <v>0</v>
      </c>
      <c r="H344" s="263"/>
      <c r="I344" s="267">
        <f>立项!C4</f>
        <v>0</v>
      </c>
      <c r="J344" s="263"/>
      <c r="K344" s="267">
        <f>立项!C5</f>
        <v>0</v>
      </c>
      <c r="L344" s="263"/>
      <c r="M344" s="267">
        <f>立项!C6</f>
        <v>0</v>
      </c>
      <c r="N344" s="263"/>
      <c r="O344" s="267">
        <f>立项!C7</f>
        <v>0</v>
      </c>
      <c r="P344" s="263"/>
      <c r="Q344" s="267">
        <f>立项!C8</f>
        <v>0</v>
      </c>
      <c r="R344" s="263"/>
      <c r="S344" s="267">
        <f>立项!C9</f>
        <v>0</v>
      </c>
      <c r="T344" s="263"/>
      <c r="U344" s="267">
        <f>立项!C10</f>
        <v>0</v>
      </c>
      <c r="V344" s="263"/>
      <c r="W344" s="267">
        <f>立项!C11</f>
        <v>0</v>
      </c>
      <c r="X344" s="263"/>
      <c r="Y344" s="264">
        <f>立项!C12</f>
        <v>0</v>
      </c>
      <c r="Z344" s="264"/>
    </row>
    <row r="345" s="251" customFormat="1" customHeight="1" spans="1:26">
      <c r="A345" s="268"/>
      <c r="B345" s="260"/>
      <c r="C345" s="261"/>
      <c r="D345" s="261"/>
      <c r="E345" s="262"/>
      <c r="F345" s="262"/>
      <c r="G345" s="264" t="s">
        <v>39</v>
      </c>
      <c r="H345" s="269" t="s">
        <v>143</v>
      </c>
      <c r="I345" s="264" t="s">
        <v>39</v>
      </c>
      <c r="J345" s="269" t="s">
        <v>143</v>
      </c>
      <c r="K345" s="264" t="s">
        <v>39</v>
      </c>
      <c r="L345" s="269" t="s">
        <v>143</v>
      </c>
      <c r="M345" s="264" t="s">
        <v>39</v>
      </c>
      <c r="N345" s="269" t="s">
        <v>143</v>
      </c>
      <c r="O345" s="264" t="s">
        <v>39</v>
      </c>
      <c r="P345" s="269" t="s">
        <v>143</v>
      </c>
      <c r="Q345" s="264" t="s">
        <v>39</v>
      </c>
      <c r="R345" s="269" t="s">
        <v>143</v>
      </c>
      <c r="S345" s="264" t="s">
        <v>39</v>
      </c>
      <c r="T345" s="269" t="s">
        <v>143</v>
      </c>
      <c r="U345" s="264" t="s">
        <v>39</v>
      </c>
      <c r="V345" s="269" t="s">
        <v>143</v>
      </c>
      <c r="W345" s="264" t="s">
        <v>39</v>
      </c>
      <c r="X345" s="269" t="s">
        <v>143</v>
      </c>
      <c r="Y345" s="264" t="s">
        <v>39</v>
      </c>
      <c r="Z345" s="269" t="s">
        <v>143</v>
      </c>
    </row>
    <row r="346" s="251" customFormat="1" customHeight="1" spans="1:26">
      <c r="A346" s="270">
        <v>1</v>
      </c>
      <c r="B346" s="271">
        <f>'人员人工-研发人员工资'!B346</f>
        <v>0</v>
      </c>
      <c r="C346" s="272"/>
      <c r="D346" s="272">
        <f>'人员人工-研发人员工资'!D346</f>
        <v>0</v>
      </c>
      <c r="E346" s="272">
        <f t="shared" ref="E346:E375" si="129">G346+I346+K346+M346+O346+Q346+S346+U346+W346+Y346</f>
        <v>0</v>
      </c>
      <c r="F346" s="272">
        <f t="shared" ref="F346:F375" si="130">H346+J346+L346+N346+P346+R346+T346+V346+X346+Z346</f>
        <v>0</v>
      </c>
      <c r="G346" s="273">
        <f>'人员人工-研发人员工资'!G346</f>
        <v>0</v>
      </c>
      <c r="H346" s="274">
        <f t="shared" ref="H346:H375" si="131">IF($D346=0,0,ROUND(G346/$D346*$C346,2))</f>
        <v>0</v>
      </c>
      <c r="I346" s="273">
        <f>'人员人工-研发人员工资'!I346</f>
        <v>0</v>
      </c>
      <c r="J346" s="274">
        <f t="shared" ref="J346:J375" si="132">IF($D346=0,0,ROUND(I346/$D346*$C346,2))</f>
        <v>0</v>
      </c>
      <c r="K346" s="275">
        <f>'人员人工-研发人员工资'!K346</f>
        <v>0</v>
      </c>
      <c r="L346" s="274">
        <f t="shared" ref="L346:L375" si="133">IF($D346=0,0,ROUND(K346/$D346*$C346,2))</f>
        <v>0</v>
      </c>
      <c r="M346" s="273">
        <f>'人员人工-研发人员工资'!M346</f>
        <v>0</v>
      </c>
      <c r="N346" s="274">
        <f t="shared" ref="N346:N375" si="134">IF($D346=0,0,ROUND(M346/$D346*$C346,2))</f>
        <v>0</v>
      </c>
      <c r="O346" s="273">
        <f>'人员人工-研发人员工资'!O346</f>
        <v>0</v>
      </c>
      <c r="P346" s="274">
        <f t="shared" ref="P346:P375" si="135">IF($D346=0,0,ROUND(O346/$D346*$C346,2))</f>
        <v>0</v>
      </c>
      <c r="Q346" s="273">
        <f>'人员人工-研发人员工资'!Q346</f>
        <v>0</v>
      </c>
      <c r="R346" s="274">
        <f t="shared" ref="R346:R375" si="136">IF($D346=0,0,ROUND(Q346/$D346*$C346,2))</f>
        <v>0</v>
      </c>
      <c r="S346" s="273">
        <f>'人员人工-研发人员工资'!S346</f>
        <v>0</v>
      </c>
      <c r="T346" s="274">
        <f t="shared" ref="T346:T375" si="137">IF($D346=0,0,ROUND(S346/$D346*$C346,2))</f>
        <v>0</v>
      </c>
      <c r="U346" s="273">
        <f>'人员人工-研发人员工资'!U346</f>
        <v>0</v>
      </c>
      <c r="V346" s="274">
        <f t="shared" ref="V346:V375" si="138">IF($D346=0,0,ROUND(U346/$D346*$C346,2))</f>
        <v>0</v>
      </c>
      <c r="W346" s="273">
        <f>'人员人工-研发人员工资'!W346</f>
        <v>0</v>
      </c>
      <c r="X346" s="274">
        <f t="shared" ref="X346:X375" si="139">IF($D346=0,0,ROUND(W346/$D346*$C346,2))</f>
        <v>0</v>
      </c>
      <c r="Y346" s="273">
        <f>'人员人工-研发人员工资'!Y346</f>
        <v>0</v>
      </c>
      <c r="Z346" s="274">
        <f t="shared" ref="Z346:Z375" si="140">IF($D346=0,0,ROUND(Y346/$D346*$C346,2))</f>
        <v>0</v>
      </c>
    </row>
    <row r="347" s="251" customFormat="1" customHeight="1" spans="1:26">
      <c r="A347" s="270">
        <v>2</v>
      </c>
      <c r="B347" s="271">
        <f>'人员人工-研发人员工资'!B347</f>
        <v>0</v>
      </c>
      <c r="C347" s="272"/>
      <c r="D347" s="272">
        <f>'人员人工-研发人员工资'!D347</f>
        <v>0</v>
      </c>
      <c r="E347" s="272">
        <f t="shared" si="129"/>
        <v>0</v>
      </c>
      <c r="F347" s="272">
        <f t="shared" si="130"/>
        <v>0</v>
      </c>
      <c r="G347" s="273">
        <f>'人员人工-研发人员工资'!G347</f>
        <v>0</v>
      </c>
      <c r="H347" s="274">
        <f t="shared" si="131"/>
        <v>0</v>
      </c>
      <c r="I347" s="273">
        <f>'人员人工-研发人员工资'!I347</f>
        <v>0</v>
      </c>
      <c r="J347" s="274">
        <f t="shared" si="132"/>
        <v>0</v>
      </c>
      <c r="K347" s="275">
        <f>'人员人工-研发人员工资'!K347</f>
        <v>0</v>
      </c>
      <c r="L347" s="274">
        <f t="shared" si="133"/>
        <v>0</v>
      </c>
      <c r="M347" s="273">
        <f>'人员人工-研发人员工资'!M347</f>
        <v>0</v>
      </c>
      <c r="N347" s="274">
        <f t="shared" si="134"/>
        <v>0</v>
      </c>
      <c r="O347" s="273">
        <f>'人员人工-研发人员工资'!O347</f>
        <v>0</v>
      </c>
      <c r="P347" s="274">
        <f t="shared" si="135"/>
        <v>0</v>
      </c>
      <c r="Q347" s="273">
        <f>'人员人工-研发人员工资'!Q347</f>
        <v>0</v>
      </c>
      <c r="R347" s="274">
        <f t="shared" si="136"/>
        <v>0</v>
      </c>
      <c r="S347" s="273">
        <f>'人员人工-研发人员工资'!S347</f>
        <v>0</v>
      </c>
      <c r="T347" s="274">
        <f t="shared" si="137"/>
        <v>0</v>
      </c>
      <c r="U347" s="273">
        <f>'人员人工-研发人员工资'!U347</f>
        <v>0</v>
      </c>
      <c r="V347" s="274">
        <f t="shared" si="138"/>
        <v>0</v>
      </c>
      <c r="W347" s="273">
        <f>'人员人工-研发人员工资'!W347</f>
        <v>0</v>
      </c>
      <c r="X347" s="274">
        <f t="shared" si="139"/>
        <v>0</v>
      </c>
      <c r="Y347" s="273">
        <f>'人员人工-研发人员工资'!Y347</f>
        <v>0</v>
      </c>
      <c r="Z347" s="274">
        <f t="shared" si="140"/>
        <v>0</v>
      </c>
    </row>
    <row r="348" s="251" customFormat="1" customHeight="1" spans="1:26">
      <c r="A348" s="270">
        <v>3</v>
      </c>
      <c r="B348" s="271">
        <f>'人员人工-研发人员工资'!B348</f>
        <v>0</v>
      </c>
      <c r="C348" s="272"/>
      <c r="D348" s="272">
        <f>'人员人工-研发人员工资'!D348</f>
        <v>0</v>
      </c>
      <c r="E348" s="272">
        <f t="shared" si="129"/>
        <v>0</v>
      </c>
      <c r="F348" s="272">
        <f t="shared" si="130"/>
        <v>0</v>
      </c>
      <c r="G348" s="273">
        <f>'人员人工-研发人员工资'!G348</f>
        <v>0</v>
      </c>
      <c r="H348" s="274">
        <f t="shared" si="131"/>
        <v>0</v>
      </c>
      <c r="I348" s="273">
        <f>'人员人工-研发人员工资'!I348</f>
        <v>0</v>
      </c>
      <c r="J348" s="274">
        <f t="shared" si="132"/>
        <v>0</v>
      </c>
      <c r="K348" s="275">
        <f>'人员人工-研发人员工资'!K348</f>
        <v>0</v>
      </c>
      <c r="L348" s="274">
        <f t="shared" si="133"/>
        <v>0</v>
      </c>
      <c r="M348" s="273">
        <f>'人员人工-研发人员工资'!M348</f>
        <v>0</v>
      </c>
      <c r="N348" s="274">
        <f t="shared" si="134"/>
        <v>0</v>
      </c>
      <c r="O348" s="273">
        <f>'人员人工-研发人员工资'!O348</f>
        <v>0</v>
      </c>
      <c r="P348" s="274">
        <f t="shared" si="135"/>
        <v>0</v>
      </c>
      <c r="Q348" s="273">
        <f>'人员人工-研发人员工资'!Q348</f>
        <v>0</v>
      </c>
      <c r="R348" s="274">
        <f t="shared" si="136"/>
        <v>0</v>
      </c>
      <c r="S348" s="273">
        <f>'人员人工-研发人员工资'!S348</f>
        <v>0</v>
      </c>
      <c r="T348" s="274">
        <f t="shared" si="137"/>
        <v>0</v>
      </c>
      <c r="U348" s="273">
        <f>'人员人工-研发人员工资'!U348</f>
        <v>0</v>
      </c>
      <c r="V348" s="274">
        <f t="shared" si="138"/>
        <v>0</v>
      </c>
      <c r="W348" s="273">
        <f>'人员人工-研发人员工资'!W348</f>
        <v>0</v>
      </c>
      <c r="X348" s="274">
        <f t="shared" si="139"/>
        <v>0</v>
      </c>
      <c r="Y348" s="273">
        <f>'人员人工-研发人员工资'!Y348</f>
        <v>0</v>
      </c>
      <c r="Z348" s="274">
        <f t="shared" si="140"/>
        <v>0</v>
      </c>
    </row>
    <row r="349" s="251" customFormat="1" customHeight="1" spans="1:26">
      <c r="A349" s="270">
        <v>4</v>
      </c>
      <c r="B349" s="271">
        <f>'人员人工-研发人员工资'!B349</f>
        <v>0</v>
      </c>
      <c r="C349" s="272"/>
      <c r="D349" s="272">
        <f>'人员人工-研发人员工资'!D349</f>
        <v>0</v>
      </c>
      <c r="E349" s="272">
        <f t="shared" si="129"/>
        <v>0</v>
      </c>
      <c r="F349" s="272">
        <f t="shared" si="130"/>
        <v>0</v>
      </c>
      <c r="G349" s="273">
        <f>'人员人工-研发人员工资'!G349</f>
        <v>0</v>
      </c>
      <c r="H349" s="274">
        <f t="shared" si="131"/>
        <v>0</v>
      </c>
      <c r="I349" s="273">
        <f>'人员人工-研发人员工资'!I349</f>
        <v>0</v>
      </c>
      <c r="J349" s="274">
        <f t="shared" si="132"/>
        <v>0</v>
      </c>
      <c r="K349" s="275">
        <f>'人员人工-研发人员工资'!K349</f>
        <v>0</v>
      </c>
      <c r="L349" s="274">
        <f t="shared" si="133"/>
        <v>0</v>
      </c>
      <c r="M349" s="273">
        <f>'人员人工-研发人员工资'!M349</f>
        <v>0</v>
      </c>
      <c r="N349" s="274">
        <f t="shared" si="134"/>
        <v>0</v>
      </c>
      <c r="O349" s="273">
        <f>'人员人工-研发人员工资'!O349</f>
        <v>0</v>
      </c>
      <c r="P349" s="274">
        <f t="shared" si="135"/>
        <v>0</v>
      </c>
      <c r="Q349" s="273">
        <f>'人员人工-研发人员工资'!Q349</f>
        <v>0</v>
      </c>
      <c r="R349" s="274">
        <f t="shared" si="136"/>
        <v>0</v>
      </c>
      <c r="S349" s="273">
        <f>'人员人工-研发人员工资'!S349</f>
        <v>0</v>
      </c>
      <c r="T349" s="274">
        <f t="shared" si="137"/>
        <v>0</v>
      </c>
      <c r="U349" s="273">
        <f>'人员人工-研发人员工资'!U349</f>
        <v>0</v>
      </c>
      <c r="V349" s="274">
        <f t="shared" si="138"/>
        <v>0</v>
      </c>
      <c r="W349" s="273">
        <f>'人员人工-研发人员工资'!W349</f>
        <v>0</v>
      </c>
      <c r="X349" s="274">
        <f t="shared" si="139"/>
        <v>0</v>
      </c>
      <c r="Y349" s="273">
        <f>'人员人工-研发人员工资'!Y349</f>
        <v>0</v>
      </c>
      <c r="Z349" s="274">
        <f t="shared" si="140"/>
        <v>0</v>
      </c>
    </row>
    <row r="350" s="251" customFormat="1" customHeight="1" spans="1:26">
      <c r="A350" s="270">
        <v>5</v>
      </c>
      <c r="B350" s="271">
        <f>'人员人工-研发人员工资'!B350</f>
        <v>0</v>
      </c>
      <c r="C350" s="272"/>
      <c r="D350" s="272">
        <f>'人员人工-研发人员工资'!D350</f>
        <v>0</v>
      </c>
      <c r="E350" s="272">
        <f t="shared" si="129"/>
        <v>0</v>
      </c>
      <c r="F350" s="272">
        <f t="shared" si="130"/>
        <v>0</v>
      </c>
      <c r="G350" s="273">
        <f>'人员人工-研发人员工资'!G350</f>
        <v>0</v>
      </c>
      <c r="H350" s="274">
        <f t="shared" si="131"/>
        <v>0</v>
      </c>
      <c r="I350" s="273">
        <f>'人员人工-研发人员工资'!I350</f>
        <v>0</v>
      </c>
      <c r="J350" s="274">
        <f t="shared" si="132"/>
        <v>0</v>
      </c>
      <c r="K350" s="275">
        <f>'人员人工-研发人员工资'!K350</f>
        <v>0</v>
      </c>
      <c r="L350" s="274">
        <f t="shared" si="133"/>
        <v>0</v>
      </c>
      <c r="M350" s="273">
        <f>'人员人工-研发人员工资'!M350</f>
        <v>0</v>
      </c>
      <c r="N350" s="274">
        <f t="shared" si="134"/>
        <v>0</v>
      </c>
      <c r="O350" s="273">
        <f>'人员人工-研发人员工资'!O350</f>
        <v>0</v>
      </c>
      <c r="P350" s="274">
        <f t="shared" si="135"/>
        <v>0</v>
      </c>
      <c r="Q350" s="273">
        <f>'人员人工-研发人员工资'!Q350</f>
        <v>0</v>
      </c>
      <c r="R350" s="274">
        <f t="shared" si="136"/>
        <v>0</v>
      </c>
      <c r="S350" s="273">
        <f>'人员人工-研发人员工资'!S350</f>
        <v>0</v>
      </c>
      <c r="T350" s="274">
        <f t="shared" si="137"/>
        <v>0</v>
      </c>
      <c r="U350" s="273">
        <f>'人员人工-研发人员工资'!U350</f>
        <v>0</v>
      </c>
      <c r="V350" s="274">
        <f t="shared" si="138"/>
        <v>0</v>
      </c>
      <c r="W350" s="273">
        <f>'人员人工-研发人员工资'!W350</f>
        <v>0</v>
      </c>
      <c r="X350" s="274">
        <f t="shared" si="139"/>
        <v>0</v>
      </c>
      <c r="Y350" s="273">
        <f>'人员人工-研发人员工资'!Y350</f>
        <v>0</v>
      </c>
      <c r="Z350" s="274">
        <f t="shared" si="140"/>
        <v>0</v>
      </c>
    </row>
    <row r="351" s="251" customFormat="1" customHeight="1" spans="1:26">
      <c r="A351" s="270">
        <v>6</v>
      </c>
      <c r="B351" s="271">
        <f>'人员人工-研发人员工资'!B351</f>
        <v>0</v>
      </c>
      <c r="C351" s="274"/>
      <c r="D351" s="272">
        <f>'人员人工-研发人员工资'!D351</f>
        <v>0</v>
      </c>
      <c r="E351" s="272">
        <f t="shared" si="129"/>
        <v>0</v>
      </c>
      <c r="F351" s="272">
        <f t="shared" si="130"/>
        <v>0</v>
      </c>
      <c r="G351" s="273">
        <f>'人员人工-研发人员工资'!G351</f>
        <v>0</v>
      </c>
      <c r="H351" s="274">
        <f t="shared" si="131"/>
        <v>0</v>
      </c>
      <c r="I351" s="273">
        <f>'人员人工-研发人员工资'!I351</f>
        <v>0</v>
      </c>
      <c r="J351" s="274">
        <f t="shared" si="132"/>
        <v>0</v>
      </c>
      <c r="K351" s="275">
        <f>'人员人工-研发人员工资'!K351</f>
        <v>0</v>
      </c>
      <c r="L351" s="274">
        <f t="shared" si="133"/>
        <v>0</v>
      </c>
      <c r="M351" s="273">
        <f>'人员人工-研发人员工资'!M351</f>
        <v>0</v>
      </c>
      <c r="N351" s="274">
        <f t="shared" si="134"/>
        <v>0</v>
      </c>
      <c r="O351" s="273">
        <f>'人员人工-研发人员工资'!O351</f>
        <v>0</v>
      </c>
      <c r="P351" s="274">
        <f t="shared" si="135"/>
        <v>0</v>
      </c>
      <c r="Q351" s="273">
        <f>'人员人工-研发人员工资'!Q351</f>
        <v>0</v>
      </c>
      <c r="R351" s="274">
        <f t="shared" si="136"/>
        <v>0</v>
      </c>
      <c r="S351" s="273">
        <f>'人员人工-研发人员工资'!S351</f>
        <v>0</v>
      </c>
      <c r="T351" s="274">
        <f t="shared" si="137"/>
        <v>0</v>
      </c>
      <c r="U351" s="273">
        <f>'人员人工-研发人员工资'!U351</f>
        <v>0</v>
      </c>
      <c r="V351" s="274">
        <f t="shared" si="138"/>
        <v>0</v>
      </c>
      <c r="W351" s="273">
        <f>'人员人工-研发人员工资'!W351</f>
        <v>0</v>
      </c>
      <c r="X351" s="274">
        <f t="shared" si="139"/>
        <v>0</v>
      </c>
      <c r="Y351" s="273">
        <f>'人员人工-研发人员工资'!Y351</f>
        <v>0</v>
      </c>
      <c r="Z351" s="274">
        <f t="shared" si="140"/>
        <v>0</v>
      </c>
    </row>
    <row r="352" s="251" customFormat="1" customHeight="1" spans="1:26">
      <c r="A352" s="270">
        <v>7</v>
      </c>
      <c r="B352" s="271">
        <f>'人员人工-研发人员工资'!B352</f>
        <v>0</v>
      </c>
      <c r="C352" s="274"/>
      <c r="D352" s="272">
        <f>'人员人工-研发人员工资'!D352</f>
        <v>0</v>
      </c>
      <c r="E352" s="272">
        <f t="shared" si="129"/>
        <v>0</v>
      </c>
      <c r="F352" s="272">
        <f t="shared" si="130"/>
        <v>0</v>
      </c>
      <c r="G352" s="273">
        <f>'人员人工-研发人员工资'!G352</f>
        <v>0</v>
      </c>
      <c r="H352" s="274">
        <f t="shared" si="131"/>
        <v>0</v>
      </c>
      <c r="I352" s="273">
        <f>'人员人工-研发人员工资'!I352</f>
        <v>0</v>
      </c>
      <c r="J352" s="274">
        <f t="shared" si="132"/>
        <v>0</v>
      </c>
      <c r="K352" s="275">
        <f>'人员人工-研发人员工资'!K352</f>
        <v>0</v>
      </c>
      <c r="L352" s="274">
        <f t="shared" si="133"/>
        <v>0</v>
      </c>
      <c r="M352" s="273">
        <f>'人员人工-研发人员工资'!M352</f>
        <v>0</v>
      </c>
      <c r="N352" s="274">
        <f t="shared" si="134"/>
        <v>0</v>
      </c>
      <c r="O352" s="273">
        <f>'人员人工-研发人员工资'!O352</f>
        <v>0</v>
      </c>
      <c r="P352" s="274">
        <f t="shared" si="135"/>
        <v>0</v>
      </c>
      <c r="Q352" s="273">
        <f>'人员人工-研发人员工资'!Q352</f>
        <v>0</v>
      </c>
      <c r="R352" s="274">
        <f t="shared" si="136"/>
        <v>0</v>
      </c>
      <c r="S352" s="273">
        <f>'人员人工-研发人员工资'!S352</f>
        <v>0</v>
      </c>
      <c r="T352" s="274">
        <f t="shared" si="137"/>
        <v>0</v>
      </c>
      <c r="U352" s="273">
        <f>'人员人工-研发人员工资'!U352</f>
        <v>0</v>
      </c>
      <c r="V352" s="274">
        <f t="shared" si="138"/>
        <v>0</v>
      </c>
      <c r="W352" s="273">
        <f>'人员人工-研发人员工资'!W352</f>
        <v>0</v>
      </c>
      <c r="X352" s="274">
        <f t="shared" si="139"/>
        <v>0</v>
      </c>
      <c r="Y352" s="273">
        <f>'人员人工-研发人员工资'!Y352</f>
        <v>0</v>
      </c>
      <c r="Z352" s="274">
        <f t="shared" si="140"/>
        <v>0</v>
      </c>
    </row>
    <row r="353" s="251" customFormat="1" customHeight="1" spans="1:26">
      <c r="A353" s="270">
        <v>8</v>
      </c>
      <c r="B353" s="271">
        <f>'人员人工-研发人员工资'!B353</f>
        <v>0</v>
      </c>
      <c r="C353" s="274"/>
      <c r="D353" s="272">
        <f>'人员人工-研发人员工资'!D353</f>
        <v>0</v>
      </c>
      <c r="E353" s="272">
        <f t="shared" si="129"/>
        <v>0</v>
      </c>
      <c r="F353" s="272">
        <f t="shared" si="130"/>
        <v>0</v>
      </c>
      <c r="G353" s="273">
        <f>'人员人工-研发人员工资'!G353</f>
        <v>0</v>
      </c>
      <c r="H353" s="274">
        <f t="shared" si="131"/>
        <v>0</v>
      </c>
      <c r="I353" s="273">
        <f>'人员人工-研发人员工资'!I353</f>
        <v>0</v>
      </c>
      <c r="J353" s="274">
        <f t="shared" si="132"/>
        <v>0</v>
      </c>
      <c r="K353" s="275">
        <f>'人员人工-研发人员工资'!K353</f>
        <v>0</v>
      </c>
      <c r="L353" s="274">
        <f t="shared" si="133"/>
        <v>0</v>
      </c>
      <c r="M353" s="273">
        <f>'人员人工-研发人员工资'!M353</f>
        <v>0</v>
      </c>
      <c r="N353" s="274">
        <f t="shared" si="134"/>
        <v>0</v>
      </c>
      <c r="O353" s="273">
        <f>'人员人工-研发人员工资'!O353</f>
        <v>0</v>
      </c>
      <c r="P353" s="274">
        <f t="shared" si="135"/>
        <v>0</v>
      </c>
      <c r="Q353" s="273">
        <f>'人员人工-研发人员工资'!Q353</f>
        <v>0</v>
      </c>
      <c r="R353" s="274">
        <f t="shared" si="136"/>
        <v>0</v>
      </c>
      <c r="S353" s="273">
        <f>'人员人工-研发人员工资'!S353</f>
        <v>0</v>
      </c>
      <c r="T353" s="274">
        <f t="shared" si="137"/>
        <v>0</v>
      </c>
      <c r="U353" s="273">
        <f>'人员人工-研发人员工资'!U353</f>
        <v>0</v>
      </c>
      <c r="V353" s="274">
        <f t="shared" si="138"/>
        <v>0</v>
      </c>
      <c r="W353" s="273">
        <f>'人员人工-研发人员工资'!W353</f>
        <v>0</v>
      </c>
      <c r="X353" s="274">
        <f t="shared" si="139"/>
        <v>0</v>
      </c>
      <c r="Y353" s="273">
        <f>'人员人工-研发人员工资'!Y353</f>
        <v>0</v>
      </c>
      <c r="Z353" s="274">
        <f t="shared" si="140"/>
        <v>0</v>
      </c>
    </row>
    <row r="354" s="251" customFormat="1" customHeight="1" spans="1:26">
      <c r="A354" s="270">
        <v>9</v>
      </c>
      <c r="B354" s="271">
        <f>'人员人工-研发人员工资'!B354</f>
        <v>0</v>
      </c>
      <c r="C354" s="274"/>
      <c r="D354" s="272">
        <f>'人员人工-研发人员工资'!D354</f>
        <v>0</v>
      </c>
      <c r="E354" s="272">
        <f t="shared" si="129"/>
        <v>0</v>
      </c>
      <c r="F354" s="272">
        <f t="shared" si="130"/>
        <v>0</v>
      </c>
      <c r="G354" s="273">
        <f>'人员人工-研发人员工资'!G354</f>
        <v>0</v>
      </c>
      <c r="H354" s="274">
        <f t="shared" si="131"/>
        <v>0</v>
      </c>
      <c r="I354" s="273">
        <f>'人员人工-研发人员工资'!I354</f>
        <v>0</v>
      </c>
      <c r="J354" s="274">
        <f t="shared" si="132"/>
        <v>0</v>
      </c>
      <c r="K354" s="275">
        <f>'人员人工-研发人员工资'!K354</f>
        <v>0</v>
      </c>
      <c r="L354" s="274">
        <f t="shared" si="133"/>
        <v>0</v>
      </c>
      <c r="M354" s="273">
        <f>'人员人工-研发人员工资'!M354</f>
        <v>0</v>
      </c>
      <c r="N354" s="274">
        <f t="shared" si="134"/>
        <v>0</v>
      </c>
      <c r="O354" s="273">
        <f>'人员人工-研发人员工资'!O354</f>
        <v>0</v>
      </c>
      <c r="P354" s="274">
        <f t="shared" si="135"/>
        <v>0</v>
      </c>
      <c r="Q354" s="273">
        <f>'人员人工-研发人员工资'!Q354</f>
        <v>0</v>
      </c>
      <c r="R354" s="274">
        <f t="shared" si="136"/>
        <v>0</v>
      </c>
      <c r="S354" s="273">
        <f>'人员人工-研发人员工资'!S354</f>
        <v>0</v>
      </c>
      <c r="T354" s="274">
        <f t="shared" si="137"/>
        <v>0</v>
      </c>
      <c r="U354" s="273">
        <f>'人员人工-研发人员工资'!U354</f>
        <v>0</v>
      </c>
      <c r="V354" s="274">
        <f t="shared" si="138"/>
        <v>0</v>
      </c>
      <c r="W354" s="273">
        <f>'人员人工-研发人员工资'!W354</f>
        <v>0</v>
      </c>
      <c r="X354" s="274">
        <f t="shared" si="139"/>
        <v>0</v>
      </c>
      <c r="Y354" s="273">
        <f>'人员人工-研发人员工资'!Y354</f>
        <v>0</v>
      </c>
      <c r="Z354" s="274">
        <f t="shared" si="140"/>
        <v>0</v>
      </c>
    </row>
    <row r="355" s="251" customFormat="1" customHeight="1" spans="1:26">
      <c r="A355" s="270">
        <v>10</v>
      </c>
      <c r="B355" s="271">
        <f>'人员人工-研发人员工资'!B355</f>
        <v>0</v>
      </c>
      <c r="C355" s="274"/>
      <c r="D355" s="272">
        <f>'人员人工-研发人员工资'!D355</f>
        <v>0</v>
      </c>
      <c r="E355" s="272">
        <f t="shared" si="129"/>
        <v>0</v>
      </c>
      <c r="F355" s="272">
        <f t="shared" si="130"/>
        <v>0</v>
      </c>
      <c r="G355" s="273">
        <f>'人员人工-研发人员工资'!G355</f>
        <v>0</v>
      </c>
      <c r="H355" s="274">
        <f t="shared" si="131"/>
        <v>0</v>
      </c>
      <c r="I355" s="273">
        <f>'人员人工-研发人员工资'!I355</f>
        <v>0</v>
      </c>
      <c r="J355" s="274">
        <f t="shared" si="132"/>
        <v>0</v>
      </c>
      <c r="K355" s="275">
        <f>'人员人工-研发人员工资'!K355</f>
        <v>0</v>
      </c>
      <c r="L355" s="274">
        <f t="shared" si="133"/>
        <v>0</v>
      </c>
      <c r="M355" s="273">
        <f>'人员人工-研发人员工资'!M355</f>
        <v>0</v>
      </c>
      <c r="N355" s="274">
        <f t="shared" si="134"/>
        <v>0</v>
      </c>
      <c r="O355" s="273">
        <f>'人员人工-研发人员工资'!O355</f>
        <v>0</v>
      </c>
      <c r="P355" s="274">
        <f t="shared" si="135"/>
        <v>0</v>
      </c>
      <c r="Q355" s="273">
        <f>'人员人工-研发人员工资'!Q355</f>
        <v>0</v>
      </c>
      <c r="R355" s="274">
        <f t="shared" si="136"/>
        <v>0</v>
      </c>
      <c r="S355" s="273">
        <f>'人员人工-研发人员工资'!S355</f>
        <v>0</v>
      </c>
      <c r="T355" s="274">
        <f t="shared" si="137"/>
        <v>0</v>
      </c>
      <c r="U355" s="273">
        <f>'人员人工-研发人员工资'!U355</f>
        <v>0</v>
      </c>
      <c r="V355" s="274">
        <f t="shared" si="138"/>
        <v>0</v>
      </c>
      <c r="W355" s="273">
        <f>'人员人工-研发人员工资'!W355</f>
        <v>0</v>
      </c>
      <c r="X355" s="274">
        <f t="shared" si="139"/>
        <v>0</v>
      </c>
      <c r="Y355" s="273">
        <f>'人员人工-研发人员工资'!Y355</f>
        <v>0</v>
      </c>
      <c r="Z355" s="274">
        <f t="shared" si="140"/>
        <v>0</v>
      </c>
    </row>
    <row r="356" s="251" customFormat="1" customHeight="1" spans="1:26">
      <c r="A356" s="270">
        <v>11</v>
      </c>
      <c r="B356" s="271">
        <f>'人员人工-研发人员工资'!B356</f>
        <v>0</v>
      </c>
      <c r="C356" s="274"/>
      <c r="D356" s="272">
        <f>'人员人工-研发人员工资'!D356</f>
        <v>0</v>
      </c>
      <c r="E356" s="272">
        <f t="shared" si="129"/>
        <v>0</v>
      </c>
      <c r="F356" s="272">
        <f t="shared" si="130"/>
        <v>0</v>
      </c>
      <c r="G356" s="273">
        <f>'人员人工-研发人员工资'!G356</f>
        <v>0</v>
      </c>
      <c r="H356" s="274">
        <f t="shared" si="131"/>
        <v>0</v>
      </c>
      <c r="I356" s="273">
        <f>'人员人工-研发人员工资'!I356</f>
        <v>0</v>
      </c>
      <c r="J356" s="274">
        <f t="shared" si="132"/>
        <v>0</v>
      </c>
      <c r="K356" s="275">
        <f>'人员人工-研发人员工资'!K356</f>
        <v>0</v>
      </c>
      <c r="L356" s="274">
        <f t="shared" si="133"/>
        <v>0</v>
      </c>
      <c r="M356" s="273">
        <f>'人员人工-研发人员工资'!M356</f>
        <v>0</v>
      </c>
      <c r="N356" s="274">
        <f t="shared" si="134"/>
        <v>0</v>
      </c>
      <c r="O356" s="273">
        <f>'人员人工-研发人员工资'!O356</f>
        <v>0</v>
      </c>
      <c r="P356" s="274">
        <f t="shared" si="135"/>
        <v>0</v>
      </c>
      <c r="Q356" s="273">
        <f>'人员人工-研发人员工资'!Q356</f>
        <v>0</v>
      </c>
      <c r="R356" s="274">
        <f t="shared" si="136"/>
        <v>0</v>
      </c>
      <c r="S356" s="273">
        <f>'人员人工-研发人员工资'!S356</f>
        <v>0</v>
      </c>
      <c r="T356" s="274">
        <f t="shared" si="137"/>
        <v>0</v>
      </c>
      <c r="U356" s="273">
        <f>'人员人工-研发人员工资'!U356</f>
        <v>0</v>
      </c>
      <c r="V356" s="274">
        <f t="shared" si="138"/>
        <v>0</v>
      </c>
      <c r="W356" s="273">
        <f>'人员人工-研发人员工资'!W356</f>
        <v>0</v>
      </c>
      <c r="X356" s="274">
        <f t="shared" si="139"/>
        <v>0</v>
      </c>
      <c r="Y356" s="273">
        <f>'人员人工-研发人员工资'!Y356</f>
        <v>0</v>
      </c>
      <c r="Z356" s="274">
        <f t="shared" si="140"/>
        <v>0</v>
      </c>
    </row>
    <row r="357" s="251" customFormat="1" customHeight="1" spans="1:26">
      <c r="A357" s="270">
        <v>12</v>
      </c>
      <c r="B357" s="271">
        <f>'人员人工-研发人员工资'!B357</f>
        <v>0</v>
      </c>
      <c r="C357" s="274"/>
      <c r="D357" s="272">
        <f>'人员人工-研发人员工资'!D357</f>
        <v>0</v>
      </c>
      <c r="E357" s="272">
        <f t="shared" si="129"/>
        <v>0</v>
      </c>
      <c r="F357" s="272">
        <f t="shared" si="130"/>
        <v>0</v>
      </c>
      <c r="G357" s="273">
        <f>'人员人工-研发人员工资'!G357</f>
        <v>0</v>
      </c>
      <c r="H357" s="274">
        <f t="shared" si="131"/>
        <v>0</v>
      </c>
      <c r="I357" s="273">
        <f>'人员人工-研发人员工资'!I357</f>
        <v>0</v>
      </c>
      <c r="J357" s="274">
        <f t="shared" si="132"/>
        <v>0</v>
      </c>
      <c r="K357" s="275">
        <f>'人员人工-研发人员工资'!K357</f>
        <v>0</v>
      </c>
      <c r="L357" s="274">
        <f t="shared" si="133"/>
        <v>0</v>
      </c>
      <c r="M357" s="273">
        <f>'人员人工-研发人员工资'!M357</f>
        <v>0</v>
      </c>
      <c r="N357" s="274">
        <f t="shared" si="134"/>
        <v>0</v>
      </c>
      <c r="O357" s="273">
        <f>'人员人工-研发人员工资'!O357</f>
        <v>0</v>
      </c>
      <c r="P357" s="274">
        <f t="shared" si="135"/>
        <v>0</v>
      </c>
      <c r="Q357" s="273">
        <f>'人员人工-研发人员工资'!Q357</f>
        <v>0</v>
      </c>
      <c r="R357" s="274">
        <f t="shared" si="136"/>
        <v>0</v>
      </c>
      <c r="S357" s="273">
        <f>'人员人工-研发人员工资'!S357</f>
        <v>0</v>
      </c>
      <c r="T357" s="274">
        <f t="shared" si="137"/>
        <v>0</v>
      </c>
      <c r="U357" s="273">
        <f>'人员人工-研发人员工资'!U357</f>
        <v>0</v>
      </c>
      <c r="V357" s="274">
        <f t="shared" si="138"/>
        <v>0</v>
      </c>
      <c r="W357" s="273">
        <f>'人员人工-研发人员工资'!W357</f>
        <v>0</v>
      </c>
      <c r="X357" s="274">
        <f t="shared" si="139"/>
        <v>0</v>
      </c>
      <c r="Y357" s="273">
        <f>'人员人工-研发人员工资'!Y357</f>
        <v>0</v>
      </c>
      <c r="Z357" s="274">
        <f t="shared" si="140"/>
        <v>0</v>
      </c>
    </row>
    <row r="358" s="251" customFormat="1" customHeight="1" spans="1:26">
      <c r="A358" s="270">
        <v>13</v>
      </c>
      <c r="B358" s="271">
        <f>'人员人工-研发人员工资'!B358</f>
        <v>0</v>
      </c>
      <c r="C358" s="274"/>
      <c r="D358" s="272">
        <f>'人员人工-研发人员工资'!D358</f>
        <v>0</v>
      </c>
      <c r="E358" s="272">
        <f t="shared" si="129"/>
        <v>0</v>
      </c>
      <c r="F358" s="272">
        <f t="shared" si="130"/>
        <v>0</v>
      </c>
      <c r="G358" s="273">
        <f>'人员人工-研发人员工资'!G358</f>
        <v>0</v>
      </c>
      <c r="H358" s="274">
        <f t="shared" si="131"/>
        <v>0</v>
      </c>
      <c r="I358" s="273">
        <f>'人员人工-研发人员工资'!I358</f>
        <v>0</v>
      </c>
      <c r="J358" s="274">
        <f t="shared" si="132"/>
        <v>0</v>
      </c>
      <c r="K358" s="275">
        <f>'人员人工-研发人员工资'!K358</f>
        <v>0</v>
      </c>
      <c r="L358" s="274">
        <f t="shared" si="133"/>
        <v>0</v>
      </c>
      <c r="M358" s="273">
        <f>'人员人工-研发人员工资'!M358</f>
        <v>0</v>
      </c>
      <c r="N358" s="274">
        <f t="shared" si="134"/>
        <v>0</v>
      </c>
      <c r="O358" s="273">
        <f>'人员人工-研发人员工资'!O358</f>
        <v>0</v>
      </c>
      <c r="P358" s="274">
        <f t="shared" si="135"/>
        <v>0</v>
      </c>
      <c r="Q358" s="273">
        <f>'人员人工-研发人员工资'!Q358</f>
        <v>0</v>
      </c>
      <c r="R358" s="274">
        <f t="shared" si="136"/>
        <v>0</v>
      </c>
      <c r="S358" s="273">
        <f>'人员人工-研发人员工资'!S358</f>
        <v>0</v>
      </c>
      <c r="T358" s="274">
        <f t="shared" si="137"/>
        <v>0</v>
      </c>
      <c r="U358" s="273">
        <f>'人员人工-研发人员工资'!U358</f>
        <v>0</v>
      </c>
      <c r="V358" s="274">
        <f t="shared" si="138"/>
        <v>0</v>
      </c>
      <c r="W358" s="273">
        <f>'人员人工-研发人员工资'!W358</f>
        <v>0</v>
      </c>
      <c r="X358" s="274">
        <f t="shared" si="139"/>
        <v>0</v>
      </c>
      <c r="Y358" s="273">
        <f>'人员人工-研发人员工资'!Y358</f>
        <v>0</v>
      </c>
      <c r="Z358" s="274">
        <f t="shared" si="140"/>
        <v>0</v>
      </c>
    </row>
    <row r="359" s="251" customFormat="1" customHeight="1" spans="1:26">
      <c r="A359" s="270">
        <v>14</v>
      </c>
      <c r="B359" s="271">
        <f>'人员人工-研发人员工资'!B359</f>
        <v>0</v>
      </c>
      <c r="C359" s="274"/>
      <c r="D359" s="272">
        <f>'人员人工-研发人员工资'!D359</f>
        <v>0</v>
      </c>
      <c r="E359" s="272">
        <f t="shared" si="129"/>
        <v>0</v>
      </c>
      <c r="F359" s="272">
        <f t="shared" si="130"/>
        <v>0</v>
      </c>
      <c r="G359" s="273">
        <f>'人员人工-研发人员工资'!G359</f>
        <v>0</v>
      </c>
      <c r="H359" s="274">
        <f t="shared" si="131"/>
        <v>0</v>
      </c>
      <c r="I359" s="273">
        <f>'人员人工-研发人员工资'!I359</f>
        <v>0</v>
      </c>
      <c r="J359" s="274">
        <f t="shared" si="132"/>
        <v>0</v>
      </c>
      <c r="K359" s="275">
        <f>'人员人工-研发人员工资'!K359</f>
        <v>0</v>
      </c>
      <c r="L359" s="274">
        <f t="shared" si="133"/>
        <v>0</v>
      </c>
      <c r="M359" s="273">
        <f>'人员人工-研发人员工资'!M359</f>
        <v>0</v>
      </c>
      <c r="N359" s="274">
        <f t="shared" si="134"/>
        <v>0</v>
      </c>
      <c r="O359" s="273">
        <f>'人员人工-研发人员工资'!O359</f>
        <v>0</v>
      </c>
      <c r="P359" s="274">
        <f t="shared" si="135"/>
        <v>0</v>
      </c>
      <c r="Q359" s="273">
        <f>'人员人工-研发人员工资'!Q359</f>
        <v>0</v>
      </c>
      <c r="R359" s="274">
        <f t="shared" si="136"/>
        <v>0</v>
      </c>
      <c r="S359" s="273">
        <f>'人员人工-研发人员工资'!S359</f>
        <v>0</v>
      </c>
      <c r="T359" s="274">
        <f t="shared" si="137"/>
        <v>0</v>
      </c>
      <c r="U359" s="273">
        <f>'人员人工-研发人员工资'!U359</f>
        <v>0</v>
      </c>
      <c r="V359" s="274">
        <f t="shared" si="138"/>
        <v>0</v>
      </c>
      <c r="W359" s="273">
        <f>'人员人工-研发人员工资'!W359</f>
        <v>0</v>
      </c>
      <c r="X359" s="274">
        <f t="shared" si="139"/>
        <v>0</v>
      </c>
      <c r="Y359" s="273">
        <f>'人员人工-研发人员工资'!Y359</f>
        <v>0</v>
      </c>
      <c r="Z359" s="274">
        <f t="shared" si="140"/>
        <v>0</v>
      </c>
    </row>
    <row r="360" s="251" customFormat="1" customHeight="1" spans="1:26">
      <c r="A360" s="270">
        <v>15</v>
      </c>
      <c r="B360" s="271">
        <f>'人员人工-研发人员工资'!B360</f>
        <v>0</v>
      </c>
      <c r="C360" s="274"/>
      <c r="D360" s="272">
        <f>'人员人工-研发人员工资'!D360</f>
        <v>0</v>
      </c>
      <c r="E360" s="272">
        <f t="shared" si="129"/>
        <v>0</v>
      </c>
      <c r="F360" s="272">
        <f t="shared" si="130"/>
        <v>0</v>
      </c>
      <c r="G360" s="273">
        <f>'人员人工-研发人员工资'!G360</f>
        <v>0</v>
      </c>
      <c r="H360" s="274">
        <f t="shared" si="131"/>
        <v>0</v>
      </c>
      <c r="I360" s="273">
        <f>'人员人工-研发人员工资'!I360</f>
        <v>0</v>
      </c>
      <c r="J360" s="274">
        <f t="shared" si="132"/>
        <v>0</v>
      </c>
      <c r="K360" s="275">
        <f>'人员人工-研发人员工资'!K360</f>
        <v>0</v>
      </c>
      <c r="L360" s="274">
        <f t="shared" si="133"/>
        <v>0</v>
      </c>
      <c r="M360" s="273">
        <f>'人员人工-研发人员工资'!M360</f>
        <v>0</v>
      </c>
      <c r="N360" s="274">
        <f t="shared" si="134"/>
        <v>0</v>
      </c>
      <c r="O360" s="273">
        <f>'人员人工-研发人员工资'!O360</f>
        <v>0</v>
      </c>
      <c r="P360" s="274">
        <f t="shared" si="135"/>
        <v>0</v>
      </c>
      <c r="Q360" s="273">
        <f>'人员人工-研发人员工资'!Q360</f>
        <v>0</v>
      </c>
      <c r="R360" s="274">
        <f t="shared" si="136"/>
        <v>0</v>
      </c>
      <c r="S360" s="273">
        <f>'人员人工-研发人员工资'!S360</f>
        <v>0</v>
      </c>
      <c r="T360" s="274">
        <f t="shared" si="137"/>
        <v>0</v>
      </c>
      <c r="U360" s="273">
        <f>'人员人工-研发人员工资'!U360</f>
        <v>0</v>
      </c>
      <c r="V360" s="274">
        <f t="shared" si="138"/>
        <v>0</v>
      </c>
      <c r="W360" s="273">
        <f>'人员人工-研发人员工资'!W360</f>
        <v>0</v>
      </c>
      <c r="X360" s="274">
        <f t="shared" si="139"/>
        <v>0</v>
      </c>
      <c r="Y360" s="273">
        <f>'人员人工-研发人员工资'!Y360</f>
        <v>0</v>
      </c>
      <c r="Z360" s="274">
        <f t="shared" si="140"/>
        <v>0</v>
      </c>
    </row>
    <row r="361" s="251" customFormat="1" customHeight="1" spans="1:26">
      <c r="A361" s="270">
        <v>16</v>
      </c>
      <c r="B361" s="271">
        <f>'人员人工-研发人员工资'!B361</f>
        <v>0</v>
      </c>
      <c r="C361" s="274"/>
      <c r="D361" s="272">
        <f>'人员人工-研发人员工资'!D361</f>
        <v>0</v>
      </c>
      <c r="E361" s="272">
        <f t="shared" si="129"/>
        <v>0</v>
      </c>
      <c r="F361" s="272">
        <f t="shared" si="130"/>
        <v>0</v>
      </c>
      <c r="G361" s="273">
        <f>'人员人工-研发人员工资'!G361</f>
        <v>0</v>
      </c>
      <c r="H361" s="274">
        <f t="shared" si="131"/>
        <v>0</v>
      </c>
      <c r="I361" s="273">
        <f>'人员人工-研发人员工资'!I361</f>
        <v>0</v>
      </c>
      <c r="J361" s="274">
        <f t="shared" si="132"/>
        <v>0</v>
      </c>
      <c r="K361" s="275">
        <f>'人员人工-研发人员工资'!K361</f>
        <v>0</v>
      </c>
      <c r="L361" s="274">
        <f t="shared" si="133"/>
        <v>0</v>
      </c>
      <c r="M361" s="273">
        <f>'人员人工-研发人员工资'!M361</f>
        <v>0</v>
      </c>
      <c r="N361" s="274">
        <f t="shared" si="134"/>
        <v>0</v>
      </c>
      <c r="O361" s="273">
        <f>'人员人工-研发人员工资'!O361</f>
        <v>0</v>
      </c>
      <c r="P361" s="274">
        <f t="shared" si="135"/>
        <v>0</v>
      </c>
      <c r="Q361" s="273">
        <f>'人员人工-研发人员工资'!Q361</f>
        <v>0</v>
      </c>
      <c r="R361" s="274">
        <f t="shared" si="136"/>
        <v>0</v>
      </c>
      <c r="S361" s="273">
        <f>'人员人工-研发人员工资'!S361</f>
        <v>0</v>
      </c>
      <c r="T361" s="274">
        <f t="shared" si="137"/>
        <v>0</v>
      </c>
      <c r="U361" s="273">
        <f>'人员人工-研发人员工资'!U361</f>
        <v>0</v>
      </c>
      <c r="V361" s="274">
        <f t="shared" si="138"/>
        <v>0</v>
      </c>
      <c r="W361" s="273">
        <f>'人员人工-研发人员工资'!W361</f>
        <v>0</v>
      </c>
      <c r="X361" s="274">
        <f t="shared" si="139"/>
        <v>0</v>
      </c>
      <c r="Y361" s="273">
        <f>'人员人工-研发人员工资'!Y361</f>
        <v>0</v>
      </c>
      <c r="Z361" s="274">
        <f t="shared" si="140"/>
        <v>0</v>
      </c>
    </row>
    <row r="362" s="251" customFormat="1" customHeight="1" spans="1:26">
      <c r="A362" s="270">
        <v>17</v>
      </c>
      <c r="B362" s="271">
        <f>'人员人工-研发人员工资'!B362</f>
        <v>0</v>
      </c>
      <c r="C362" s="274"/>
      <c r="D362" s="272">
        <f>'人员人工-研发人员工资'!D362</f>
        <v>0</v>
      </c>
      <c r="E362" s="272">
        <f t="shared" si="129"/>
        <v>0</v>
      </c>
      <c r="F362" s="272">
        <f t="shared" si="130"/>
        <v>0</v>
      </c>
      <c r="G362" s="273">
        <f>'人员人工-研发人员工资'!G362</f>
        <v>0</v>
      </c>
      <c r="H362" s="274">
        <f t="shared" si="131"/>
        <v>0</v>
      </c>
      <c r="I362" s="273">
        <f>'人员人工-研发人员工资'!I362</f>
        <v>0</v>
      </c>
      <c r="J362" s="274">
        <f t="shared" si="132"/>
        <v>0</v>
      </c>
      <c r="K362" s="275">
        <f>'人员人工-研发人员工资'!K362</f>
        <v>0</v>
      </c>
      <c r="L362" s="274">
        <f t="shared" si="133"/>
        <v>0</v>
      </c>
      <c r="M362" s="273">
        <f>'人员人工-研发人员工资'!M362</f>
        <v>0</v>
      </c>
      <c r="N362" s="274">
        <f t="shared" si="134"/>
        <v>0</v>
      </c>
      <c r="O362" s="273">
        <f>'人员人工-研发人员工资'!O362</f>
        <v>0</v>
      </c>
      <c r="P362" s="274">
        <f t="shared" si="135"/>
        <v>0</v>
      </c>
      <c r="Q362" s="273">
        <f>'人员人工-研发人员工资'!Q362</f>
        <v>0</v>
      </c>
      <c r="R362" s="274">
        <f t="shared" si="136"/>
        <v>0</v>
      </c>
      <c r="S362" s="273">
        <f>'人员人工-研发人员工资'!S362</f>
        <v>0</v>
      </c>
      <c r="T362" s="274">
        <f t="shared" si="137"/>
        <v>0</v>
      </c>
      <c r="U362" s="273">
        <f>'人员人工-研发人员工资'!U362</f>
        <v>0</v>
      </c>
      <c r="V362" s="274">
        <f t="shared" si="138"/>
        <v>0</v>
      </c>
      <c r="W362" s="273">
        <f>'人员人工-研发人员工资'!W362</f>
        <v>0</v>
      </c>
      <c r="X362" s="274">
        <f t="shared" si="139"/>
        <v>0</v>
      </c>
      <c r="Y362" s="273">
        <f>'人员人工-研发人员工资'!Y362</f>
        <v>0</v>
      </c>
      <c r="Z362" s="274">
        <f t="shared" si="140"/>
        <v>0</v>
      </c>
    </row>
    <row r="363" s="251" customFormat="1" customHeight="1" spans="1:26">
      <c r="A363" s="270">
        <v>18</v>
      </c>
      <c r="B363" s="271">
        <f>'人员人工-研发人员工资'!B363</f>
        <v>0</v>
      </c>
      <c r="C363" s="274"/>
      <c r="D363" s="272">
        <f>'人员人工-研发人员工资'!D363</f>
        <v>0</v>
      </c>
      <c r="E363" s="272">
        <f t="shared" si="129"/>
        <v>0</v>
      </c>
      <c r="F363" s="272">
        <f t="shared" si="130"/>
        <v>0</v>
      </c>
      <c r="G363" s="273">
        <f>'人员人工-研发人员工资'!G363</f>
        <v>0</v>
      </c>
      <c r="H363" s="274">
        <f t="shared" si="131"/>
        <v>0</v>
      </c>
      <c r="I363" s="273">
        <f>'人员人工-研发人员工资'!I363</f>
        <v>0</v>
      </c>
      <c r="J363" s="274">
        <f t="shared" si="132"/>
        <v>0</v>
      </c>
      <c r="K363" s="275">
        <f>'人员人工-研发人员工资'!K363</f>
        <v>0</v>
      </c>
      <c r="L363" s="274">
        <f t="shared" si="133"/>
        <v>0</v>
      </c>
      <c r="M363" s="273">
        <f>'人员人工-研发人员工资'!M363</f>
        <v>0</v>
      </c>
      <c r="N363" s="274">
        <f t="shared" si="134"/>
        <v>0</v>
      </c>
      <c r="O363" s="273">
        <f>'人员人工-研发人员工资'!O363</f>
        <v>0</v>
      </c>
      <c r="P363" s="274">
        <f t="shared" si="135"/>
        <v>0</v>
      </c>
      <c r="Q363" s="273">
        <f>'人员人工-研发人员工资'!Q363</f>
        <v>0</v>
      </c>
      <c r="R363" s="274">
        <f t="shared" si="136"/>
        <v>0</v>
      </c>
      <c r="S363" s="273">
        <f>'人员人工-研发人员工资'!S363</f>
        <v>0</v>
      </c>
      <c r="T363" s="274">
        <f t="shared" si="137"/>
        <v>0</v>
      </c>
      <c r="U363" s="273">
        <f>'人员人工-研发人员工资'!U363</f>
        <v>0</v>
      </c>
      <c r="V363" s="274">
        <f t="shared" si="138"/>
        <v>0</v>
      </c>
      <c r="W363" s="273">
        <f>'人员人工-研发人员工资'!W363</f>
        <v>0</v>
      </c>
      <c r="X363" s="274">
        <f t="shared" si="139"/>
        <v>0</v>
      </c>
      <c r="Y363" s="273">
        <f>'人员人工-研发人员工资'!Y363</f>
        <v>0</v>
      </c>
      <c r="Z363" s="274">
        <f t="shared" si="140"/>
        <v>0</v>
      </c>
    </row>
    <row r="364" s="251" customFormat="1" customHeight="1" spans="1:26">
      <c r="A364" s="270">
        <v>19</v>
      </c>
      <c r="B364" s="271">
        <f>'人员人工-研发人员工资'!B364</f>
        <v>0</v>
      </c>
      <c r="C364" s="274"/>
      <c r="D364" s="272">
        <f>'人员人工-研发人员工资'!D364</f>
        <v>0</v>
      </c>
      <c r="E364" s="272">
        <f t="shared" si="129"/>
        <v>0</v>
      </c>
      <c r="F364" s="272">
        <f t="shared" si="130"/>
        <v>0</v>
      </c>
      <c r="G364" s="273">
        <f>'人员人工-研发人员工资'!G364</f>
        <v>0</v>
      </c>
      <c r="H364" s="274">
        <f t="shared" si="131"/>
        <v>0</v>
      </c>
      <c r="I364" s="273">
        <f>'人员人工-研发人员工资'!I364</f>
        <v>0</v>
      </c>
      <c r="J364" s="274">
        <f t="shared" si="132"/>
        <v>0</v>
      </c>
      <c r="K364" s="275">
        <f>'人员人工-研发人员工资'!K364</f>
        <v>0</v>
      </c>
      <c r="L364" s="274">
        <f t="shared" si="133"/>
        <v>0</v>
      </c>
      <c r="M364" s="273">
        <f>'人员人工-研发人员工资'!M364</f>
        <v>0</v>
      </c>
      <c r="N364" s="274">
        <f t="shared" si="134"/>
        <v>0</v>
      </c>
      <c r="O364" s="273">
        <f>'人员人工-研发人员工资'!O364</f>
        <v>0</v>
      </c>
      <c r="P364" s="274">
        <f t="shared" si="135"/>
        <v>0</v>
      </c>
      <c r="Q364" s="273">
        <f>'人员人工-研发人员工资'!Q364</f>
        <v>0</v>
      </c>
      <c r="R364" s="274">
        <f t="shared" si="136"/>
        <v>0</v>
      </c>
      <c r="S364" s="273">
        <f>'人员人工-研发人员工资'!S364</f>
        <v>0</v>
      </c>
      <c r="T364" s="274">
        <f t="shared" si="137"/>
        <v>0</v>
      </c>
      <c r="U364" s="273">
        <f>'人员人工-研发人员工资'!U364</f>
        <v>0</v>
      </c>
      <c r="V364" s="274">
        <f t="shared" si="138"/>
        <v>0</v>
      </c>
      <c r="W364" s="273">
        <f>'人员人工-研发人员工资'!W364</f>
        <v>0</v>
      </c>
      <c r="X364" s="274">
        <f t="shared" si="139"/>
        <v>0</v>
      </c>
      <c r="Y364" s="273">
        <f>'人员人工-研发人员工资'!Y364</f>
        <v>0</v>
      </c>
      <c r="Z364" s="274">
        <f t="shared" si="140"/>
        <v>0</v>
      </c>
    </row>
    <row r="365" s="251" customFormat="1" customHeight="1" spans="1:26">
      <c r="A365" s="270">
        <v>20</v>
      </c>
      <c r="B365" s="271">
        <f>'人员人工-研发人员工资'!B365</f>
        <v>0</v>
      </c>
      <c r="C365" s="274"/>
      <c r="D365" s="272">
        <f>'人员人工-研发人员工资'!D365</f>
        <v>0</v>
      </c>
      <c r="E365" s="272">
        <f t="shared" si="129"/>
        <v>0</v>
      </c>
      <c r="F365" s="272">
        <f t="shared" si="130"/>
        <v>0</v>
      </c>
      <c r="G365" s="273">
        <f>'人员人工-研发人员工资'!G365</f>
        <v>0</v>
      </c>
      <c r="H365" s="274">
        <f t="shared" si="131"/>
        <v>0</v>
      </c>
      <c r="I365" s="273">
        <f>'人员人工-研发人员工资'!I365</f>
        <v>0</v>
      </c>
      <c r="J365" s="274">
        <f t="shared" si="132"/>
        <v>0</v>
      </c>
      <c r="K365" s="275">
        <f>'人员人工-研发人员工资'!K365</f>
        <v>0</v>
      </c>
      <c r="L365" s="274">
        <f t="shared" si="133"/>
        <v>0</v>
      </c>
      <c r="M365" s="273">
        <f>'人员人工-研发人员工资'!M365</f>
        <v>0</v>
      </c>
      <c r="N365" s="274">
        <f t="shared" si="134"/>
        <v>0</v>
      </c>
      <c r="O365" s="273">
        <f>'人员人工-研发人员工资'!O365</f>
        <v>0</v>
      </c>
      <c r="P365" s="274">
        <f t="shared" si="135"/>
        <v>0</v>
      </c>
      <c r="Q365" s="273">
        <f>'人员人工-研发人员工资'!Q365</f>
        <v>0</v>
      </c>
      <c r="R365" s="274">
        <f t="shared" si="136"/>
        <v>0</v>
      </c>
      <c r="S365" s="273">
        <f>'人员人工-研发人员工资'!S365</f>
        <v>0</v>
      </c>
      <c r="T365" s="274">
        <f t="shared" si="137"/>
        <v>0</v>
      </c>
      <c r="U365" s="273">
        <f>'人员人工-研发人员工资'!U365</f>
        <v>0</v>
      </c>
      <c r="V365" s="274">
        <f t="shared" si="138"/>
        <v>0</v>
      </c>
      <c r="W365" s="273">
        <f>'人员人工-研发人员工资'!W365</f>
        <v>0</v>
      </c>
      <c r="X365" s="274">
        <f t="shared" si="139"/>
        <v>0</v>
      </c>
      <c r="Y365" s="273">
        <f>'人员人工-研发人员工资'!Y365</f>
        <v>0</v>
      </c>
      <c r="Z365" s="274">
        <f t="shared" si="140"/>
        <v>0</v>
      </c>
    </row>
    <row r="366" s="251" customFormat="1" customHeight="1" spans="1:26">
      <c r="A366" s="270">
        <v>21</v>
      </c>
      <c r="B366" s="271">
        <f>'人员人工-研发人员工资'!B366</f>
        <v>0</v>
      </c>
      <c r="C366" s="274"/>
      <c r="D366" s="272">
        <f>'人员人工-研发人员工资'!D366</f>
        <v>0</v>
      </c>
      <c r="E366" s="272">
        <f t="shared" si="129"/>
        <v>0</v>
      </c>
      <c r="F366" s="272">
        <f t="shared" si="130"/>
        <v>0</v>
      </c>
      <c r="G366" s="273">
        <f>'人员人工-研发人员工资'!G366</f>
        <v>0</v>
      </c>
      <c r="H366" s="274">
        <f t="shared" si="131"/>
        <v>0</v>
      </c>
      <c r="I366" s="273">
        <f>'人员人工-研发人员工资'!I366</f>
        <v>0</v>
      </c>
      <c r="J366" s="274">
        <f t="shared" si="132"/>
        <v>0</v>
      </c>
      <c r="K366" s="275">
        <f>'人员人工-研发人员工资'!K366</f>
        <v>0</v>
      </c>
      <c r="L366" s="274">
        <f t="shared" si="133"/>
        <v>0</v>
      </c>
      <c r="M366" s="273">
        <f>'人员人工-研发人员工资'!M366</f>
        <v>0</v>
      </c>
      <c r="N366" s="274">
        <f t="shared" si="134"/>
        <v>0</v>
      </c>
      <c r="O366" s="273">
        <f>'人员人工-研发人员工资'!O366</f>
        <v>0</v>
      </c>
      <c r="P366" s="274">
        <f t="shared" si="135"/>
        <v>0</v>
      </c>
      <c r="Q366" s="273">
        <f>'人员人工-研发人员工资'!Q366</f>
        <v>0</v>
      </c>
      <c r="R366" s="274">
        <f t="shared" si="136"/>
        <v>0</v>
      </c>
      <c r="S366" s="273">
        <f>'人员人工-研发人员工资'!S366</f>
        <v>0</v>
      </c>
      <c r="T366" s="274">
        <f t="shared" si="137"/>
        <v>0</v>
      </c>
      <c r="U366" s="273">
        <f>'人员人工-研发人员工资'!U366</f>
        <v>0</v>
      </c>
      <c r="V366" s="274">
        <f t="shared" si="138"/>
        <v>0</v>
      </c>
      <c r="W366" s="273">
        <f>'人员人工-研发人员工资'!W366</f>
        <v>0</v>
      </c>
      <c r="X366" s="274">
        <f t="shared" si="139"/>
        <v>0</v>
      </c>
      <c r="Y366" s="273">
        <f>'人员人工-研发人员工资'!Y366</f>
        <v>0</v>
      </c>
      <c r="Z366" s="274">
        <f t="shared" si="140"/>
        <v>0</v>
      </c>
    </row>
    <row r="367" s="251" customFormat="1" customHeight="1" spans="1:26">
      <c r="A367" s="270">
        <v>22</v>
      </c>
      <c r="B367" s="271">
        <f>'人员人工-研发人员工资'!B367</f>
        <v>0</v>
      </c>
      <c r="C367" s="274"/>
      <c r="D367" s="272">
        <f>'人员人工-研发人员工资'!D367</f>
        <v>0</v>
      </c>
      <c r="E367" s="272">
        <f t="shared" si="129"/>
        <v>0</v>
      </c>
      <c r="F367" s="272">
        <f t="shared" si="130"/>
        <v>0</v>
      </c>
      <c r="G367" s="273">
        <f>'人员人工-研发人员工资'!G367</f>
        <v>0</v>
      </c>
      <c r="H367" s="274">
        <f t="shared" si="131"/>
        <v>0</v>
      </c>
      <c r="I367" s="273">
        <f>'人员人工-研发人员工资'!I367</f>
        <v>0</v>
      </c>
      <c r="J367" s="274">
        <f t="shared" si="132"/>
        <v>0</v>
      </c>
      <c r="K367" s="275">
        <f>'人员人工-研发人员工资'!K367</f>
        <v>0</v>
      </c>
      <c r="L367" s="274">
        <f t="shared" si="133"/>
        <v>0</v>
      </c>
      <c r="M367" s="273">
        <f>'人员人工-研发人员工资'!M367</f>
        <v>0</v>
      </c>
      <c r="N367" s="274">
        <f t="shared" si="134"/>
        <v>0</v>
      </c>
      <c r="O367" s="273">
        <f>'人员人工-研发人员工资'!O367</f>
        <v>0</v>
      </c>
      <c r="P367" s="274">
        <f t="shared" si="135"/>
        <v>0</v>
      </c>
      <c r="Q367" s="273">
        <f>'人员人工-研发人员工资'!Q367</f>
        <v>0</v>
      </c>
      <c r="R367" s="274">
        <f t="shared" si="136"/>
        <v>0</v>
      </c>
      <c r="S367" s="273">
        <f>'人员人工-研发人员工资'!S367</f>
        <v>0</v>
      </c>
      <c r="T367" s="274">
        <f t="shared" si="137"/>
        <v>0</v>
      </c>
      <c r="U367" s="273">
        <f>'人员人工-研发人员工资'!U367</f>
        <v>0</v>
      </c>
      <c r="V367" s="274">
        <f t="shared" si="138"/>
        <v>0</v>
      </c>
      <c r="W367" s="273">
        <f>'人员人工-研发人员工资'!W367</f>
        <v>0</v>
      </c>
      <c r="X367" s="274">
        <f t="shared" si="139"/>
        <v>0</v>
      </c>
      <c r="Y367" s="273">
        <f>'人员人工-研发人员工资'!Y367</f>
        <v>0</v>
      </c>
      <c r="Z367" s="274">
        <f t="shared" si="140"/>
        <v>0</v>
      </c>
    </row>
    <row r="368" s="251" customFormat="1" customHeight="1" spans="1:26">
      <c r="A368" s="270">
        <v>23</v>
      </c>
      <c r="B368" s="271">
        <f>'人员人工-研发人员工资'!B368</f>
        <v>0</v>
      </c>
      <c r="C368" s="274"/>
      <c r="D368" s="272">
        <f>'人员人工-研发人员工资'!D368</f>
        <v>0</v>
      </c>
      <c r="E368" s="272">
        <f t="shared" si="129"/>
        <v>0</v>
      </c>
      <c r="F368" s="272">
        <f t="shared" si="130"/>
        <v>0</v>
      </c>
      <c r="G368" s="273">
        <f>'人员人工-研发人员工资'!G368</f>
        <v>0</v>
      </c>
      <c r="H368" s="274">
        <f t="shared" si="131"/>
        <v>0</v>
      </c>
      <c r="I368" s="273">
        <f>'人员人工-研发人员工资'!I368</f>
        <v>0</v>
      </c>
      <c r="J368" s="274">
        <f t="shared" si="132"/>
        <v>0</v>
      </c>
      <c r="K368" s="275">
        <f>'人员人工-研发人员工资'!K368</f>
        <v>0</v>
      </c>
      <c r="L368" s="274">
        <f t="shared" si="133"/>
        <v>0</v>
      </c>
      <c r="M368" s="273">
        <f>'人员人工-研发人员工资'!M368</f>
        <v>0</v>
      </c>
      <c r="N368" s="274">
        <f t="shared" si="134"/>
        <v>0</v>
      </c>
      <c r="O368" s="273">
        <f>'人员人工-研发人员工资'!O368</f>
        <v>0</v>
      </c>
      <c r="P368" s="274">
        <f t="shared" si="135"/>
        <v>0</v>
      </c>
      <c r="Q368" s="273">
        <f>'人员人工-研发人员工资'!Q368</f>
        <v>0</v>
      </c>
      <c r="R368" s="274">
        <f t="shared" si="136"/>
        <v>0</v>
      </c>
      <c r="S368" s="273">
        <f>'人员人工-研发人员工资'!S368</f>
        <v>0</v>
      </c>
      <c r="T368" s="274">
        <f t="shared" si="137"/>
        <v>0</v>
      </c>
      <c r="U368" s="273">
        <f>'人员人工-研发人员工资'!U368</f>
        <v>0</v>
      </c>
      <c r="V368" s="274">
        <f t="shared" si="138"/>
        <v>0</v>
      </c>
      <c r="W368" s="273">
        <f>'人员人工-研发人员工资'!W368</f>
        <v>0</v>
      </c>
      <c r="X368" s="274">
        <f t="shared" si="139"/>
        <v>0</v>
      </c>
      <c r="Y368" s="273">
        <f>'人员人工-研发人员工资'!Y368</f>
        <v>0</v>
      </c>
      <c r="Z368" s="274">
        <f t="shared" si="140"/>
        <v>0</v>
      </c>
    </row>
    <row r="369" s="251" customFormat="1" customHeight="1" spans="1:26">
      <c r="A369" s="270">
        <v>25</v>
      </c>
      <c r="B369" s="271">
        <f>'人员人工-研发人员工资'!B369</f>
        <v>0</v>
      </c>
      <c r="C369" s="274"/>
      <c r="D369" s="272">
        <f>'人员人工-研发人员工资'!D369</f>
        <v>0</v>
      </c>
      <c r="E369" s="272">
        <f t="shared" si="129"/>
        <v>0</v>
      </c>
      <c r="F369" s="272">
        <f t="shared" si="130"/>
        <v>0</v>
      </c>
      <c r="G369" s="273">
        <f>'人员人工-研发人员工资'!G369</f>
        <v>0</v>
      </c>
      <c r="H369" s="274">
        <f t="shared" si="131"/>
        <v>0</v>
      </c>
      <c r="I369" s="273">
        <f>'人员人工-研发人员工资'!I369</f>
        <v>0</v>
      </c>
      <c r="J369" s="274">
        <f t="shared" si="132"/>
        <v>0</v>
      </c>
      <c r="K369" s="275">
        <f>'人员人工-研发人员工资'!K369</f>
        <v>0</v>
      </c>
      <c r="L369" s="274">
        <f t="shared" si="133"/>
        <v>0</v>
      </c>
      <c r="M369" s="273">
        <f>'人员人工-研发人员工资'!M369</f>
        <v>0</v>
      </c>
      <c r="N369" s="274">
        <f t="shared" si="134"/>
        <v>0</v>
      </c>
      <c r="O369" s="273">
        <f>'人员人工-研发人员工资'!O369</f>
        <v>0</v>
      </c>
      <c r="P369" s="274">
        <f t="shared" si="135"/>
        <v>0</v>
      </c>
      <c r="Q369" s="273">
        <f>'人员人工-研发人员工资'!Q369</f>
        <v>0</v>
      </c>
      <c r="R369" s="274">
        <f t="shared" si="136"/>
        <v>0</v>
      </c>
      <c r="S369" s="273">
        <f>'人员人工-研发人员工资'!S369</f>
        <v>0</v>
      </c>
      <c r="T369" s="274">
        <f t="shared" si="137"/>
        <v>0</v>
      </c>
      <c r="U369" s="273">
        <f>'人员人工-研发人员工资'!U369</f>
        <v>0</v>
      </c>
      <c r="V369" s="274">
        <f t="shared" si="138"/>
        <v>0</v>
      </c>
      <c r="W369" s="273">
        <f>'人员人工-研发人员工资'!W369</f>
        <v>0</v>
      </c>
      <c r="X369" s="274">
        <f t="shared" si="139"/>
        <v>0</v>
      </c>
      <c r="Y369" s="273">
        <f>'人员人工-研发人员工资'!Y369</f>
        <v>0</v>
      </c>
      <c r="Z369" s="274">
        <f t="shared" si="140"/>
        <v>0</v>
      </c>
    </row>
    <row r="370" s="251" customFormat="1" customHeight="1" spans="1:26">
      <c r="A370" s="270">
        <v>25</v>
      </c>
      <c r="B370" s="271">
        <f>'人员人工-研发人员工资'!B370</f>
        <v>0</v>
      </c>
      <c r="C370" s="274"/>
      <c r="D370" s="272">
        <f>'人员人工-研发人员工资'!D370</f>
        <v>0</v>
      </c>
      <c r="E370" s="272">
        <f t="shared" si="129"/>
        <v>0</v>
      </c>
      <c r="F370" s="272">
        <f t="shared" si="130"/>
        <v>0</v>
      </c>
      <c r="G370" s="273">
        <f>'人员人工-研发人员工资'!G370</f>
        <v>0</v>
      </c>
      <c r="H370" s="274">
        <f t="shared" si="131"/>
        <v>0</v>
      </c>
      <c r="I370" s="273">
        <f>'人员人工-研发人员工资'!I370</f>
        <v>0</v>
      </c>
      <c r="J370" s="274">
        <f t="shared" si="132"/>
        <v>0</v>
      </c>
      <c r="K370" s="275">
        <f>'人员人工-研发人员工资'!K370</f>
        <v>0</v>
      </c>
      <c r="L370" s="274">
        <f t="shared" si="133"/>
        <v>0</v>
      </c>
      <c r="M370" s="273">
        <f>'人员人工-研发人员工资'!M370</f>
        <v>0</v>
      </c>
      <c r="N370" s="274">
        <f t="shared" si="134"/>
        <v>0</v>
      </c>
      <c r="O370" s="273">
        <f>'人员人工-研发人员工资'!O370</f>
        <v>0</v>
      </c>
      <c r="P370" s="274">
        <f t="shared" si="135"/>
        <v>0</v>
      </c>
      <c r="Q370" s="273">
        <f>'人员人工-研发人员工资'!Q370</f>
        <v>0</v>
      </c>
      <c r="R370" s="274">
        <f t="shared" si="136"/>
        <v>0</v>
      </c>
      <c r="S370" s="273">
        <f>'人员人工-研发人员工资'!S370</f>
        <v>0</v>
      </c>
      <c r="T370" s="274">
        <f t="shared" si="137"/>
        <v>0</v>
      </c>
      <c r="U370" s="273">
        <f>'人员人工-研发人员工资'!U370</f>
        <v>0</v>
      </c>
      <c r="V370" s="274">
        <f t="shared" si="138"/>
        <v>0</v>
      </c>
      <c r="W370" s="273">
        <f>'人员人工-研发人员工资'!W370</f>
        <v>0</v>
      </c>
      <c r="X370" s="274">
        <f t="shared" si="139"/>
        <v>0</v>
      </c>
      <c r="Y370" s="273">
        <f>'人员人工-研发人员工资'!Y370</f>
        <v>0</v>
      </c>
      <c r="Z370" s="274">
        <f t="shared" si="140"/>
        <v>0</v>
      </c>
    </row>
    <row r="371" s="251" customFormat="1" customHeight="1" spans="1:26">
      <c r="A371" s="270">
        <v>26</v>
      </c>
      <c r="B371" s="271">
        <f>'人员人工-研发人员工资'!B371</f>
        <v>0</v>
      </c>
      <c r="C371" s="274"/>
      <c r="D371" s="272">
        <f>'人员人工-研发人员工资'!D371</f>
        <v>0</v>
      </c>
      <c r="E371" s="272">
        <f t="shared" si="129"/>
        <v>0</v>
      </c>
      <c r="F371" s="272">
        <f t="shared" si="130"/>
        <v>0</v>
      </c>
      <c r="G371" s="273">
        <f>'人员人工-研发人员工资'!G371</f>
        <v>0</v>
      </c>
      <c r="H371" s="274">
        <f t="shared" si="131"/>
        <v>0</v>
      </c>
      <c r="I371" s="273">
        <f>'人员人工-研发人员工资'!I371</f>
        <v>0</v>
      </c>
      <c r="J371" s="274">
        <f t="shared" si="132"/>
        <v>0</v>
      </c>
      <c r="K371" s="275">
        <f>'人员人工-研发人员工资'!K371</f>
        <v>0</v>
      </c>
      <c r="L371" s="274">
        <f t="shared" si="133"/>
        <v>0</v>
      </c>
      <c r="M371" s="273">
        <f>'人员人工-研发人员工资'!M371</f>
        <v>0</v>
      </c>
      <c r="N371" s="274">
        <f t="shared" si="134"/>
        <v>0</v>
      </c>
      <c r="O371" s="273">
        <f>'人员人工-研发人员工资'!O371</f>
        <v>0</v>
      </c>
      <c r="P371" s="274">
        <f t="shared" si="135"/>
        <v>0</v>
      </c>
      <c r="Q371" s="273">
        <f>'人员人工-研发人员工资'!Q371</f>
        <v>0</v>
      </c>
      <c r="R371" s="274">
        <f t="shared" si="136"/>
        <v>0</v>
      </c>
      <c r="S371" s="273">
        <f>'人员人工-研发人员工资'!S371</f>
        <v>0</v>
      </c>
      <c r="T371" s="274">
        <f t="shared" si="137"/>
        <v>0</v>
      </c>
      <c r="U371" s="273">
        <f>'人员人工-研发人员工资'!U371</f>
        <v>0</v>
      </c>
      <c r="V371" s="274">
        <f t="shared" si="138"/>
        <v>0</v>
      </c>
      <c r="W371" s="273">
        <f>'人员人工-研发人员工资'!W371</f>
        <v>0</v>
      </c>
      <c r="X371" s="274">
        <f t="shared" si="139"/>
        <v>0</v>
      </c>
      <c r="Y371" s="273">
        <f>'人员人工-研发人员工资'!Y371</f>
        <v>0</v>
      </c>
      <c r="Z371" s="274">
        <f t="shared" si="140"/>
        <v>0</v>
      </c>
    </row>
    <row r="372" s="251" customFormat="1" customHeight="1" spans="1:26">
      <c r="A372" s="270">
        <v>27</v>
      </c>
      <c r="B372" s="271">
        <f>'人员人工-研发人员工资'!B372</f>
        <v>0</v>
      </c>
      <c r="C372" s="274"/>
      <c r="D372" s="272">
        <f>'人员人工-研发人员工资'!D372</f>
        <v>0</v>
      </c>
      <c r="E372" s="272">
        <f t="shared" si="129"/>
        <v>0</v>
      </c>
      <c r="F372" s="272">
        <f t="shared" si="130"/>
        <v>0</v>
      </c>
      <c r="G372" s="273">
        <f>'人员人工-研发人员工资'!G372</f>
        <v>0</v>
      </c>
      <c r="H372" s="274">
        <f t="shared" si="131"/>
        <v>0</v>
      </c>
      <c r="I372" s="273">
        <f>'人员人工-研发人员工资'!I372</f>
        <v>0</v>
      </c>
      <c r="J372" s="274">
        <f t="shared" si="132"/>
        <v>0</v>
      </c>
      <c r="K372" s="275">
        <f>'人员人工-研发人员工资'!K372</f>
        <v>0</v>
      </c>
      <c r="L372" s="274">
        <f t="shared" si="133"/>
        <v>0</v>
      </c>
      <c r="M372" s="273">
        <f>'人员人工-研发人员工资'!M372</f>
        <v>0</v>
      </c>
      <c r="N372" s="274">
        <f t="shared" si="134"/>
        <v>0</v>
      </c>
      <c r="O372" s="273">
        <f>'人员人工-研发人员工资'!O372</f>
        <v>0</v>
      </c>
      <c r="P372" s="274">
        <f t="shared" si="135"/>
        <v>0</v>
      </c>
      <c r="Q372" s="273">
        <f>'人员人工-研发人员工资'!Q372</f>
        <v>0</v>
      </c>
      <c r="R372" s="274">
        <f t="shared" si="136"/>
        <v>0</v>
      </c>
      <c r="S372" s="273">
        <f>'人员人工-研发人员工资'!S372</f>
        <v>0</v>
      </c>
      <c r="T372" s="274">
        <f t="shared" si="137"/>
        <v>0</v>
      </c>
      <c r="U372" s="273">
        <f>'人员人工-研发人员工资'!U372</f>
        <v>0</v>
      </c>
      <c r="V372" s="274">
        <f t="shared" si="138"/>
        <v>0</v>
      </c>
      <c r="W372" s="273">
        <f>'人员人工-研发人员工资'!W372</f>
        <v>0</v>
      </c>
      <c r="X372" s="274">
        <f t="shared" si="139"/>
        <v>0</v>
      </c>
      <c r="Y372" s="273">
        <f>'人员人工-研发人员工资'!Y372</f>
        <v>0</v>
      </c>
      <c r="Z372" s="274">
        <f t="shared" si="140"/>
        <v>0</v>
      </c>
    </row>
    <row r="373" s="251" customFormat="1" customHeight="1" spans="1:26">
      <c r="A373" s="270">
        <v>28</v>
      </c>
      <c r="B373" s="271">
        <f>'人员人工-研发人员工资'!B373</f>
        <v>0</v>
      </c>
      <c r="C373" s="274"/>
      <c r="D373" s="272">
        <f>'人员人工-研发人员工资'!D373</f>
        <v>0</v>
      </c>
      <c r="E373" s="272">
        <f t="shared" si="129"/>
        <v>0</v>
      </c>
      <c r="F373" s="272">
        <f t="shared" si="130"/>
        <v>0</v>
      </c>
      <c r="G373" s="273">
        <f>'人员人工-研发人员工资'!G373</f>
        <v>0</v>
      </c>
      <c r="H373" s="274">
        <f t="shared" si="131"/>
        <v>0</v>
      </c>
      <c r="I373" s="273">
        <f>'人员人工-研发人员工资'!I373</f>
        <v>0</v>
      </c>
      <c r="J373" s="274">
        <f t="shared" si="132"/>
        <v>0</v>
      </c>
      <c r="K373" s="275">
        <f>'人员人工-研发人员工资'!K373</f>
        <v>0</v>
      </c>
      <c r="L373" s="274">
        <f t="shared" si="133"/>
        <v>0</v>
      </c>
      <c r="M373" s="273">
        <f>'人员人工-研发人员工资'!M373</f>
        <v>0</v>
      </c>
      <c r="N373" s="274">
        <f t="shared" si="134"/>
        <v>0</v>
      </c>
      <c r="O373" s="273">
        <f>'人员人工-研发人员工资'!O373</f>
        <v>0</v>
      </c>
      <c r="P373" s="274">
        <f t="shared" si="135"/>
        <v>0</v>
      </c>
      <c r="Q373" s="273">
        <f>'人员人工-研发人员工资'!Q373</f>
        <v>0</v>
      </c>
      <c r="R373" s="274">
        <f t="shared" si="136"/>
        <v>0</v>
      </c>
      <c r="S373" s="273">
        <f>'人员人工-研发人员工资'!S373</f>
        <v>0</v>
      </c>
      <c r="T373" s="274">
        <f t="shared" si="137"/>
        <v>0</v>
      </c>
      <c r="U373" s="273">
        <f>'人员人工-研发人员工资'!U373</f>
        <v>0</v>
      </c>
      <c r="V373" s="274">
        <f t="shared" si="138"/>
        <v>0</v>
      </c>
      <c r="W373" s="273">
        <f>'人员人工-研发人员工资'!W373</f>
        <v>0</v>
      </c>
      <c r="X373" s="274">
        <f t="shared" si="139"/>
        <v>0</v>
      </c>
      <c r="Y373" s="273">
        <f>'人员人工-研发人员工资'!Y373</f>
        <v>0</v>
      </c>
      <c r="Z373" s="274">
        <f t="shared" si="140"/>
        <v>0</v>
      </c>
    </row>
    <row r="374" s="251" customFormat="1" customHeight="1" spans="1:26">
      <c r="A374" s="270">
        <v>29</v>
      </c>
      <c r="B374" s="271">
        <f>'人员人工-研发人员工资'!B374</f>
        <v>0</v>
      </c>
      <c r="C374" s="274"/>
      <c r="D374" s="272">
        <f>'人员人工-研发人员工资'!D374</f>
        <v>0</v>
      </c>
      <c r="E374" s="272">
        <f t="shared" si="129"/>
        <v>0</v>
      </c>
      <c r="F374" s="272">
        <f t="shared" si="130"/>
        <v>0</v>
      </c>
      <c r="G374" s="273">
        <f>'人员人工-研发人员工资'!G374</f>
        <v>0</v>
      </c>
      <c r="H374" s="274">
        <f t="shared" si="131"/>
        <v>0</v>
      </c>
      <c r="I374" s="273">
        <f>'人员人工-研发人员工资'!I374</f>
        <v>0</v>
      </c>
      <c r="J374" s="274">
        <f t="shared" si="132"/>
        <v>0</v>
      </c>
      <c r="K374" s="275">
        <f>'人员人工-研发人员工资'!K374</f>
        <v>0</v>
      </c>
      <c r="L374" s="274">
        <f t="shared" si="133"/>
        <v>0</v>
      </c>
      <c r="M374" s="273">
        <f>'人员人工-研发人员工资'!M374</f>
        <v>0</v>
      </c>
      <c r="N374" s="274">
        <f t="shared" si="134"/>
        <v>0</v>
      </c>
      <c r="O374" s="273">
        <f>'人员人工-研发人员工资'!O374</f>
        <v>0</v>
      </c>
      <c r="P374" s="274">
        <f t="shared" si="135"/>
        <v>0</v>
      </c>
      <c r="Q374" s="273">
        <f>'人员人工-研发人员工资'!Q374</f>
        <v>0</v>
      </c>
      <c r="R374" s="274">
        <f t="shared" si="136"/>
        <v>0</v>
      </c>
      <c r="S374" s="273">
        <f>'人员人工-研发人员工资'!S374</f>
        <v>0</v>
      </c>
      <c r="T374" s="274">
        <f t="shared" si="137"/>
        <v>0</v>
      </c>
      <c r="U374" s="273">
        <f>'人员人工-研发人员工资'!U374</f>
        <v>0</v>
      </c>
      <c r="V374" s="274">
        <f t="shared" si="138"/>
        <v>0</v>
      </c>
      <c r="W374" s="273">
        <f>'人员人工-研发人员工资'!W374</f>
        <v>0</v>
      </c>
      <c r="X374" s="274">
        <f t="shared" si="139"/>
        <v>0</v>
      </c>
      <c r="Y374" s="273">
        <f>'人员人工-研发人员工资'!Y374</f>
        <v>0</v>
      </c>
      <c r="Z374" s="274">
        <f t="shared" si="140"/>
        <v>0</v>
      </c>
    </row>
    <row r="375" s="251" customFormat="1" customHeight="1" spans="1:26">
      <c r="A375" s="270">
        <v>30</v>
      </c>
      <c r="B375" s="271">
        <f>'人员人工-研发人员工资'!B375</f>
        <v>0</v>
      </c>
      <c r="C375" s="274"/>
      <c r="D375" s="272">
        <f>'人员人工-研发人员工资'!D375</f>
        <v>0</v>
      </c>
      <c r="E375" s="272">
        <f t="shared" si="129"/>
        <v>0</v>
      </c>
      <c r="F375" s="272">
        <f t="shared" si="130"/>
        <v>0</v>
      </c>
      <c r="G375" s="273">
        <f>'人员人工-研发人员工资'!G375</f>
        <v>0</v>
      </c>
      <c r="H375" s="274">
        <f t="shared" si="131"/>
        <v>0</v>
      </c>
      <c r="I375" s="273">
        <f>'人员人工-研发人员工资'!I375</f>
        <v>0</v>
      </c>
      <c r="J375" s="274">
        <f t="shared" si="132"/>
        <v>0</v>
      </c>
      <c r="K375" s="275">
        <f>'人员人工-研发人员工资'!K375</f>
        <v>0</v>
      </c>
      <c r="L375" s="274">
        <f t="shared" si="133"/>
        <v>0</v>
      </c>
      <c r="M375" s="273">
        <f>'人员人工-研发人员工资'!M375</f>
        <v>0</v>
      </c>
      <c r="N375" s="274">
        <f t="shared" si="134"/>
        <v>0</v>
      </c>
      <c r="O375" s="273">
        <f>'人员人工-研发人员工资'!O375</f>
        <v>0</v>
      </c>
      <c r="P375" s="274">
        <f t="shared" si="135"/>
        <v>0</v>
      </c>
      <c r="Q375" s="273">
        <f>'人员人工-研发人员工资'!Q375</f>
        <v>0</v>
      </c>
      <c r="R375" s="274">
        <f t="shared" si="136"/>
        <v>0</v>
      </c>
      <c r="S375" s="273">
        <f>'人员人工-研发人员工资'!S375</f>
        <v>0</v>
      </c>
      <c r="T375" s="274">
        <f t="shared" si="137"/>
        <v>0</v>
      </c>
      <c r="U375" s="273">
        <f>'人员人工-研发人员工资'!U375</f>
        <v>0</v>
      </c>
      <c r="V375" s="274">
        <f t="shared" si="138"/>
        <v>0</v>
      </c>
      <c r="W375" s="273">
        <f>'人员人工-研发人员工资'!W375</f>
        <v>0</v>
      </c>
      <c r="X375" s="274">
        <f t="shared" si="139"/>
        <v>0</v>
      </c>
      <c r="Y375" s="273">
        <f>'人员人工-研发人员工资'!Y375</f>
        <v>0</v>
      </c>
      <c r="Z375" s="274">
        <f t="shared" si="140"/>
        <v>0</v>
      </c>
    </row>
    <row r="376" s="251" customFormat="1" customHeight="1" spans="1:26">
      <c r="A376" s="276" t="s">
        <v>22</v>
      </c>
      <c r="B376" s="277"/>
      <c r="C376" s="261">
        <f t="shared" ref="C376:Z376" si="141">SUM(C346:C375)</f>
        <v>0</v>
      </c>
      <c r="D376" s="261">
        <f t="shared" si="141"/>
        <v>0</v>
      </c>
      <c r="E376" s="272">
        <f t="shared" si="141"/>
        <v>0</v>
      </c>
      <c r="F376" s="261">
        <f t="shared" si="141"/>
        <v>0</v>
      </c>
      <c r="G376" s="261">
        <f t="shared" si="141"/>
        <v>0</v>
      </c>
      <c r="H376" s="261">
        <f t="shared" si="141"/>
        <v>0</v>
      </c>
      <c r="I376" s="261">
        <f t="shared" si="141"/>
        <v>0</v>
      </c>
      <c r="J376" s="261">
        <f t="shared" si="141"/>
        <v>0</v>
      </c>
      <c r="K376" s="261">
        <f t="shared" si="141"/>
        <v>0</v>
      </c>
      <c r="L376" s="261">
        <f t="shared" si="141"/>
        <v>0</v>
      </c>
      <c r="M376" s="261">
        <f t="shared" si="141"/>
        <v>0</v>
      </c>
      <c r="N376" s="261">
        <f t="shared" si="141"/>
        <v>0</v>
      </c>
      <c r="O376" s="261">
        <f t="shared" si="141"/>
        <v>0</v>
      </c>
      <c r="P376" s="261">
        <f t="shared" si="141"/>
        <v>0</v>
      </c>
      <c r="Q376" s="261">
        <f t="shared" si="141"/>
        <v>0</v>
      </c>
      <c r="R376" s="261">
        <f t="shared" si="141"/>
        <v>0</v>
      </c>
      <c r="S376" s="261">
        <f t="shared" si="141"/>
        <v>0</v>
      </c>
      <c r="T376" s="261">
        <f t="shared" si="141"/>
        <v>0</v>
      </c>
      <c r="U376" s="261">
        <f t="shared" si="141"/>
        <v>0</v>
      </c>
      <c r="V376" s="261">
        <f t="shared" si="141"/>
        <v>0</v>
      </c>
      <c r="W376" s="261">
        <f t="shared" si="141"/>
        <v>0</v>
      </c>
      <c r="X376" s="261">
        <f t="shared" si="141"/>
        <v>0</v>
      </c>
      <c r="Y376" s="261">
        <f t="shared" si="141"/>
        <v>0</v>
      </c>
      <c r="Z376" s="261">
        <f t="shared" si="141"/>
        <v>0</v>
      </c>
    </row>
    <row r="377" s="251" customFormat="1" customHeight="1" spans="1:26">
      <c r="A377" s="252"/>
      <c r="B377" s="253"/>
      <c r="C377" s="254"/>
      <c r="D377" s="254"/>
      <c r="E377" s="254"/>
      <c r="F377" s="254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</row>
    <row r="378" s="251" customFormat="1" customHeight="1" spans="1:26">
      <c r="A378" s="252"/>
      <c r="B378" s="253"/>
      <c r="C378" s="254"/>
      <c r="D378" s="254"/>
      <c r="E378" s="254"/>
      <c r="F378" s="254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</row>
    <row r="379" s="251" customFormat="1" customHeight="1" spans="1:26">
      <c r="A379" s="252"/>
      <c r="B379" s="257" t="s">
        <v>153</v>
      </c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  <c r="Z379" s="258"/>
    </row>
    <row r="380" s="251" customFormat="1" customHeight="1" spans="1:26">
      <c r="A380" s="252"/>
      <c r="B380" s="253"/>
      <c r="C380" s="254"/>
      <c r="D380" s="254"/>
      <c r="E380" s="254"/>
      <c r="F380" s="254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</row>
    <row r="381" s="251" customFormat="1" customHeight="1" spans="1:26">
      <c r="A381" s="259" t="s">
        <v>31</v>
      </c>
      <c r="B381" s="260" t="s">
        <v>32</v>
      </c>
      <c r="C381" s="261" t="s">
        <v>141</v>
      </c>
      <c r="D381" s="261" t="s">
        <v>34</v>
      </c>
      <c r="E381" s="262" t="s">
        <v>35</v>
      </c>
      <c r="F381" s="262" t="s">
        <v>142</v>
      </c>
      <c r="G381" s="263" t="str">
        <f>立项!$A$3</f>
        <v>RD01</v>
      </c>
      <c r="H381" s="264"/>
      <c r="I381" s="264" t="str">
        <f>立项!$A$4</f>
        <v>RD02</v>
      </c>
      <c r="J381" s="264"/>
      <c r="K381" s="264" t="str">
        <f>立项!$A$5</f>
        <v>RD03</v>
      </c>
      <c r="L381" s="264"/>
      <c r="M381" s="264" t="str">
        <f>立项!$A$6</f>
        <v>RD04</v>
      </c>
      <c r="N381" s="264"/>
      <c r="O381" s="264" t="str">
        <f>立项!$A$7</f>
        <v>RD05</v>
      </c>
      <c r="P381" s="264"/>
      <c r="Q381" s="264" t="str">
        <f>立项!$A$8</f>
        <v>RD06</v>
      </c>
      <c r="R381" s="264"/>
      <c r="S381" s="264" t="str">
        <f>立项!$A$9</f>
        <v>RD07</v>
      </c>
      <c r="T381" s="264"/>
      <c r="U381" s="264" t="str">
        <f>立项!$A$10</f>
        <v>RD08</v>
      </c>
      <c r="V381" s="264"/>
      <c r="W381" s="264" t="str">
        <f>立项!$A$11</f>
        <v>RD09</v>
      </c>
      <c r="X381" s="264"/>
      <c r="Y381" s="264" t="str">
        <f>立项!$A$12</f>
        <v>RD10</v>
      </c>
      <c r="Z381" s="264"/>
    </row>
    <row r="382" s="251" customFormat="1" customHeight="1" spans="1:26">
      <c r="A382" s="265"/>
      <c r="B382" s="260"/>
      <c r="C382" s="261"/>
      <c r="D382" s="261"/>
      <c r="E382" s="262"/>
      <c r="F382" s="262"/>
      <c r="G382" s="267">
        <f>立项!C3</f>
        <v>0</v>
      </c>
      <c r="H382" s="263"/>
      <c r="I382" s="267">
        <f>立项!C4</f>
        <v>0</v>
      </c>
      <c r="J382" s="263"/>
      <c r="K382" s="267">
        <f>立项!C5</f>
        <v>0</v>
      </c>
      <c r="L382" s="263"/>
      <c r="M382" s="267">
        <f>立项!C6</f>
        <v>0</v>
      </c>
      <c r="N382" s="263"/>
      <c r="O382" s="267">
        <f>立项!C7</f>
        <v>0</v>
      </c>
      <c r="P382" s="263"/>
      <c r="Q382" s="267">
        <f>立项!C8</f>
        <v>0</v>
      </c>
      <c r="R382" s="263"/>
      <c r="S382" s="267">
        <f>立项!C9</f>
        <v>0</v>
      </c>
      <c r="T382" s="263"/>
      <c r="U382" s="267">
        <f>立项!C10</f>
        <v>0</v>
      </c>
      <c r="V382" s="263"/>
      <c r="W382" s="267">
        <f>立项!C11</f>
        <v>0</v>
      </c>
      <c r="X382" s="263"/>
      <c r="Y382" s="264">
        <f>立项!C12</f>
        <v>0</v>
      </c>
      <c r="Z382" s="264"/>
    </row>
    <row r="383" s="251" customFormat="1" customHeight="1" spans="1:26">
      <c r="A383" s="268"/>
      <c r="B383" s="260"/>
      <c r="C383" s="261"/>
      <c r="D383" s="261"/>
      <c r="E383" s="262"/>
      <c r="F383" s="262"/>
      <c r="G383" s="264" t="s">
        <v>39</v>
      </c>
      <c r="H383" s="269" t="s">
        <v>143</v>
      </c>
      <c r="I383" s="264" t="s">
        <v>39</v>
      </c>
      <c r="J383" s="269" t="s">
        <v>143</v>
      </c>
      <c r="K383" s="264" t="s">
        <v>39</v>
      </c>
      <c r="L383" s="269" t="s">
        <v>143</v>
      </c>
      <c r="M383" s="264" t="s">
        <v>39</v>
      </c>
      <c r="N383" s="269" t="s">
        <v>143</v>
      </c>
      <c r="O383" s="264" t="s">
        <v>39</v>
      </c>
      <c r="P383" s="269" t="s">
        <v>143</v>
      </c>
      <c r="Q383" s="264" t="s">
        <v>39</v>
      </c>
      <c r="R383" s="269" t="s">
        <v>143</v>
      </c>
      <c r="S383" s="264" t="s">
        <v>39</v>
      </c>
      <c r="T383" s="269" t="s">
        <v>143</v>
      </c>
      <c r="U383" s="264" t="s">
        <v>39</v>
      </c>
      <c r="V383" s="269" t="s">
        <v>143</v>
      </c>
      <c r="W383" s="264" t="s">
        <v>39</v>
      </c>
      <c r="X383" s="269" t="s">
        <v>143</v>
      </c>
      <c r="Y383" s="264" t="s">
        <v>39</v>
      </c>
      <c r="Z383" s="269" t="s">
        <v>143</v>
      </c>
    </row>
    <row r="384" s="251" customFormat="1" customHeight="1" spans="1:26">
      <c r="A384" s="270">
        <v>1</v>
      </c>
      <c r="B384" s="271">
        <f>'人员人工-研发人员工资'!B384</f>
        <v>0</v>
      </c>
      <c r="C384" s="272"/>
      <c r="D384" s="272">
        <f>'人员人工-研发人员工资'!D384</f>
        <v>0</v>
      </c>
      <c r="E384" s="272">
        <f t="shared" ref="E384:E413" si="142">G384+I384+K384+M384+O384+Q384+S384+U384+W384+Y384</f>
        <v>0</v>
      </c>
      <c r="F384" s="272">
        <f t="shared" ref="F384:F413" si="143">H384+J384+L384+N384+P384+R384+T384+V384+X384+Z384</f>
        <v>0</v>
      </c>
      <c r="G384" s="273">
        <f>'人员人工-研发人员工资'!G384</f>
        <v>0</v>
      </c>
      <c r="H384" s="274">
        <f t="shared" ref="H384:H413" si="144">IF($D384=0,0,ROUND(G384/$D384*$C384,2))</f>
        <v>0</v>
      </c>
      <c r="I384" s="273">
        <f>'人员人工-研发人员工资'!I384</f>
        <v>0</v>
      </c>
      <c r="J384" s="274">
        <f t="shared" ref="J384:J413" si="145">IF($D384=0,0,ROUND(I384/$D384*$C384,2))</f>
        <v>0</v>
      </c>
      <c r="K384" s="275">
        <f>'人员人工-研发人员工资'!K384</f>
        <v>0</v>
      </c>
      <c r="L384" s="274">
        <f t="shared" ref="L384:L413" si="146">IF($D384=0,0,ROUND(K384/$D384*$C384,2))</f>
        <v>0</v>
      </c>
      <c r="M384" s="273">
        <f>'人员人工-研发人员工资'!M384</f>
        <v>0</v>
      </c>
      <c r="N384" s="274">
        <f t="shared" ref="N384:N413" si="147">IF($D384=0,0,ROUND(M384/$D384*$C384,2))</f>
        <v>0</v>
      </c>
      <c r="O384" s="273">
        <f>'人员人工-研发人员工资'!O384</f>
        <v>0</v>
      </c>
      <c r="P384" s="274">
        <f t="shared" ref="P384:P413" si="148">IF($D384=0,0,ROUND(O384/$D384*$C384,2))</f>
        <v>0</v>
      </c>
      <c r="Q384" s="273">
        <f>'人员人工-研发人员工资'!Q384</f>
        <v>0</v>
      </c>
      <c r="R384" s="274">
        <f t="shared" ref="R384:R413" si="149">IF($D384=0,0,ROUND(Q384/$D384*$C384,2))</f>
        <v>0</v>
      </c>
      <c r="S384" s="273">
        <f>'人员人工-研发人员工资'!S384</f>
        <v>0</v>
      </c>
      <c r="T384" s="274">
        <f t="shared" ref="T384:T413" si="150">IF($D384=0,0,ROUND(S384/$D384*$C384,2))</f>
        <v>0</v>
      </c>
      <c r="U384" s="273">
        <f>'人员人工-研发人员工资'!U384</f>
        <v>0</v>
      </c>
      <c r="V384" s="274">
        <f t="shared" ref="V384:V413" si="151">IF($D384=0,0,ROUND(U384/$D384*$C384,2))</f>
        <v>0</v>
      </c>
      <c r="W384" s="273">
        <f>'人员人工-研发人员工资'!W384</f>
        <v>0</v>
      </c>
      <c r="X384" s="274">
        <f t="shared" ref="X384:X413" si="152">IF($D384=0,0,ROUND(W384/$D384*$C384,2))</f>
        <v>0</v>
      </c>
      <c r="Y384" s="273">
        <f>'人员人工-研发人员工资'!Y384</f>
        <v>0</v>
      </c>
      <c r="Z384" s="274">
        <f t="shared" ref="Z384:Z413" si="153">IF($D384=0,0,ROUND(Y384/$D384*$C384,2))</f>
        <v>0</v>
      </c>
    </row>
    <row r="385" s="251" customFormat="1" customHeight="1" spans="1:26">
      <c r="A385" s="270">
        <v>2</v>
      </c>
      <c r="B385" s="271">
        <f>'人员人工-研发人员工资'!B385</f>
        <v>0</v>
      </c>
      <c r="C385" s="272"/>
      <c r="D385" s="272">
        <f>'人员人工-研发人员工资'!D385</f>
        <v>0</v>
      </c>
      <c r="E385" s="272">
        <f t="shared" si="142"/>
        <v>0</v>
      </c>
      <c r="F385" s="272">
        <f t="shared" si="143"/>
        <v>0</v>
      </c>
      <c r="G385" s="273">
        <f>'人员人工-研发人员工资'!G385</f>
        <v>0</v>
      </c>
      <c r="H385" s="274">
        <f t="shared" si="144"/>
        <v>0</v>
      </c>
      <c r="I385" s="273">
        <f>'人员人工-研发人员工资'!I385</f>
        <v>0</v>
      </c>
      <c r="J385" s="274">
        <f t="shared" si="145"/>
        <v>0</v>
      </c>
      <c r="K385" s="275">
        <f>'人员人工-研发人员工资'!K385</f>
        <v>0</v>
      </c>
      <c r="L385" s="274">
        <f t="shared" si="146"/>
        <v>0</v>
      </c>
      <c r="M385" s="273">
        <f>'人员人工-研发人员工资'!M385</f>
        <v>0</v>
      </c>
      <c r="N385" s="274">
        <f t="shared" si="147"/>
        <v>0</v>
      </c>
      <c r="O385" s="273">
        <f>'人员人工-研发人员工资'!O385</f>
        <v>0</v>
      </c>
      <c r="P385" s="274">
        <f t="shared" si="148"/>
        <v>0</v>
      </c>
      <c r="Q385" s="273">
        <f>'人员人工-研发人员工资'!Q385</f>
        <v>0</v>
      </c>
      <c r="R385" s="274">
        <f t="shared" si="149"/>
        <v>0</v>
      </c>
      <c r="S385" s="273">
        <f>'人员人工-研发人员工资'!S385</f>
        <v>0</v>
      </c>
      <c r="T385" s="274">
        <f t="shared" si="150"/>
        <v>0</v>
      </c>
      <c r="U385" s="273">
        <f>'人员人工-研发人员工资'!U385</f>
        <v>0</v>
      </c>
      <c r="V385" s="274">
        <f t="shared" si="151"/>
        <v>0</v>
      </c>
      <c r="W385" s="273">
        <f>'人员人工-研发人员工资'!W385</f>
        <v>0</v>
      </c>
      <c r="X385" s="274">
        <f t="shared" si="152"/>
        <v>0</v>
      </c>
      <c r="Y385" s="273">
        <f>'人员人工-研发人员工资'!Y385</f>
        <v>0</v>
      </c>
      <c r="Z385" s="274">
        <f t="shared" si="153"/>
        <v>0</v>
      </c>
    </row>
    <row r="386" s="251" customFormat="1" customHeight="1" spans="1:26">
      <c r="A386" s="270">
        <v>3</v>
      </c>
      <c r="B386" s="271">
        <f>'人员人工-研发人员工资'!B386</f>
        <v>0</v>
      </c>
      <c r="C386" s="272"/>
      <c r="D386" s="272">
        <f>'人员人工-研发人员工资'!D386</f>
        <v>0</v>
      </c>
      <c r="E386" s="272">
        <f t="shared" si="142"/>
        <v>0</v>
      </c>
      <c r="F386" s="272">
        <f t="shared" si="143"/>
        <v>0</v>
      </c>
      <c r="G386" s="273">
        <f>'人员人工-研发人员工资'!G386</f>
        <v>0</v>
      </c>
      <c r="H386" s="274">
        <f t="shared" si="144"/>
        <v>0</v>
      </c>
      <c r="I386" s="273">
        <f>'人员人工-研发人员工资'!I386</f>
        <v>0</v>
      </c>
      <c r="J386" s="274">
        <f t="shared" si="145"/>
        <v>0</v>
      </c>
      <c r="K386" s="275">
        <f>'人员人工-研发人员工资'!K386</f>
        <v>0</v>
      </c>
      <c r="L386" s="274">
        <f t="shared" si="146"/>
        <v>0</v>
      </c>
      <c r="M386" s="273">
        <f>'人员人工-研发人员工资'!M386</f>
        <v>0</v>
      </c>
      <c r="N386" s="274">
        <f t="shared" si="147"/>
        <v>0</v>
      </c>
      <c r="O386" s="273">
        <f>'人员人工-研发人员工资'!O386</f>
        <v>0</v>
      </c>
      <c r="P386" s="274">
        <f t="shared" si="148"/>
        <v>0</v>
      </c>
      <c r="Q386" s="273">
        <f>'人员人工-研发人员工资'!Q386</f>
        <v>0</v>
      </c>
      <c r="R386" s="274">
        <f t="shared" si="149"/>
        <v>0</v>
      </c>
      <c r="S386" s="273">
        <f>'人员人工-研发人员工资'!S386</f>
        <v>0</v>
      </c>
      <c r="T386" s="274">
        <f t="shared" si="150"/>
        <v>0</v>
      </c>
      <c r="U386" s="273">
        <f>'人员人工-研发人员工资'!U386</f>
        <v>0</v>
      </c>
      <c r="V386" s="274">
        <f t="shared" si="151"/>
        <v>0</v>
      </c>
      <c r="W386" s="273">
        <f>'人员人工-研发人员工资'!W386</f>
        <v>0</v>
      </c>
      <c r="X386" s="274">
        <f t="shared" si="152"/>
        <v>0</v>
      </c>
      <c r="Y386" s="273">
        <f>'人员人工-研发人员工资'!Y386</f>
        <v>0</v>
      </c>
      <c r="Z386" s="274">
        <f t="shared" si="153"/>
        <v>0</v>
      </c>
    </row>
    <row r="387" s="251" customFormat="1" customHeight="1" spans="1:26">
      <c r="A387" s="270">
        <v>4</v>
      </c>
      <c r="B387" s="271">
        <f>'人员人工-研发人员工资'!B387</f>
        <v>0</v>
      </c>
      <c r="C387" s="272"/>
      <c r="D387" s="272">
        <f>'人员人工-研发人员工资'!D387</f>
        <v>0</v>
      </c>
      <c r="E387" s="272">
        <f t="shared" si="142"/>
        <v>0</v>
      </c>
      <c r="F387" s="272">
        <f t="shared" si="143"/>
        <v>0</v>
      </c>
      <c r="G387" s="273">
        <f>'人员人工-研发人员工资'!G387</f>
        <v>0</v>
      </c>
      <c r="H387" s="274">
        <f t="shared" si="144"/>
        <v>0</v>
      </c>
      <c r="I387" s="273">
        <f>'人员人工-研发人员工资'!I387</f>
        <v>0</v>
      </c>
      <c r="J387" s="274">
        <f t="shared" si="145"/>
        <v>0</v>
      </c>
      <c r="K387" s="275">
        <f>'人员人工-研发人员工资'!K387</f>
        <v>0</v>
      </c>
      <c r="L387" s="274">
        <f t="shared" si="146"/>
        <v>0</v>
      </c>
      <c r="M387" s="273">
        <f>'人员人工-研发人员工资'!M387</f>
        <v>0</v>
      </c>
      <c r="N387" s="274">
        <f t="shared" si="147"/>
        <v>0</v>
      </c>
      <c r="O387" s="273">
        <f>'人员人工-研发人员工资'!O387</f>
        <v>0</v>
      </c>
      <c r="P387" s="274">
        <f t="shared" si="148"/>
        <v>0</v>
      </c>
      <c r="Q387" s="273">
        <f>'人员人工-研发人员工资'!Q387</f>
        <v>0</v>
      </c>
      <c r="R387" s="274">
        <f t="shared" si="149"/>
        <v>0</v>
      </c>
      <c r="S387" s="273">
        <f>'人员人工-研发人员工资'!S387</f>
        <v>0</v>
      </c>
      <c r="T387" s="274">
        <f t="shared" si="150"/>
        <v>0</v>
      </c>
      <c r="U387" s="273">
        <f>'人员人工-研发人员工资'!U387</f>
        <v>0</v>
      </c>
      <c r="V387" s="274">
        <f t="shared" si="151"/>
        <v>0</v>
      </c>
      <c r="W387" s="273">
        <f>'人员人工-研发人员工资'!W387</f>
        <v>0</v>
      </c>
      <c r="X387" s="274">
        <f t="shared" si="152"/>
        <v>0</v>
      </c>
      <c r="Y387" s="273">
        <f>'人员人工-研发人员工资'!Y387</f>
        <v>0</v>
      </c>
      <c r="Z387" s="274">
        <f t="shared" si="153"/>
        <v>0</v>
      </c>
    </row>
    <row r="388" s="251" customFormat="1" customHeight="1" spans="1:26">
      <c r="A388" s="270">
        <v>5</v>
      </c>
      <c r="B388" s="271">
        <f>'人员人工-研发人员工资'!B388</f>
        <v>0</v>
      </c>
      <c r="C388" s="272"/>
      <c r="D388" s="272">
        <f>'人员人工-研发人员工资'!D388</f>
        <v>0</v>
      </c>
      <c r="E388" s="272">
        <f t="shared" si="142"/>
        <v>0</v>
      </c>
      <c r="F388" s="272">
        <f t="shared" si="143"/>
        <v>0</v>
      </c>
      <c r="G388" s="273">
        <f>'人员人工-研发人员工资'!G388</f>
        <v>0</v>
      </c>
      <c r="H388" s="274">
        <f t="shared" si="144"/>
        <v>0</v>
      </c>
      <c r="I388" s="273">
        <f>'人员人工-研发人员工资'!I388</f>
        <v>0</v>
      </c>
      <c r="J388" s="274">
        <f t="shared" si="145"/>
        <v>0</v>
      </c>
      <c r="K388" s="275">
        <f>'人员人工-研发人员工资'!K388</f>
        <v>0</v>
      </c>
      <c r="L388" s="274">
        <f t="shared" si="146"/>
        <v>0</v>
      </c>
      <c r="M388" s="273">
        <f>'人员人工-研发人员工资'!M388</f>
        <v>0</v>
      </c>
      <c r="N388" s="274">
        <f t="shared" si="147"/>
        <v>0</v>
      </c>
      <c r="O388" s="273">
        <f>'人员人工-研发人员工资'!O388</f>
        <v>0</v>
      </c>
      <c r="P388" s="274">
        <f t="shared" si="148"/>
        <v>0</v>
      </c>
      <c r="Q388" s="273">
        <f>'人员人工-研发人员工资'!Q388</f>
        <v>0</v>
      </c>
      <c r="R388" s="274">
        <f t="shared" si="149"/>
        <v>0</v>
      </c>
      <c r="S388" s="273">
        <f>'人员人工-研发人员工资'!S388</f>
        <v>0</v>
      </c>
      <c r="T388" s="274">
        <f t="shared" si="150"/>
        <v>0</v>
      </c>
      <c r="U388" s="273">
        <f>'人员人工-研发人员工资'!U388</f>
        <v>0</v>
      </c>
      <c r="V388" s="274">
        <f t="shared" si="151"/>
        <v>0</v>
      </c>
      <c r="W388" s="273">
        <f>'人员人工-研发人员工资'!W388</f>
        <v>0</v>
      </c>
      <c r="X388" s="274">
        <f t="shared" si="152"/>
        <v>0</v>
      </c>
      <c r="Y388" s="273">
        <f>'人员人工-研发人员工资'!Y388</f>
        <v>0</v>
      </c>
      <c r="Z388" s="274">
        <f t="shared" si="153"/>
        <v>0</v>
      </c>
    </row>
    <row r="389" s="251" customFormat="1" customHeight="1" spans="1:26">
      <c r="A389" s="270">
        <v>6</v>
      </c>
      <c r="B389" s="271">
        <f>'人员人工-研发人员工资'!B389</f>
        <v>0</v>
      </c>
      <c r="C389" s="274"/>
      <c r="D389" s="272">
        <f>'人员人工-研发人员工资'!D389</f>
        <v>0</v>
      </c>
      <c r="E389" s="272">
        <f t="shared" si="142"/>
        <v>0</v>
      </c>
      <c r="F389" s="272">
        <f t="shared" si="143"/>
        <v>0</v>
      </c>
      <c r="G389" s="273">
        <f>'人员人工-研发人员工资'!G389</f>
        <v>0</v>
      </c>
      <c r="H389" s="274">
        <f t="shared" si="144"/>
        <v>0</v>
      </c>
      <c r="I389" s="273">
        <f>'人员人工-研发人员工资'!I389</f>
        <v>0</v>
      </c>
      <c r="J389" s="274">
        <f t="shared" si="145"/>
        <v>0</v>
      </c>
      <c r="K389" s="275">
        <f>'人员人工-研发人员工资'!K389</f>
        <v>0</v>
      </c>
      <c r="L389" s="274">
        <f t="shared" si="146"/>
        <v>0</v>
      </c>
      <c r="M389" s="273">
        <f>'人员人工-研发人员工资'!M389</f>
        <v>0</v>
      </c>
      <c r="N389" s="274">
        <f t="shared" si="147"/>
        <v>0</v>
      </c>
      <c r="O389" s="273">
        <f>'人员人工-研发人员工资'!O389</f>
        <v>0</v>
      </c>
      <c r="P389" s="274">
        <f t="shared" si="148"/>
        <v>0</v>
      </c>
      <c r="Q389" s="273">
        <f>'人员人工-研发人员工资'!Q389</f>
        <v>0</v>
      </c>
      <c r="R389" s="274">
        <f t="shared" si="149"/>
        <v>0</v>
      </c>
      <c r="S389" s="273">
        <f>'人员人工-研发人员工资'!S389</f>
        <v>0</v>
      </c>
      <c r="T389" s="274">
        <f t="shared" si="150"/>
        <v>0</v>
      </c>
      <c r="U389" s="273">
        <f>'人员人工-研发人员工资'!U389</f>
        <v>0</v>
      </c>
      <c r="V389" s="274">
        <f t="shared" si="151"/>
        <v>0</v>
      </c>
      <c r="W389" s="273">
        <f>'人员人工-研发人员工资'!W389</f>
        <v>0</v>
      </c>
      <c r="X389" s="274">
        <f t="shared" si="152"/>
        <v>0</v>
      </c>
      <c r="Y389" s="273">
        <f>'人员人工-研发人员工资'!Y389</f>
        <v>0</v>
      </c>
      <c r="Z389" s="274">
        <f t="shared" si="153"/>
        <v>0</v>
      </c>
    </row>
    <row r="390" s="251" customFormat="1" customHeight="1" spans="1:26">
      <c r="A390" s="270">
        <v>7</v>
      </c>
      <c r="B390" s="271">
        <f>'人员人工-研发人员工资'!B390</f>
        <v>0</v>
      </c>
      <c r="C390" s="274"/>
      <c r="D390" s="272">
        <f>'人员人工-研发人员工资'!D390</f>
        <v>0</v>
      </c>
      <c r="E390" s="272">
        <f t="shared" si="142"/>
        <v>0</v>
      </c>
      <c r="F390" s="272">
        <f t="shared" si="143"/>
        <v>0</v>
      </c>
      <c r="G390" s="273">
        <f>'人员人工-研发人员工资'!G390</f>
        <v>0</v>
      </c>
      <c r="H390" s="274">
        <f t="shared" si="144"/>
        <v>0</v>
      </c>
      <c r="I390" s="273">
        <f>'人员人工-研发人员工资'!I390</f>
        <v>0</v>
      </c>
      <c r="J390" s="274">
        <f t="shared" si="145"/>
        <v>0</v>
      </c>
      <c r="K390" s="275">
        <f>'人员人工-研发人员工资'!K390</f>
        <v>0</v>
      </c>
      <c r="L390" s="274">
        <f t="shared" si="146"/>
        <v>0</v>
      </c>
      <c r="M390" s="273">
        <f>'人员人工-研发人员工资'!M390</f>
        <v>0</v>
      </c>
      <c r="N390" s="274">
        <f t="shared" si="147"/>
        <v>0</v>
      </c>
      <c r="O390" s="273">
        <f>'人员人工-研发人员工资'!O390</f>
        <v>0</v>
      </c>
      <c r="P390" s="274">
        <f t="shared" si="148"/>
        <v>0</v>
      </c>
      <c r="Q390" s="273">
        <f>'人员人工-研发人员工资'!Q390</f>
        <v>0</v>
      </c>
      <c r="R390" s="274">
        <f t="shared" si="149"/>
        <v>0</v>
      </c>
      <c r="S390" s="273">
        <f>'人员人工-研发人员工资'!S390</f>
        <v>0</v>
      </c>
      <c r="T390" s="274">
        <f t="shared" si="150"/>
        <v>0</v>
      </c>
      <c r="U390" s="273">
        <f>'人员人工-研发人员工资'!U390</f>
        <v>0</v>
      </c>
      <c r="V390" s="274">
        <f t="shared" si="151"/>
        <v>0</v>
      </c>
      <c r="W390" s="273">
        <f>'人员人工-研发人员工资'!W390</f>
        <v>0</v>
      </c>
      <c r="X390" s="274">
        <f t="shared" si="152"/>
        <v>0</v>
      </c>
      <c r="Y390" s="273">
        <f>'人员人工-研发人员工资'!Y390</f>
        <v>0</v>
      </c>
      <c r="Z390" s="274">
        <f t="shared" si="153"/>
        <v>0</v>
      </c>
    </row>
    <row r="391" s="251" customFormat="1" customHeight="1" spans="1:26">
      <c r="A391" s="270">
        <v>8</v>
      </c>
      <c r="B391" s="271">
        <f>'人员人工-研发人员工资'!B391</f>
        <v>0</v>
      </c>
      <c r="C391" s="274"/>
      <c r="D391" s="272">
        <f>'人员人工-研发人员工资'!D391</f>
        <v>0</v>
      </c>
      <c r="E391" s="272">
        <f t="shared" si="142"/>
        <v>0</v>
      </c>
      <c r="F391" s="272">
        <f t="shared" si="143"/>
        <v>0</v>
      </c>
      <c r="G391" s="273">
        <f>'人员人工-研发人员工资'!G391</f>
        <v>0</v>
      </c>
      <c r="H391" s="274">
        <f t="shared" si="144"/>
        <v>0</v>
      </c>
      <c r="I391" s="273">
        <f>'人员人工-研发人员工资'!I391</f>
        <v>0</v>
      </c>
      <c r="J391" s="274">
        <f t="shared" si="145"/>
        <v>0</v>
      </c>
      <c r="K391" s="275">
        <f>'人员人工-研发人员工资'!K391</f>
        <v>0</v>
      </c>
      <c r="L391" s="274">
        <f t="shared" si="146"/>
        <v>0</v>
      </c>
      <c r="M391" s="273">
        <f>'人员人工-研发人员工资'!M391</f>
        <v>0</v>
      </c>
      <c r="N391" s="274">
        <f t="shared" si="147"/>
        <v>0</v>
      </c>
      <c r="O391" s="273">
        <f>'人员人工-研发人员工资'!O391</f>
        <v>0</v>
      </c>
      <c r="P391" s="274">
        <f t="shared" si="148"/>
        <v>0</v>
      </c>
      <c r="Q391" s="273">
        <f>'人员人工-研发人员工资'!Q391</f>
        <v>0</v>
      </c>
      <c r="R391" s="274">
        <f t="shared" si="149"/>
        <v>0</v>
      </c>
      <c r="S391" s="273">
        <f>'人员人工-研发人员工资'!S391</f>
        <v>0</v>
      </c>
      <c r="T391" s="274">
        <f t="shared" si="150"/>
        <v>0</v>
      </c>
      <c r="U391" s="273">
        <f>'人员人工-研发人员工资'!U391</f>
        <v>0</v>
      </c>
      <c r="V391" s="274">
        <f t="shared" si="151"/>
        <v>0</v>
      </c>
      <c r="W391" s="273">
        <f>'人员人工-研发人员工资'!W391</f>
        <v>0</v>
      </c>
      <c r="X391" s="274">
        <f t="shared" si="152"/>
        <v>0</v>
      </c>
      <c r="Y391" s="273">
        <f>'人员人工-研发人员工资'!Y391</f>
        <v>0</v>
      </c>
      <c r="Z391" s="274">
        <f t="shared" si="153"/>
        <v>0</v>
      </c>
    </row>
    <row r="392" s="251" customFormat="1" customHeight="1" spans="1:26">
      <c r="A392" s="270">
        <v>9</v>
      </c>
      <c r="B392" s="271">
        <f>'人员人工-研发人员工资'!B392</f>
        <v>0</v>
      </c>
      <c r="C392" s="274"/>
      <c r="D392" s="272">
        <f>'人员人工-研发人员工资'!D392</f>
        <v>0</v>
      </c>
      <c r="E392" s="272">
        <f t="shared" si="142"/>
        <v>0</v>
      </c>
      <c r="F392" s="272">
        <f t="shared" si="143"/>
        <v>0</v>
      </c>
      <c r="G392" s="273">
        <f>'人员人工-研发人员工资'!G392</f>
        <v>0</v>
      </c>
      <c r="H392" s="274">
        <f t="shared" si="144"/>
        <v>0</v>
      </c>
      <c r="I392" s="273">
        <f>'人员人工-研发人员工资'!I392</f>
        <v>0</v>
      </c>
      <c r="J392" s="274">
        <f t="shared" si="145"/>
        <v>0</v>
      </c>
      <c r="K392" s="275">
        <f>'人员人工-研发人员工资'!K392</f>
        <v>0</v>
      </c>
      <c r="L392" s="274">
        <f t="shared" si="146"/>
        <v>0</v>
      </c>
      <c r="M392" s="273">
        <f>'人员人工-研发人员工资'!M392</f>
        <v>0</v>
      </c>
      <c r="N392" s="274">
        <f t="shared" si="147"/>
        <v>0</v>
      </c>
      <c r="O392" s="273">
        <f>'人员人工-研发人员工资'!O392</f>
        <v>0</v>
      </c>
      <c r="P392" s="274">
        <f t="shared" si="148"/>
        <v>0</v>
      </c>
      <c r="Q392" s="273">
        <f>'人员人工-研发人员工资'!Q392</f>
        <v>0</v>
      </c>
      <c r="R392" s="274">
        <f t="shared" si="149"/>
        <v>0</v>
      </c>
      <c r="S392" s="273">
        <f>'人员人工-研发人员工资'!S392</f>
        <v>0</v>
      </c>
      <c r="T392" s="274">
        <f t="shared" si="150"/>
        <v>0</v>
      </c>
      <c r="U392" s="273">
        <f>'人员人工-研发人员工资'!U392</f>
        <v>0</v>
      </c>
      <c r="V392" s="274">
        <f t="shared" si="151"/>
        <v>0</v>
      </c>
      <c r="W392" s="273">
        <f>'人员人工-研发人员工资'!W392</f>
        <v>0</v>
      </c>
      <c r="X392" s="274">
        <f t="shared" si="152"/>
        <v>0</v>
      </c>
      <c r="Y392" s="273">
        <f>'人员人工-研发人员工资'!Y392</f>
        <v>0</v>
      </c>
      <c r="Z392" s="274">
        <f t="shared" si="153"/>
        <v>0</v>
      </c>
    </row>
    <row r="393" s="251" customFormat="1" customHeight="1" spans="1:26">
      <c r="A393" s="270">
        <v>10</v>
      </c>
      <c r="B393" s="271">
        <f>'人员人工-研发人员工资'!B393</f>
        <v>0</v>
      </c>
      <c r="C393" s="274"/>
      <c r="D393" s="272">
        <f>'人员人工-研发人员工资'!D393</f>
        <v>0</v>
      </c>
      <c r="E393" s="272">
        <f t="shared" si="142"/>
        <v>0</v>
      </c>
      <c r="F393" s="272">
        <f t="shared" si="143"/>
        <v>0</v>
      </c>
      <c r="G393" s="273">
        <f>'人员人工-研发人员工资'!G393</f>
        <v>0</v>
      </c>
      <c r="H393" s="274">
        <f t="shared" si="144"/>
        <v>0</v>
      </c>
      <c r="I393" s="273">
        <f>'人员人工-研发人员工资'!I393</f>
        <v>0</v>
      </c>
      <c r="J393" s="274">
        <f t="shared" si="145"/>
        <v>0</v>
      </c>
      <c r="K393" s="275">
        <f>'人员人工-研发人员工资'!K393</f>
        <v>0</v>
      </c>
      <c r="L393" s="274">
        <f t="shared" si="146"/>
        <v>0</v>
      </c>
      <c r="M393" s="273">
        <f>'人员人工-研发人员工资'!M393</f>
        <v>0</v>
      </c>
      <c r="N393" s="274">
        <f t="shared" si="147"/>
        <v>0</v>
      </c>
      <c r="O393" s="273">
        <f>'人员人工-研发人员工资'!O393</f>
        <v>0</v>
      </c>
      <c r="P393" s="274">
        <f t="shared" si="148"/>
        <v>0</v>
      </c>
      <c r="Q393" s="273">
        <f>'人员人工-研发人员工资'!Q393</f>
        <v>0</v>
      </c>
      <c r="R393" s="274">
        <f t="shared" si="149"/>
        <v>0</v>
      </c>
      <c r="S393" s="273">
        <f>'人员人工-研发人员工资'!S393</f>
        <v>0</v>
      </c>
      <c r="T393" s="274">
        <f t="shared" si="150"/>
        <v>0</v>
      </c>
      <c r="U393" s="273">
        <f>'人员人工-研发人员工资'!U393</f>
        <v>0</v>
      </c>
      <c r="V393" s="274">
        <f t="shared" si="151"/>
        <v>0</v>
      </c>
      <c r="W393" s="273">
        <f>'人员人工-研发人员工资'!W393</f>
        <v>0</v>
      </c>
      <c r="X393" s="274">
        <f t="shared" si="152"/>
        <v>0</v>
      </c>
      <c r="Y393" s="273">
        <f>'人员人工-研发人员工资'!Y393</f>
        <v>0</v>
      </c>
      <c r="Z393" s="274">
        <f t="shared" si="153"/>
        <v>0</v>
      </c>
    </row>
    <row r="394" s="251" customFormat="1" customHeight="1" spans="1:26">
      <c r="A394" s="270">
        <v>11</v>
      </c>
      <c r="B394" s="271">
        <f>'人员人工-研发人员工资'!B394</f>
        <v>0</v>
      </c>
      <c r="C394" s="274"/>
      <c r="D394" s="272">
        <f>'人员人工-研发人员工资'!D394</f>
        <v>0</v>
      </c>
      <c r="E394" s="272">
        <f t="shared" si="142"/>
        <v>0</v>
      </c>
      <c r="F394" s="272">
        <f t="shared" si="143"/>
        <v>0</v>
      </c>
      <c r="G394" s="273">
        <f>'人员人工-研发人员工资'!G394</f>
        <v>0</v>
      </c>
      <c r="H394" s="274">
        <f t="shared" si="144"/>
        <v>0</v>
      </c>
      <c r="I394" s="273">
        <f>'人员人工-研发人员工资'!I394</f>
        <v>0</v>
      </c>
      <c r="J394" s="274">
        <f t="shared" si="145"/>
        <v>0</v>
      </c>
      <c r="K394" s="275">
        <f>'人员人工-研发人员工资'!K394</f>
        <v>0</v>
      </c>
      <c r="L394" s="274">
        <f t="shared" si="146"/>
        <v>0</v>
      </c>
      <c r="M394" s="273">
        <f>'人员人工-研发人员工资'!M394</f>
        <v>0</v>
      </c>
      <c r="N394" s="274">
        <f t="shared" si="147"/>
        <v>0</v>
      </c>
      <c r="O394" s="273">
        <f>'人员人工-研发人员工资'!O394</f>
        <v>0</v>
      </c>
      <c r="P394" s="274">
        <f t="shared" si="148"/>
        <v>0</v>
      </c>
      <c r="Q394" s="273">
        <f>'人员人工-研发人员工资'!Q394</f>
        <v>0</v>
      </c>
      <c r="R394" s="274">
        <f t="shared" si="149"/>
        <v>0</v>
      </c>
      <c r="S394" s="273">
        <f>'人员人工-研发人员工资'!S394</f>
        <v>0</v>
      </c>
      <c r="T394" s="274">
        <f t="shared" si="150"/>
        <v>0</v>
      </c>
      <c r="U394" s="273">
        <f>'人员人工-研发人员工资'!U394</f>
        <v>0</v>
      </c>
      <c r="V394" s="274">
        <f t="shared" si="151"/>
        <v>0</v>
      </c>
      <c r="W394" s="273">
        <f>'人员人工-研发人员工资'!W394</f>
        <v>0</v>
      </c>
      <c r="X394" s="274">
        <f t="shared" si="152"/>
        <v>0</v>
      </c>
      <c r="Y394" s="273">
        <f>'人员人工-研发人员工资'!Y394</f>
        <v>0</v>
      </c>
      <c r="Z394" s="274">
        <f t="shared" si="153"/>
        <v>0</v>
      </c>
    </row>
    <row r="395" s="251" customFormat="1" customHeight="1" spans="1:26">
      <c r="A395" s="270">
        <v>12</v>
      </c>
      <c r="B395" s="271">
        <f>'人员人工-研发人员工资'!B395</f>
        <v>0</v>
      </c>
      <c r="C395" s="274"/>
      <c r="D395" s="272">
        <f>'人员人工-研发人员工资'!D395</f>
        <v>0</v>
      </c>
      <c r="E395" s="272">
        <f t="shared" si="142"/>
        <v>0</v>
      </c>
      <c r="F395" s="272">
        <f t="shared" si="143"/>
        <v>0</v>
      </c>
      <c r="G395" s="273">
        <f>'人员人工-研发人员工资'!G395</f>
        <v>0</v>
      </c>
      <c r="H395" s="274">
        <f t="shared" si="144"/>
        <v>0</v>
      </c>
      <c r="I395" s="273">
        <f>'人员人工-研发人员工资'!I395</f>
        <v>0</v>
      </c>
      <c r="J395" s="274">
        <f t="shared" si="145"/>
        <v>0</v>
      </c>
      <c r="K395" s="275">
        <f>'人员人工-研发人员工资'!K395</f>
        <v>0</v>
      </c>
      <c r="L395" s="274">
        <f t="shared" si="146"/>
        <v>0</v>
      </c>
      <c r="M395" s="273">
        <f>'人员人工-研发人员工资'!M395</f>
        <v>0</v>
      </c>
      <c r="N395" s="274">
        <f t="shared" si="147"/>
        <v>0</v>
      </c>
      <c r="O395" s="273">
        <f>'人员人工-研发人员工资'!O395</f>
        <v>0</v>
      </c>
      <c r="P395" s="274">
        <f t="shared" si="148"/>
        <v>0</v>
      </c>
      <c r="Q395" s="273">
        <f>'人员人工-研发人员工资'!Q395</f>
        <v>0</v>
      </c>
      <c r="R395" s="274">
        <f t="shared" si="149"/>
        <v>0</v>
      </c>
      <c r="S395" s="273">
        <f>'人员人工-研发人员工资'!S395</f>
        <v>0</v>
      </c>
      <c r="T395" s="274">
        <f t="shared" si="150"/>
        <v>0</v>
      </c>
      <c r="U395" s="273">
        <f>'人员人工-研发人员工资'!U395</f>
        <v>0</v>
      </c>
      <c r="V395" s="274">
        <f t="shared" si="151"/>
        <v>0</v>
      </c>
      <c r="W395" s="273">
        <f>'人员人工-研发人员工资'!W395</f>
        <v>0</v>
      </c>
      <c r="X395" s="274">
        <f t="shared" si="152"/>
        <v>0</v>
      </c>
      <c r="Y395" s="273">
        <f>'人员人工-研发人员工资'!Y395</f>
        <v>0</v>
      </c>
      <c r="Z395" s="274">
        <f t="shared" si="153"/>
        <v>0</v>
      </c>
    </row>
    <row r="396" s="251" customFormat="1" customHeight="1" spans="1:26">
      <c r="A396" s="270">
        <v>13</v>
      </c>
      <c r="B396" s="271">
        <f>'人员人工-研发人员工资'!B396</f>
        <v>0</v>
      </c>
      <c r="C396" s="274"/>
      <c r="D396" s="272">
        <f>'人员人工-研发人员工资'!D396</f>
        <v>0</v>
      </c>
      <c r="E396" s="272">
        <f t="shared" si="142"/>
        <v>0</v>
      </c>
      <c r="F396" s="272">
        <f t="shared" si="143"/>
        <v>0</v>
      </c>
      <c r="G396" s="273">
        <f>'人员人工-研发人员工资'!G396</f>
        <v>0</v>
      </c>
      <c r="H396" s="274">
        <f t="shared" si="144"/>
        <v>0</v>
      </c>
      <c r="I396" s="273">
        <f>'人员人工-研发人员工资'!I396</f>
        <v>0</v>
      </c>
      <c r="J396" s="274">
        <f t="shared" si="145"/>
        <v>0</v>
      </c>
      <c r="K396" s="275">
        <f>'人员人工-研发人员工资'!K396</f>
        <v>0</v>
      </c>
      <c r="L396" s="274">
        <f t="shared" si="146"/>
        <v>0</v>
      </c>
      <c r="M396" s="273">
        <f>'人员人工-研发人员工资'!M396</f>
        <v>0</v>
      </c>
      <c r="N396" s="274">
        <f t="shared" si="147"/>
        <v>0</v>
      </c>
      <c r="O396" s="273">
        <f>'人员人工-研发人员工资'!O396</f>
        <v>0</v>
      </c>
      <c r="P396" s="274">
        <f t="shared" si="148"/>
        <v>0</v>
      </c>
      <c r="Q396" s="273">
        <f>'人员人工-研发人员工资'!Q396</f>
        <v>0</v>
      </c>
      <c r="R396" s="274">
        <f t="shared" si="149"/>
        <v>0</v>
      </c>
      <c r="S396" s="273">
        <f>'人员人工-研发人员工资'!S396</f>
        <v>0</v>
      </c>
      <c r="T396" s="274">
        <f t="shared" si="150"/>
        <v>0</v>
      </c>
      <c r="U396" s="273">
        <f>'人员人工-研发人员工资'!U396</f>
        <v>0</v>
      </c>
      <c r="V396" s="274">
        <f t="shared" si="151"/>
        <v>0</v>
      </c>
      <c r="W396" s="273">
        <f>'人员人工-研发人员工资'!W396</f>
        <v>0</v>
      </c>
      <c r="X396" s="274">
        <f t="shared" si="152"/>
        <v>0</v>
      </c>
      <c r="Y396" s="273">
        <f>'人员人工-研发人员工资'!Y396</f>
        <v>0</v>
      </c>
      <c r="Z396" s="274">
        <f t="shared" si="153"/>
        <v>0</v>
      </c>
    </row>
    <row r="397" s="251" customFormat="1" customHeight="1" spans="1:26">
      <c r="A397" s="270">
        <v>14</v>
      </c>
      <c r="B397" s="271">
        <f>'人员人工-研发人员工资'!B397</f>
        <v>0</v>
      </c>
      <c r="C397" s="274"/>
      <c r="D397" s="272">
        <f>'人员人工-研发人员工资'!D397</f>
        <v>0</v>
      </c>
      <c r="E397" s="272">
        <f t="shared" si="142"/>
        <v>0</v>
      </c>
      <c r="F397" s="272">
        <f t="shared" si="143"/>
        <v>0</v>
      </c>
      <c r="G397" s="273">
        <f>'人员人工-研发人员工资'!G397</f>
        <v>0</v>
      </c>
      <c r="H397" s="274">
        <f t="shared" si="144"/>
        <v>0</v>
      </c>
      <c r="I397" s="273">
        <f>'人员人工-研发人员工资'!I397</f>
        <v>0</v>
      </c>
      <c r="J397" s="274">
        <f t="shared" si="145"/>
        <v>0</v>
      </c>
      <c r="K397" s="275">
        <f>'人员人工-研发人员工资'!K397</f>
        <v>0</v>
      </c>
      <c r="L397" s="274">
        <f t="shared" si="146"/>
        <v>0</v>
      </c>
      <c r="M397" s="273">
        <f>'人员人工-研发人员工资'!M397</f>
        <v>0</v>
      </c>
      <c r="N397" s="274">
        <f t="shared" si="147"/>
        <v>0</v>
      </c>
      <c r="O397" s="273">
        <f>'人员人工-研发人员工资'!O397</f>
        <v>0</v>
      </c>
      <c r="P397" s="274">
        <f t="shared" si="148"/>
        <v>0</v>
      </c>
      <c r="Q397" s="273">
        <f>'人员人工-研发人员工资'!Q397</f>
        <v>0</v>
      </c>
      <c r="R397" s="274">
        <f t="shared" si="149"/>
        <v>0</v>
      </c>
      <c r="S397" s="273">
        <f>'人员人工-研发人员工资'!S397</f>
        <v>0</v>
      </c>
      <c r="T397" s="274">
        <f t="shared" si="150"/>
        <v>0</v>
      </c>
      <c r="U397" s="273">
        <f>'人员人工-研发人员工资'!U397</f>
        <v>0</v>
      </c>
      <c r="V397" s="274">
        <f t="shared" si="151"/>
        <v>0</v>
      </c>
      <c r="W397" s="273">
        <f>'人员人工-研发人员工资'!W397</f>
        <v>0</v>
      </c>
      <c r="X397" s="274">
        <f t="shared" si="152"/>
        <v>0</v>
      </c>
      <c r="Y397" s="273">
        <f>'人员人工-研发人员工资'!Y397</f>
        <v>0</v>
      </c>
      <c r="Z397" s="274">
        <f t="shared" si="153"/>
        <v>0</v>
      </c>
    </row>
    <row r="398" s="251" customFormat="1" customHeight="1" spans="1:26">
      <c r="A398" s="270">
        <v>15</v>
      </c>
      <c r="B398" s="271">
        <f>'人员人工-研发人员工资'!B398</f>
        <v>0</v>
      </c>
      <c r="C398" s="274"/>
      <c r="D398" s="272">
        <f>'人员人工-研发人员工资'!D398</f>
        <v>0</v>
      </c>
      <c r="E398" s="272">
        <f t="shared" si="142"/>
        <v>0</v>
      </c>
      <c r="F398" s="272">
        <f t="shared" si="143"/>
        <v>0</v>
      </c>
      <c r="G398" s="273">
        <f>'人员人工-研发人员工资'!G398</f>
        <v>0</v>
      </c>
      <c r="H398" s="274">
        <f t="shared" si="144"/>
        <v>0</v>
      </c>
      <c r="I398" s="273">
        <f>'人员人工-研发人员工资'!I398</f>
        <v>0</v>
      </c>
      <c r="J398" s="274">
        <f t="shared" si="145"/>
        <v>0</v>
      </c>
      <c r="K398" s="275">
        <f>'人员人工-研发人员工资'!K398</f>
        <v>0</v>
      </c>
      <c r="L398" s="274">
        <f t="shared" si="146"/>
        <v>0</v>
      </c>
      <c r="M398" s="273">
        <f>'人员人工-研发人员工资'!M398</f>
        <v>0</v>
      </c>
      <c r="N398" s="274">
        <f t="shared" si="147"/>
        <v>0</v>
      </c>
      <c r="O398" s="273">
        <f>'人员人工-研发人员工资'!O398</f>
        <v>0</v>
      </c>
      <c r="P398" s="274">
        <f t="shared" si="148"/>
        <v>0</v>
      </c>
      <c r="Q398" s="273">
        <f>'人员人工-研发人员工资'!Q398</f>
        <v>0</v>
      </c>
      <c r="R398" s="274">
        <f t="shared" si="149"/>
        <v>0</v>
      </c>
      <c r="S398" s="273">
        <f>'人员人工-研发人员工资'!S398</f>
        <v>0</v>
      </c>
      <c r="T398" s="274">
        <f t="shared" si="150"/>
        <v>0</v>
      </c>
      <c r="U398" s="273">
        <f>'人员人工-研发人员工资'!U398</f>
        <v>0</v>
      </c>
      <c r="V398" s="274">
        <f t="shared" si="151"/>
        <v>0</v>
      </c>
      <c r="W398" s="273">
        <f>'人员人工-研发人员工资'!W398</f>
        <v>0</v>
      </c>
      <c r="X398" s="274">
        <f t="shared" si="152"/>
        <v>0</v>
      </c>
      <c r="Y398" s="273">
        <f>'人员人工-研发人员工资'!Y398</f>
        <v>0</v>
      </c>
      <c r="Z398" s="274">
        <f t="shared" si="153"/>
        <v>0</v>
      </c>
    </row>
    <row r="399" s="251" customFormat="1" customHeight="1" spans="1:26">
      <c r="A399" s="270">
        <v>16</v>
      </c>
      <c r="B399" s="271">
        <f>'人员人工-研发人员工资'!B399</f>
        <v>0</v>
      </c>
      <c r="C399" s="274"/>
      <c r="D399" s="272">
        <f>'人员人工-研发人员工资'!D399</f>
        <v>0</v>
      </c>
      <c r="E399" s="272">
        <f t="shared" si="142"/>
        <v>0</v>
      </c>
      <c r="F399" s="272">
        <f t="shared" si="143"/>
        <v>0</v>
      </c>
      <c r="G399" s="273">
        <f>'人员人工-研发人员工资'!G399</f>
        <v>0</v>
      </c>
      <c r="H399" s="274">
        <f t="shared" si="144"/>
        <v>0</v>
      </c>
      <c r="I399" s="273">
        <f>'人员人工-研发人员工资'!I399</f>
        <v>0</v>
      </c>
      <c r="J399" s="274">
        <f t="shared" si="145"/>
        <v>0</v>
      </c>
      <c r="K399" s="275">
        <f>'人员人工-研发人员工资'!K399</f>
        <v>0</v>
      </c>
      <c r="L399" s="274">
        <f t="shared" si="146"/>
        <v>0</v>
      </c>
      <c r="M399" s="273">
        <f>'人员人工-研发人员工资'!M399</f>
        <v>0</v>
      </c>
      <c r="N399" s="274">
        <f t="shared" si="147"/>
        <v>0</v>
      </c>
      <c r="O399" s="273">
        <f>'人员人工-研发人员工资'!O399</f>
        <v>0</v>
      </c>
      <c r="P399" s="274">
        <f t="shared" si="148"/>
        <v>0</v>
      </c>
      <c r="Q399" s="273">
        <f>'人员人工-研发人员工资'!Q399</f>
        <v>0</v>
      </c>
      <c r="R399" s="274">
        <f t="shared" si="149"/>
        <v>0</v>
      </c>
      <c r="S399" s="273">
        <f>'人员人工-研发人员工资'!S399</f>
        <v>0</v>
      </c>
      <c r="T399" s="274">
        <f t="shared" si="150"/>
        <v>0</v>
      </c>
      <c r="U399" s="273">
        <f>'人员人工-研发人员工资'!U399</f>
        <v>0</v>
      </c>
      <c r="V399" s="274">
        <f t="shared" si="151"/>
        <v>0</v>
      </c>
      <c r="W399" s="273">
        <f>'人员人工-研发人员工资'!W399</f>
        <v>0</v>
      </c>
      <c r="X399" s="274">
        <f t="shared" si="152"/>
        <v>0</v>
      </c>
      <c r="Y399" s="273">
        <f>'人员人工-研发人员工资'!Y399</f>
        <v>0</v>
      </c>
      <c r="Z399" s="274">
        <f t="shared" si="153"/>
        <v>0</v>
      </c>
    </row>
    <row r="400" s="251" customFormat="1" customHeight="1" spans="1:26">
      <c r="A400" s="270">
        <v>17</v>
      </c>
      <c r="B400" s="271">
        <f>'人员人工-研发人员工资'!B400</f>
        <v>0</v>
      </c>
      <c r="C400" s="274"/>
      <c r="D400" s="272">
        <f>'人员人工-研发人员工资'!D400</f>
        <v>0</v>
      </c>
      <c r="E400" s="272">
        <f t="shared" si="142"/>
        <v>0</v>
      </c>
      <c r="F400" s="272">
        <f t="shared" si="143"/>
        <v>0</v>
      </c>
      <c r="G400" s="273">
        <f>'人员人工-研发人员工资'!G400</f>
        <v>0</v>
      </c>
      <c r="H400" s="274">
        <f t="shared" si="144"/>
        <v>0</v>
      </c>
      <c r="I400" s="273">
        <f>'人员人工-研发人员工资'!I400</f>
        <v>0</v>
      </c>
      <c r="J400" s="274">
        <f t="shared" si="145"/>
        <v>0</v>
      </c>
      <c r="K400" s="275">
        <f>'人员人工-研发人员工资'!K400</f>
        <v>0</v>
      </c>
      <c r="L400" s="274">
        <f t="shared" si="146"/>
        <v>0</v>
      </c>
      <c r="M400" s="273">
        <f>'人员人工-研发人员工资'!M400</f>
        <v>0</v>
      </c>
      <c r="N400" s="274">
        <f t="shared" si="147"/>
        <v>0</v>
      </c>
      <c r="O400" s="273">
        <f>'人员人工-研发人员工资'!O400</f>
        <v>0</v>
      </c>
      <c r="P400" s="274">
        <f t="shared" si="148"/>
        <v>0</v>
      </c>
      <c r="Q400" s="273">
        <f>'人员人工-研发人员工资'!Q400</f>
        <v>0</v>
      </c>
      <c r="R400" s="274">
        <f t="shared" si="149"/>
        <v>0</v>
      </c>
      <c r="S400" s="273">
        <f>'人员人工-研发人员工资'!S400</f>
        <v>0</v>
      </c>
      <c r="T400" s="274">
        <f t="shared" si="150"/>
        <v>0</v>
      </c>
      <c r="U400" s="273">
        <f>'人员人工-研发人员工资'!U400</f>
        <v>0</v>
      </c>
      <c r="V400" s="274">
        <f t="shared" si="151"/>
        <v>0</v>
      </c>
      <c r="W400" s="273">
        <f>'人员人工-研发人员工资'!W400</f>
        <v>0</v>
      </c>
      <c r="X400" s="274">
        <f t="shared" si="152"/>
        <v>0</v>
      </c>
      <c r="Y400" s="273">
        <f>'人员人工-研发人员工资'!Y400</f>
        <v>0</v>
      </c>
      <c r="Z400" s="274">
        <f t="shared" si="153"/>
        <v>0</v>
      </c>
    </row>
    <row r="401" s="251" customFormat="1" customHeight="1" spans="1:26">
      <c r="A401" s="270">
        <v>18</v>
      </c>
      <c r="B401" s="271">
        <f>'人员人工-研发人员工资'!B401</f>
        <v>0</v>
      </c>
      <c r="C401" s="274"/>
      <c r="D401" s="272">
        <f>'人员人工-研发人员工资'!D401</f>
        <v>0</v>
      </c>
      <c r="E401" s="272">
        <f t="shared" si="142"/>
        <v>0</v>
      </c>
      <c r="F401" s="272">
        <f t="shared" si="143"/>
        <v>0</v>
      </c>
      <c r="G401" s="273">
        <f>'人员人工-研发人员工资'!G401</f>
        <v>0</v>
      </c>
      <c r="H401" s="274">
        <f t="shared" si="144"/>
        <v>0</v>
      </c>
      <c r="I401" s="273">
        <f>'人员人工-研发人员工资'!I401</f>
        <v>0</v>
      </c>
      <c r="J401" s="274">
        <f t="shared" si="145"/>
        <v>0</v>
      </c>
      <c r="K401" s="275">
        <f>'人员人工-研发人员工资'!K401</f>
        <v>0</v>
      </c>
      <c r="L401" s="274">
        <f t="shared" si="146"/>
        <v>0</v>
      </c>
      <c r="M401" s="273">
        <f>'人员人工-研发人员工资'!M401</f>
        <v>0</v>
      </c>
      <c r="N401" s="274">
        <f t="shared" si="147"/>
        <v>0</v>
      </c>
      <c r="O401" s="273">
        <f>'人员人工-研发人员工资'!O401</f>
        <v>0</v>
      </c>
      <c r="P401" s="274">
        <f t="shared" si="148"/>
        <v>0</v>
      </c>
      <c r="Q401" s="273">
        <f>'人员人工-研发人员工资'!Q401</f>
        <v>0</v>
      </c>
      <c r="R401" s="274">
        <f t="shared" si="149"/>
        <v>0</v>
      </c>
      <c r="S401" s="273">
        <f>'人员人工-研发人员工资'!S401</f>
        <v>0</v>
      </c>
      <c r="T401" s="274">
        <f t="shared" si="150"/>
        <v>0</v>
      </c>
      <c r="U401" s="273">
        <f>'人员人工-研发人员工资'!U401</f>
        <v>0</v>
      </c>
      <c r="V401" s="274">
        <f t="shared" si="151"/>
        <v>0</v>
      </c>
      <c r="W401" s="273">
        <f>'人员人工-研发人员工资'!W401</f>
        <v>0</v>
      </c>
      <c r="X401" s="274">
        <f t="shared" si="152"/>
        <v>0</v>
      </c>
      <c r="Y401" s="273">
        <f>'人员人工-研发人员工资'!Y401</f>
        <v>0</v>
      </c>
      <c r="Z401" s="274">
        <f t="shared" si="153"/>
        <v>0</v>
      </c>
    </row>
    <row r="402" s="251" customFormat="1" customHeight="1" spans="1:26">
      <c r="A402" s="270">
        <v>19</v>
      </c>
      <c r="B402" s="271">
        <f>'人员人工-研发人员工资'!B402</f>
        <v>0</v>
      </c>
      <c r="C402" s="274"/>
      <c r="D402" s="272">
        <f>'人员人工-研发人员工资'!D402</f>
        <v>0</v>
      </c>
      <c r="E402" s="272">
        <f t="shared" si="142"/>
        <v>0</v>
      </c>
      <c r="F402" s="272">
        <f t="shared" si="143"/>
        <v>0</v>
      </c>
      <c r="G402" s="273">
        <f>'人员人工-研发人员工资'!G402</f>
        <v>0</v>
      </c>
      <c r="H402" s="274">
        <f t="shared" si="144"/>
        <v>0</v>
      </c>
      <c r="I402" s="273">
        <f>'人员人工-研发人员工资'!I402</f>
        <v>0</v>
      </c>
      <c r="J402" s="274">
        <f t="shared" si="145"/>
        <v>0</v>
      </c>
      <c r="K402" s="275">
        <f>'人员人工-研发人员工资'!K402</f>
        <v>0</v>
      </c>
      <c r="L402" s="274">
        <f t="shared" si="146"/>
        <v>0</v>
      </c>
      <c r="M402" s="273">
        <f>'人员人工-研发人员工资'!M402</f>
        <v>0</v>
      </c>
      <c r="N402" s="274">
        <f t="shared" si="147"/>
        <v>0</v>
      </c>
      <c r="O402" s="273">
        <f>'人员人工-研发人员工资'!O402</f>
        <v>0</v>
      </c>
      <c r="P402" s="274">
        <f t="shared" si="148"/>
        <v>0</v>
      </c>
      <c r="Q402" s="273">
        <f>'人员人工-研发人员工资'!Q402</f>
        <v>0</v>
      </c>
      <c r="R402" s="274">
        <f t="shared" si="149"/>
        <v>0</v>
      </c>
      <c r="S402" s="273">
        <f>'人员人工-研发人员工资'!S402</f>
        <v>0</v>
      </c>
      <c r="T402" s="274">
        <f t="shared" si="150"/>
        <v>0</v>
      </c>
      <c r="U402" s="273">
        <f>'人员人工-研发人员工资'!U402</f>
        <v>0</v>
      </c>
      <c r="V402" s="274">
        <f t="shared" si="151"/>
        <v>0</v>
      </c>
      <c r="W402" s="273">
        <f>'人员人工-研发人员工资'!W402</f>
        <v>0</v>
      </c>
      <c r="X402" s="274">
        <f t="shared" si="152"/>
        <v>0</v>
      </c>
      <c r="Y402" s="273">
        <f>'人员人工-研发人员工资'!Y402</f>
        <v>0</v>
      </c>
      <c r="Z402" s="274">
        <f t="shared" si="153"/>
        <v>0</v>
      </c>
    </row>
    <row r="403" s="251" customFormat="1" customHeight="1" spans="1:26">
      <c r="A403" s="270">
        <v>20</v>
      </c>
      <c r="B403" s="271">
        <f>'人员人工-研发人员工资'!B403</f>
        <v>0</v>
      </c>
      <c r="C403" s="274"/>
      <c r="D403" s="272">
        <f>'人员人工-研发人员工资'!D403</f>
        <v>0</v>
      </c>
      <c r="E403" s="272">
        <f t="shared" si="142"/>
        <v>0</v>
      </c>
      <c r="F403" s="272">
        <f t="shared" si="143"/>
        <v>0</v>
      </c>
      <c r="G403" s="273">
        <f>'人员人工-研发人员工资'!G403</f>
        <v>0</v>
      </c>
      <c r="H403" s="274">
        <f t="shared" si="144"/>
        <v>0</v>
      </c>
      <c r="I403" s="273">
        <f>'人员人工-研发人员工资'!I403</f>
        <v>0</v>
      </c>
      <c r="J403" s="274">
        <f t="shared" si="145"/>
        <v>0</v>
      </c>
      <c r="K403" s="275">
        <f>'人员人工-研发人员工资'!K403</f>
        <v>0</v>
      </c>
      <c r="L403" s="274">
        <f t="shared" si="146"/>
        <v>0</v>
      </c>
      <c r="M403" s="273">
        <f>'人员人工-研发人员工资'!M403</f>
        <v>0</v>
      </c>
      <c r="N403" s="274">
        <f t="shared" si="147"/>
        <v>0</v>
      </c>
      <c r="O403" s="273">
        <f>'人员人工-研发人员工资'!O403</f>
        <v>0</v>
      </c>
      <c r="P403" s="274">
        <f t="shared" si="148"/>
        <v>0</v>
      </c>
      <c r="Q403" s="273">
        <f>'人员人工-研发人员工资'!Q403</f>
        <v>0</v>
      </c>
      <c r="R403" s="274">
        <f t="shared" si="149"/>
        <v>0</v>
      </c>
      <c r="S403" s="273">
        <f>'人员人工-研发人员工资'!S403</f>
        <v>0</v>
      </c>
      <c r="T403" s="274">
        <f t="shared" si="150"/>
        <v>0</v>
      </c>
      <c r="U403" s="273">
        <f>'人员人工-研发人员工资'!U403</f>
        <v>0</v>
      </c>
      <c r="V403" s="274">
        <f t="shared" si="151"/>
        <v>0</v>
      </c>
      <c r="W403" s="273">
        <f>'人员人工-研发人员工资'!W403</f>
        <v>0</v>
      </c>
      <c r="X403" s="274">
        <f t="shared" si="152"/>
        <v>0</v>
      </c>
      <c r="Y403" s="273">
        <f>'人员人工-研发人员工资'!Y403</f>
        <v>0</v>
      </c>
      <c r="Z403" s="274">
        <f t="shared" si="153"/>
        <v>0</v>
      </c>
    </row>
    <row r="404" s="251" customFormat="1" customHeight="1" spans="1:26">
      <c r="A404" s="270">
        <v>21</v>
      </c>
      <c r="B404" s="271">
        <f>'人员人工-研发人员工资'!B404</f>
        <v>0</v>
      </c>
      <c r="C404" s="274"/>
      <c r="D404" s="272">
        <f>'人员人工-研发人员工资'!D404</f>
        <v>0</v>
      </c>
      <c r="E404" s="272">
        <f t="shared" si="142"/>
        <v>0</v>
      </c>
      <c r="F404" s="272">
        <f t="shared" si="143"/>
        <v>0</v>
      </c>
      <c r="G404" s="273">
        <f>'人员人工-研发人员工资'!G404</f>
        <v>0</v>
      </c>
      <c r="H404" s="274">
        <f t="shared" si="144"/>
        <v>0</v>
      </c>
      <c r="I404" s="273">
        <f>'人员人工-研发人员工资'!I404</f>
        <v>0</v>
      </c>
      <c r="J404" s="274">
        <f t="shared" si="145"/>
        <v>0</v>
      </c>
      <c r="K404" s="275">
        <f>'人员人工-研发人员工资'!K404</f>
        <v>0</v>
      </c>
      <c r="L404" s="274">
        <f t="shared" si="146"/>
        <v>0</v>
      </c>
      <c r="M404" s="273">
        <f>'人员人工-研发人员工资'!M404</f>
        <v>0</v>
      </c>
      <c r="N404" s="274">
        <f t="shared" si="147"/>
        <v>0</v>
      </c>
      <c r="O404" s="273">
        <f>'人员人工-研发人员工资'!O404</f>
        <v>0</v>
      </c>
      <c r="P404" s="274">
        <f t="shared" si="148"/>
        <v>0</v>
      </c>
      <c r="Q404" s="273">
        <f>'人员人工-研发人员工资'!Q404</f>
        <v>0</v>
      </c>
      <c r="R404" s="274">
        <f t="shared" si="149"/>
        <v>0</v>
      </c>
      <c r="S404" s="273">
        <f>'人员人工-研发人员工资'!S404</f>
        <v>0</v>
      </c>
      <c r="T404" s="274">
        <f t="shared" si="150"/>
        <v>0</v>
      </c>
      <c r="U404" s="273">
        <f>'人员人工-研发人员工资'!U404</f>
        <v>0</v>
      </c>
      <c r="V404" s="274">
        <f t="shared" si="151"/>
        <v>0</v>
      </c>
      <c r="W404" s="273">
        <f>'人员人工-研发人员工资'!W404</f>
        <v>0</v>
      </c>
      <c r="X404" s="274">
        <f t="shared" si="152"/>
        <v>0</v>
      </c>
      <c r="Y404" s="273">
        <f>'人员人工-研发人员工资'!Y404</f>
        <v>0</v>
      </c>
      <c r="Z404" s="274">
        <f t="shared" si="153"/>
        <v>0</v>
      </c>
    </row>
    <row r="405" s="251" customFormat="1" customHeight="1" spans="1:26">
      <c r="A405" s="270">
        <v>22</v>
      </c>
      <c r="B405" s="271">
        <f>'人员人工-研发人员工资'!B405</f>
        <v>0</v>
      </c>
      <c r="C405" s="274"/>
      <c r="D405" s="272">
        <f>'人员人工-研发人员工资'!D405</f>
        <v>0</v>
      </c>
      <c r="E405" s="272">
        <f t="shared" si="142"/>
        <v>0</v>
      </c>
      <c r="F405" s="272">
        <f t="shared" si="143"/>
        <v>0</v>
      </c>
      <c r="G405" s="273">
        <f>'人员人工-研发人员工资'!G405</f>
        <v>0</v>
      </c>
      <c r="H405" s="274">
        <f t="shared" si="144"/>
        <v>0</v>
      </c>
      <c r="I405" s="273">
        <f>'人员人工-研发人员工资'!I405</f>
        <v>0</v>
      </c>
      <c r="J405" s="274">
        <f t="shared" si="145"/>
        <v>0</v>
      </c>
      <c r="K405" s="275">
        <f>'人员人工-研发人员工资'!K405</f>
        <v>0</v>
      </c>
      <c r="L405" s="274">
        <f t="shared" si="146"/>
        <v>0</v>
      </c>
      <c r="M405" s="273">
        <f>'人员人工-研发人员工资'!M405</f>
        <v>0</v>
      </c>
      <c r="N405" s="274">
        <f t="shared" si="147"/>
        <v>0</v>
      </c>
      <c r="O405" s="273">
        <f>'人员人工-研发人员工资'!O405</f>
        <v>0</v>
      </c>
      <c r="P405" s="274">
        <f t="shared" si="148"/>
        <v>0</v>
      </c>
      <c r="Q405" s="273">
        <f>'人员人工-研发人员工资'!Q405</f>
        <v>0</v>
      </c>
      <c r="R405" s="274">
        <f t="shared" si="149"/>
        <v>0</v>
      </c>
      <c r="S405" s="273">
        <f>'人员人工-研发人员工资'!S405</f>
        <v>0</v>
      </c>
      <c r="T405" s="274">
        <f t="shared" si="150"/>
        <v>0</v>
      </c>
      <c r="U405" s="273">
        <f>'人员人工-研发人员工资'!U405</f>
        <v>0</v>
      </c>
      <c r="V405" s="274">
        <f t="shared" si="151"/>
        <v>0</v>
      </c>
      <c r="W405" s="273">
        <f>'人员人工-研发人员工资'!W405</f>
        <v>0</v>
      </c>
      <c r="X405" s="274">
        <f t="shared" si="152"/>
        <v>0</v>
      </c>
      <c r="Y405" s="273">
        <f>'人员人工-研发人员工资'!Y405</f>
        <v>0</v>
      </c>
      <c r="Z405" s="274">
        <f t="shared" si="153"/>
        <v>0</v>
      </c>
    </row>
    <row r="406" s="251" customFormat="1" customHeight="1" spans="1:26">
      <c r="A406" s="270">
        <v>23</v>
      </c>
      <c r="B406" s="271">
        <f>'人员人工-研发人员工资'!B406</f>
        <v>0</v>
      </c>
      <c r="C406" s="274"/>
      <c r="D406" s="272">
        <f>'人员人工-研发人员工资'!D406</f>
        <v>0</v>
      </c>
      <c r="E406" s="272">
        <f t="shared" si="142"/>
        <v>0</v>
      </c>
      <c r="F406" s="272">
        <f t="shared" si="143"/>
        <v>0</v>
      </c>
      <c r="G406" s="273">
        <f>'人员人工-研发人员工资'!G406</f>
        <v>0</v>
      </c>
      <c r="H406" s="274">
        <f t="shared" si="144"/>
        <v>0</v>
      </c>
      <c r="I406" s="273">
        <f>'人员人工-研发人员工资'!I406</f>
        <v>0</v>
      </c>
      <c r="J406" s="274">
        <f t="shared" si="145"/>
        <v>0</v>
      </c>
      <c r="K406" s="275">
        <f>'人员人工-研发人员工资'!K406</f>
        <v>0</v>
      </c>
      <c r="L406" s="274">
        <f t="shared" si="146"/>
        <v>0</v>
      </c>
      <c r="M406" s="273">
        <f>'人员人工-研发人员工资'!M406</f>
        <v>0</v>
      </c>
      <c r="N406" s="274">
        <f t="shared" si="147"/>
        <v>0</v>
      </c>
      <c r="O406" s="273">
        <f>'人员人工-研发人员工资'!O406</f>
        <v>0</v>
      </c>
      <c r="P406" s="274">
        <f t="shared" si="148"/>
        <v>0</v>
      </c>
      <c r="Q406" s="273">
        <f>'人员人工-研发人员工资'!Q406</f>
        <v>0</v>
      </c>
      <c r="R406" s="274">
        <f t="shared" si="149"/>
        <v>0</v>
      </c>
      <c r="S406" s="273">
        <f>'人员人工-研发人员工资'!S406</f>
        <v>0</v>
      </c>
      <c r="T406" s="274">
        <f t="shared" si="150"/>
        <v>0</v>
      </c>
      <c r="U406" s="273">
        <f>'人员人工-研发人员工资'!U406</f>
        <v>0</v>
      </c>
      <c r="V406" s="274">
        <f t="shared" si="151"/>
        <v>0</v>
      </c>
      <c r="W406" s="273">
        <f>'人员人工-研发人员工资'!W406</f>
        <v>0</v>
      </c>
      <c r="X406" s="274">
        <f t="shared" si="152"/>
        <v>0</v>
      </c>
      <c r="Y406" s="273">
        <f>'人员人工-研发人员工资'!Y406</f>
        <v>0</v>
      </c>
      <c r="Z406" s="274">
        <f t="shared" si="153"/>
        <v>0</v>
      </c>
    </row>
    <row r="407" s="251" customFormat="1" customHeight="1" spans="1:26">
      <c r="A407" s="270">
        <v>25</v>
      </c>
      <c r="B407" s="271">
        <f>'人员人工-研发人员工资'!B407</f>
        <v>0</v>
      </c>
      <c r="C407" s="274"/>
      <c r="D407" s="272">
        <f>'人员人工-研发人员工资'!D407</f>
        <v>0</v>
      </c>
      <c r="E407" s="272">
        <f t="shared" si="142"/>
        <v>0</v>
      </c>
      <c r="F407" s="272">
        <f t="shared" si="143"/>
        <v>0</v>
      </c>
      <c r="G407" s="273">
        <f>'人员人工-研发人员工资'!G407</f>
        <v>0</v>
      </c>
      <c r="H407" s="274">
        <f t="shared" si="144"/>
        <v>0</v>
      </c>
      <c r="I407" s="273">
        <f>'人员人工-研发人员工资'!I407</f>
        <v>0</v>
      </c>
      <c r="J407" s="274">
        <f t="shared" si="145"/>
        <v>0</v>
      </c>
      <c r="K407" s="275">
        <f>'人员人工-研发人员工资'!K407</f>
        <v>0</v>
      </c>
      <c r="L407" s="274">
        <f t="shared" si="146"/>
        <v>0</v>
      </c>
      <c r="M407" s="273">
        <f>'人员人工-研发人员工资'!M407</f>
        <v>0</v>
      </c>
      <c r="N407" s="274">
        <f t="shared" si="147"/>
        <v>0</v>
      </c>
      <c r="O407" s="273">
        <f>'人员人工-研发人员工资'!O407</f>
        <v>0</v>
      </c>
      <c r="P407" s="274">
        <f t="shared" si="148"/>
        <v>0</v>
      </c>
      <c r="Q407" s="273">
        <f>'人员人工-研发人员工资'!Q407</f>
        <v>0</v>
      </c>
      <c r="R407" s="274">
        <f t="shared" si="149"/>
        <v>0</v>
      </c>
      <c r="S407" s="273">
        <f>'人员人工-研发人员工资'!S407</f>
        <v>0</v>
      </c>
      <c r="T407" s="274">
        <f t="shared" si="150"/>
        <v>0</v>
      </c>
      <c r="U407" s="273">
        <f>'人员人工-研发人员工资'!U407</f>
        <v>0</v>
      </c>
      <c r="V407" s="274">
        <f t="shared" si="151"/>
        <v>0</v>
      </c>
      <c r="W407" s="273">
        <f>'人员人工-研发人员工资'!W407</f>
        <v>0</v>
      </c>
      <c r="X407" s="274">
        <f t="shared" si="152"/>
        <v>0</v>
      </c>
      <c r="Y407" s="273">
        <f>'人员人工-研发人员工资'!Y407</f>
        <v>0</v>
      </c>
      <c r="Z407" s="274">
        <f t="shared" si="153"/>
        <v>0</v>
      </c>
    </row>
    <row r="408" s="251" customFormat="1" customHeight="1" spans="1:26">
      <c r="A408" s="270">
        <v>25</v>
      </c>
      <c r="B408" s="271">
        <f>'人员人工-研发人员工资'!B408</f>
        <v>0</v>
      </c>
      <c r="C408" s="274"/>
      <c r="D408" s="272">
        <f>'人员人工-研发人员工资'!D408</f>
        <v>0</v>
      </c>
      <c r="E408" s="272">
        <f t="shared" si="142"/>
        <v>0</v>
      </c>
      <c r="F408" s="272">
        <f t="shared" si="143"/>
        <v>0</v>
      </c>
      <c r="G408" s="273">
        <f>'人员人工-研发人员工资'!G408</f>
        <v>0</v>
      </c>
      <c r="H408" s="274">
        <f t="shared" si="144"/>
        <v>0</v>
      </c>
      <c r="I408" s="273">
        <f>'人员人工-研发人员工资'!I408</f>
        <v>0</v>
      </c>
      <c r="J408" s="274">
        <f t="shared" si="145"/>
        <v>0</v>
      </c>
      <c r="K408" s="275">
        <f>'人员人工-研发人员工资'!K408</f>
        <v>0</v>
      </c>
      <c r="L408" s="274">
        <f t="shared" si="146"/>
        <v>0</v>
      </c>
      <c r="M408" s="273">
        <f>'人员人工-研发人员工资'!M408</f>
        <v>0</v>
      </c>
      <c r="N408" s="274">
        <f t="shared" si="147"/>
        <v>0</v>
      </c>
      <c r="O408" s="273">
        <f>'人员人工-研发人员工资'!O408</f>
        <v>0</v>
      </c>
      <c r="P408" s="274">
        <f t="shared" si="148"/>
        <v>0</v>
      </c>
      <c r="Q408" s="273">
        <f>'人员人工-研发人员工资'!Q408</f>
        <v>0</v>
      </c>
      <c r="R408" s="274">
        <f t="shared" si="149"/>
        <v>0</v>
      </c>
      <c r="S408" s="273">
        <f>'人员人工-研发人员工资'!S408</f>
        <v>0</v>
      </c>
      <c r="T408" s="274">
        <f t="shared" si="150"/>
        <v>0</v>
      </c>
      <c r="U408" s="273">
        <f>'人员人工-研发人员工资'!U408</f>
        <v>0</v>
      </c>
      <c r="V408" s="274">
        <f t="shared" si="151"/>
        <v>0</v>
      </c>
      <c r="W408" s="273">
        <f>'人员人工-研发人员工资'!W408</f>
        <v>0</v>
      </c>
      <c r="X408" s="274">
        <f t="shared" si="152"/>
        <v>0</v>
      </c>
      <c r="Y408" s="273">
        <f>'人员人工-研发人员工资'!Y408</f>
        <v>0</v>
      </c>
      <c r="Z408" s="274">
        <f t="shared" si="153"/>
        <v>0</v>
      </c>
    </row>
    <row r="409" s="251" customFormat="1" customHeight="1" spans="1:26">
      <c r="A409" s="270">
        <v>26</v>
      </c>
      <c r="B409" s="271">
        <f>'人员人工-研发人员工资'!B409</f>
        <v>0</v>
      </c>
      <c r="C409" s="274"/>
      <c r="D409" s="272">
        <f>'人员人工-研发人员工资'!D409</f>
        <v>0</v>
      </c>
      <c r="E409" s="272">
        <f t="shared" si="142"/>
        <v>0</v>
      </c>
      <c r="F409" s="272">
        <f t="shared" si="143"/>
        <v>0</v>
      </c>
      <c r="G409" s="273">
        <f>'人员人工-研发人员工资'!G409</f>
        <v>0</v>
      </c>
      <c r="H409" s="274">
        <f t="shared" si="144"/>
        <v>0</v>
      </c>
      <c r="I409" s="273">
        <f>'人员人工-研发人员工资'!I409</f>
        <v>0</v>
      </c>
      <c r="J409" s="274">
        <f t="shared" si="145"/>
        <v>0</v>
      </c>
      <c r="K409" s="275">
        <f>'人员人工-研发人员工资'!K409</f>
        <v>0</v>
      </c>
      <c r="L409" s="274">
        <f t="shared" si="146"/>
        <v>0</v>
      </c>
      <c r="M409" s="273">
        <f>'人员人工-研发人员工资'!M409</f>
        <v>0</v>
      </c>
      <c r="N409" s="274">
        <f t="shared" si="147"/>
        <v>0</v>
      </c>
      <c r="O409" s="273">
        <f>'人员人工-研发人员工资'!O409</f>
        <v>0</v>
      </c>
      <c r="P409" s="274">
        <f t="shared" si="148"/>
        <v>0</v>
      </c>
      <c r="Q409" s="273">
        <f>'人员人工-研发人员工资'!Q409</f>
        <v>0</v>
      </c>
      <c r="R409" s="274">
        <f t="shared" si="149"/>
        <v>0</v>
      </c>
      <c r="S409" s="273">
        <f>'人员人工-研发人员工资'!S409</f>
        <v>0</v>
      </c>
      <c r="T409" s="274">
        <f t="shared" si="150"/>
        <v>0</v>
      </c>
      <c r="U409" s="273">
        <f>'人员人工-研发人员工资'!U409</f>
        <v>0</v>
      </c>
      <c r="V409" s="274">
        <f t="shared" si="151"/>
        <v>0</v>
      </c>
      <c r="W409" s="273">
        <f>'人员人工-研发人员工资'!W409</f>
        <v>0</v>
      </c>
      <c r="X409" s="274">
        <f t="shared" si="152"/>
        <v>0</v>
      </c>
      <c r="Y409" s="273">
        <f>'人员人工-研发人员工资'!Y409</f>
        <v>0</v>
      </c>
      <c r="Z409" s="274">
        <f t="shared" si="153"/>
        <v>0</v>
      </c>
    </row>
    <row r="410" s="251" customFormat="1" customHeight="1" spans="1:26">
      <c r="A410" s="270">
        <v>27</v>
      </c>
      <c r="B410" s="271">
        <f>'人员人工-研发人员工资'!B410</f>
        <v>0</v>
      </c>
      <c r="C410" s="274"/>
      <c r="D410" s="272">
        <f>'人员人工-研发人员工资'!D410</f>
        <v>0</v>
      </c>
      <c r="E410" s="272">
        <f t="shared" si="142"/>
        <v>0</v>
      </c>
      <c r="F410" s="272">
        <f t="shared" si="143"/>
        <v>0</v>
      </c>
      <c r="G410" s="273">
        <f>'人员人工-研发人员工资'!G410</f>
        <v>0</v>
      </c>
      <c r="H410" s="274">
        <f t="shared" si="144"/>
        <v>0</v>
      </c>
      <c r="I410" s="273">
        <f>'人员人工-研发人员工资'!I410</f>
        <v>0</v>
      </c>
      <c r="J410" s="274">
        <f t="shared" si="145"/>
        <v>0</v>
      </c>
      <c r="K410" s="275">
        <f>'人员人工-研发人员工资'!K410</f>
        <v>0</v>
      </c>
      <c r="L410" s="274">
        <f t="shared" si="146"/>
        <v>0</v>
      </c>
      <c r="M410" s="273">
        <f>'人员人工-研发人员工资'!M410</f>
        <v>0</v>
      </c>
      <c r="N410" s="274">
        <f t="shared" si="147"/>
        <v>0</v>
      </c>
      <c r="O410" s="273">
        <f>'人员人工-研发人员工资'!O410</f>
        <v>0</v>
      </c>
      <c r="P410" s="274">
        <f t="shared" si="148"/>
        <v>0</v>
      </c>
      <c r="Q410" s="273">
        <f>'人员人工-研发人员工资'!Q410</f>
        <v>0</v>
      </c>
      <c r="R410" s="274">
        <f t="shared" si="149"/>
        <v>0</v>
      </c>
      <c r="S410" s="273">
        <f>'人员人工-研发人员工资'!S410</f>
        <v>0</v>
      </c>
      <c r="T410" s="274">
        <f t="shared" si="150"/>
        <v>0</v>
      </c>
      <c r="U410" s="273">
        <f>'人员人工-研发人员工资'!U410</f>
        <v>0</v>
      </c>
      <c r="V410" s="274">
        <f t="shared" si="151"/>
        <v>0</v>
      </c>
      <c r="W410" s="273">
        <f>'人员人工-研发人员工资'!W410</f>
        <v>0</v>
      </c>
      <c r="X410" s="274">
        <f t="shared" si="152"/>
        <v>0</v>
      </c>
      <c r="Y410" s="273">
        <f>'人员人工-研发人员工资'!Y410</f>
        <v>0</v>
      </c>
      <c r="Z410" s="274">
        <f t="shared" si="153"/>
        <v>0</v>
      </c>
    </row>
    <row r="411" s="251" customFormat="1" customHeight="1" spans="1:26">
      <c r="A411" s="270">
        <v>28</v>
      </c>
      <c r="B411" s="271">
        <f>'人员人工-研发人员工资'!B411</f>
        <v>0</v>
      </c>
      <c r="C411" s="274"/>
      <c r="D411" s="272">
        <f>'人员人工-研发人员工资'!D411</f>
        <v>0</v>
      </c>
      <c r="E411" s="272">
        <f t="shared" si="142"/>
        <v>0</v>
      </c>
      <c r="F411" s="272">
        <f t="shared" si="143"/>
        <v>0</v>
      </c>
      <c r="G411" s="273">
        <f>'人员人工-研发人员工资'!G411</f>
        <v>0</v>
      </c>
      <c r="H411" s="274">
        <f t="shared" si="144"/>
        <v>0</v>
      </c>
      <c r="I411" s="273">
        <f>'人员人工-研发人员工资'!I411</f>
        <v>0</v>
      </c>
      <c r="J411" s="274">
        <f t="shared" si="145"/>
        <v>0</v>
      </c>
      <c r="K411" s="275">
        <f>'人员人工-研发人员工资'!K411</f>
        <v>0</v>
      </c>
      <c r="L411" s="274">
        <f t="shared" si="146"/>
        <v>0</v>
      </c>
      <c r="M411" s="273">
        <f>'人员人工-研发人员工资'!M411</f>
        <v>0</v>
      </c>
      <c r="N411" s="274">
        <f t="shared" si="147"/>
        <v>0</v>
      </c>
      <c r="O411" s="273">
        <f>'人员人工-研发人员工资'!O411</f>
        <v>0</v>
      </c>
      <c r="P411" s="274">
        <f t="shared" si="148"/>
        <v>0</v>
      </c>
      <c r="Q411" s="273">
        <f>'人员人工-研发人员工资'!Q411</f>
        <v>0</v>
      </c>
      <c r="R411" s="274">
        <f t="shared" si="149"/>
        <v>0</v>
      </c>
      <c r="S411" s="273">
        <f>'人员人工-研发人员工资'!S411</f>
        <v>0</v>
      </c>
      <c r="T411" s="274">
        <f t="shared" si="150"/>
        <v>0</v>
      </c>
      <c r="U411" s="273">
        <f>'人员人工-研发人员工资'!U411</f>
        <v>0</v>
      </c>
      <c r="V411" s="274">
        <f t="shared" si="151"/>
        <v>0</v>
      </c>
      <c r="W411" s="273">
        <f>'人员人工-研发人员工资'!W411</f>
        <v>0</v>
      </c>
      <c r="X411" s="274">
        <f t="shared" si="152"/>
        <v>0</v>
      </c>
      <c r="Y411" s="273">
        <f>'人员人工-研发人员工资'!Y411</f>
        <v>0</v>
      </c>
      <c r="Z411" s="274">
        <f t="shared" si="153"/>
        <v>0</v>
      </c>
    </row>
    <row r="412" s="251" customFormat="1" customHeight="1" spans="1:26">
      <c r="A412" s="270">
        <v>29</v>
      </c>
      <c r="B412" s="271">
        <f>'人员人工-研发人员工资'!B412</f>
        <v>0</v>
      </c>
      <c r="C412" s="274"/>
      <c r="D412" s="272">
        <f>'人员人工-研发人员工资'!D412</f>
        <v>0</v>
      </c>
      <c r="E412" s="272">
        <f t="shared" si="142"/>
        <v>0</v>
      </c>
      <c r="F412" s="272">
        <f t="shared" si="143"/>
        <v>0</v>
      </c>
      <c r="G412" s="273">
        <f>'人员人工-研发人员工资'!G412</f>
        <v>0</v>
      </c>
      <c r="H412" s="274">
        <f t="shared" si="144"/>
        <v>0</v>
      </c>
      <c r="I412" s="273">
        <f>'人员人工-研发人员工资'!I412</f>
        <v>0</v>
      </c>
      <c r="J412" s="274">
        <f t="shared" si="145"/>
        <v>0</v>
      </c>
      <c r="K412" s="275">
        <f>'人员人工-研发人员工资'!K412</f>
        <v>0</v>
      </c>
      <c r="L412" s="274">
        <f t="shared" si="146"/>
        <v>0</v>
      </c>
      <c r="M412" s="273">
        <f>'人员人工-研发人员工资'!M412</f>
        <v>0</v>
      </c>
      <c r="N412" s="274">
        <f t="shared" si="147"/>
        <v>0</v>
      </c>
      <c r="O412" s="273">
        <f>'人员人工-研发人员工资'!O412</f>
        <v>0</v>
      </c>
      <c r="P412" s="274">
        <f t="shared" si="148"/>
        <v>0</v>
      </c>
      <c r="Q412" s="273">
        <f>'人员人工-研发人员工资'!Q412</f>
        <v>0</v>
      </c>
      <c r="R412" s="274">
        <f t="shared" si="149"/>
        <v>0</v>
      </c>
      <c r="S412" s="273">
        <f>'人员人工-研发人员工资'!S412</f>
        <v>0</v>
      </c>
      <c r="T412" s="274">
        <f t="shared" si="150"/>
        <v>0</v>
      </c>
      <c r="U412" s="273">
        <f>'人员人工-研发人员工资'!U412</f>
        <v>0</v>
      </c>
      <c r="V412" s="274">
        <f t="shared" si="151"/>
        <v>0</v>
      </c>
      <c r="W412" s="273">
        <f>'人员人工-研发人员工资'!W412</f>
        <v>0</v>
      </c>
      <c r="X412" s="274">
        <f t="shared" si="152"/>
        <v>0</v>
      </c>
      <c r="Y412" s="273">
        <f>'人员人工-研发人员工资'!Y412</f>
        <v>0</v>
      </c>
      <c r="Z412" s="274">
        <f t="shared" si="153"/>
        <v>0</v>
      </c>
    </row>
    <row r="413" s="251" customFormat="1" customHeight="1" spans="1:26">
      <c r="A413" s="270">
        <v>30</v>
      </c>
      <c r="B413" s="271">
        <f>'人员人工-研发人员工资'!B413</f>
        <v>0</v>
      </c>
      <c r="C413" s="274"/>
      <c r="D413" s="272">
        <f>'人员人工-研发人员工资'!D413</f>
        <v>0</v>
      </c>
      <c r="E413" s="272">
        <f t="shared" si="142"/>
        <v>0</v>
      </c>
      <c r="F413" s="272">
        <f t="shared" si="143"/>
        <v>0</v>
      </c>
      <c r="G413" s="273">
        <f>'人员人工-研发人员工资'!G413</f>
        <v>0</v>
      </c>
      <c r="H413" s="274">
        <f t="shared" si="144"/>
        <v>0</v>
      </c>
      <c r="I413" s="273">
        <f>'人员人工-研发人员工资'!I413</f>
        <v>0</v>
      </c>
      <c r="J413" s="274">
        <f t="shared" si="145"/>
        <v>0</v>
      </c>
      <c r="K413" s="275">
        <f>'人员人工-研发人员工资'!K413</f>
        <v>0</v>
      </c>
      <c r="L413" s="274">
        <f t="shared" si="146"/>
        <v>0</v>
      </c>
      <c r="M413" s="273">
        <f>'人员人工-研发人员工资'!M413</f>
        <v>0</v>
      </c>
      <c r="N413" s="274">
        <f t="shared" si="147"/>
        <v>0</v>
      </c>
      <c r="O413" s="273">
        <f>'人员人工-研发人员工资'!O413</f>
        <v>0</v>
      </c>
      <c r="P413" s="274">
        <f t="shared" si="148"/>
        <v>0</v>
      </c>
      <c r="Q413" s="273">
        <f>'人员人工-研发人员工资'!Q413</f>
        <v>0</v>
      </c>
      <c r="R413" s="274">
        <f t="shared" si="149"/>
        <v>0</v>
      </c>
      <c r="S413" s="273">
        <f>'人员人工-研发人员工资'!S413</f>
        <v>0</v>
      </c>
      <c r="T413" s="274">
        <f t="shared" si="150"/>
        <v>0</v>
      </c>
      <c r="U413" s="273">
        <f>'人员人工-研发人员工资'!U413</f>
        <v>0</v>
      </c>
      <c r="V413" s="274">
        <f t="shared" si="151"/>
        <v>0</v>
      </c>
      <c r="W413" s="273">
        <f>'人员人工-研发人员工资'!W413</f>
        <v>0</v>
      </c>
      <c r="X413" s="274">
        <f t="shared" si="152"/>
        <v>0</v>
      </c>
      <c r="Y413" s="273">
        <f>'人员人工-研发人员工资'!Y413</f>
        <v>0</v>
      </c>
      <c r="Z413" s="274">
        <f t="shared" si="153"/>
        <v>0</v>
      </c>
    </row>
    <row r="414" s="251" customFormat="1" customHeight="1" spans="1:26">
      <c r="A414" s="276" t="s">
        <v>22</v>
      </c>
      <c r="B414" s="277"/>
      <c r="C414" s="261">
        <f t="shared" ref="C414:Z414" si="154">SUM(C384:C413)</f>
        <v>0</v>
      </c>
      <c r="D414" s="261">
        <f t="shared" si="154"/>
        <v>0</v>
      </c>
      <c r="E414" s="272">
        <f t="shared" si="154"/>
        <v>0</v>
      </c>
      <c r="F414" s="261">
        <f t="shared" si="154"/>
        <v>0</v>
      </c>
      <c r="G414" s="261">
        <f t="shared" si="154"/>
        <v>0</v>
      </c>
      <c r="H414" s="261">
        <f t="shared" si="154"/>
        <v>0</v>
      </c>
      <c r="I414" s="261">
        <f t="shared" si="154"/>
        <v>0</v>
      </c>
      <c r="J414" s="261">
        <f t="shared" si="154"/>
        <v>0</v>
      </c>
      <c r="K414" s="261">
        <f t="shared" si="154"/>
        <v>0</v>
      </c>
      <c r="L414" s="261">
        <f t="shared" si="154"/>
        <v>0</v>
      </c>
      <c r="M414" s="261">
        <f t="shared" si="154"/>
        <v>0</v>
      </c>
      <c r="N414" s="261">
        <f t="shared" si="154"/>
        <v>0</v>
      </c>
      <c r="O414" s="261">
        <f t="shared" si="154"/>
        <v>0</v>
      </c>
      <c r="P414" s="261">
        <f t="shared" si="154"/>
        <v>0</v>
      </c>
      <c r="Q414" s="261">
        <f t="shared" si="154"/>
        <v>0</v>
      </c>
      <c r="R414" s="261">
        <f t="shared" si="154"/>
        <v>0</v>
      </c>
      <c r="S414" s="261">
        <f t="shared" si="154"/>
        <v>0</v>
      </c>
      <c r="T414" s="261">
        <f t="shared" si="154"/>
        <v>0</v>
      </c>
      <c r="U414" s="261">
        <f t="shared" si="154"/>
        <v>0</v>
      </c>
      <c r="V414" s="261">
        <f t="shared" si="154"/>
        <v>0</v>
      </c>
      <c r="W414" s="261">
        <f t="shared" si="154"/>
        <v>0</v>
      </c>
      <c r="X414" s="261">
        <f t="shared" si="154"/>
        <v>0</v>
      </c>
      <c r="Y414" s="261">
        <f t="shared" si="154"/>
        <v>0</v>
      </c>
      <c r="Z414" s="261">
        <f t="shared" si="154"/>
        <v>0</v>
      </c>
    </row>
    <row r="415" s="251" customFormat="1" customHeight="1" spans="1:26">
      <c r="A415" s="252"/>
      <c r="B415" s="280"/>
      <c r="C415" s="281"/>
      <c r="D415" s="281"/>
      <c r="E415" s="281"/>
      <c r="F415" s="281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 s="251" customFormat="1" customHeight="1" spans="1:26">
      <c r="A416" s="252"/>
      <c r="B416" s="280"/>
      <c r="C416" s="281"/>
      <c r="D416" s="281"/>
      <c r="E416" s="281"/>
      <c r="F416" s="281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7" s="251" customFormat="1" customHeight="1" spans="1:26">
      <c r="A417" s="252"/>
      <c r="B417" s="253"/>
      <c r="C417" s="254"/>
      <c r="D417" s="254"/>
      <c r="E417" s="254"/>
      <c r="F417" s="254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</row>
    <row r="418" s="251" customFormat="1" customHeight="1" spans="1:26">
      <c r="A418" s="252"/>
      <c r="B418" s="257" t="s">
        <v>154</v>
      </c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  <c r="Z418" s="258"/>
    </row>
    <row r="419" s="251" customFormat="1" customHeight="1" spans="1:26">
      <c r="A419" s="252"/>
      <c r="B419" s="253"/>
      <c r="C419" s="254"/>
      <c r="D419" s="254"/>
      <c r="E419" s="254"/>
      <c r="F419" s="254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</row>
    <row r="420" s="251" customFormat="1" customHeight="1" spans="1:26">
      <c r="A420" s="259" t="s">
        <v>31</v>
      </c>
      <c r="B420" s="260" t="s">
        <v>32</v>
      </c>
      <c r="C420" s="261" t="s">
        <v>141</v>
      </c>
      <c r="D420" s="261" t="s">
        <v>34</v>
      </c>
      <c r="E420" s="262" t="s">
        <v>35</v>
      </c>
      <c r="F420" s="262" t="s">
        <v>142</v>
      </c>
      <c r="G420" s="263" t="str">
        <f>立项!$A$3</f>
        <v>RD01</v>
      </c>
      <c r="H420" s="264"/>
      <c r="I420" s="264" t="str">
        <f>立项!$A$4</f>
        <v>RD02</v>
      </c>
      <c r="J420" s="264"/>
      <c r="K420" s="264" t="str">
        <f>立项!$A$5</f>
        <v>RD03</v>
      </c>
      <c r="L420" s="264"/>
      <c r="M420" s="264" t="str">
        <f>立项!$A$6</f>
        <v>RD04</v>
      </c>
      <c r="N420" s="264"/>
      <c r="O420" s="264" t="str">
        <f>立项!$A$7</f>
        <v>RD05</v>
      </c>
      <c r="P420" s="264"/>
      <c r="Q420" s="264" t="str">
        <f>立项!$A$8</f>
        <v>RD06</v>
      </c>
      <c r="R420" s="264"/>
      <c r="S420" s="264" t="str">
        <f>立项!$A$9</f>
        <v>RD07</v>
      </c>
      <c r="T420" s="264"/>
      <c r="U420" s="264" t="str">
        <f>立项!$A$10</f>
        <v>RD08</v>
      </c>
      <c r="V420" s="264"/>
      <c r="W420" s="264" t="str">
        <f>立项!$A$11</f>
        <v>RD09</v>
      </c>
      <c r="X420" s="264"/>
      <c r="Y420" s="264" t="str">
        <f>立项!$A$12</f>
        <v>RD10</v>
      </c>
      <c r="Z420" s="264"/>
    </row>
    <row r="421" s="251" customFormat="1" customHeight="1" spans="1:26">
      <c r="A421" s="265"/>
      <c r="B421" s="260"/>
      <c r="C421" s="261"/>
      <c r="D421" s="261"/>
      <c r="E421" s="262"/>
      <c r="F421" s="262"/>
      <c r="G421" s="267">
        <f>立项!C3</f>
        <v>0</v>
      </c>
      <c r="H421" s="263"/>
      <c r="I421" s="267">
        <f>立项!C4</f>
        <v>0</v>
      </c>
      <c r="J421" s="263"/>
      <c r="K421" s="267">
        <f>立项!C5</f>
        <v>0</v>
      </c>
      <c r="L421" s="263"/>
      <c r="M421" s="267">
        <f>立项!C6</f>
        <v>0</v>
      </c>
      <c r="N421" s="263"/>
      <c r="O421" s="267">
        <f>立项!C7</f>
        <v>0</v>
      </c>
      <c r="P421" s="263"/>
      <c r="Q421" s="267">
        <f>立项!C8</f>
        <v>0</v>
      </c>
      <c r="R421" s="263"/>
      <c r="S421" s="267">
        <f>立项!C9</f>
        <v>0</v>
      </c>
      <c r="T421" s="263"/>
      <c r="U421" s="267">
        <f>立项!C10</f>
        <v>0</v>
      </c>
      <c r="V421" s="263"/>
      <c r="W421" s="267">
        <f>立项!C11</f>
        <v>0</v>
      </c>
      <c r="X421" s="263"/>
      <c r="Y421" s="264">
        <f>立项!C12</f>
        <v>0</v>
      </c>
      <c r="Z421" s="264"/>
    </row>
    <row r="422" s="251" customFormat="1" customHeight="1" spans="1:26">
      <c r="A422" s="268"/>
      <c r="B422" s="260"/>
      <c r="C422" s="261"/>
      <c r="D422" s="261"/>
      <c r="E422" s="262"/>
      <c r="F422" s="262"/>
      <c r="G422" s="264" t="s">
        <v>39</v>
      </c>
      <c r="H422" s="269" t="s">
        <v>143</v>
      </c>
      <c r="I422" s="264" t="s">
        <v>39</v>
      </c>
      <c r="J422" s="269" t="s">
        <v>143</v>
      </c>
      <c r="K422" s="264" t="s">
        <v>39</v>
      </c>
      <c r="L422" s="269" t="s">
        <v>143</v>
      </c>
      <c r="M422" s="264" t="s">
        <v>39</v>
      </c>
      <c r="N422" s="269" t="s">
        <v>143</v>
      </c>
      <c r="O422" s="264" t="s">
        <v>39</v>
      </c>
      <c r="P422" s="269" t="s">
        <v>143</v>
      </c>
      <c r="Q422" s="264" t="s">
        <v>39</v>
      </c>
      <c r="R422" s="269" t="s">
        <v>143</v>
      </c>
      <c r="S422" s="264" t="s">
        <v>39</v>
      </c>
      <c r="T422" s="269" t="s">
        <v>143</v>
      </c>
      <c r="U422" s="264" t="s">
        <v>39</v>
      </c>
      <c r="V422" s="269" t="s">
        <v>143</v>
      </c>
      <c r="W422" s="264" t="s">
        <v>39</v>
      </c>
      <c r="X422" s="269" t="s">
        <v>143</v>
      </c>
      <c r="Y422" s="264" t="s">
        <v>39</v>
      </c>
      <c r="Z422" s="269" t="s">
        <v>143</v>
      </c>
    </row>
    <row r="423" s="251" customFormat="1" customHeight="1" spans="1:26">
      <c r="A423" s="270">
        <v>1</v>
      </c>
      <c r="B423" s="271">
        <f>'人员人工-研发人员工资'!B423</f>
        <v>0</v>
      </c>
      <c r="C423" s="272"/>
      <c r="D423" s="272">
        <f>'人员人工-研发人员工资'!D423</f>
        <v>0</v>
      </c>
      <c r="E423" s="272">
        <f>G423+I423+K423+M423+O423+Q423+S423+U423+W423+Y423</f>
        <v>0</v>
      </c>
      <c r="F423" s="272">
        <f>H423+J423+L423+N423+P423+R423+T423+V423+X423+Z423</f>
        <v>0</v>
      </c>
      <c r="G423" s="273">
        <f>'人员人工-研发人员工资'!G423</f>
        <v>0</v>
      </c>
      <c r="H423" s="274">
        <f>IF($D423=0,0,ROUND(G423/$D423*$C423,2))</f>
        <v>0</v>
      </c>
      <c r="I423" s="273">
        <f>'人员人工-研发人员工资'!I423</f>
        <v>0</v>
      </c>
      <c r="J423" s="274">
        <f>IF($D423=0,0,ROUND(I423/$D423*$C423,2))</f>
        <v>0</v>
      </c>
      <c r="K423" s="275">
        <f>'人员人工-研发人员工资'!K423</f>
        <v>0</v>
      </c>
      <c r="L423" s="274">
        <f>IF($D423=0,0,ROUND(K423/$D423*$C423,2))</f>
        <v>0</v>
      </c>
      <c r="M423" s="273">
        <f>'人员人工-研发人员工资'!M423</f>
        <v>0</v>
      </c>
      <c r="N423" s="274">
        <f>IF($D423=0,0,ROUND(M423/$D423*$C423,2))</f>
        <v>0</v>
      </c>
      <c r="O423" s="273">
        <f>'人员人工-研发人员工资'!O423</f>
        <v>0</v>
      </c>
      <c r="P423" s="274">
        <f>IF($D423=0,0,ROUND(O423/$D423*$C423,2))</f>
        <v>0</v>
      </c>
      <c r="Q423" s="273">
        <f>'人员人工-研发人员工资'!Q423</f>
        <v>0</v>
      </c>
      <c r="R423" s="274">
        <f>IF($D423=0,0,ROUND(Q423/$D423*$C423,2))</f>
        <v>0</v>
      </c>
      <c r="S423" s="273">
        <f>'人员人工-研发人员工资'!S423</f>
        <v>0</v>
      </c>
      <c r="T423" s="274">
        <f>IF($D423=0,0,ROUND(S423/$D423*$C423,2))</f>
        <v>0</v>
      </c>
      <c r="U423" s="273">
        <f>'人员人工-研发人员工资'!U423</f>
        <v>0</v>
      </c>
      <c r="V423" s="274">
        <f>IF($D423=0,0,ROUND(U423/$D423*$C423,2))</f>
        <v>0</v>
      </c>
      <c r="W423" s="273">
        <f>'人员人工-研发人员工资'!W423</f>
        <v>0</v>
      </c>
      <c r="X423" s="274">
        <f>IF($D423=0,0,ROUND(W423/$D423*$C423,2))</f>
        <v>0</v>
      </c>
      <c r="Y423" s="273">
        <f>'人员人工-研发人员工资'!Y423</f>
        <v>0</v>
      </c>
      <c r="Z423" s="274">
        <f>IF($D423=0,0,ROUND(Y423/$D423*$C423,2))</f>
        <v>0</v>
      </c>
    </row>
    <row r="424" s="251" customFormat="1" customHeight="1" spans="1:26">
      <c r="A424" s="270">
        <v>2</v>
      </c>
      <c r="B424" s="271">
        <f>'人员人工-研发人员工资'!B424</f>
        <v>0</v>
      </c>
      <c r="C424" s="272"/>
      <c r="D424" s="272">
        <f>'人员人工-研发人员工资'!D424</f>
        <v>0</v>
      </c>
      <c r="E424" s="272">
        <f t="shared" ref="E424:E452" si="155">G424+I424+K424+M424+O424+Q424+S424+U424+W424+Y424</f>
        <v>0</v>
      </c>
      <c r="F424" s="272">
        <f t="shared" ref="F424:F452" si="156">H424+J424+L424+N424+P424+R424+T424+V424+X424+Z424</f>
        <v>0</v>
      </c>
      <c r="G424" s="273">
        <f>'人员人工-研发人员工资'!G425</f>
        <v>0</v>
      </c>
      <c r="H424" s="274">
        <f t="shared" ref="H424:H452" si="157">IF($D424=0,0,ROUND(G424/$D424*$C424,2))</f>
        <v>0</v>
      </c>
      <c r="I424" s="273">
        <f>'人员人工-研发人员工资'!I425</f>
        <v>0</v>
      </c>
      <c r="J424" s="274">
        <f t="shared" ref="J424:J452" si="158">IF($D424=0,0,ROUND(I424/$D424*$C424,2))</f>
        <v>0</v>
      </c>
      <c r="K424" s="275">
        <f>'人员人工-研发人员工资'!K425</f>
        <v>0</v>
      </c>
      <c r="L424" s="274">
        <f t="shared" ref="L424:L452" si="159">IF($D424=0,0,ROUND(K424/$D424*$C424,2))</f>
        <v>0</v>
      </c>
      <c r="M424" s="273">
        <f>'人员人工-研发人员工资'!M425</f>
        <v>0</v>
      </c>
      <c r="N424" s="274">
        <f t="shared" ref="N424:N452" si="160">IF($D424=0,0,ROUND(M424/$D424*$C424,2))</f>
        <v>0</v>
      </c>
      <c r="O424" s="273">
        <f>'人员人工-研发人员工资'!O425</f>
        <v>0</v>
      </c>
      <c r="P424" s="274">
        <f t="shared" ref="P424:P452" si="161">IF($D424=0,0,ROUND(O424/$D424*$C424,2))</f>
        <v>0</v>
      </c>
      <c r="Q424" s="273">
        <f>'人员人工-研发人员工资'!Q425</f>
        <v>0</v>
      </c>
      <c r="R424" s="274">
        <f t="shared" ref="R424:R452" si="162">IF($D424=0,0,ROUND(Q424/$D424*$C424,2))</f>
        <v>0</v>
      </c>
      <c r="S424" s="273">
        <f>'人员人工-研发人员工资'!S425</f>
        <v>0</v>
      </c>
      <c r="T424" s="274">
        <f t="shared" ref="T424:T452" si="163">IF($D424=0,0,ROUND(S424/$D424*$C424,2))</f>
        <v>0</v>
      </c>
      <c r="U424" s="273">
        <f>'人员人工-研发人员工资'!U425</f>
        <v>0</v>
      </c>
      <c r="V424" s="274">
        <f t="shared" ref="V424:V452" si="164">IF($D424=0,0,ROUND(U424/$D424*$C424,2))</f>
        <v>0</v>
      </c>
      <c r="W424" s="273">
        <f>'人员人工-研发人员工资'!W425</f>
        <v>0</v>
      </c>
      <c r="X424" s="274">
        <f t="shared" ref="X424:X452" si="165">IF($D424=0,0,ROUND(W424/$D424*$C424,2))</f>
        <v>0</v>
      </c>
      <c r="Y424" s="273">
        <f>'人员人工-研发人员工资'!Y425</f>
        <v>0</v>
      </c>
      <c r="Z424" s="274">
        <f t="shared" ref="Z424:Z452" si="166">IF($D424=0,0,ROUND(Y424/$D424*$C424,2))</f>
        <v>0</v>
      </c>
    </row>
    <row r="425" s="251" customFormat="1" customHeight="1" spans="1:26">
      <c r="A425" s="270">
        <v>3</v>
      </c>
      <c r="B425" s="271">
        <f>'人员人工-研发人员工资'!B425</f>
        <v>0</v>
      </c>
      <c r="C425" s="272"/>
      <c r="D425" s="272">
        <f>'人员人工-研发人员工资'!D425</f>
        <v>0</v>
      </c>
      <c r="E425" s="272">
        <f t="shared" si="155"/>
        <v>0</v>
      </c>
      <c r="F425" s="272">
        <f t="shared" si="156"/>
        <v>0</v>
      </c>
      <c r="G425" s="273">
        <f>'人员人工-研发人员工资'!G425</f>
        <v>0</v>
      </c>
      <c r="H425" s="274">
        <f t="shared" si="157"/>
        <v>0</v>
      </c>
      <c r="I425" s="273">
        <f>'人员人工-研发人员工资'!I425</f>
        <v>0</v>
      </c>
      <c r="J425" s="274">
        <f t="shared" si="158"/>
        <v>0</v>
      </c>
      <c r="K425" s="275">
        <f>'人员人工-研发人员工资'!K425</f>
        <v>0</v>
      </c>
      <c r="L425" s="274">
        <f t="shared" si="159"/>
        <v>0</v>
      </c>
      <c r="M425" s="273">
        <f>'人员人工-研发人员工资'!M425</f>
        <v>0</v>
      </c>
      <c r="N425" s="274">
        <f t="shared" si="160"/>
        <v>0</v>
      </c>
      <c r="O425" s="273">
        <f>'人员人工-研发人员工资'!O425</f>
        <v>0</v>
      </c>
      <c r="P425" s="274">
        <f t="shared" si="161"/>
        <v>0</v>
      </c>
      <c r="Q425" s="273">
        <f>'人员人工-研发人员工资'!Q425</f>
        <v>0</v>
      </c>
      <c r="R425" s="274">
        <f t="shared" si="162"/>
        <v>0</v>
      </c>
      <c r="S425" s="273">
        <f>'人员人工-研发人员工资'!S425</f>
        <v>0</v>
      </c>
      <c r="T425" s="274">
        <f t="shared" si="163"/>
        <v>0</v>
      </c>
      <c r="U425" s="273">
        <f>'人员人工-研发人员工资'!U425</f>
        <v>0</v>
      </c>
      <c r="V425" s="274">
        <f t="shared" si="164"/>
        <v>0</v>
      </c>
      <c r="W425" s="273">
        <f>'人员人工-研发人员工资'!W425</f>
        <v>0</v>
      </c>
      <c r="X425" s="274">
        <f t="shared" si="165"/>
        <v>0</v>
      </c>
      <c r="Y425" s="273">
        <f>'人员人工-研发人员工资'!Y425</f>
        <v>0</v>
      </c>
      <c r="Z425" s="274">
        <f t="shared" si="166"/>
        <v>0</v>
      </c>
    </row>
    <row r="426" s="251" customFormat="1" customHeight="1" spans="1:26">
      <c r="A426" s="270">
        <v>4</v>
      </c>
      <c r="B426" s="271">
        <f>'人员人工-研发人员工资'!B426</f>
        <v>0</v>
      </c>
      <c r="C426" s="272"/>
      <c r="D426" s="272">
        <f>'人员人工-研发人员工资'!D426</f>
        <v>0</v>
      </c>
      <c r="E426" s="272">
        <f t="shared" si="155"/>
        <v>0</v>
      </c>
      <c r="F426" s="272">
        <f t="shared" si="156"/>
        <v>0</v>
      </c>
      <c r="G426" s="273">
        <f>'人员人工-研发人员工资'!G426</f>
        <v>0</v>
      </c>
      <c r="H426" s="274">
        <f t="shared" si="157"/>
        <v>0</v>
      </c>
      <c r="I426" s="273">
        <f>'人员人工-研发人员工资'!I426</f>
        <v>0</v>
      </c>
      <c r="J426" s="274">
        <f t="shared" si="158"/>
        <v>0</v>
      </c>
      <c r="K426" s="275">
        <f>'人员人工-研发人员工资'!K426</f>
        <v>0</v>
      </c>
      <c r="L426" s="274">
        <f t="shared" si="159"/>
        <v>0</v>
      </c>
      <c r="M426" s="273">
        <f>'人员人工-研发人员工资'!M426</f>
        <v>0</v>
      </c>
      <c r="N426" s="274">
        <f t="shared" si="160"/>
        <v>0</v>
      </c>
      <c r="O426" s="273">
        <f>'人员人工-研发人员工资'!O426</f>
        <v>0</v>
      </c>
      <c r="P426" s="274">
        <f t="shared" si="161"/>
        <v>0</v>
      </c>
      <c r="Q426" s="273">
        <f>'人员人工-研发人员工资'!Q426</f>
        <v>0</v>
      </c>
      <c r="R426" s="274">
        <f t="shared" si="162"/>
        <v>0</v>
      </c>
      <c r="S426" s="273">
        <f>'人员人工-研发人员工资'!S426</f>
        <v>0</v>
      </c>
      <c r="T426" s="274">
        <f t="shared" si="163"/>
        <v>0</v>
      </c>
      <c r="U426" s="273">
        <f>'人员人工-研发人员工资'!U426</f>
        <v>0</v>
      </c>
      <c r="V426" s="274">
        <f t="shared" si="164"/>
        <v>0</v>
      </c>
      <c r="W426" s="273">
        <f>'人员人工-研发人员工资'!W426</f>
        <v>0</v>
      </c>
      <c r="X426" s="274">
        <f t="shared" si="165"/>
        <v>0</v>
      </c>
      <c r="Y426" s="273">
        <f>'人员人工-研发人员工资'!Y426</f>
        <v>0</v>
      </c>
      <c r="Z426" s="274">
        <f t="shared" si="166"/>
        <v>0</v>
      </c>
    </row>
    <row r="427" s="251" customFormat="1" customHeight="1" spans="1:26">
      <c r="A427" s="270">
        <v>5</v>
      </c>
      <c r="B427" s="271">
        <f>'人员人工-研发人员工资'!B427</f>
        <v>0</v>
      </c>
      <c r="C427" s="272"/>
      <c r="D427" s="272">
        <f>'人员人工-研发人员工资'!D427</f>
        <v>0</v>
      </c>
      <c r="E427" s="272">
        <f t="shared" si="155"/>
        <v>0</v>
      </c>
      <c r="F427" s="272">
        <f t="shared" si="156"/>
        <v>0</v>
      </c>
      <c r="G427" s="273">
        <f>'人员人工-研发人员工资'!G427</f>
        <v>0</v>
      </c>
      <c r="H427" s="274">
        <f t="shared" si="157"/>
        <v>0</v>
      </c>
      <c r="I427" s="273">
        <f>'人员人工-研发人员工资'!I427</f>
        <v>0</v>
      </c>
      <c r="J427" s="274">
        <f t="shared" si="158"/>
        <v>0</v>
      </c>
      <c r="K427" s="275">
        <f>'人员人工-研发人员工资'!K427</f>
        <v>0</v>
      </c>
      <c r="L427" s="274">
        <f t="shared" si="159"/>
        <v>0</v>
      </c>
      <c r="M427" s="273">
        <f>'人员人工-研发人员工资'!M427</f>
        <v>0</v>
      </c>
      <c r="N427" s="274">
        <f t="shared" si="160"/>
        <v>0</v>
      </c>
      <c r="O427" s="273">
        <f>'人员人工-研发人员工资'!O427</f>
        <v>0</v>
      </c>
      <c r="P427" s="274">
        <f t="shared" si="161"/>
        <v>0</v>
      </c>
      <c r="Q427" s="273">
        <f>'人员人工-研发人员工资'!Q427</f>
        <v>0</v>
      </c>
      <c r="R427" s="274">
        <f t="shared" si="162"/>
        <v>0</v>
      </c>
      <c r="S427" s="273">
        <f>'人员人工-研发人员工资'!S427</f>
        <v>0</v>
      </c>
      <c r="T427" s="274">
        <f t="shared" si="163"/>
        <v>0</v>
      </c>
      <c r="U427" s="273">
        <f>'人员人工-研发人员工资'!U427</f>
        <v>0</v>
      </c>
      <c r="V427" s="274">
        <f t="shared" si="164"/>
        <v>0</v>
      </c>
      <c r="W427" s="273">
        <f>'人员人工-研发人员工资'!W427</f>
        <v>0</v>
      </c>
      <c r="X427" s="274">
        <f t="shared" si="165"/>
        <v>0</v>
      </c>
      <c r="Y427" s="273">
        <f>'人员人工-研发人员工资'!Y427</f>
        <v>0</v>
      </c>
      <c r="Z427" s="274">
        <f t="shared" si="166"/>
        <v>0</v>
      </c>
    </row>
    <row r="428" s="251" customFormat="1" customHeight="1" spans="1:26">
      <c r="A428" s="270">
        <v>6</v>
      </c>
      <c r="B428" s="271">
        <f>'人员人工-研发人员工资'!B428</f>
        <v>0</v>
      </c>
      <c r="C428" s="272"/>
      <c r="D428" s="272">
        <f>'人员人工-研发人员工资'!D428</f>
        <v>0</v>
      </c>
      <c r="E428" s="272">
        <f t="shared" si="155"/>
        <v>0</v>
      </c>
      <c r="F428" s="272">
        <f t="shared" si="156"/>
        <v>0</v>
      </c>
      <c r="G428" s="273">
        <f>'人员人工-研发人员工资'!G428</f>
        <v>0</v>
      </c>
      <c r="H428" s="274">
        <f t="shared" si="157"/>
        <v>0</v>
      </c>
      <c r="I428" s="273">
        <f>'人员人工-研发人员工资'!I428</f>
        <v>0</v>
      </c>
      <c r="J428" s="274">
        <f t="shared" si="158"/>
        <v>0</v>
      </c>
      <c r="K428" s="275">
        <f>'人员人工-研发人员工资'!K428</f>
        <v>0</v>
      </c>
      <c r="L428" s="274">
        <f t="shared" si="159"/>
        <v>0</v>
      </c>
      <c r="M428" s="273">
        <f>'人员人工-研发人员工资'!M428</f>
        <v>0</v>
      </c>
      <c r="N428" s="274">
        <f t="shared" si="160"/>
        <v>0</v>
      </c>
      <c r="O428" s="273">
        <f>'人员人工-研发人员工资'!O428</f>
        <v>0</v>
      </c>
      <c r="P428" s="274">
        <f t="shared" si="161"/>
        <v>0</v>
      </c>
      <c r="Q428" s="273">
        <f>'人员人工-研发人员工资'!Q428</f>
        <v>0</v>
      </c>
      <c r="R428" s="274">
        <f t="shared" si="162"/>
        <v>0</v>
      </c>
      <c r="S428" s="273">
        <f>'人员人工-研发人员工资'!S428</f>
        <v>0</v>
      </c>
      <c r="T428" s="274">
        <f t="shared" si="163"/>
        <v>0</v>
      </c>
      <c r="U428" s="273">
        <f>'人员人工-研发人员工资'!U428</f>
        <v>0</v>
      </c>
      <c r="V428" s="274">
        <f t="shared" si="164"/>
        <v>0</v>
      </c>
      <c r="W428" s="273">
        <f>'人员人工-研发人员工资'!W428</f>
        <v>0</v>
      </c>
      <c r="X428" s="274">
        <f t="shared" si="165"/>
        <v>0</v>
      </c>
      <c r="Y428" s="273">
        <f>'人员人工-研发人员工资'!Y428</f>
        <v>0</v>
      </c>
      <c r="Z428" s="274">
        <f t="shared" si="166"/>
        <v>0</v>
      </c>
    </row>
    <row r="429" s="251" customFormat="1" customHeight="1" spans="1:26">
      <c r="A429" s="270">
        <v>7</v>
      </c>
      <c r="B429" s="271">
        <f>'人员人工-研发人员工资'!B429</f>
        <v>0</v>
      </c>
      <c r="C429" s="272"/>
      <c r="D429" s="272">
        <f>'人员人工-研发人员工资'!D429</f>
        <v>0</v>
      </c>
      <c r="E429" s="272">
        <f t="shared" si="155"/>
        <v>0</v>
      </c>
      <c r="F429" s="272">
        <f t="shared" si="156"/>
        <v>0</v>
      </c>
      <c r="G429" s="273">
        <f>'人员人工-研发人员工资'!G429</f>
        <v>0</v>
      </c>
      <c r="H429" s="274">
        <f t="shared" si="157"/>
        <v>0</v>
      </c>
      <c r="I429" s="273">
        <f>'人员人工-研发人员工资'!I429</f>
        <v>0</v>
      </c>
      <c r="J429" s="274">
        <f t="shared" si="158"/>
        <v>0</v>
      </c>
      <c r="K429" s="275">
        <f>'人员人工-研发人员工资'!K429</f>
        <v>0</v>
      </c>
      <c r="L429" s="274">
        <f t="shared" si="159"/>
        <v>0</v>
      </c>
      <c r="M429" s="273">
        <f>'人员人工-研发人员工资'!M429</f>
        <v>0</v>
      </c>
      <c r="N429" s="274">
        <f t="shared" si="160"/>
        <v>0</v>
      </c>
      <c r="O429" s="273">
        <f>'人员人工-研发人员工资'!O429</f>
        <v>0</v>
      </c>
      <c r="P429" s="274">
        <f t="shared" si="161"/>
        <v>0</v>
      </c>
      <c r="Q429" s="273">
        <f>'人员人工-研发人员工资'!Q429</f>
        <v>0</v>
      </c>
      <c r="R429" s="274">
        <f t="shared" si="162"/>
        <v>0</v>
      </c>
      <c r="S429" s="273">
        <f>'人员人工-研发人员工资'!S429</f>
        <v>0</v>
      </c>
      <c r="T429" s="274">
        <f t="shared" si="163"/>
        <v>0</v>
      </c>
      <c r="U429" s="273">
        <f>'人员人工-研发人员工资'!U429</f>
        <v>0</v>
      </c>
      <c r="V429" s="274">
        <f t="shared" si="164"/>
        <v>0</v>
      </c>
      <c r="W429" s="273">
        <f>'人员人工-研发人员工资'!W429</f>
        <v>0</v>
      </c>
      <c r="X429" s="274">
        <f t="shared" si="165"/>
        <v>0</v>
      </c>
      <c r="Y429" s="273">
        <f>'人员人工-研发人员工资'!Y429</f>
        <v>0</v>
      </c>
      <c r="Z429" s="274">
        <f t="shared" si="166"/>
        <v>0</v>
      </c>
    </row>
    <row r="430" s="251" customFormat="1" customHeight="1" spans="1:26">
      <c r="A430" s="270">
        <v>8</v>
      </c>
      <c r="B430" s="271">
        <f>'人员人工-研发人员工资'!B430</f>
        <v>0</v>
      </c>
      <c r="C430" s="272"/>
      <c r="D430" s="272">
        <f>'人员人工-研发人员工资'!D430</f>
        <v>0</v>
      </c>
      <c r="E430" s="272">
        <f t="shared" si="155"/>
        <v>0</v>
      </c>
      <c r="F430" s="272">
        <f t="shared" si="156"/>
        <v>0</v>
      </c>
      <c r="G430" s="273">
        <f>'人员人工-研发人员工资'!G430</f>
        <v>0</v>
      </c>
      <c r="H430" s="274">
        <f t="shared" si="157"/>
        <v>0</v>
      </c>
      <c r="I430" s="273">
        <f>'人员人工-研发人员工资'!I430</f>
        <v>0</v>
      </c>
      <c r="J430" s="274">
        <f t="shared" si="158"/>
        <v>0</v>
      </c>
      <c r="K430" s="275">
        <f>'人员人工-研发人员工资'!K430</f>
        <v>0</v>
      </c>
      <c r="L430" s="274">
        <f t="shared" si="159"/>
        <v>0</v>
      </c>
      <c r="M430" s="273">
        <f>'人员人工-研发人员工资'!M430</f>
        <v>0</v>
      </c>
      <c r="N430" s="274">
        <f t="shared" si="160"/>
        <v>0</v>
      </c>
      <c r="O430" s="273">
        <f>'人员人工-研发人员工资'!O430</f>
        <v>0</v>
      </c>
      <c r="P430" s="274">
        <f t="shared" si="161"/>
        <v>0</v>
      </c>
      <c r="Q430" s="273">
        <f>'人员人工-研发人员工资'!Q430</f>
        <v>0</v>
      </c>
      <c r="R430" s="274">
        <f t="shared" si="162"/>
        <v>0</v>
      </c>
      <c r="S430" s="273">
        <f>'人员人工-研发人员工资'!S430</f>
        <v>0</v>
      </c>
      <c r="T430" s="274">
        <f t="shared" si="163"/>
        <v>0</v>
      </c>
      <c r="U430" s="273">
        <f>'人员人工-研发人员工资'!U430</f>
        <v>0</v>
      </c>
      <c r="V430" s="274">
        <f t="shared" si="164"/>
        <v>0</v>
      </c>
      <c r="W430" s="273">
        <f>'人员人工-研发人员工资'!W430</f>
        <v>0</v>
      </c>
      <c r="X430" s="274">
        <f t="shared" si="165"/>
        <v>0</v>
      </c>
      <c r="Y430" s="273">
        <f>'人员人工-研发人员工资'!Y430</f>
        <v>0</v>
      </c>
      <c r="Z430" s="274">
        <f t="shared" si="166"/>
        <v>0</v>
      </c>
    </row>
    <row r="431" s="251" customFormat="1" customHeight="1" spans="1:26">
      <c r="A431" s="270">
        <v>9</v>
      </c>
      <c r="B431" s="271">
        <f>'人员人工-研发人员工资'!B431</f>
        <v>0</v>
      </c>
      <c r="C431" s="272"/>
      <c r="D431" s="272">
        <f>'人员人工-研发人员工资'!D431</f>
        <v>0</v>
      </c>
      <c r="E431" s="272">
        <f t="shared" si="155"/>
        <v>0</v>
      </c>
      <c r="F431" s="272">
        <f t="shared" si="156"/>
        <v>0</v>
      </c>
      <c r="G431" s="273">
        <f>'人员人工-研发人员工资'!G431</f>
        <v>0</v>
      </c>
      <c r="H431" s="274">
        <f t="shared" si="157"/>
        <v>0</v>
      </c>
      <c r="I431" s="273">
        <f>'人员人工-研发人员工资'!I431</f>
        <v>0</v>
      </c>
      <c r="J431" s="274">
        <f t="shared" si="158"/>
        <v>0</v>
      </c>
      <c r="K431" s="275">
        <f>'人员人工-研发人员工资'!K431</f>
        <v>0</v>
      </c>
      <c r="L431" s="274">
        <f t="shared" si="159"/>
        <v>0</v>
      </c>
      <c r="M431" s="273">
        <f>'人员人工-研发人员工资'!M431</f>
        <v>0</v>
      </c>
      <c r="N431" s="274">
        <f t="shared" si="160"/>
        <v>0</v>
      </c>
      <c r="O431" s="273">
        <f>'人员人工-研发人员工资'!O431</f>
        <v>0</v>
      </c>
      <c r="P431" s="274">
        <f t="shared" si="161"/>
        <v>0</v>
      </c>
      <c r="Q431" s="273">
        <f>'人员人工-研发人员工资'!Q431</f>
        <v>0</v>
      </c>
      <c r="R431" s="274">
        <f t="shared" si="162"/>
        <v>0</v>
      </c>
      <c r="S431" s="273">
        <f>'人员人工-研发人员工资'!S431</f>
        <v>0</v>
      </c>
      <c r="T431" s="274">
        <f t="shared" si="163"/>
        <v>0</v>
      </c>
      <c r="U431" s="273">
        <f>'人员人工-研发人员工资'!U431</f>
        <v>0</v>
      </c>
      <c r="V431" s="274">
        <f t="shared" si="164"/>
        <v>0</v>
      </c>
      <c r="W431" s="273">
        <f>'人员人工-研发人员工资'!W431</f>
        <v>0</v>
      </c>
      <c r="X431" s="274">
        <f t="shared" si="165"/>
        <v>0</v>
      </c>
      <c r="Y431" s="273">
        <f>'人员人工-研发人员工资'!Y431</f>
        <v>0</v>
      </c>
      <c r="Z431" s="274">
        <f t="shared" si="166"/>
        <v>0</v>
      </c>
    </row>
    <row r="432" s="251" customFormat="1" customHeight="1" spans="1:26">
      <c r="A432" s="270">
        <v>10</v>
      </c>
      <c r="B432" s="271">
        <f>'人员人工-研发人员工资'!B432</f>
        <v>0</v>
      </c>
      <c r="C432" s="272"/>
      <c r="D432" s="272">
        <f>'人员人工-研发人员工资'!D432</f>
        <v>0</v>
      </c>
      <c r="E432" s="272">
        <f t="shared" si="155"/>
        <v>0</v>
      </c>
      <c r="F432" s="272">
        <f t="shared" si="156"/>
        <v>0</v>
      </c>
      <c r="G432" s="273">
        <f>'人员人工-研发人员工资'!G432</f>
        <v>0</v>
      </c>
      <c r="H432" s="274">
        <f t="shared" si="157"/>
        <v>0</v>
      </c>
      <c r="I432" s="273">
        <f>'人员人工-研发人员工资'!I432</f>
        <v>0</v>
      </c>
      <c r="J432" s="274">
        <f t="shared" si="158"/>
        <v>0</v>
      </c>
      <c r="K432" s="275">
        <f>'人员人工-研发人员工资'!K432</f>
        <v>0</v>
      </c>
      <c r="L432" s="274">
        <f t="shared" si="159"/>
        <v>0</v>
      </c>
      <c r="M432" s="273">
        <f>'人员人工-研发人员工资'!M432</f>
        <v>0</v>
      </c>
      <c r="N432" s="274">
        <f t="shared" si="160"/>
        <v>0</v>
      </c>
      <c r="O432" s="273">
        <f>'人员人工-研发人员工资'!O432</f>
        <v>0</v>
      </c>
      <c r="P432" s="274">
        <f t="shared" si="161"/>
        <v>0</v>
      </c>
      <c r="Q432" s="273">
        <f>'人员人工-研发人员工资'!Q432</f>
        <v>0</v>
      </c>
      <c r="R432" s="274">
        <f t="shared" si="162"/>
        <v>0</v>
      </c>
      <c r="S432" s="273">
        <f>'人员人工-研发人员工资'!S432</f>
        <v>0</v>
      </c>
      <c r="T432" s="274">
        <f t="shared" si="163"/>
        <v>0</v>
      </c>
      <c r="U432" s="273">
        <f>'人员人工-研发人员工资'!U432</f>
        <v>0</v>
      </c>
      <c r="V432" s="274">
        <f t="shared" si="164"/>
        <v>0</v>
      </c>
      <c r="W432" s="273">
        <f>'人员人工-研发人员工资'!W432</f>
        <v>0</v>
      </c>
      <c r="X432" s="274">
        <f t="shared" si="165"/>
        <v>0</v>
      </c>
      <c r="Y432" s="273">
        <f>'人员人工-研发人员工资'!Y432</f>
        <v>0</v>
      </c>
      <c r="Z432" s="274">
        <f t="shared" si="166"/>
        <v>0</v>
      </c>
    </row>
    <row r="433" s="251" customFormat="1" customHeight="1" spans="1:26">
      <c r="A433" s="270">
        <v>11</v>
      </c>
      <c r="B433" s="271">
        <f>'人员人工-研发人员工资'!B433</f>
        <v>0</v>
      </c>
      <c r="C433" s="272"/>
      <c r="D433" s="272">
        <f>'人员人工-研发人员工资'!D433</f>
        <v>0</v>
      </c>
      <c r="E433" s="272">
        <f t="shared" si="155"/>
        <v>0</v>
      </c>
      <c r="F433" s="272">
        <f t="shared" si="156"/>
        <v>0</v>
      </c>
      <c r="G433" s="273">
        <f>'人员人工-研发人员工资'!G433</f>
        <v>0</v>
      </c>
      <c r="H433" s="274">
        <f t="shared" si="157"/>
        <v>0</v>
      </c>
      <c r="I433" s="273">
        <f>'人员人工-研发人员工资'!I433</f>
        <v>0</v>
      </c>
      <c r="J433" s="274">
        <f t="shared" si="158"/>
        <v>0</v>
      </c>
      <c r="K433" s="275">
        <f>'人员人工-研发人员工资'!K433</f>
        <v>0</v>
      </c>
      <c r="L433" s="274">
        <f t="shared" si="159"/>
        <v>0</v>
      </c>
      <c r="M433" s="273">
        <f>'人员人工-研发人员工资'!M433</f>
        <v>0</v>
      </c>
      <c r="N433" s="274">
        <f t="shared" si="160"/>
        <v>0</v>
      </c>
      <c r="O433" s="273">
        <f>'人员人工-研发人员工资'!O433</f>
        <v>0</v>
      </c>
      <c r="P433" s="274">
        <f t="shared" si="161"/>
        <v>0</v>
      </c>
      <c r="Q433" s="273">
        <f>'人员人工-研发人员工资'!Q433</f>
        <v>0</v>
      </c>
      <c r="R433" s="274">
        <f t="shared" si="162"/>
        <v>0</v>
      </c>
      <c r="S433" s="273">
        <f>'人员人工-研发人员工资'!S433</f>
        <v>0</v>
      </c>
      <c r="T433" s="274">
        <f t="shared" si="163"/>
        <v>0</v>
      </c>
      <c r="U433" s="273">
        <f>'人员人工-研发人员工资'!U433</f>
        <v>0</v>
      </c>
      <c r="V433" s="274">
        <f t="shared" si="164"/>
        <v>0</v>
      </c>
      <c r="W433" s="273">
        <f>'人员人工-研发人员工资'!W433</f>
        <v>0</v>
      </c>
      <c r="X433" s="274">
        <f t="shared" si="165"/>
        <v>0</v>
      </c>
      <c r="Y433" s="273">
        <f>'人员人工-研发人员工资'!Y433</f>
        <v>0</v>
      </c>
      <c r="Z433" s="274">
        <f t="shared" si="166"/>
        <v>0</v>
      </c>
    </row>
    <row r="434" s="251" customFormat="1" customHeight="1" spans="1:26">
      <c r="A434" s="270">
        <v>12</v>
      </c>
      <c r="B434" s="271">
        <f>'人员人工-研发人员工资'!B434</f>
        <v>0</v>
      </c>
      <c r="C434" s="272"/>
      <c r="D434" s="272">
        <f>'人员人工-研发人员工资'!D434</f>
        <v>0</v>
      </c>
      <c r="E434" s="272">
        <f t="shared" si="155"/>
        <v>0</v>
      </c>
      <c r="F434" s="272">
        <f t="shared" si="156"/>
        <v>0</v>
      </c>
      <c r="G434" s="273">
        <f>'人员人工-研发人员工资'!G434</f>
        <v>0</v>
      </c>
      <c r="H434" s="274">
        <f t="shared" si="157"/>
        <v>0</v>
      </c>
      <c r="I434" s="273">
        <f>'人员人工-研发人员工资'!I434</f>
        <v>0</v>
      </c>
      <c r="J434" s="274">
        <f t="shared" si="158"/>
        <v>0</v>
      </c>
      <c r="K434" s="275">
        <f>'人员人工-研发人员工资'!K434</f>
        <v>0</v>
      </c>
      <c r="L434" s="274">
        <f t="shared" si="159"/>
        <v>0</v>
      </c>
      <c r="M434" s="273">
        <f>'人员人工-研发人员工资'!M434</f>
        <v>0</v>
      </c>
      <c r="N434" s="274">
        <f t="shared" si="160"/>
        <v>0</v>
      </c>
      <c r="O434" s="273">
        <f>'人员人工-研发人员工资'!O434</f>
        <v>0</v>
      </c>
      <c r="P434" s="274">
        <f t="shared" si="161"/>
        <v>0</v>
      </c>
      <c r="Q434" s="273">
        <f>'人员人工-研发人员工资'!Q434</f>
        <v>0</v>
      </c>
      <c r="R434" s="274">
        <f t="shared" si="162"/>
        <v>0</v>
      </c>
      <c r="S434" s="273">
        <f>'人员人工-研发人员工资'!S434</f>
        <v>0</v>
      </c>
      <c r="T434" s="274">
        <f t="shared" si="163"/>
        <v>0</v>
      </c>
      <c r="U434" s="273">
        <f>'人员人工-研发人员工资'!U434</f>
        <v>0</v>
      </c>
      <c r="V434" s="274">
        <f t="shared" si="164"/>
        <v>0</v>
      </c>
      <c r="W434" s="273">
        <f>'人员人工-研发人员工资'!W434</f>
        <v>0</v>
      </c>
      <c r="X434" s="274">
        <f t="shared" si="165"/>
        <v>0</v>
      </c>
      <c r="Y434" s="273">
        <f>'人员人工-研发人员工资'!Y434</f>
        <v>0</v>
      </c>
      <c r="Z434" s="274">
        <f t="shared" si="166"/>
        <v>0</v>
      </c>
    </row>
    <row r="435" s="251" customFormat="1" customHeight="1" spans="1:26">
      <c r="A435" s="270">
        <v>13</v>
      </c>
      <c r="B435" s="271">
        <f>'人员人工-研发人员工资'!B435</f>
        <v>0</v>
      </c>
      <c r="C435" s="272"/>
      <c r="D435" s="272">
        <f>'人员人工-研发人员工资'!D435</f>
        <v>0</v>
      </c>
      <c r="E435" s="272">
        <f t="shared" si="155"/>
        <v>0</v>
      </c>
      <c r="F435" s="272">
        <f t="shared" si="156"/>
        <v>0</v>
      </c>
      <c r="G435" s="273">
        <f>'人员人工-研发人员工资'!G435</f>
        <v>0</v>
      </c>
      <c r="H435" s="274">
        <f t="shared" si="157"/>
        <v>0</v>
      </c>
      <c r="I435" s="273">
        <f>'人员人工-研发人员工资'!I435</f>
        <v>0</v>
      </c>
      <c r="J435" s="274">
        <f t="shared" si="158"/>
        <v>0</v>
      </c>
      <c r="K435" s="275">
        <f>'人员人工-研发人员工资'!K435</f>
        <v>0</v>
      </c>
      <c r="L435" s="274">
        <f t="shared" si="159"/>
        <v>0</v>
      </c>
      <c r="M435" s="273">
        <f>'人员人工-研发人员工资'!M435</f>
        <v>0</v>
      </c>
      <c r="N435" s="274">
        <f t="shared" si="160"/>
        <v>0</v>
      </c>
      <c r="O435" s="273">
        <f>'人员人工-研发人员工资'!O435</f>
        <v>0</v>
      </c>
      <c r="P435" s="274">
        <f t="shared" si="161"/>
        <v>0</v>
      </c>
      <c r="Q435" s="273">
        <f>'人员人工-研发人员工资'!Q435</f>
        <v>0</v>
      </c>
      <c r="R435" s="274">
        <f t="shared" si="162"/>
        <v>0</v>
      </c>
      <c r="S435" s="273">
        <f>'人员人工-研发人员工资'!S435</f>
        <v>0</v>
      </c>
      <c r="T435" s="274">
        <f t="shared" si="163"/>
        <v>0</v>
      </c>
      <c r="U435" s="273">
        <f>'人员人工-研发人员工资'!U435</f>
        <v>0</v>
      </c>
      <c r="V435" s="274">
        <f t="shared" si="164"/>
        <v>0</v>
      </c>
      <c r="W435" s="273">
        <f>'人员人工-研发人员工资'!W435</f>
        <v>0</v>
      </c>
      <c r="X435" s="274">
        <f t="shared" si="165"/>
        <v>0</v>
      </c>
      <c r="Y435" s="273">
        <f>'人员人工-研发人员工资'!Y435</f>
        <v>0</v>
      </c>
      <c r="Z435" s="274">
        <f t="shared" si="166"/>
        <v>0</v>
      </c>
    </row>
    <row r="436" s="251" customFormat="1" customHeight="1" spans="1:26">
      <c r="A436" s="270">
        <v>14</v>
      </c>
      <c r="B436" s="271">
        <f>'人员人工-研发人员工资'!B436</f>
        <v>0</v>
      </c>
      <c r="C436" s="272"/>
      <c r="D436" s="272">
        <f>'人员人工-研发人员工资'!D436</f>
        <v>0</v>
      </c>
      <c r="E436" s="272">
        <f t="shared" si="155"/>
        <v>0</v>
      </c>
      <c r="F436" s="272">
        <f t="shared" si="156"/>
        <v>0</v>
      </c>
      <c r="G436" s="273">
        <f>'人员人工-研发人员工资'!G436</f>
        <v>0</v>
      </c>
      <c r="H436" s="274">
        <f t="shared" si="157"/>
        <v>0</v>
      </c>
      <c r="I436" s="273">
        <f>'人员人工-研发人员工资'!I436</f>
        <v>0</v>
      </c>
      <c r="J436" s="274">
        <f t="shared" si="158"/>
        <v>0</v>
      </c>
      <c r="K436" s="275">
        <f>'人员人工-研发人员工资'!K436</f>
        <v>0</v>
      </c>
      <c r="L436" s="274">
        <f t="shared" si="159"/>
        <v>0</v>
      </c>
      <c r="M436" s="273">
        <f>'人员人工-研发人员工资'!M436</f>
        <v>0</v>
      </c>
      <c r="N436" s="274">
        <f t="shared" si="160"/>
        <v>0</v>
      </c>
      <c r="O436" s="273">
        <f>'人员人工-研发人员工资'!O436</f>
        <v>0</v>
      </c>
      <c r="P436" s="274">
        <f t="shared" si="161"/>
        <v>0</v>
      </c>
      <c r="Q436" s="273">
        <f>'人员人工-研发人员工资'!Q436</f>
        <v>0</v>
      </c>
      <c r="R436" s="274">
        <f t="shared" si="162"/>
        <v>0</v>
      </c>
      <c r="S436" s="273">
        <f>'人员人工-研发人员工资'!S436</f>
        <v>0</v>
      </c>
      <c r="T436" s="274">
        <f t="shared" si="163"/>
        <v>0</v>
      </c>
      <c r="U436" s="273">
        <f>'人员人工-研发人员工资'!U436</f>
        <v>0</v>
      </c>
      <c r="V436" s="274">
        <f t="shared" si="164"/>
        <v>0</v>
      </c>
      <c r="W436" s="273">
        <f>'人员人工-研发人员工资'!W436</f>
        <v>0</v>
      </c>
      <c r="X436" s="274">
        <f t="shared" si="165"/>
        <v>0</v>
      </c>
      <c r="Y436" s="273">
        <f>'人员人工-研发人员工资'!Y436</f>
        <v>0</v>
      </c>
      <c r="Z436" s="274">
        <f t="shared" si="166"/>
        <v>0</v>
      </c>
    </row>
    <row r="437" s="251" customFormat="1" customHeight="1" spans="1:26">
      <c r="A437" s="270">
        <v>15</v>
      </c>
      <c r="B437" s="271">
        <f>'人员人工-研发人员工资'!B437</f>
        <v>0</v>
      </c>
      <c r="C437" s="272"/>
      <c r="D437" s="272">
        <f>'人员人工-研发人员工资'!D437</f>
        <v>0</v>
      </c>
      <c r="E437" s="272">
        <f t="shared" si="155"/>
        <v>0</v>
      </c>
      <c r="F437" s="272">
        <f t="shared" si="156"/>
        <v>0</v>
      </c>
      <c r="G437" s="273">
        <f>'人员人工-研发人员工资'!G437</f>
        <v>0</v>
      </c>
      <c r="H437" s="274">
        <f t="shared" si="157"/>
        <v>0</v>
      </c>
      <c r="I437" s="273">
        <f>'人员人工-研发人员工资'!I437</f>
        <v>0</v>
      </c>
      <c r="J437" s="274">
        <f t="shared" si="158"/>
        <v>0</v>
      </c>
      <c r="K437" s="275">
        <f>'人员人工-研发人员工资'!K437</f>
        <v>0</v>
      </c>
      <c r="L437" s="274">
        <f t="shared" si="159"/>
        <v>0</v>
      </c>
      <c r="M437" s="273">
        <f>'人员人工-研发人员工资'!M437</f>
        <v>0</v>
      </c>
      <c r="N437" s="274">
        <f t="shared" si="160"/>
        <v>0</v>
      </c>
      <c r="O437" s="273">
        <f>'人员人工-研发人员工资'!O437</f>
        <v>0</v>
      </c>
      <c r="P437" s="274">
        <f t="shared" si="161"/>
        <v>0</v>
      </c>
      <c r="Q437" s="273">
        <f>'人员人工-研发人员工资'!Q437</f>
        <v>0</v>
      </c>
      <c r="R437" s="274">
        <f t="shared" si="162"/>
        <v>0</v>
      </c>
      <c r="S437" s="273">
        <f>'人员人工-研发人员工资'!S437</f>
        <v>0</v>
      </c>
      <c r="T437" s="274">
        <f t="shared" si="163"/>
        <v>0</v>
      </c>
      <c r="U437" s="273">
        <f>'人员人工-研发人员工资'!U437</f>
        <v>0</v>
      </c>
      <c r="V437" s="274">
        <f t="shared" si="164"/>
        <v>0</v>
      </c>
      <c r="W437" s="273">
        <f>'人员人工-研发人员工资'!W437</f>
        <v>0</v>
      </c>
      <c r="X437" s="274">
        <f t="shared" si="165"/>
        <v>0</v>
      </c>
      <c r="Y437" s="273">
        <f>'人员人工-研发人员工资'!Y437</f>
        <v>0</v>
      </c>
      <c r="Z437" s="274">
        <f t="shared" si="166"/>
        <v>0</v>
      </c>
    </row>
    <row r="438" s="251" customFormat="1" customHeight="1" spans="1:26">
      <c r="A438" s="270">
        <v>16</v>
      </c>
      <c r="B438" s="271">
        <f>'人员人工-研发人员工资'!B438</f>
        <v>0</v>
      </c>
      <c r="C438" s="272"/>
      <c r="D438" s="272">
        <f>'人员人工-研发人员工资'!D438</f>
        <v>0</v>
      </c>
      <c r="E438" s="272">
        <f t="shared" si="155"/>
        <v>0</v>
      </c>
      <c r="F438" s="272">
        <f t="shared" si="156"/>
        <v>0</v>
      </c>
      <c r="G438" s="273">
        <f>'人员人工-研发人员工资'!G438</f>
        <v>0</v>
      </c>
      <c r="H438" s="274">
        <f t="shared" si="157"/>
        <v>0</v>
      </c>
      <c r="I438" s="273">
        <f>'人员人工-研发人员工资'!I438</f>
        <v>0</v>
      </c>
      <c r="J438" s="274">
        <f t="shared" si="158"/>
        <v>0</v>
      </c>
      <c r="K438" s="275">
        <f>'人员人工-研发人员工资'!K438</f>
        <v>0</v>
      </c>
      <c r="L438" s="274">
        <f t="shared" si="159"/>
        <v>0</v>
      </c>
      <c r="M438" s="273">
        <f>'人员人工-研发人员工资'!M438</f>
        <v>0</v>
      </c>
      <c r="N438" s="274">
        <f t="shared" si="160"/>
        <v>0</v>
      </c>
      <c r="O438" s="273">
        <f>'人员人工-研发人员工资'!O438</f>
        <v>0</v>
      </c>
      <c r="P438" s="274">
        <f t="shared" si="161"/>
        <v>0</v>
      </c>
      <c r="Q438" s="273">
        <f>'人员人工-研发人员工资'!Q438</f>
        <v>0</v>
      </c>
      <c r="R438" s="274">
        <f t="shared" si="162"/>
        <v>0</v>
      </c>
      <c r="S438" s="273">
        <f>'人员人工-研发人员工资'!S438</f>
        <v>0</v>
      </c>
      <c r="T438" s="274">
        <f t="shared" si="163"/>
        <v>0</v>
      </c>
      <c r="U438" s="273">
        <f>'人员人工-研发人员工资'!U438</f>
        <v>0</v>
      </c>
      <c r="V438" s="274">
        <f t="shared" si="164"/>
        <v>0</v>
      </c>
      <c r="W438" s="273">
        <f>'人员人工-研发人员工资'!W438</f>
        <v>0</v>
      </c>
      <c r="X438" s="274">
        <f t="shared" si="165"/>
        <v>0</v>
      </c>
      <c r="Y438" s="273">
        <f>'人员人工-研发人员工资'!Y438</f>
        <v>0</v>
      </c>
      <c r="Z438" s="274">
        <f t="shared" si="166"/>
        <v>0</v>
      </c>
    </row>
    <row r="439" s="251" customFormat="1" customHeight="1" spans="1:26">
      <c r="A439" s="270">
        <v>17</v>
      </c>
      <c r="B439" s="271">
        <f>'人员人工-研发人员工资'!B439</f>
        <v>0</v>
      </c>
      <c r="C439" s="272"/>
      <c r="D439" s="272">
        <f>'人员人工-研发人员工资'!D439</f>
        <v>0</v>
      </c>
      <c r="E439" s="272">
        <f t="shared" si="155"/>
        <v>0</v>
      </c>
      <c r="F439" s="272">
        <f t="shared" si="156"/>
        <v>0</v>
      </c>
      <c r="G439" s="273">
        <f>'人员人工-研发人员工资'!G439</f>
        <v>0</v>
      </c>
      <c r="H439" s="274">
        <f t="shared" si="157"/>
        <v>0</v>
      </c>
      <c r="I439" s="273">
        <f>'人员人工-研发人员工资'!I439</f>
        <v>0</v>
      </c>
      <c r="J439" s="274">
        <f t="shared" si="158"/>
        <v>0</v>
      </c>
      <c r="K439" s="275">
        <f>'人员人工-研发人员工资'!K439</f>
        <v>0</v>
      </c>
      <c r="L439" s="274">
        <f t="shared" si="159"/>
        <v>0</v>
      </c>
      <c r="M439" s="273">
        <f>'人员人工-研发人员工资'!M439</f>
        <v>0</v>
      </c>
      <c r="N439" s="274">
        <f t="shared" si="160"/>
        <v>0</v>
      </c>
      <c r="O439" s="273">
        <f>'人员人工-研发人员工资'!O439</f>
        <v>0</v>
      </c>
      <c r="P439" s="274">
        <f t="shared" si="161"/>
        <v>0</v>
      </c>
      <c r="Q439" s="273">
        <f>'人员人工-研发人员工资'!Q439</f>
        <v>0</v>
      </c>
      <c r="R439" s="274">
        <f t="shared" si="162"/>
        <v>0</v>
      </c>
      <c r="S439" s="273">
        <f>'人员人工-研发人员工资'!S439</f>
        <v>0</v>
      </c>
      <c r="T439" s="274">
        <f t="shared" si="163"/>
        <v>0</v>
      </c>
      <c r="U439" s="273">
        <f>'人员人工-研发人员工资'!U439</f>
        <v>0</v>
      </c>
      <c r="V439" s="274">
        <f t="shared" si="164"/>
        <v>0</v>
      </c>
      <c r="W439" s="273">
        <f>'人员人工-研发人员工资'!W439</f>
        <v>0</v>
      </c>
      <c r="X439" s="274">
        <f t="shared" si="165"/>
        <v>0</v>
      </c>
      <c r="Y439" s="273">
        <f>'人员人工-研发人员工资'!Y439</f>
        <v>0</v>
      </c>
      <c r="Z439" s="274">
        <f t="shared" si="166"/>
        <v>0</v>
      </c>
    </row>
    <row r="440" s="251" customFormat="1" customHeight="1" spans="1:26">
      <c r="A440" s="270">
        <v>18</v>
      </c>
      <c r="B440" s="271">
        <f>'人员人工-研发人员工资'!B440</f>
        <v>0</v>
      </c>
      <c r="C440" s="272"/>
      <c r="D440" s="272">
        <f>'人员人工-研发人员工资'!D440</f>
        <v>0</v>
      </c>
      <c r="E440" s="272">
        <f t="shared" si="155"/>
        <v>0</v>
      </c>
      <c r="F440" s="272">
        <f t="shared" si="156"/>
        <v>0</v>
      </c>
      <c r="G440" s="273">
        <f>'人员人工-研发人员工资'!G440</f>
        <v>0</v>
      </c>
      <c r="H440" s="274">
        <f t="shared" si="157"/>
        <v>0</v>
      </c>
      <c r="I440" s="273">
        <f>'人员人工-研发人员工资'!I440</f>
        <v>0</v>
      </c>
      <c r="J440" s="274">
        <f t="shared" si="158"/>
        <v>0</v>
      </c>
      <c r="K440" s="275">
        <f>'人员人工-研发人员工资'!K440</f>
        <v>0</v>
      </c>
      <c r="L440" s="274">
        <f t="shared" si="159"/>
        <v>0</v>
      </c>
      <c r="M440" s="273">
        <f>'人员人工-研发人员工资'!M440</f>
        <v>0</v>
      </c>
      <c r="N440" s="274">
        <f t="shared" si="160"/>
        <v>0</v>
      </c>
      <c r="O440" s="273">
        <f>'人员人工-研发人员工资'!O440</f>
        <v>0</v>
      </c>
      <c r="P440" s="274">
        <f t="shared" si="161"/>
        <v>0</v>
      </c>
      <c r="Q440" s="273">
        <f>'人员人工-研发人员工资'!Q440</f>
        <v>0</v>
      </c>
      <c r="R440" s="274">
        <f t="shared" si="162"/>
        <v>0</v>
      </c>
      <c r="S440" s="273">
        <f>'人员人工-研发人员工资'!S440</f>
        <v>0</v>
      </c>
      <c r="T440" s="274">
        <f t="shared" si="163"/>
        <v>0</v>
      </c>
      <c r="U440" s="273">
        <f>'人员人工-研发人员工资'!U440</f>
        <v>0</v>
      </c>
      <c r="V440" s="274">
        <f t="shared" si="164"/>
        <v>0</v>
      </c>
      <c r="W440" s="273">
        <f>'人员人工-研发人员工资'!W440</f>
        <v>0</v>
      </c>
      <c r="X440" s="274">
        <f t="shared" si="165"/>
        <v>0</v>
      </c>
      <c r="Y440" s="273">
        <f>'人员人工-研发人员工资'!Y440</f>
        <v>0</v>
      </c>
      <c r="Z440" s="274">
        <f t="shared" si="166"/>
        <v>0</v>
      </c>
    </row>
    <row r="441" s="251" customFormat="1" customHeight="1" spans="1:26">
      <c r="A441" s="270">
        <v>19</v>
      </c>
      <c r="B441" s="271">
        <f>'人员人工-研发人员工资'!B441</f>
        <v>0</v>
      </c>
      <c r="C441" s="272"/>
      <c r="D441" s="272">
        <f>'人员人工-研发人员工资'!D441</f>
        <v>0</v>
      </c>
      <c r="E441" s="272">
        <f t="shared" si="155"/>
        <v>0</v>
      </c>
      <c r="F441" s="272">
        <f t="shared" si="156"/>
        <v>0</v>
      </c>
      <c r="G441" s="273">
        <f>'人员人工-研发人员工资'!G441</f>
        <v>0</v>
      </c>
      <c r="H441" s="274">
        <f t="shared" si="157"/>
        <v>0</v>
      </c>
      <c r="I441" s="273">
        <f>'人员人工-研发人员工资'!I441</f>
        <v>0</v>
      </c>
      <c r="J441" s="274">
        <f t="shared" si="158"/>
        <v>0</v>
      </c>
      <c r="K441" s="275">
        <f>'人员人工-研发人员工资'!K441</f>
        <v>0</v>
      </c>
      <c r="L441" s="274">
        <f t="shared" si="159"/>
        <v>0</v>
      </c>
      <c r="M441" s="273">
        <f>'人员人工-研发人员工资'!M441</f>
        <v>0</v>
      </c>
      <c r="N441" s="274">
        <f t="shared" si="160"/>
        <v>0</v>
      </c>
      <c r="O441" s="273">
        <f>'人员人工-研发人员工资'!O441</f>
        <v>0</v>
      </c>
      <c r="P441" s="274">
        <f t="shared" si="161"/>
        <v>0</v>
      </c>
      <c r="Q441" s="273">
        <f>'人员人工-研发人员工资'!Q441</f>
        <v>0</v>
      </c>
      <c r="R441" s="274">
        <f t="shared" si="162"/>
        <v>0</v>
      </c>
      <c r="S441" s="273">
        <f>'人员人工-研发人员工资'!S441</f>
        <v>0</v>
      </c>
      <c r="T441" s="274">
        <f t="shared" si="163"/>
        <v>0</v>
      </c>
      <c r="U441" s="273">
        <f>'人员人工-研发人员工资'!U441</f>
        <v>0</v>
      </c>
      <c r="V441" s="274">
        <f t="shared" si="164"/>
        <v>0</v>
      </c>
      <c r="W441" s="273">
        <f>'人员人工-研发人员工资'!W441</f>
        <v>0</v>
      </c>
      <c r="X441" s="274">
        <f t="shared" si="165"/>
        <v>0</v>
      </c>
      <c r="Y441" s="273">
        <f>'人员人工-研发人员工资'!Y441</f>
        <v>0</v>
      </c>
      <c r="Z441" s="274">
        <f t="shared" si="166"/>
        <v>0</v>
      </c>
    </row>
    <row r="442" s="251" customFormat="1" customHeight="1" spans="1:26">
      <c r="A442" s="270">
        <v>20</v>
      </c>
      <c r="B442" s="271">
        <f>'人员人工-研发人员工资'!B442</f>
        <v>0</v>
      </c>
      <c r="C442" s="272"/>
      <c r="D442" s="272">
        <f>'人员人工-研发人员工资'!D442</f>
        <v>0</v>
      </c>
      <c r="E442" s="272">
        <f t="shared" si="155"/>
        <v>0</v>
      </c>
      <c r="F442" s="272">
        <f t="shared" si="156"/>
        <v>0</v>
      </c>
      <c r="G442" s="273">
        <f>'人员人工-研发人员工资'!G442</f>
        <v>0</v>
      </c>
      <c r="H442" s="274">
        <f t="shared" si="157"/>
        <v>0</v>
      </c>
      <c r="I442" s="273">
        <f>'人员人工-研发人员工资'!I442</f>
        <v>0</v>
      </c>
      <c r="J442" s="274">
        <f t="shared" si="158"/>
        <v>0</v>
      </c>
      <c r="K442" s="275">
        <f>'人员人工-研发人员工资'!K442</f>
        <v>0</v>
      </c>
      <c r="L442" s="274">
        <f t="shared" si="159"/>
        <v>0</v>
      </c>
      <c r="M442" s="273">
        <f>'人员人工-研发人员工资'!M442</f>
        <v>0</v>
      </c>
      <c r="N442" s="274">
        <f t="shared" si="160"/>
        <v>0</v>
      </c>
      <c r="O442" s="273">
        <f>'人员人工-研发人员工资'!O442</f>
        <v>0</v>
      </c>
      <c r="P442" s="274">
        <f t="shared" si="161"/>
        <v>0</v>
      </c>
      <c r="Q442" s="273">
        <f>'人员人工-研发人员工资'!Q442</f>
        <v>0</v>
      </c>
      <c r="R442" s="274">
        <f t="shared" si="162"/>
        <v>0</v>
      </c>
      <c r="S442" s="273">
        <f>'人员人工-研发人员工资'!S442</f>
        <v>0</v>
      </c>
      <c r="T442" s="274">
        <f t="shared" si="163"/>
        <v>0</v>
      </c>
      <c r="U442" s="273">
        <f>'人员人工-研发人员工资'!U442</f>
        <v>0</v>
      </c>
      <c r="V442" s="274">
        <f t="shared" si="164"/>
        <v>0</v>
      </c>
      <c r="W442" s="273">
        <f>'人员人工-研发人员工资'!W442</f>
        <v>0</v>
      </c>
      <c r="X442" s="274">
        <f t="shared" si="165"/>
        <v>0</v>
      </c>
      <c r="Y442" s="273">
        <f>'人员人工-研发人员工资'!Y442</f>
        <v>0</v>
      </c>
      <c r="Z442" s="274">
        <f t="shared" si="166"/>
        <v>0</v>
      </c>
    </row>
    <row r="443" s="251" customFormat="1" customHeight="1" spans="1:26">
      <c r="A443" s="270">
        <v>21</v>
      </c>
      <c r="B443" s="271">
        <f>'人员人工-研发人员工资'!B443</f>
        <v>0</v>
      </c>
      <c r="C443" s="272"/>
      <c r="D443" s="272">
        <f>'人员人工-研发人员工资'!D443</f>
        <v>0</v>
      </c>
      <c r="E443" s="272">
        <f t="shared" si="155"/>
        <v>0</v>
      </c>
      <c r="F443" s="272">
        <f t="shared" si="156"/>
        <v>0</v>
      </c>
      <c r="G443" s="273">
        <f>'人员人工-研发人员工资'!G443</f>
        <v>0</v>
      </c>
      <c r="H443" s="274">
        <f t="shared" si="157"/>
        <v>0</v>
      </c>
      <c r="I443" s="273">
        <f>'人员人工-研发人员工资'!I443</f>
        <v>0</v>
      </c>
      <c r="J443" s="274">
        <f t="shared" si="158"/>
        <v>0</v>
      </c>
      <c r="K443" s="275">
        <f>'人员人工-研发人员工资'!K443</f>
        <v>0</v>
      </c>
      <c r="L443" s="274">
        <f t="shared" si="159"/>
        <v>0</v>
      </c>
      <c r="M443" s="273">
        <f>'人员人工-研发人员工资'!M443</f>
        <v>0</v>
      </c>
      <c r="N443" s="274">
        <f t="shared" si="160"/>
        <v>0</v>
      </c>
      <c r="O443" s="273">
        <f>'人员人工-研发人员工资'!O443</f>
        <v>0</v>
      </c>
      <c r="P443" s="274">
        <f t="shared" si="161"/>
        <v>0</v>
      </c>
      <c r="Q443" s="273">
        <f>'人员人工-研发人员工资'!Q443</f>
        <v>0</v>
      </c>
      <c r="R443" s="274">
        <f t="shared" si="162"/>
        <v>0</v>
      </c>
      <c r="S443" s="273">
        <f>'人员人工-研发人员工资'!S443</f>
        <v>0</v>
      </c>
      <c r="T443" s="274">
        <f t="shared" si="163"/>
        <v>0</v>
      </c>
      <c r="U443" s="273">
        <f>'人员人工-研发人员工资'!U443</f>
        <v>0</v>
      </c>
      <c r="V443" s="274">
        <f t="shared" si="164"/>
        <v>0</v>
      </c>
      <c r="W443" s="273">
        <f>'人员人工-研发人员工资'!W443</f>
        <v>0</v>
      </c>
      <c r="X443" s="274">
        <f t="shared" si="165"/>
        <v>0</v>
      </c>
      <c r="Y443" s="273">
        <f>'人员人工-研发人员工资'!Y443</f>
        <v>0</v>
      </c>
      <c r="Z443" s="274">
        <f t="shared" si="166"/>
        <v>0</v>
      </c>
    </row>
    <row r="444" s="251" customFormat="1" customHeight="1" spans="1:26">
      <c r="A444" s="270">
        <v>22</v>
      </c>
      <c r="B444" s="271">
        <f>'人员人工-研发人员工资'!B444</f>
        <v>0</v>
      </c>
      <c r="C444" s="272"/>
      <c r="D444" s="272">
        <f>'人员人工-研发人员工资'!D444</f>
        <v>0</v>
      </c>
      <c r="E444" s="272">
        <f t="shared" si="155"/>
        <v>0</v>
      </c>
      <c r="F444" s="272">
        <f t="shared" si="156"/>
        <v>0</v>
      </c>
      <c r="G444" s="273">
        <f>'人员人工-研发人员工资'!G444</f>
        <v>0</v>
      </c>
      <c r="H444" s="274">
        <f t="shared" si="157"/>
        <v>0</v>
      </c>
      <c r="I444" s="273">
        <f>'人员人工-研发人员工资'!I444</f>
        <v>0</v>
      </c>
      <c r="J444" s="274">
        <f t="shared" si="158"/>
        <v>0</v>
      </c>
      <c r="K444" s="275">
        <f>'人员人工-研发人员工资'!K444</f>
        <v>0</v>
      </c>
      <c r="L444" s="274">
        <f t="shared" si="159"/>
        <v>0</v>
      </c>
      <c r="M444" s="273">
        <f>'人员人工-研发人员工资'!M444</f>
        <v>0</v>
      </c>
      <c r="N444" s="274">
        <f t="shared" si="160"/>
        <v>0</v>
      </c>
      <c r="O444" s="273">
        <f>'人员人工-研发人员工资'!O444</f>
        <v>0</v>
      </c>
      <c r="P444" s="274">
        <f t="shared" si="161"/>
        <v>0</v>
      </c>
      <c r="Q444" s="273">
        <f>'人员人工-研发人员工资'!Q444</f>
        <v>0</v>
      </c>
      <c r="R444" s="274">
        <f t="shared" si="162"/>
        <v>0</v>
      </c>
      <c r="S444" s="273">
        <f>'人员人工-研发人员工资'!S444</f>
        <v>0</v>
      </c>
      <c r="T444" s="274">
        <f t="shared" si="163"/>
        <v>0</v>
      </c>
      <c r="U444" s="273">
        <f>'人员人工-研发人员工资'!U444</f>
        <v>0</v>
      </c>
      <c r="V444" s="274">
        <f t="shared" si="164"/>
        <v>0</v>
      </c>
      <c r="W444" s="273">
        <f>'人员人工-研发人员工资'!W444</f>
        <v>0</v>
      </c>
      <c r="X444" s="274">
        <f t="shared" si="165"/>
        <v>0</v>
      </c>
      <c r="Y444" s="273">
        <f>'人员人工-研发人员工资'!Y444</f>
        <v>0</v>
      </c>
      <c r="Z444" s="274">
        <f t="shared" si="166"/>
        <v>0</v>
      </c>
    </row>
    <row r="445" s="251" customFormat="1" customHeight="1" spans="1:26">
      <c r="A445" s="270">
        <v>23</v>
      </c>
      <c r="B445" s="271">
        <f>'人员人工-研发人员工资'!B445</f>
        <v>0</v>
      </c>
      <c r="C445" s="272"/>
      <c r="D445" s="272">
        <f>'人员人工-研发人员工资'!D445</f>
        <v>0</v>
      </c>
      <c r="E445" s="272">
        <f t="shared" si="155"/>
        <v>0</v>
      </c>
      <c r="F445" s="272">
        <f t="shared" si="156"/>
        <v>0</v>
      </c>
      <c r="G445" s="273">
        <f>'人员人工-研发人员工资'!G445</f>
        <v>0</v>
      </c>
      <c r="H445" s="274">
        <f t="shared" si="157"/>
        <v>0</v>
      </c>
      <c r="I445" s="273">
        <f>'人员人工-研发人员工资'!I445</f>
        <v>0</v>
      </c>
      <c r="J445" s="274">
        <f t="shared" si="158"/>
        <v>0</v>
      </c>
      <c r="K445" s="275">
        <f>'人员人工-研发人员工资'!K445</f>
        <v>0</v>
      </c>
      <c r="L445" s="274">
        <f t="shared" si="159"/>
        <v>0</v>
      </c>
      <c r="M445" s="273">
        <f>'人员人工-研发人员工资'!M445</f>
        <v>0</v>
      </c>
      <c r="N445" s="274">
        <f t="shared" si="160"/>
        <v>0</v>
      </c>
      <c r="O445" s="273">
        <f>'人员人工-研发人员工资'!O445</f>
        <v>0</v>
      </c>
      <c r="P445" s="274">
        <f t="shared" si="161"/>
        <v>0</v>
      </c>
      <c r="Q445" s="273">
        <f>'人员人工-研发人员工资'!Q445</f>
        <v>0</v>
      </c>
      <c r="R445" s="274">
        <f t="shared" si="162"/>
        <v>0</v>
      </c>
      <c r="S445" s="273">
        <f>'人员人工-研发人员工资'!S445</f>
        <v>0</v>
      </c>
      <c r="T445" s="274">
        <f t="shared" si="163"/>
        <v>0</v>
      </c>
      <c r="U445" s="273">
        <f>'人员人工-研发人员工资'!U445</f>
        <v>0</v>
      </c>
      <c r="V445" s="274">
        <f t="shared" si="164"/>
        <v>0</v>
      </c>
      <c r="W445" s="273">
        <f>'人员人工-研发人员工资'!W445</f>
        <v>0</v>
      </c>
      <c r="X445" s="274">
        <f t="shared" si="165"/>
        <v>0</v>
      </c>
      <c r="Y445" s="273">
        <f>'人员人工-研发人员工资'!Y445</f>
        <v>0</v>
      </c>
      <c r="Z445" s="274">
        <f t="shared" si="166"/>
        <v>0</v>
      </c>
    </row>
    <row r="446" s="251" customFormat="1" customHeight="1" spans="1:26">
      <c r="A446" s="270">
        <v>25</v>
      </c>
      <c r="B446" s="271">
        <f>'人员人工-研发人员工资'!B446</f>
        <v>0</v>
      </c>
      <c r="C446" s="272"/>
      <c r="D446" s="272">
        <f>'人员人工-研发人员工资'!D446</f>
        <v>0</v>
      </c>
      <c r="E446" s="272">
        <f t="shared" si="155"/>
        <v>0</v>
      </c>
      <c r="F446" s="272">
        <f t="shared" si="156"/>
        <v>0</v>
      </c>
      <c r="G446" s="273">
        <f>'人员人工-研发人员工资'!G446</f>
        <v>0</v>
      </c>
      <c r="H446" s="274">
        <f t="shared" si="157"/>
        <v>0</v>
      </c>
      <c r="I446" s="273">
        <f>'人员人工-研发人员工资'!I446</f>
        <v>0</v>
      </c>
      <c r="J446" s="274">
        <f t="shared" si="158"/>
        <v>0</v>
      </c>
      <c r="K446" s="275">
        <f>'人员人工-研发人员工资'!K446</f>
        <v>0</v>
      </c>
      <c r="L446" s="274">
        <f t="shared" si="159"/>
        <v>0</v>
      </c>
      <c r="M446" s="273">
        <f>'人员人工-研发人员工资'!M446</f>
        <v>0</v>
      </c>
      <c r="N446" s="274">
        <f t="shared" si="160"/>
        <v>0</v>
      </c>
      <c r="O446" s="273">
        <f>'人员人工-研发人员工资'!O446</f>
        <v>0</v>
      </c>
      <c r="P446" s="274">
        <f t="shared" si="161"/>
        <v>0</v>
      </c>
      <c r="Q446" s="273">
        <f>'人员人工-研发人员工资'!Q446</f>
        <v>0</v>
      </c>
      <c r="R446" s="274">
        <f t="shared" si="162"/>
        <v>0</v>
      </c>
      <c r="S446" s="273">
        <f>'人员人工-研发人员工资'!S446</f>
        <v>0</v>
      </c>
      <c r="T446" s="274">
        <f t="shared" si="163"/>
        <v>0</v>
      </c>
      <c r="U446" s="273">
        <f>'人员人工-研发人员工资'!U446</f>
        <v>0</v>
      </c>
      <c r="V446" s="274">
        <f t="shared" si="164"/>
        <v>0</v>
      </c>
      <c r="W446" s="273">
        <f>'人员人工-研发人员工资'!W446</f>
        <v>0</v>
      </c>
      <c r="X446" s="274">
        <f t="shared" si="165"/>
        <v>0</v>
      </c>
      <c r="Y446" s="273">
        <f>'人员人工-研发人员工资'!Y446</f>
        <v>0</v>
      </c>
      <c r="Z446" s="274">
        <f t="shared" si="166"/>
        <v>0</v>
      </c>
    </row>
    <row r="447" s="251" customFormat="1" customHeight="1" spans="1:26">
      <c r="A447" s="270">
        <v>25</v>
      </c>
      <c r="B447" s="271">
        <f>'人员人工-研发人员工资'!B447</f>
        <v>0</v>
      </c>
      <c r="C447" s="272"/>
      <c r="D447" s="272">
        <f>'人员人工-研发人员工资'!D447</f>
        <v>0</v>
      </c>
      <c r="E447" s="272">
        <f t="shared" si="155"/>
        <v>0</v>
      </c>
      <c r="F447" s="272">
        <f t="shared" si="156"/>
        <v>0</v>
      </c>
      <c r="G447" s="273">
        <f>'人员人工-研发人员工资'!G447</f>
        <v>0</v>
      </c>
      <c r="H447" s="274">
        <f t="shared" si="157"/>
        <v>0</v>
      </c>
      <c r="I447" s="273">
        <f>'人员人工-研发人员工资'!I447</f>
        <v>0</v>
      </c>
      <c r="J447" s="274">
        <f t="shared" si="158"/>
        <v>0</v>
      </c>
      <c r="K447" s="275">
        <f>'人员人工-研发人员工资'!K447</f>
        <v>0</v>
      </c>
      <c r="L447" s="274">
        <f t="shared" si="159"/>
        <v>0</v>
      </c>
      <c r="M447" s="273">
        <f>'人员人工-研发人员工资'!M447</f>
        <v>0</v>
      </c>
      <c r="N447" s="274">
        <f t="shared" si="160"/>
        <v>0</v>
      </c>
      <c r="O447" s="273">
        <f>'人员人工-研发人员工资'!O447</f>
        <v>0</v>
      </c>
      <c r="P447" s="274">
        <f t="shared" si="161"/>
        <v>0</v>
      </c>
      <c r="Q447" s="273">
        <f>'人员人工-研发人员工资'!Q447</f>
        <v>0</v>
      </c>
      <c r="R447" s="274">
        <f t="shared" si="162"/>
        <v>0</v>
      </c>
      <c r="S447" s="273">
        <f>'人员人工-研发人员工资'!S447</f>
        <v>0</v>
      </c>
      <c r="T447" s="274">
        <f t="shared" si="163"/>
        <v>0</v>
      </c>
      <c r="U447" s="273">
        <f>'人员人工-研发人员工资'!U447</f>
        <v>0</v>
      </c>
      <c r="V447" s="274">
        <f t="shared" si="164"/>
        <v>0</v>
      </c>
      <c r="W447" s="273">
        <f>'人员人工-研发人员工资'!W447</f>
        <v>0</v>
      </c>
      <c r="X447" s="274">
        <f t="shared" si="165"/>
        <v>0</v>
      </c>
      <c r="Y447" s="273">
        <f>'人员人工-研发人员工资'!Y447</f>
        <v>0</v>
      </c>
      <c r="Z447" s="274">
        <f t="shared" si="166"/>
        <v>0</v>
      </c>
    </row>
    <row r="448" s="251" customFormat="1" customHeight="1" spans="1:26">
      <c r="A448" s="270">
        <v>26</v>
      </c>
      <c r="B448" s="271">
        <f>'人员人工-研发人员工资'!B448</f>
        <v>0</v>
      </c>
      <c r="C448" s="272"/>
      <c r="D448" s="272">
        <f>'人员人工-研发人员工资'!D448</f>
        <v>0</v>
      </c>
      <c r="E448" s="272">
        <f t="shared" si="155"/>
        <v>0</v>
      </c>
      <c r="F448" s="272">
        <f t="shared" si="156"/>
        <v>0</v>
      </c>
      <c r="G448" s="273">
        <f>'人员人工-研发人员工资'!G448</f>
        <v>0</v>
      </c>
      <c r="H448" s="274">
        <f t="shared" si="157"/>
        <v>0</v>
      </c>
      <c r="I448" s="273">
        <f>'人员人工-研发人员工资'!I448</f>
        <v>0</v>
      </c>
      <c r="J448" s="274">
        <f t="shared" si="158"/>
        <v>0</v>
      </c>
      <c r="K448" s="275">
        <f>'人员人工-研发人员工资'!K448</f>
        <v>0</v>
      </c>
      <c r="L448" s="274">
        <f t="shared" si="159"/>
        <v>0</v>
      </c>
      <c r="M448" s="273">
        <f>'人员人工-研发人员工资'!M448</f>
        <v>0</v>
      </c>
      <c r="N448" s="274">
        <f t="shared" si="160"/>
        <v>0</v>
      </c>
      <c r="O448" s="273">
        <f>'人员人工-研发人员工资'!O448</f>
        <v>0</v>
      </c>
      <c r="P448" s="274">
        <f t="shared" si="161"/>
        <v>0</v>
      </c>
      <c r="Q448" s="273">
        <f>'人员人工-研发人员工资'!Q448</f>
        <v>0</v>
      </c>
      <c r="R448" s="274">
        <f t="shared" si="162"/>
        <v>0</v>
      </c>
      <c r="S448" s="273">
        <f>'人员人工-研发人员工资'!S448</f>
        <v>0</v>
      </c>
      <c r="T448" s="274">
        <f t="shared" si="163"/>
        <v>0</v>
      </c>
      <c r="U448" s="273">
        <f>'人员人工-研发人员工资'!U448</f>
        <v>0</v>
      </c>
      <c r="V448" s="274">
        <f t="shared" si="164"/>
        <v>0</v>
      </c>
      <c r="W448" s="273">
        <f>'人员人工-研发人员工资'!W448</f>
        <v>0</v>
      </c>
      <c r="X448" s="274">
        <f t="shared" si="165"/>
        <v>0</v>
      </c>
      <c r="Y448" s="273">
        <f>'人员人工-研发人员工资'!Y448</f>
        <v>0</v>
      </c>
      <c r="Z448" s="274">
        <f t="shared" si="166"/>
        <v>0</v>
      </c>
    </row>
    <row r="449" s="251" customFormat="1" customHeight="1" spans="1:27">
      <c r="A449" s="270">
        <v>27</v>
      </c>
      <c r="B449" s="271">
        <f>'人员人工-研发人员工资'!B449</f>
        <v>0</v>
      </c>
      <c r="C449" s="272"/>
      <c r="D449" s="272">
        <f>'人员人工-研发人员工资'!D449</f>
        <v>0</v>
      </c>
      <c r="E449" s="272">
        <f t="shared" si="155"/>
        <v>0</v>
      </c>
      <c r="F449" s="272">
        <f t="shared" si="156"/>
        <v>0</v>
      </c>
      <c r="G449" s="273">
        <f>'人员人工-研发人员工资'!G449</f>
        <v>0</v>
      </c>
      <c r="H449" s="274">
        <f t="shared" si="157"/>
        <v>0</v>
      </c>
      <c r="I449" s="273">
        <f>'人员人工-研发人员工资'!I449</f>
        <v>0</v>
      </c>
      <c r="J449" s="274">
        <f t="shared" si="158"/>
        <v>0</v>
      </c>
      <c r="K449" s="275">
        <f>'人员人工-研发人员工资'!K449</f>
        <v>0</v>
      </c>
      <c r="L449" s="274">
        <f t="shared" si="159"/>
        <v>0</v>
      </c>
      <c r="M449" s="273">
        <f>'人员人工-研发人员工资'!M449</f>
        <v>0</v>
      </c>
      <c r="N449" s="274">
        <f t="shared" si="160"/>
        <v>0</v>
      </c>
      <c r="O449" s="273">
        <f>'人员人工-研发人员工资'!O449</f>
        <v>0</v>
      </c>
      <c r="P449" s="274">
        <f t="shared" si="161"/>
        <v>0</v>
      </c>
      <c r="Q449" s="273">
        <f>'人员人工-研发人员工资'!Q449</f>
        <v>0</v>
      </c>
      <c r="R449" s="274">
        <f t="shared" si="162"/>
        <v>0</v>
      </c>
      <c r="S449" s="273">
        <f>'人员人工-研发人员工资'!S449</f>
        <v>0</v>
      </c>
      <c r="T449" s="274">
        <f t="shared" si="163"/>
        <v>0</v>
      </c>
      <c r="U449" s="273">
        <f>'人员人工-研发人员工资'!U449</f>
        <v>0</v>
      </c>
      <c r="V449" s="274">
        <f t="shared" si="164"/>
        <v>0</v>
      </c>
      <c r="W449" s="273">
        <f>'人员人工-研发人员工资'!W449</f>
        <v>0</v>
      </c>
      <c r="X449" s="274">
        <f t="shared" si="165"/>
        <v>0</v>
      </c>
      <c r="Y449" s="273">
        <f>'人员人工-研发人员工资'!Y449</f>
        <v>0</v>
      </c>
      <c r="Z449" s="274">
        <f t="shared" si="166"/>
        <v>0</v>
      </c>
    </row>
    <row r="450" s="251" customFormat="1" customHeight="1" spans="1:27">
      <c r="A450" s="270">
        <v>28</v>
      </c>
      <c r="B450" s="271">
        <f>'人员人工-研发人员工资'!B450</f>
        <v>0</v>
      </c>
      <c r="C450" s="272"/>
      <c r="D450" s="272">
        <f>'人员人工-研发人员工资'!D450</f>
        <v>0</v>
      </c>
      <c r="E450" s="272">
        <f t="shared" si="155"/>
        <v>0</v>
      </c>
      <c r="F450" s="272">
        <f t="shared" si="156"/>
        <v>0</v>
      </c>
      <c r="G450" s="273">
        <f>'人员人工-研发人员工资'!G450</f>
        <v>0</v>
      </c>
      <c r="H450" s="274">
        <f t="shared" si="157"/>
        <v>0</v>
      </c>
      <c r="I450" s="273">
        <f>'人员人工-研发人员工资'!I450</f>
        <v>0</v>
      </c>
      <c r="J450" s="274">
        <f t="shared" si="158"/>
        <v>0</v>
      </c>
      <c r="K450" s="275">
        <f>'人员人工-研发人员工资'!K450</f>
        <v>0</v>
      </c>
      <c r="L450" s="274">
        <f t="shared" si="159"/>
        <v>0</v>
      </c>
      <c r="M450" s="273">
        <f>'人员人工-研发人员工资'!M450</f>
        <v>0</v>
      </c>
      <c r="N450" s="274">
        <f t="shared" si="160"/>
        <v>0</v>
      </c>
      <c r="O450" s="273">
        <f>'人员人工-研发人员工资'!O450</f>
        <v>0</v>
      </c>
      <c r="P450" s="274">
        <f t="shared" si="161"/>
        <v>0</v>
      </c>
      <c r="Q450" s="273">
        <f>'人员人工-研发人员工资'!Q450</f>
        <v>0</v>
      </c>
      <c r="R450" s="274">
        <f t="shared" si="162"/>
        <v>0</v>
      </c>
      <c r="S450" s="273">
        <f>'人员人工-研发人员工资'!S450</f>
        <v>0</v>
      </c>
      <c r="T450" s="274">
        <f t="shared" si="163"/>
        <v>0</v>
      </c>
      <c r="U450" s="273">
        <f>'人员人工-研发人员工资'!U450</f>
        <v>0</v>
      </c>
      <c r="V450" s="274">
        <f t="shared" si="164"/>
        <v>0</v>
      </c>
      <c r="W450" s="273">
        <f>'人员人工-研发人员工资'!W450</f>
        <v>0</v>
      </c>
      <c r="X450" s="274">
        <f t="shared" si="165"/>
        <v>0</v>
      </c>
      <c r="Y450" s="273">
        <f>'人员人工-研发人员工资'!Y450</f>
        <v>0</v>
      </c>
      <c r="Z450" s="274">
        <f t="shared" si="166"/>
        <v>0</v>
      </c>
    </row>
    <row r="451" s="251" customFormat="1" customHeight="1" spans="1:27">
      <c r="A451" s="270">
        <v>29</v>
      </c>
      <c r="B451" s="271">
        <f>'人员人工-研发人员工资'!B451</f>
        <v>0</v>
      </c>
      <c r="C451" s="272"/>
      <c r="D451" s="272">
        <f>'人员人工-研发人员工资'!D451</f>
        <v>0</v>
      </c>
      <c r="E451" s="272">
        <f t="shared" si="155"/>
        <v>0</v>
      </c>
      <c r="F451" s="272">
        <f t="shared" si="156"/>
        <v>0</v>
      </c>
      <c r="G451" s="273">
        <f>'人员人工-研发人员工资'!G451</f>
        <v>0</v>
      </c>
      <c r="H451" s="274">
        <f t="shared" si="157"/>
        <v>0</v>
      </c>
      <c r="I451" s="273">
        <f>'人员人工-研发人员工资'!I451</f>
        <v>0</v>
      </c>
      <c r="J451" s="274">
        <f t="shared" si="158"/>
        <v>0</v>
      </c>
      <c r="K451" s="275">
        <f>'人员人工-研发人员工资'!K451</f>
        <v>0</v>
      </c>
      <c r="L451" s="274">
        <f t="shared" si="159"/>
        <v>0</v>
      </c>
      <c r="M451" s="273">
        <f>'人员人工-研发人员工资'!M451</f>
        <v>0</v>
      </c>
      <c r="N451" s="274">
        <f t="shared" si="160"/>
        <v>0</v>
      </c>
      <c r="O451" s="273">
        <f>'人员人工-研发人员工资'!O451</f>
        <v>0</v>
      </c>
      <c r="P451" s="274">
        <f t="shared" si="161"/>
        <v>0</v>
      </c>
      <c r="Q451" s="273">
        <f>'人员人工-研发人员工资'!Q451</f>
        <v>0</v>
      </c>
      <c r="R451" s="274">
        <f t="shared" si="162"/>
        <v>0</v>
      </c>
      <c r="S451" s="273">
        <f>'人员人工-研发人员工资'!S451</f>
        <v>0</v>
      </c>
      <c r="T451" s="274">
        <f t="shared" si="163"/>
        <v>0</v>
      </c>
      <c r="U451" s="273">
        <f>'人员人工-研发人员工资'!U451</f>
        <v>0</v>
      </c>
      <c r="V451" s="274">
        <f t="shared" si="164"/>
        <v>0</v>
      </c>
      <c r="W451" s="273">
        <f>'人员人工-研发人员工资'!W451</f>
        <v>0</v>
      </c>
      <c r="X451" s="274">
        <f t="shared" si="165"/>
        <v>0</v>
      </c>
      <c r="Y451" s="273">
        <f>'人员人工-研发人员工资'!Y451</f>
        <v>0</v>
      </c>
      <c r="Z451" s="274">
        <f t="shared" si="166"/>
        <v>0</v>
      </c>
    </row>
    <row r="452" s="251" customFormat="1" customHeight="1" spans="1:27">
      <c r="A452" s="270">
        <v>30</v>
      </c>
      <c r="B452" s="271">
        <f>'人员人工-研发人员工资'!B452</f>
        <v>0</v>
      </c>
      <c r="C452" s="272"/>
      <c r="D452" s="272">
        <f>'人员人工-研发人员工资'!D452</f>
        <v>0</v>
      </c>
      <c r="E452" s="272">
        <f t="shared" si="155"/>
        <v>0</v>
      </c>
      <c r="F452" s="272">
        <f t="shared" si="156"/>
        <v>0</v>
      </c>
      <c r="G452" s="273">
        <f>'人员人工-研发人员工资'!G452</f>
        <v>0</v>
      </c>
      <c r="H452" s="274">
        <f t="shared" si="157"/>
        <v>0</v>
      </c>
      <c r="I452" s="273">
        <f>'人员人工-研发人员工资'!I452</f>
        <v>0</v>
      </c>
      <c r="J452" s="274">
        <f t="shared" si="158"/>
        <v>0</v>
      </c>
      <c r="K452" s="275">
        <f>'人员人工-研发人员工资'!K452</f>
        <v>0</v>
      </c>
      <c r="L452" s="274">
        <f t="shared" si="159"/>
        <v>0</v>
      </c>
      <c r="M452" s="273">
        <f>'人员人工-研发人员工资'!M452</f>
        <v>0</v>
      </c>
      <c r="N452" s="274">
        <f t="shared" si="160"/>
        <v>0</v>
      </c>
      <c r="O452" s="273">
        <f>'人员人工-研发人员工资'!O452</f>
        <v>0</v>
      </c>
      <c r="P452" s="274">
        <f t="shared" si="161"/>
        <v>0</v>
      </c>
      <c r="Q452" s="273">
        <f>'人员人工-研发人员工资'!Q452</f>
        <v>0</v>
      </c>
      <c r="R452" s="274">
        <f t="shared" si="162"/>
        <v>0</v>
      </c>
      <c r="S452" s="273">
        <f>'人员人工-研发人员工资'!S452</f>
        <v>0</v>
      </c>
      <c r="T452" s="274">
        <f t="shared" si="163"/>
        <v>0</v>
      </c>
      <c r="U452" s="273">
        <f>'人员人工-研发人员工资'!U452</f>
        <v>0</v>
      </c>
      <c r="V452" s="274">
        <f t="shared" si="164"/>
        <v>0</v>
      </c>
      <c r="W452" s="273">
        <f>'人员人工-研发人员工资'!W452</f>
        <v>0</v>
      </c>
      <c r="X452" s="274">
        <f t="shared" si="165"/>
        <v>0</v>
      </c>
      <c r="Y452" s="273">
        <f>'人员人工-研发人员工资'!Y452</f>
        <v>0</v>
      </c>
      <c r="Z452" s="274">
        <f t="shared" si="166"/>
        <v>0</v>
      </c>
    </row>
    <row r="453" s="251" customFormat="1" customHeight="1" spans="1:27">
      <c r="A453" s="276" t="s">
        <v>22</v>
      </c>
      <c r="B453" s="277"/>
      <c r="C453" s="261">
        <f t="shared" ref="C453:Z453" si="167">SUM(C423:C452)</f>
        <v>0</v>
      </c>
      <c r="D453" s="261">
        <f t="shared" si="167"/>
        <v>0</v>
      </c>
      <c r="E453" s="272">
        <f t="shared" si="167"/>
        <v>0</v>
      </c>
      <c r="F453" s="261">
        <f t="shared" si="167"/>
        <v>0</v>
      </c>
      <c r="G453" s="261">
        <f t="shared" si="167"/>
        <v>0</v>
      </c>
      <c r="H453" s="261">
        <f t="shared" si="167"/>
        <v>0</v>
      </c>
      <c r="I453" s="261">
        <f t="shared" si="167"/>
        <v>0</v>
      </c>
      <c r="J453" s="261">
        <f t="shared" si="167"/>
        <v>0</v>
      </c>
      <c r="K453" s="261">
        <f t="shared" si="167"/>
        <v>0</v>
      </c>
      <c r="L453" s="261">
        <f t="shared" si="167"/>
        <v>0</v>
      </c>
      <c r="M453" s="261">
        <f t="shared" si="167"/>
        <v>0</v>
      </c>
      <c r="N453" s="261">
        <f t="shared" si="167"/>
        <v>0</v>
      </c>
      <c r="O453" s="261">
        <f t="shared" si="167"/>
        <v>0</v>
      </c>
      <c r="P453" s="261">
        <f t="shared" si="167"/>
        <v>0</v>
      </c>
      <c r="Q453" s="261">
        <f t="shared" si="167"/>
        <v>0</v>
      </c>
      <c r="R453" s="261">
        <f t="shared" si="167"/>
        <v>0</v>
      </c>
      <c r="S453" s="261">
        <f t="shared" si="167"/>
        <v>0</v>
      </c>
      <c r="T453" s="261">
        <f t="shared" si="167"/>
        <v>0</v>
      </c>
      <c r="U453" s="261">
        <f t="shared" si="167"/>
        <v>0</v>
      </c>
      <c r="V453" s="261">
        <f t="shared" si="167"/>
        <v>0</v>
      </c>
      <c r="W453" s="261">
        <f t="shared" si="167"/>
        <v>0</v>
      </c>
      <c r="X453" s="261">
        <f t="shared" si="167"/>
        <v>0</v>
      </c>
      <c r="Y453" s="261">
        <f t="shared" si="167"/>
        <v>0</v>
      </c>
      <c r="Z453" s="261">
        <f t="shared" si="167"/>
        <v>0</v>
      </c>
    </row>
    <row r="454" s="251" customFormat="1" customHeight="1" spans="1:27">
      <c r="A454" s="252"/>
      <c r="B454" s="253"/>
      <c r="C454" s="254"/>
      <c r="D454" s="254"/>
      <c r="E454" s="254"/>
      <c r="F454" s="254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</row>
    <row r="455" s="251" customFormat="1" customHeight="1" spans="1:27">
      <c r="A455" s="252"/>
      <c r="B455" s="253"/>
      <c r="C455" s="254"/>
      <c r="D455" s="254"/>
      <c r="E455" s="254"/>
      <c r="F455" s="254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</row>
    <row r="456" s="251" customFormat="1" customHeight="1" spans="1:27">
      <c r="A456" s="252"/>
      <c r="B456" s="253"/>
      <c r="C456" s="254"/>
      <c r="D456" s="254"/>
      <c r="E456" s="254"/>
      <c r="F456" s="254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</row>
    <row r="457" s="251" customFormat="1" customHeight="1" spans="1:27">
      <c r="A457" s="252"/>
      <c r="B457" s="253"/>
      <c r="C457" s="254"/>
      <c r="D457" s="254"/>
      <c r="E457" s="254"/>
      <c r="F457" s="254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</row>
    <row r="458" s="251" customFormat="1" customHeight="1" spans="1:27">
      <c r="A458" s="252"/>
      <c r="B458" s="284"/>
      <c r="C458" s="283"/>
      <c r="D458" s="258" t="s">
        <v>155</v>
      </c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  <c r="Z458" s="258"/>
    </row>
    <row r="459" s="251" customFormat="1" customHeight="1" spans="1:27">
      <c r="A459" s="252"/>
      <c r="B459" s="253"/>
      <c r="C459" s="283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  <c r="Z459" s="258"/>
    </row>
    <row r="460" s="251" customFormat="1" customHeight="1" spans="1:27">
      <c r="A460" s="252"/>
      <c r="B460" s="253"/>
      <c r="C460" s="256"/>
      <c r="D460" s="285" t="s">
        <v>67</v>
      </c>
      <c r="E460" s="262" t="s">
        <v>35</v>
      </c>
      <c r="F460" s="262" t="s">
        <v>142</v>
      </c>
      <c r="G460" s="263" t="str">
        <f>立项!$A$3</f>
        <v>RD01</v>
      </c>
      <c r="H460" s="264"/>
      <c r="I460" s="264" t="str">
        <f>立项!$A$4</f>
        <v>RD02</v>
      </c>
      <c r="J460" s="264"/>
      <c r="K460" s="264" t="str">
        <f>立项!$A$5</f>
        <v>RD03</v>
      </c>
      <c r="L460" s="264"/>
      <c r="M460" s="264" t="str">
        <f>立项!$A$6</f>
        <v>RD04</v>
      </c>
      <c r="N460" s="264"/>
      <c r="O460" s="264" t="str">
        <f>立项!$A$7</f>
        <v>RD05</v>
      </c>
      <c r="P460" s="264"/>
      <c r="Q460" s="264" t="str">
        <f>立项!$A$8</f>
        <v>RD06</v>
      </c>
      <c r="R460" s="264"/>
      <c r="S460" s="264" t="str">
        <f>立项!$A$9</f>
        <v>RD07</v>
      </c>
      <c r="T460" s="264"/>
      <c r="U460" s="264" t="str">
        <f>立项!$A$10</f>
        <v>RD08</v>
      </c>
      <c r="V460" s="264"/>
      <c r="W460" s="264" t="str">
        <f>立项!$A$11</f>
        <v>RD09</v>
      </c>
      <c r="X460" s="264"/>
      <c r="Y460" s="264" t="str">
        <f>立项!$A$12</f>
        <v>RD10</v>
      </c>
      <c r="Z460" s="264"/>
    </row>
    <row r="461" s="251" customFormat="1" customHeight="1" spans="1:27">
      <c r="A461" s="252"/>
      <c r="B461" s="253"/>
      <c r="C461" s="256"/>
      <c r="D461" s="286"/>
      <c r="E461" s="262"/>
      <c r="F461" s="262"/>
      <c r="G461" s="267">
        <f>立项!C3</f>
        <v>0</v>
      </c>
      <c r="H461" s="263"/>
      <c r="I461" s="267">
        <f>立项!C4</f>
        <v>0</v>
      </c>
      <c r="J461" s="263"/>
      <c r="K461" s="267">
        <f>立项!C5</f>
        <v>0</v>
      </c>
      <c r="L461" s="263"/>
      <c r="M461" s="267">
        <f>立项!C6</f>
        <v>0</v>
      </c>
      <c r="N461" s="263"/>
      <c r="O461" s="267">
        <f>立项!C7</f>
        <v>0</v>
      </c>
      <c r="P461" s="263"/>
      <c r="Q461" s="267">
        <f>立项!C8</f>
        <v>0</v>
      </c>
      <c r="R461" s="263"/>
      <c r="S461" s="267">
        <f>立项!C9</f>
        <v>0</v>
      </c>
      <c r="T461" s="263"/>
      <c r="U461" s="267">
        <f>立项!C10</f>
        <v>0</v>
      </c>
      <c r="V461" s="263"/>
      <c r="W461" s="267">
        <f>立项!C11</f>
        <v>0</v>
      </c>
      <c r="X461" s="263"/>
      <c r="Y461" s="264">
        <f>立项!C12</f>
        <v>0</v>
      </c>
      <c r="Z461" s="264"/>
    </row>
    <row r="462" s="251" customFormat="1" customHeight="1" spans="1:27">
      <c r="A462" s="252"/>
      <c r="B462" s="253"/>
      <c r="C462" s="256"/>
      <c r="D462" s="287"/>
      <c r="E462" s="262"/>
      <c r="F462" s="262"/>
      <c r="G462" s="262" t="s">
        <v>39</v>
      </c>
      <c r="H462" s="258" t="s">
        <v>143</v>
      </c>
      <c r="I462" s="264" t="s">
        <v>39</v>
      </c>
      <c r="J462" s="258" t="s">
        <v>143</v>
      </c>
      <c r="K462" s="264" t="s">
        <v>39</v>
      </c>
      <c r="L462" s="258" t="s">
        <v>143</v>
      </c>
      <c r="M462" s="264" t="s">
        <v>39</v>
      </c>
      <c r="N462" s="258" t="s">
        <v>143</v>
      </c>
      <c r="O462" s="264" t="s">
        <v>39</v>
      </c>
      <c r="P462" s="269" t="s">
        <v>143</v>
      </c>
      <c r="Q462" s="264" t="s">
        <v>39</v>
      </c>
      <c r="R462" s="269" t="s">
        <v>143</v>
      </c>
      <c r="S462" s="264" t="s">
        <v>39</v>
      </c>
      <c r="T462" s="269" t="s">
        <v>143</v>
      </c>
      <c r="U462" s="264" t="s">
        <v>39</v>
      </c>
      <c r="V462" s="269" t="s">
        <v>143</v>
      </c>
      <c r="W462" s="264" t="s">
        <v>39</v>
      </c>
      <c r="X462" s="269" t="s">
        <v>143</v>
      </c>
      <c r="Y462" s="264" t="s">
        <v>39</v>
      </c>
      <c r="Z462" s="269" t="s">
        <v>143</v>
      </c>
      <c r="AA462" s="288"/>
    </row>
    <row r="463" s="251" customFormat="1" customHeight="1" spans="1:27">
      <c r="A463" s="252"/>
      <c r="B463" s="253"/>
      <c r="C463" s="256"/>
      <c r="D463" s="289">
        <v>1</v>
      </c>
      <c r="E463" s="269">
        <f>E36</f>
        <v>0</v>
      </c>
      <c r="F463" s="269">
        <f>F36</f>
        <v>0</v>
      </c>
      <c r="G463" s="261">
        <f t="shared" ref="G463:Z463" si="168">G36</f>
        <v>0</v>
      </c>
      <c r="H463" s="261">
        <f t="shared" si="168"/>
        <v>0</v>
      </c>
      <c r="I463" s="261">
        <f t="shared" si="168"/>
        <v>0</v>
      </c>
      <c r="J463" s="261">
        <f t="shared" si="168"/>
        <v>0</v>
      </c>
      <c r="K463" s="261">
        <f t="shared" si="168"/>
        <v>0</v>
      </c>
      <c r="L463" s="261">
        <f t="shared" si="168"/>
        <v>0</v>
      </c>
      <c r="M463" s="261">
        <f t="shared" si="168"/>
        <v>0</v>
      </c>
      <c r="N463" s="261">
        <f t="shared" si="168"/>
        <v>0</v>
      </c>
      <c r="O463" s="261">
        <f t="shared" si="168"/>
        <v>0</v>
      </c>
      <c r="P463" s="261">
        <f t="shared" si="168"/>
        <v>0</v>
      </c>
      <c r="Q463" s="261">
        <f t="shared" si="168"/>
        <v>0</v>
      </c>
      <c r="R463" s="261">
        <f t="shared" si="168"/>
        <v>0</v>
      </c>
      <c r="S463" s="261">
        <f t="shared" si="168"/>
        <v>0</v>
      </c>
      <c r="T463" s="261">
        <f t="shared" si="168"/>
        <v>0</v>
      </c>
      <c r="U463" s="261">
        <f t="shared" si="168"/>
        <v>0</v>
      </c>
      <c r="V463" s="261">
        <f t="shared" si="168"/>
        <v>0</v>
      </c>
      <c r="W463" s="261">
        <f t="shared" si="168"/>
        <v>0</v>
      </c>
      <c r="X463" s="261">
        <f t="shared" si="168"/>
        <v>0</v>
      </c>
      <c r="Y463" s="261">
        <f t="shared" si="168"/>
        <v>0</v>
      </c>
      <c r="Z463" s="261">
        <f t="shared" si="168"/>
        <v>0</v>
      </c>
      <c r="AA463" s="290"/>
    </row>
    <row r="464" s="251" customFormat="1" customHeight="1" spans="1:27">
      <c r="A464" s="252"/>
      <c r="B464" s="253"/>
      <c r="C464" s="256"/>
      <c r="D464" s="289">
        <v>2</v>
      </c>
      <c r="E464" s="269">
        <f>E73</f>
        <v>0</v>
      </c>
      <c r="F464" s="269">
        <f>F73</f>
        <v>0</v>
      </c>
      <c r="G464" s="261">
        <f t="shared" ref="G464:Z464" si="169">G73</f>
        <v>0</v>
      </c>
      <c r="H464" s="261">
        <f t="shared" si="169"/>
        <v>0</v>
      </c>
      <c r="I464" s="261">
        <f t="shared" si="169"/>
        <v>0</v>
      </c>
      <c r="J464" s="261">
        <f t="shared" si="169"/>
        <v>0</v>
      </c>
      <c r="K464" s="261">
        <f t="shared" si="169"/>
        <v>0</v>
      </c>
      <c r="L464" s="261">
        <f t="shared" si="169"/>
        <v>0</v>
      </c>
      <c r="M464" s="261">
        <f t="shared" si="169"/>
        <v>0</v>
      </c>
      <c r="N464" s="261">
        <f t="shared" si="169"/>
        <v>0</v>
      </c>
      <c r="O464" s="261">
        <f t="shared" si="169"/>
        <v>0</v>
      </c>
      <c r="P464" s="261">
        <f t="shared" si="169"/>
        <v>0</v>
      </c>
      <c r="Q464" s="261">
        <f t="shared" si="169"/>
        <v>0</v>
      </c>
      <c r="R464" s="261">
        <f t="shared" si="169"/>
        <v>0</v>
      </c>
      <c r="S464" s="261">
        <f t="shared" si="169"/>
        <v>0</v>
      </c>
      <c r="T464" s="261">
        <f t="shared" si="169"/>
        <v>0</v>
      </c>
      <c r="U464" s="261">
        <f t="shared" si="169"/>
        <v>0</v>
      </c>
      <c r="V464" s="261">
        <f t="shared" si="169"/>
        <v>0</v>
      </c>
      <c r="W464" s="261">
        <f t="shared" si="169"/>
        <v>0</v>
      </c>
      <c r="X464" s="261">
        <f t="shared" si="169"/>
        <v>0</v>
      </c>
      <c r="Y464" s="261">
        <f t="shared" si="169"/>
        <v>0</v>
      </c>
      <c r="Z464" s="261">
        <f t="shared" si="169"/>
        <v>0</v>
      </c>
      <c r="AA464" s="290"/>
    </row>
    <row r="465" s="251" customFormat="1" customHeight="1" spans="1:27">
      <c r="A465" s="252"/>
      <c r="B465" s="253"/>
      <c r="C465" s="256"/>
      <c r="D465" s="289">
        <v>3</v>
      </c>
      <c r="E465" s="269">
        <f>E111</f>
        <v>0</v>
      </c>
      <c r="F465" s="269">
        <f>F111</f>
        <v>0</v>
      </c>
      <c r="G465" s="261">
        <f t="shared" ref="G465:Z465" si="170">G111</f>
        <v>0</v>
      </c>
      <c r="H465" s="261">
        <f t="shared" si="170"/>
        <v>0</v>
      </c>
      <c r="I465" s="261">
        <f t="shared" si="170"/>
        <v>0</v>
      </c>
      <c r="J465" s="261">
        <f t="shared" si="170"/>
        <v>0</v>
      </c>
      <c r="K465" s="261">
        <f t="shared" si="170"/>
        <v>0</v>
      </c>
      <c r="L465" s="261">
        <f t="shared" si="170"/>
        <v>0</v>
      </c>
      <c r="M465" s="261">
        <f t="shared" si="170"/>
        <v>0</v>
      </c>
      <c r="N465" s="261">
        <f t="shared" si="170"/>
        <v>0</v>
      </c>
      <c r="O465" s="261">
        <f t="shared" si="170"/>
        <v>0</v>
      </c>
      <c r="P465" s="261">
        <f t="shared" si="170"/>
        <v>0</v>
      </c>
      <c r="Q465" s="261">
        <f t="shared" si="170"/>
        <v>0</v>
      </c>
      <c r="R465" s="261">
        <f t="shared" si="170"/>
        <v>0</v>
      </c>
      <c r="S465" s="261">
        <f t="shared" si="170"/>
        <v>0</v>
      </c>
      <c r="T465" s="261">
        <f t="shared" si="170"/>
        <v>0</v>
      </c>
      <c r="U465" s="261">
        <f t="shared" si="170"/>
        <v>0</v>
      </c>
      <c r="V465" s="261">
        <f t="shared" si="170"/>
        <v>0</v>
      </c>
      <c r="W465" s="261">
        <f t="shared" si="170"/>
        <v>0</v>
      </c>
      <c r="X465" s="261">
        <f t="shared" si="170"/>
        <v>0</v>
      </c>
      <c r="Y465" s="261">
        <f t="shared" si="170"/>
        <v>0</v>
      </c>
      <c r="Z465" s="261">
        <f t="shared" si="170"/>
        <v>0</v>
      </c>
      <c r="AA465" s="290"/>
    </row>
    <row r="466" s="251" customFormat="1" customHeight="1" spans="1:27">
      <c r="A466" s="252"/>
      <c r="B466" s="253"/>
      <c r="C466" s="256"/>
      <c r="D466" s="289">
        <v>4</v>
      </c>
      <c r="E466" s="269">
        <f>E149</f>
        <v>0</v>
      </c>
      <c r="F466" s="269">
        <f>F149</f>
        <v>0</v>
      </c>
      <c r="G466" s="261">
        <f t="shared" ref="G466:Z466" si="171">G149</f>
        <v>0</v>
      </c>
      <c r="H466" s="261">
        <f t="shared" si="171"/>
        <v>0</v>
      </c>
      <c r="I466" s="261">
        <f t="shared" si="171"/>
        <v>0</v>
      </c>
      <c r="J466" s="261">
        <f t="shared" si="171"/>
        <v>0</v>
      </c>
      <c r="K466" s="261">
        <f t="shared" si="171"/>
        <v>0</v>
      </c>
      <c r="L466" s="261">
        <f t="shared" si="171"/>
        <v>0</v>
      </c>
      <c r="M466" s="261">
        <f t="shared" si="171"/>
        <v>0</v>
      </c>
      <c r="N466" s="261">
        <f t="shared" si="171"/>
        <v>0</v>
      </c>
      <c r="O466" s="261">
        <f t="shared" si="171"/>
        <v>0</v>
      </c>
      <c r="P466" s="261">
        <f t="shared" si="171"/>
        <v>0</v>
      </c>
      <c r="Q466" s="261">
        <f t="shared" si="171"/>
        <v>0</v>
      </c>
      <c r="R466" s="261">
        <f t="shared" si="171"/>
        <v>0</v>
      </c>
      <c r="S466" s="261">
        <f t="shared" si="171"/>
        <v>0</v>
      </c>
      <c r="T466" s="261">
        <f t="shared" si="171"/>
        <v>0</v>
      </c>
      <c r="U466" s="261">
        <f t="shared" si="171"/>
        <v>0</v>
      </c>
      <c r="V466" s="261">
        <f t="shared" si="171"/>
        <v>0</v>
      </c>
      <c r="W466" s="261">
        <f t="shared" si="171"/>
        <v>0</v>
      </c>
      <c r="X466" s="261">
        <f t="shared" si="171"/>
        <v>0</v>
      </c>
      <c r="Y466" s="261">
        <f t="shared" si="171"/>
        <v>0</v>
      </c>
      <c r="Z466" s="261">
        <f t="shared" si="171"/>
        <v>0</v>
      </c>
      <c r="AA466" s="290"/>
    </row>
    <row r="467" s="251" customFormat="1" customHeight="1" spans="1:27">
      <c r="A467" s="252"/>
      <c r="B467" s="253"/>
      <c r="C467" s="256"/>
      <c r="D467" s="289">
        <v>5</v>
      </c>
      <c r="E467" s="269">
        <f>E187</f>
        <v>0</v>
      </c>
      <c r="F467" s="269">
        <f>F187</f>
        <v>0</v>
      </c>
      <c r="G467" s="261">
        <f t="shared" ref="G467:Z467" si="172">G187</f>
        <v>0</v>
      </c>
      <c r="H467" s="261">
        <f t="shared" si="172"/>
        <v>0</v>
      </c>
      <c r="I467" s="261">
        <f t="shared" si="172"/>
        <v>0</v>
      </c>
      <c r="J467" s="261">
        <f t="shared" si="172"/>
        <v>0</v>
      </c>
      <c r="K467" s="261">
        <f t="shared" si="172"/>
        <v>0</v>
      </c>
      <c r="L467" s="261">
        <f t="shared" si="172"/>
        <v>0</v>
      </c>
      <c r="M467" s="261">
        <f t="shared" si="172"/>
        <v>0</v>
      </c>
      <c r="N467" s="261">
        <f t="shared" si="172"/>
        <v>0</v>
      </c>
      <c r="O467" s="261">
        <f t="shared" si="172"/>
        <v>0</v>
      </c>
      <c r="P467" s="261">
        <f t="shared" si="172"/>
        <v>0</v>
      </c>
      <c r="Q467" s="261">
        <f t="shared" si="172"/>
        <v>0</v>
      </c>
      <c r="R467" s="261">
        <f t="shared" si="172"/>
        <v>0</v>
      </c>
      <c r="S467" s="261">
        <f t="shared" si="172"/>
        <v>0</v>
      </c>
      <c r="T467" s="261">
        <f t="shared" si="172"/>
        <v>0</v>
      </c>
      <c r="U467" s="261">
        <f t="shared" si="172"/>
        <v>0</v>
      </c>
      <c r="V467" s="261">
        <f t="shared" si="172"/>
        <v>0</v>
      </c>
      <c r="W467" s="261">
        <f t="shared" si="172"/>
        <v>0</v>
      </c>
      <c r="X467" s="261">
        <f t="shared" si="172"/>
        <v>0</v>
      </c>
      <c r="Y467" s="261">
        <f t="shared" si="172"/>
        <v>0</v>
      </c>
      <c r="Z467" s="261">
        <f t="shared" si="172"/>
        <v>0</v>
      </c>
      <c r="AA467" s="290"/>
    </row>
    <row r="468" s="251" customFormat="1" customHeight="1" spans="1:27">
      <c r="A468" s="252"/>
      <c r="B468" s="253"/>
      <c r="C468" s="256"/>
      <c r="D468" s="289">
        <v>6</v>
      </c>
      <c r="E468" s="269">
        <f t="shared" ref="E468:Z468" si="173">E224</f>
        <v>0</v>
      </c>
      <c r="F468" s="269">
        <f t="shared" si="173"/>
        <v>0</v>
      </c>
      <c r="G468" s="261">
        <f t="shared" si="173"/>
        <v>0</v>
      </c>
      <c r="H468" s="261">
        <f t="shared" si="173"/>
        <v>0</v>
      </c>
      <c r="I468" s="261">
        <f t="shared" si="173"/>
        <v>0</v>
      </c>
      <c r="J468" s="261">
        <f t="shared" si="173"/>
        <v>0</v>
      </c>
      <c r="K468" s="261">
        <f t="shared" si="173"/>
        <v>0</v>
      </c>
      <c r="L468" s="261">
        <f t="shared" si="173"/>
        <v>0</v>
      </c>
      <c r="M468" s="261">
        <f t="shared" si="173"/>
        <v>0</v>
      </c>
      <c r="N468" s="261">
        <f t="shared" si="173"/>
        <v>0</v>
      </c>
      <c r="O468" s="261">
        <f t="shared" si="173"/>
        <v>0</v>
      </c>
      <c r="P468" s="261">
        <f t="shared" si="173"/>
        <v>0</v>
      </c>
      <c r="Q468" s="261">
        <f t="shared" si="173"/>
        <v>0</v>
      </c>
      <c r="R468" s="261">
        <f t="shared" si="173"/>
        <v>0</v>
      </c>
      <c r="S468" s="261">
        <f t="shared" si="173"/>
        <v>0</v>
      </c>
      <c r="T468" s="261">
        <f t="shared" si="173"/>
        <v>0</v>
      </c>
      <c r="U468" s="261">
        <f t="shared" si="173"/>
        <v>0</v>
      </c>
      <c r="V468" s="261">
        <f t="shared" si="173"/>
        <v>0</v>
      </c>
      <c r="W468" s="261">
        <f t="shared" si="173"/>
        <v>0</v>
      </c>
      <c r="X468" s="261">
        <f t="shared" si="173"/>
        <v>0</v>
      </c>
      <c r="Y468" s="261">
        <f t="shared" si="173"/>
        <v>0</v>
      </c>
      <c r="Z468" s="261">
        <f t="shared" si="173"/>
        <v>0</v>
      </c>
      <c r="AA468" s="290"/>
    </row>
    <row r="469" s="251" customFormat="1" customHeight="1" spans="1:27">
      <c r="A469" s="252"/>
      <c r="B469" s="253"/>
      <c r="C469" s="256"/>
      <c r="D469" s="289">
        <v>7</v>
      </c>
      <c r="E469" s="269">
        <f>E262</f>
        <v>0</v>
      </c>
      <c r="F469" s="269">
        <f>F262</f>
        <v>0</v>
      </c>
      <c r="G469" s="261">
        <f t="shared" ref="G469:Z469" si="174">G262</f>
        <v>0</v>
      </c>
      <c r="H469" s="261">
        <f t="shared" si="174"/>
        <v>0</v>
      </c>
      <c r="I469" s="261">
        <f t="shared" si="174"/>
        <v>0</v>
      </c>
      <c r="J469" s="261">
        <f t="shared" si="174"/>
        <v>0</v>
      </c>
      <c r="K469" s="261">
        <f t="shared" si="174"/>
        <v>0</v>
      </c>
      <c r="L469" s="261">
        <f t="shared" si="174"/>
        <v>0</v>
      </c>
      <c r="M469" s="261">
        <f t="shared" si="174"/>
        <v>0</v>
      </c>
      <c r="N469" s="261">
        <f t="shared" si="174"/>
        <v>0</v>
      </c>
      <c r="O469" s="261">
        <f t="shared" si="174"/>
        <v>0</v>
      </c>
      <c r="P469" s="261">
        <f t="shared" si="174"/>
        <v>0</v>
      </c>
      <c r="Q469" s="261">
        <f t="shared" si="174"/>
        <v>0</v>
      </c>
      <c r="R469" s="261">
        <f t="shared" si="174"/>
        <v>0</v>
      </c>
      <c r="S469" s="261">
        <f t="shared" si="174"/>
        <v>0</v>
      </c>
      <c r="T469" s="261">
        <f t="shared" si="174"/>
        <v>0</v>
      </c>
      <c r="U469" s="261">
        <f t="shared" si="174"/>
        <v>0</v>
      </c>
      <c r="V469" s="261">
        <f t="shared" si="174"/>
        <v>0</v>
      </c>
      <c r="W469" s="261">
        <f t="shared" si="174"/>
        <v>0</v>
      </c>
      <c r="X469" s="261">
        <f t="shared" si="174"/>
        <v>0</v>
      </c>
      <c r="Y469" s="261">
        <f t="shared" si="174"/>
        <v>0</v>
      </c>
      <c r="Z469" s="261">
        <f t="shared" si="174"/>
        <v>0</v>
      </c>
      <c r="AA469" s="290"/>
    </row>
    <row r="470" s="251" customFormat="1" customHeight="1" spans="1:27">
      <c r="A470" s="252"/>
      <c r="B470" s="253"/>
      <c r="C470" s="256"/>
      <c r="D470" s="289">
        <v>8</v>
      </c>
      <c r="E470" s="269">
        <f>E300</f>
        <v>0</v>
      </c>
      <c r="F470" s="269">
        <f>F300</f>
        <v>0</v>
      </c>
      <c r="G470" s="261">
        <f t="shared" ref="G470:Z470" si="175">G300</f>
        <v>0</v>
      </c>
      <c r="H470" s="261">
        <f t="shared" si="175"/>
        <v>0</v>
      </c>
      <c r="I470" s="261">
        <f t="shared" si="175"/>
        <v>0</v>
      </c>
      <c r="J470" s="261">
        <f t="shared" si="175"/>
        <v>0</v>
      </c>
      <c r="K470" s="261">
        <f t="shared" si="175"/>
        <v>0</v>
      </c>
      <c r="L470" s="261">
        <f t="shared" si="175"/>
        <v>0</v>
      </c>
      <c r="M470" s="261">
        <f t="shared" si="175"/>
        <v>0</v>
      </c>
      <c r="N470" s="261">
        <f t="shared" si="175"/>
        <v>0</v>
      </c>
      <c r="O470" s="261">
        <f t="shared" si="175"/>
        <v>0</v>
      </c>
      <c r="P470" s="261">
        <f t="shared" si="175"/>
        <v>0</v>
      </c>
      <c r="Q470" s="261">
        <f t="shared" si="175"/>
        <v>0</v>
      </c>
      <c r="R470" s="261">
        <f t="shared" si="175"/>
        <v>0</v>
      </c>
      <c r="S470" s="261">
        <f t="shared" si="175"/>
        <v>0</v>
      </c>
      <c r="T470" s="261">
        <f t="shared" si="175"/>
        <v>0</v>
      </c>
      <c r="U470" s="261">
        <f t="shared" si="175"/>
        <v>0</v>
      </c>
      <c r="V470" s="261">
        <f t="shared" si="175"/>
        <v>0</v>
      </c>
      <c r="W470" s="261">
        <f t="shared" si="175"/>
        <v>0</v>
      </c>
      <c r="X470" s="261">
        <f t="shared" si="175"/>
        <v>0</v>
      </c>
      <c r="Y470" s="261">
        <f t="shared" si="175"/>
        <v>0</v>
      </c>
      <c r="Z470" s="261">
        <f t="shared" si="175"/>
        <v>0</v>
      </c>
      <c r="AA470" s="290"/>
    </row>
    <row r="471" s="251" customFormat="1" customHeight="1" spans="1:27">
      <c r="A471" s="252"/>
      <c r="B471" s="253"/>
      <c r="C471" s="256"/>
      <c r="D471" s="289">
        <v>9</v>
      </c>
      <c r="E471" s="269">
        <f>E338</f>
        <v>0</v>
      </c>
      <c r="F471" s="269">
        <f>F338</f>
        <v>0</v>
      </c>
      <c r="G471" s="261">
        <f t="shared" ref="G471:Z471" si="176">G338</f>
        <v>0</v>
      </c>
      <c r="H471" s="261">
        <f t="shared" si="176"/>
        <v>0</v>
      </c>
      <c r="I471" s="261">
        <f t="shared" si="176"/>
        <v>0</v>
      </c>
      <c r="J471" s="261">
        <f t="shared" si="176"/>
        <v>0</v>
      </c>
      <c r="K471" s="261">
        <f t="shared" si="176"/>
        <v>0</v>
      </c>
      <c r="L471" s="261">
        <f t="shared" si="176"/>
        <v>0</v>
      </c>
      <c r="M471" s="261">
        <f t="shared" si="176"/>
        <v>0</v>
      </c>
      <c r="N471" s="261">
        <f t="shared" si="176"/>
        <v>0</v>
      </c>
      <c r="O471" s="261">
        <f t="shared" si="176"/>
        <v>0</v>
      </c>
      <c r="P471" s="261">
        <f t="shared" si="176"/>
        <v>0</v>
      </c>
      <c r="Q471" s="261">
        <f t="shared" si="176"/>
        <v>0</v>
      </c>
      <c r="R471" s="261">
        <f t="shared" si="176"/>
        <v>0</v>
      </c>
      <c r="S471" s="261">
        <f t="shared" si="176"/>
        <v>0</v>
      </c>
      <c r="T471" s="261">
        <f t="shared" si="176"/>
        <v>0</v>
      </c>
      <c r="U471" s="261">
        <f t="shared" si="176"/>
        <v>0</v>
      </c>
      <c r="V471" s="261">
        <f t="shared" si="176"/>
        <v>0</v>
      </c>
      <c r="W471" s="261">
        <f t="shared" si="176"/>
        <v>0</v>
      </c>
      <c r="X471" s="261">
        <f t="shared" si="176"/>
        <v>0</v>
      </c>
      <c r="Y471" s="261">
        <f t="shared" si="176"/>
        <v>0</v>
      </c>
      <c r="Z471" s="261">
        <f t="shared" si="176"/>
        <v>0</v>
      </c>
      <c r="AA471" s="290"/>
    </row>
    <row r="472" s="251" customFormat="1" customHeight="1" spans="1:27">
      <c r="A472" s="252"/>
      <c r="B472" s="253"/>
      <c r="C472" s="256"/>
      <c r="D472" s="289">
        <v>10</v>
      </c>
      <c r="E472" s="269">
        <f>E376</f>
        <v>0</v>
      </c>
      <c r="F472" s="269">
        <f>F376</f>
        <v>0</v>
      </c>
      <c r="G472" s="261">
        <f t="shared" ref="G472:Z472" si="177">G376</f>
        <v>0</v>
      </c>
      <c r="H472" s="261">
        <f t="shared" si="177"/>
        <v>0</v>
      </c>
      <c r="I472" s="261">
        <f t="shared" si="177"/>
        <v>0</v>
      </c>
      <c r="J472" s="261">
        <f t="shared" si="177"/>
        <v>0</v>
      </c>
      <c r="K472" s="261">
        <f t="shared" si="177"/>
        <v>0</v>
      </c>
      <c r="L472" s="261">
        <f t="shared" si="177"/>
        <v>0</v>
      </c>
      <c r="M472" s="261">
        <f t="shared" si="177"/>
        <v>0</v>
      </c>
      <c r="N472" s="261">
        <f t="shared" si="177"/>
        <v>0</v>
      </c>
      <c r="O472" s="261">
        <f t="shared" si="177"/>
        <v>0</v>
      </c>
      <c r="P472" s="261">
        <f t="shared" si="177"/>
        <v>0</v>
      </c>
      <c r="Q472" s="261">
        <f t="shared" si="177"/>
        <v>0</v>
      </c>
      <c r="R472" s="261">
        <f t="shared" si="177"/>
        <v>0</v>
      </c>
      <c r="S472" s="261">
        <f t="shared" si="177"/>
        <v>0</v>
      </c>
      <c r="T472" s="261">
        <f t="shared" si="177"/>
        <v>0</v>
      </c>
      <c r="U472" s="261">
        <f t="shared" si="177"/>
        <v>0</v>
      </c>
      <c r="V472" s="261">
        <f t="shared" si="177"/>
        <v>0</v>
      </c>
      <c r="W472" s="261">
        <f t="shared" si="177"/>
        <v>0</v>
      </c>
      <c r="X472" s="261">
        <f t="shared" si="177"/>
        <v>0</v>
      </c>
      <c r="Y472" s="261">
        <f t="shared" si="177"/>
        <v>0</v>
      </c>
      <c r="Z472" s="261">
        <f t="shared" si="177"/>
        <v>0</v>
      </c>
      <c r="AA472" s="290"/>
    </row>
    <row r="473" s="251" customFormat="1" customHeight="1" spans="1:27">
      <c r="A473" s="252"/>
      <c r="B473" s="253"/>
      <c r="C473" s="256"/>
      <c r="D473" s="289">
        <v>11</v>
      </c>
      <c r="E473" s="269">
        <f>E414</f>
        <v>0</v>
      </c>
      <c r="F473" s="269">
        <f>F414</f>
        <v>0</v>
      </c>
      <c r="G473" s="261">
        <f t="shared" ref="G473:Z473" si="178">G414</f>
        <v>0</v>
      </c>
      <c r="H473" s="261">
        <f t="shared" si="178"/>
        <v>0</v>
      </c>
      <c r="I473" s="261">
        <f t="shared" si="178"/>
        <v>0</v>
      </c>
      <c r="J473" s="261">
        <f t="shared" si="178"/>
        <v>0</v>
      </c>
      <c r="K473" s="261">
        <f t="shared" si="178"/>
        <v>0</v>
      </c>
      <c r="L473" s="261">
        <f t="shared" si="178"/>
        <v>0</v>
      </c>
      <c r="M473" s="261">
        <f t="shared" si="178"/>
        <v>0</v>
      </c>
      <c r="N473" s="261">
        <f t="shared" si="178"/>
        <v>0</v>
      </c>
      <c r="O473" s="261">
        <f t="shared" si="178"/>
        <v>0</v>
      </c>
      <c r="P473" s="261">
        <f t="shared" si="178"/>
        <v>0</v>
      </c>
      <c r="Q473" s="261">
        <f t="shared" si="178"/>
        <v>0</v>
      </c>
      <c r="R473" s="261">
        <f t="shared" si="178"/>
        <v>0</v>
      </c>
      <c r="S473" s="261">
        <f t="shared" si="178"/>
        <v>0</v>
      </c>
      <c r="T473" s="261">
        <f t="shared" si="178"/>
        <v>0</v>
      </c>
      <c r="U473" s="261">
        <f t="shared" si="178"/>
        <v>0</v>
      </c>
      <c r="V473" s="261">
        <f t="shared" si="178"/>
        <v>0</v>
      </c>
      <c r="W473" s="261">
        <f t="shared" si="178"/>
        <v>0</v>
      </c>
      <c r="X473" s="261">
        <f t="shared" si="178"/>
        <v>0</v>
      </c>
      <c r="Y473" s="261">
        <f t="shared" si="178"/>
        <v>0</v>
      </c>
      <c r="Z473" s="261">
        <f t="shared" si="178"/>
        <v>0</v>
      </c>
      <c r="AA473" s="290"/>
    </row>
    <row r="474" s="251" customFormat="1" customHeight="1" spans="1:27">
      <c r="A474" s="252"/>
      <c r="B474" s="253"/>
      <c r="C474" s="256"/>
      <c r="D474" s="289">
        <v>12</v>
      </c>
      <c r="E474" s="269">
        <f>E453</f>
        <v>0</v>
      </c>
      <c r="F474" s="269">
        <f>F453</f>
        <v>0</v>
      </c>
      <c r="G474" s="261">
        <f t="shared" ref="G474:Z474" si="179">G453</f>
        <v>0</v>
      </c>
      <c r="H474" s="261">
        <f t="shared" si="179"/>
        <v>0</v>
      </c>
      <c r="I474" s="261">
        <f t="shared" si="179"/>
        <v>0</v>
      </c>
      <c r="J474" s="261">
        <f t="shared" si="179"/>
        <v>0</v>
      </c>
      <c r="K474" s="261">
        <f t="shared" si="179"/>
        <v>0</v>
      </c>
      <c r="L474" s="261">
        <f t="shared" si="179"/>
        <v>0</v>
      </c>
      <c r="M474" s="261">
        <f t="shared" si="179"/>
        <v>0</v>
      </c>
      <c r="N474" s="261">
        <f t="shared" si="179"/>
        <v>0</v>
      </c>
      <c r="O474" s="261">
        <f t="shared" si="179"/>
        <v>0</v>
      </c>
      <c r="P474" s="261">
        <f t="shared" si="179"/>
        <v>0</v>
      </c>
      <c r="Q474" s="261">
        <f t="shared" si="179"/>
        <v>0</v>
      </c>
      <c r="R474" s="261">
        <f t="shared" si="179"/>
        <v>0</v>
      </c>
      <c r="S474" s="261">
        <f t="shared" si="179"/>
        <v>0</v>
      </c>
      <c r="T474" s="261">
        <f t="shared" si="179"/>
        <v>0</v>
      </c>
      <c r="U474" s="261">
        <f t="shared" si="179"/>
        <v>0</v>
      </c>
      <c r="V474" s="261">
        <f t="shared" si="179"/>
        <v>0</v>
      </c>
      <c r="W474" s="261">
        <f t="shared" si="179"/>
        <v>0</v>
      </c>
      <c r="X474" s="261">
        <f t="shared" si="179"/>
        <v>0</v>
      </c>
      <c r="Y474" s="261">
        <f t="shared" si="179"/>
        <v>0</v>
      </c>
      <c r="Z474" s="261">
        <f t="shared" si="179"/>
        <v>0</v>
      </c>
      <c r="AA474" s="290"/>
    </row>
    <row r="475" s="251" customFormat="1" customHeight="1" spans="1:27">
      <c r="A475" s="252"/>
      <c r="B475" s="253"/>
      <c r="C475" s="256"/>
      <c r="D475" s="269" t="s">
        <v>22</v>
      </c>
      <c r="E475" s="269">
        <f>SUM(E463:E474)</f>
        <v>0</v>
      </c>
      <c r="F475" s="269">
        <f>SUM(F463:F474)</f>
        <v>0</v>
      </c>
      <c r="G475" s="291">
        <f t="shared" ref="G475:Z475" si="180">SUM(G463:G474)</f>
        <v>0</v>
      </c>
      <c r="H475" s="291">
        <f t="shared" si="180"/>
        <v>0</v>
      </c>
      <c r="I475" s="291">
        <f t="shared" si="180"/>
        <v>0</v>
      </c>
      <c r="J475" s="291">
        <f t="shared" si="180"/>
        <v>0</v>
      </c>
      <c r="K475" s="291">
        <f t="shared" si="180"/>
        <v>0</v>
      </c>
      <c r="L475" s="291">
        <f t="shared" si="180"/>
        <v>0</v>
      </c>
      <c r="M475" s="291">
        <f t="shared" si="180"/>
        <v>0</v>
      </c>
      <c r="N475" s="291">
        <f t="shared" si="180"/>
        <v>0</v>
      </c>
      <c r="O475" s="291">
        <f t="shared" si="180"/>
        <v>0</v>
      </c>
      <c r="P475" s="291">
        <f t="shared" si="180"/>
        <v>0</v>
      </c>
      <c r="Q475" s="291">
        <f t="shared" si="180"/>
        <v>0</v>
      </c>
      <c r="R475" s="291">
        <f t="shared" si="180"/>
        <v>0</v>
      </c>
      <c r="S475" s="291">
        <f t="shared" si="180"/>
        <v>0</v>
      </c>
      <c r="T475" s="291">
        <f t="shared" si="180"/>
        <v>0</v>
      </c>
      <c r="U475" s="291">
        <f t="shared" si="180"/>
        <v>0</v>
      </c>
      <c r="V475" s="291">
        <f t="shared" si="180"/>
        <v>0</v>
      </c>
      <c r="W475" s="291">
        <f t="shared" si="180"/>
        <v>0</v>
      </c>
      <c r="X475" s="291">
        <f t="shared" si="180"/>
        <v>0</v>
      </c>
      <c r="Y475" s="291">
        <f t="shared" si="180"/>
        <v>0</v>
      </c>
      <c r="Z475" s="291">
        <f t="shared" si="180"/>
        <v>0</v>
      </c>
      <c r="AA475" s="292"/>
    </row>
    <row r="476" s="251" customFormat="1" customHeight="1" spans="1:27">
      <c r="A476" s="252"/>
      <c r="B476" s="280"/>
      <c r="C476" s="293"/>
      <c r="D476" s="293"/>
      <c r="E476" s="293"/>
      <c r="F476" s="29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93"/>
      <c r="U476" s="293"/>
      <c r="V476" s="293"/>
      <c r="W476" s="293"/>
      <c r="X476" s="293"/>
      <c r="Y476" s="293"/>
      <c r="Z476" s="293"/>
    </row>
    <row r="477" s="251" customFormat="1" customHeight="1" spans="1:27">
      <c r="A477" s="252"/>
      <c r="B477" s="280"/>
      <c r="C477" s="293"/>
      <c r="D477" s="293"/>
      <c r="E477" s="293"/>
      <c r="F477" s="29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93"/>
      <c r="U477" s="293"/>
      <c r="V477" s="293"/>
      <c r="W477" s="293"/>
      <c r="X477" s="293"/>
      <c r="Y477" s="293"/>
      <c r="Z477" s="293"/>
    </row>
    <row r="478" s="251" customFormat="1" customHeight="1" spans="1:27">
      <c r="A478" s="252"/>
      <c r="B478" s="253"/>
      <c r="C478" s="254"/>
      <c r="D478" s="254"/>
      <c r="E478" s="254"/>
      <c r="F478" s="254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</row>
    <row r="479" s="251" customFormat="1" customHeight="1" spans="1:27">
      <c r="A479" s="252"/>
      <c r="B479" s="253"/>
      <c r="C479" s="254"/>
      <c r="D479" s="254"/>
      <c r="E479" s="254"/>
      <c r="F479" s="254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</row>
    <row r="480" s="251" customFormat="1" customHeight="1" spans="1:27">
      <c r="A480" s="252"/>
      <c r="B480" s="280"/>
      <c r="C480" s="293"/>
      <c r="D480" s="293"/>
      <c r="E480" s="293"/>
      <c r="F480" s="293"/>
      <c r="G480" s="293"/>
      <c r="H480" s="293"/>
      <c r="I480" s="293"/>
      <c r="J480" s="293"/>
      <c r="K480" s="28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</row>
  </sheetData>
  <mergeCells count="360">
    <mergeCell ref="B1:Z1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36:B36"/>
    <mergeCell ref="B38:Z38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73:B73"/>
    <mergeCell ref="B76:Z76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111:B111"/>
    <mergeCell ref="B114:Z114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149:B149"/>
    <mergeCell ref="B152:Z152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187:B187"/>
    <mergeCell ref="B189:Z189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224:B224"/>
    <mergeCell ref="B227:Z227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262:B262"/>
    <mergeCell ref="B265:Z265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300:B300"/>
    <mergeCell ref="B303:Z303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338:B338"/>
    <mergeCell ref="B341:Z341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376:B376"/>
    <mergeCell ref="B379:Z379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414:B414"/>
    <mergeCell ref="B418:Z418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453:B453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3:A5"/>
    <mergeCell ref="A40:A42"/>
    <mergeCell ref="A78:A80"/>
    <mergeCell ref="A116:A118"/>
    <mergeCell ref="A154:A156"/>
    <mergeCell ref="A191:A193"/>
    <mergeCell ref="A229:A231"/>
    <mergeCell ref="A267:A269"/>
    <mergeCell ref="A305:A307"/>
    <mergeCell ref="A343:A345"/>
    <mergeCell ref="A381:A383"/>
    <mergeCell ref="A420:A422"/>
    <mergeCell ref="B3:B5"/>
    <mergeCell ref="B40:B42"/>
    <mergeCell ref="B78:B80"/>
    <mergeCell ref="B116:B118"/>
    <mergeCell ref="B154:B156"/>
    <mergeCell ref="B191:B193"/>
    <mergeCell ref="B229:B231"/>
    <mergeCell ref="B267:B269"/>
    <mergeCell ref="B305:B307"/>
    <mergeCell ref="B343:B345"/>
    <mergeCell ref="B381:B383"/>
    <mergeCell ref="B420:B422"/>
    <mergeCell ref="C3:C5"/>
    <mergeCell ref="C40:C42"/>
    <mergeCell ref="C78:C80"/>
    <mergeCell ref="C116:C118"/>
    <mergeCell ref="C154:C156"/>
    <mergeCell ref="C191:C193"/>
    <mergeCell ref="C229:C231"/>
    <mergeCell ref="C267:C269"/>
    <mergeCell ref="C305:C307"/>
    <mergeCell ref="C343:C345"/>
    <mergeCell ref="C381:C383"/>
    <mergeCell ref="C420:C422"/>
    <mergeCell ref="D3:D5"/>
    <mergeCell ref="D40:D42"/>
    <mergeCell ref="D78:D80"/>
    <mergeCell ref="D116:D118"/>
    <mergeCell ref="D154:D156"/>
    <mergeCell ref="D191:D193"/>
    <mergeCell ref="D229:D231"/>
    <mergeCell ref="D267:D269"/>
    <mergeCell ref="D305:D307"/>
    <mergeCell ref="D343:D345"/>
    <mergeCell ref="D381:D383"/>
    <mergeCell ref="D420:D422"/>
    <mergeCell ref="D460:D462"/>
    <mergeCell ref="E3:E5"/>
    <mergeCell ref="E40:E42"/>
    <mergeCell ref="E78:E80"/>
    <mergeCell ref="E116:E118"/>
    <mergeCell ref="E154:E156"/>
    <mergeCell ref="E191:E193"/>
    <mergeCell ref="E229:E231"/>
    <mergeCell ref="E267:E269"/>
    <mergeCell ref="E305:E307"/>
    <mergeCell ref="E343:E345"/>
    <mergeCell ref="E381:E383"/>
    <mergeCell ref="E420:E422"/>
    <mergeCell ref="E460:E462"/>
    <mergeCell ref="F3:F5"/>
    <mergeCell ref="F40:F42"/>
    <mergeCell ref="F78:F80"/>
    <mergeCell ref="F116:F118"/>
    <mergeCell ref="F154:F156"/>
    <mergeCell ref="F191:F193"/>
    <mergeCell ref="F229:F231"/>
    <mergeCell ref="F267:F269"/>
    <mergeCell ref="F305:F307"/>
    <mergeCell ref="F343:F345"/>
    <mergeCell ref="F381:F383"/>
    <mergeCell ref="F420:F422"/>
    <mergeCell ref="F460:F462"/>
    <mergeCell ref="D458:Z459"/>
  </mergeCells>
  <pageMargins left="0.432638888888889" right="0.393055555555556" top="0.75" bottom="0.75" header="0.3" footer="0.3"/>
  <pageSetup paperSize="9" scale="62" fitToHeight="0" orientation="landscape"/>
  <headerFooter/>
  <rowBreaks count="12" manualBreakCount="12">
    <brk id="36" max="25" man="1"/>
    <brk id="73" max="25" man="1"/>
    <brk id="111" max="25" man="1"/>
    <brk id="149" max="25" man="1"/>
    <brk id="187" max="25" man="1"/>
    <brk id="224" max="25" man="1"/>
    <brk id="262" max="25" man="1"/>
    <brk id="300" max="25" man="1"/>
    <brk id="338" max="25" man="1"/>
    <brk id="376" max="25" man="1"/>
    <brk id="414" max="25" man="1"/>
    <brk id="453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480"/>
  <sheetViews>
    <sheetView showZeros="0" view="pageBreakPreview" zoomScaleNormal="100" topLeftCell="E454" workbookViewId="0">
      <selection activeCell="J468" sqref="J468"/>
    </sheetView>
  </sheetViews>
  <sheetFormatPr defaultColWidth="9" defaultRowHeight="18" customHeight="1"/>
  <cols>
    <col min="1" max="1" width="3.37962962962963" style="252" customWidth="1"/>
    <col min="2" max="2" width="7.62962962962963" style="253" customWidth="1"/>
    <col min="3" max="3" width="8.12962962962963" style="254" customWidth="1"/>
    <col min="4" max="4" width="8.37962962962963" style="254" customWidth="1"/>
    <col min="5" max="6" width="8.37962962962963" style="255" customWidth="1"/>
    <col min="7" max="7" width="8.25" style="256" customWidth="1"/>
    <col min="8" max="8" width="9" style="256"/>
    <col min="9" max="9" width="8.25" style="256" customWidth="1"/>
    <col min="10" max="10" width="9" style="256"/>
    <col min="11" max="11" width="8.25" style="256" customWidth="1"/>
    <col min="12" max="12" width="9" style="256"/>
    <col min="13" max="13" width="8.25" style="256" customWidth="1"/>
    <col min="14" max="14" width="9" style="256"/>
    <col min="15" max="15" width="8.25" style="256" customWidth="1"/>
    <col min="16" max="16" width="9" style="256"/>
    <col min="17" max="17" width="8.25" style="256" customWidth="1"/>
    <col min="18" max="18" width="9" style="256"/>
    <col min="19" max="19" width="8.25" style="256" customWidth="1"/>
    <col min="20" max="20" width="9" style="256"/>
    <col min="21" max="21" width="8.25" style="256" customWidth="1"/>
    <col min="22" max="22" width="9" style="256"/>
    <col min="23" max="23" width="8.25" style="256" customWidth="1"/>
    <col min="24" max="24" width="9" style="256"/>
    <col min="25" max="26" width="9" style="256" customWidth="1"/>
    <col min="27" max="16384" width="9" style="251"/>
  </cols>
  <sheetData>
    <row r="1" s="251" customFormat="1" customHeight="1" spans="1:26">
      <c r="A1" s="252"/>
      <c r="B1" s="257" t="s">
        <v>156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2" s="251" customFormat="1" customHeight="1" spans="1:26">
      <c r="A2" s="252"/>
      <c r="B2" s="253"/>
      <c r="C2" s="254"/>
      <c r="D2" s="254"/>
      <c r="E2" s="255"/>
      <c r="F2" s="255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 s="251" customFormat="1" customHeight="1" spans="1:26">
      <c r="A3" s="259" t="s">
        <v>31</v>
      </c>
      <c r="B3" s="260" t="s">
        <v>32</v>
      </c>
      <c r="C3" s="261" t="s">
        <v>157</v>
      </c>
      <c r="D3" s="261" t="s">
        <v>34</v>
      </c>
      <c r="E3" s="262" t="s">
        <v>35</v>
      </c>
      <c r="F3" s="262" t="s">
        <v>158</v>
      </c>
      <c r="G3" s="263" t="str">
        <f>立项!$A$3</f>
        <v>RD01</v>
      </c>
      <c r="H3" s="264"/>
      <c r="I3" s="264" t="str">
        <f>立项!$A$4</f>
        <v>RD02</v>
      </c>
      <c r="J3" s="264"/>
      <c r="K3" s="264" t="str">
        <f>立项!$A$5</f>
        <v>RD03</v>
      </c>
      <c r="L3" s="264"/>
      <c r="M3" s="264" t="str">
        <f>立项!$A$6</f>
        <v>RD04</v>
      </c>
      <c r="N3" s="264"/>
      <c r="O3" s="264" t="str">
        <f>立项!$A$7</f>
        <v>RD05</v>
      </c>
      <c r="P3" s="264"/>
      <c r="Q3" s="264" t="str">
        <f>立项!$A$8</f>
        <v>RD06</v>
      </c>
      <c r="R3" s="264"/>
      <c r="S3" s="264" t="str">
        <f>立项!$A$9</f>
        <v>RD07</v>
      </c>
      <c r="T3" s="264"/>
      <c r="U3" s="264" t="str">
        <f>立项!$A$10</f>
        <v>RD08</v>
      </c>
      <c r="V3" s="264"/>
      <c r="W3" s="264" t="str">
        <f>立项!$A$11</f>
        <v>RD09</v>
      </c>
      <c r="X3" s="264"/>
      <c r="Y3" s="264" t="str">
        <f>立项!$A$12</f>
        <v>RD10</v>
      </c>
      <c r="Z3" s="264"/>
    </row>
    <row r="4" s="251" customFormat="1" customHeight="1" spans="1:26">
      <c r="A4" s="265"/>
      <c r="B4" s="260"/>
      <c r="C4" s="261"/>
      <c r="D4" s="261"/>
      <c r="E4" s="262"/>
      <c r="F4" s="262"/>
      <c r="G4" s="266">
        <f>立项!C3</f>
        <v>0</v>
      </c>
      <c r="H4" s="263"/>
      <c r="I4" s="267">
        <f>立项!C4</f>
        <v>0</v>
      </c>
      <c r="J4" s="263"/>
      <c r="K4" s="267">
        <f>立项!C5</f>
        <v>0</v>
      </c>
      <c r="L4" s="263"/>
      <c r="M4" s="267">
        <f>立项!C6</f>
        <v>0</v>
      </c>
      <c r="N4" s="263"/>
      <c r="O4" s="267">
        <f>立项!C7</f>
        <v>0</v>
      </c>
      <c r="P4" s="263"/>
      <c r="Q4" s="267">
        <f>立项!C8</f>
        <v>0</v>
      </c>
      <c r="R4" s="263"/>
      <c r="S4" s="267">
        <f>立项!C9</f>
        <v>0</v>
      </c>
      <c r="T4" s="263"/>
      <c r="U4" s="267">
        <f>立项!C10</f>
        <v>0</v>
      </c>
      <c r="V4" s="263"/>
      <c r="W4" s="267">
        <f>立项!C11</f>
        <v>0</v>
      </c>
      <c r="X4" s="263"/>
      <c r="Y4" s="264">
        <f>立项!C12</f>
        <v>0</v>
      </c>
      <c r="Z4" s="264"/>
    </row>
    <row r="5" s="251" customFormat="1" customHeight="1" spans="1:26">
      <c r="A5" s="268"/>
      <c r="B5" s="260"/>
      <c r="C5" s="261"/>
      <c r="D5" s="261"/>
      <c r="E5" s="262"/>
      <c r="F5" s="262"/>
      <c r="G5" s="263" t="s">
        <v>39</v>
      </c>
      <c r="H5" s="269" t="s">
        <v>159</v>
      </c>
      <c r="I5" s="264" t="s">
        <v>39</v>
      </c>
      <c r="J5" s="269" t="s">
        <v>159</v>
      </c>
      <c r="K5" s="264" t="s">
        <v>39</v>
      </c>
      <c r="L5" s="269" t="s">
        <v>159</v>
      </c>
      <c r="M5" s="264" t="s">
        <v>39</v>
      </c>
      <c r="N5" s="269" t="s">
        <v>159</v>
      </c>
      <c r="O5" s="264" t="s">
        <v>39</v>
      </c>
      <c r="P5" s="269" t="s">
        <v>159</v>
      </c>
      <c r="Q5" s="264" t="s">
        <v>39</v>
      </c>
      <c r="R5" s="269" t="s">
        <v>159</v>
      </c>
      <c r="S5" s="264" t="s">
        <v>39</v>
      </c>
      <c r="T5" s="269" t="s">
        <v>159</v>
      </c>
      <c r="U5" s="264" t="s">
        <v>39</v>
      </c>
      <c r="V5" s="269" t="s">
        <v>159</v>
      </c>
      <c r="W5" s="264" t="s">
        <v>39</v>
      </c>
      <c r="X5" s="269" t="s">
        <v>159</v>
      </c>
      <c r="Y5" s="264" t="s">
        <v>39</v>
      </c>
      <c r="Z5" s="269" t="s">
        <v>159</v>
      </c>
    </row>
    <row r="6" s="251" customFormat="1" customHeight="1" spans="1:26">
      <c r="A6" s="270">
        <v>1</v>
      </c>
      <c r="B6" s="271">
        <f>'人员人工-研发人员工资'!B6</f>
        <v>0</v>
      </c>
      <c r="C6" s="272"/>
      <c r="D6" s="272">
        <f>'人员人工-研发人员工资'!D6</f>
        <v>0</v>
      </c>
      <c r="E6" s="272">
        <f t="shared" ref="E6:E35" si="0">G6+I6+K6+M6+O6+Q6+S6+U6+W6+Y6</f>
        <v>0</v>
      </c>
      <c r="F6" s="272">
        <f>H6+J6+L6+N6+P6+R6+T6+V6+X6+Z6</f>
        <v>0</v>
      </c>
      <c r="G6" s="273">
        <f>'人员人工-研发人员工资'!G6</f>
        <v>0</v>
      </c>
      <c r="H6" s="274">
        <f>IF($D6=0,0,ROUND(G6/$D6*$C6,2))</f>
        <v>0</v>
      </c>
      <c r="I6" s="273">
        <f>'人员人工-研发人员工资'!I6</f>
        <v>0</v>
      </c>
      <c r="J6" s="274">
        <f t="shared" ref="J6:J35" si="1">IF($D6=0,0,ROUND(I6/$D6*$C6,2))</f>
        <v>0</v>
      </c>
      <c r="K6" s="275">
        <f>'人员人工-研发人员工资'!K6</f>
        <v>0</v>
      </c>
      <c r="L6" s="274">
        <f t="shared" ref="L6:L35" si="2">IF($D6=0,0,ROUND(K6/$D6*$C6,2))</f>
        <v>0</v>
      </c>
      <c r="M6" s="273">
        <f>'人员人工-研发人员工资'!M6</f>
        <v>0</v>
      </c>
      <c r="N6" s="274">
        <f t="shared" ref="N6:N35" si="3">IF($D6=0,0,ROUND(M6/$D6*$C6,2))</f>
        <v>0</v>
      </c>
      <c r="O6" s="273">
        <f>'人员人工-研发人员工资'!O6</f>
        <v>0</v>
      </c>
      <c r="P6" s="274">
        <f t="shared" ref="P6:P35" si="4">IF($D6=0,0,ROUND(O6/$D6*$C6,2))</f>
        <v>0</v>
      </c>
      <c r="Q6" s="273">
        <f>'人员人工-研发人员工资'!Q6</f>
        <v>0</v>
      </c>
      <c r="R6" s="274">
        <f t="shared" ref="R6:R35" si="5">IF($D6=0,0,ROUND(Q6/$D6*$C6,2))</f>
        <v>0</v>
      </c>
      <c r="S6" s="273">
        <f>'人员人工-研发人员工资'!S6</f>
        <v>0</v>
      </c>
      <c r="T6" s="274">
        <f t="shared" ref="T6:T35" si="6">IF($D6=0,0,ROUND(S6/$D6*$C6,2))</f>
        <v>0</v>
      </c>
      <c r="U6" s="273">
        <f>'人员人工-研发人员工资'!U6</f>
        <v>0</v>
      </c>
      <c r="V6" s="274">
        <f t="shared" ref="V6:V35" si="7">IF($D6=0,0,ROUND(U6/$D6*$C6,2))</f>
        <v>0</v>
      </c>
      <c r="W6" s="273">
        <f>'人员人工-研发人员工资'!W6</f>
        <v>0</v>
      </c>
      <c r="X6" s="274">
        <f t="shared" ref="X6:X35" si="8">IF($D6=0,0,ROUND(W6/$D6*$C6,2))</f>
        <v>0</v>
      </c>
      <c r="Y6" s="273">
        <f>'人员人工-研发人员工资'!Y6</f>
        <v>0</v>
      </c>
      <c r="Z6" s="274">
        <f t="shared" ref="Z6:Z35" si="9">IF($D6=0,0,ROUND(Y6/$D6*$C6,2))</f>
        <v>0</v>
      </c>
    </row>
    <row r="7" s="251" customFormat="1" customHeight="1" spans="1:26">
      <c r="A7" s="270">
        <v>2</v>
      </c>
      <c r="B7" s="271">
        <f>'人员人工-研发人员工资'!B7</f>
        <v>0</v>
      </c>
      <c r="C7" s="272"/>
      <c r="D7" s="272">
        <f>'人员人工-研发人员工资'!D7</f>
        <v>0</v>
      </c>
      <c r="E7" s="272">
        <f t="shared" si="0"/>
        <v>0</v>
      </c>
      <c r="F7" s="272">
        <f t="shared" ref="F6:F35" si="10">H7+J7+L7+N7+P7+R7+T7+V7+X7+Z7</f>
        <v>0</v>
      </c>
      <c r="G7" s="273">
        <f>'人员人工-研发人员工资'!G7</f>
        <v>0</v>
      </c>
      <c r="H7" s="274">
        <f t="shared" ref="H7:H35" si="11">IF($D7=0,0,ROUND(G7/$D7*$C7,2))</f>
        <v>0</v>
      </c>
      <c r="I7" s="273">
        <f>'人员人工-研发人员工资'!I7</f>
        <v>0</v>
      </c>
      <c r="J7" s="274">
        <f t="shared" si="1"/>
        <v>0</v>
      </c>
      <c r="K7" s="275">
        <f>'人员人工-研发人员工资'!K7</f>
        <v>0</v>
      </c>
      <c r="L7" s="274">
        <f t="shared" si="2"/>
        <v>0</v>
      </c>
      <c r="M7" s="273">
        <f>'人员人工-研发人员工资'!M7</f>
        <v>0</v>
      </c>
      <c r="N7" s="274">
        <f t="shared" si="3"/>
        <v>0</v>
      </c>
      <c r="O7" s="273">
        <f>'人员人工-研发人员工资'!O7</f>
        <v>0</v>
      </c>
      <c r="P7" s="274">
        <f t="shared" si="4"/>
        <v>0</v>
      </c>
      <c r="Q7" s="273">
        <f>'人员人工-研发人员工资'!Q7</f>
        <v>0</v>
      </c>
      <c r="R7" s="274">
        <f t="shared" si="5"/>
        <v>0</v>
      </c>
      <c r="S7" s="273">
        <f>'人员人工-研发人员工资'!S7</f>
        <v>0</v>
      </c>
      <c r="T7" s="274">
        <f t="shared" si="6"/>
        <v>0</v>
      </c>
      <c r="U7" s="273">
        <f>'人员人工-研发人员工资'!U7</f>
        <v>0</v>
      </c>
      <c r="V7" s="274">
        <f t="shared" si="7"/>
        <v>0</v>
      </c>
      <c r="W7" s="273">
        <f>'人员人工-研发人员工资'!W7</f>
        <v>0</v>
      </c>
      <c r="X7" s="274">
        <f t="shared" si="8"/>
        <v>0</v>
      </c>
      <c r="Y7" s="273">
        <f>'人员人工-研发人员工资'!Y7</f>
        <v>0</v>
      </c>
      <c r="Z7" s="274">
        <f t="shared" si="9"/>
        <v>0</v>
      </c>
    </row>
    <row r="8" s="251" customFormat="1" customHeight="1" spans="1:26">
      <c r="A8" s="270">
        <v>3</v>
      </c>
      <c r="B8" s="271">
        <f>'人员人工-研发人员工资'!B8</f>
        <v>0</v>
      </c>
      <c r="C8" s="272"/>
      <c r="D8" s="272">
        <f>'人员人工-研发人员工资'!D8</f>
        <v>0</v>
      </c>
      <c r="E8" s="272">
        <f t="shared" si="0"/>
        <v>0</v>
      </c>
      <c r="F8" s="272">
        <f t="shared" si="10"/>
        <v>0</v>
      </c>
      <c r="G8" s="273">
        <f>'人员人工-研发人员工资'!G8</f>
        <v>0</v>
      </c>
      <c r="H8" s="274">
        <f t="shared" si="11"/>
        <v>0</v>
      </c>
      <c r="I8" s="273">
        <f>'人员人工-研发人员工资'!I8</f>
        <v>0</v>
      </c>
      <c r="J8" s="274">
        <f t="shared" si="1"/>
        <v>0</v>
      </c>
      <c r="K8" s="275">
        <f>'人员人工-研发人员工资'!K8</f>
        <v>0</v>
      </c>
      <c r="L8" s="274">
        <f t="shared" si="2"/>
        <v>0</v>
      </c>
      <c r="M8" s="273">
        <f>'人员人工-研发人员工资'!M8</f>
        <v>0</v>
      </c>
      <c r="N8" s="274">
        <f t="shared" si="3"/>
        <v>0</v>
      </c>
      <c r="O8" s="273">
        <f>'人员人工-研发人员工资'!O8</f>
        <v>0</v>
      </c>
      <c r="P8" s="274">
        <f t="shared" si="4"/>
        <v>0</v>
      </c>
      <c r="Q8" s="273">
        <f>'人员人工-研发人员工资'!Q8</f>
        <v>0</v>
      </c>
      <c r="R8" s="274">
        <f t="shared" si="5"/>
        <v>0</v>
      </c>
      <c r="S8" s="273">
        <f>'人员人工-研发人员工资'!S8</f>
        <v>0</v>
      </c>
      <c r="T8" s="274">
        <f t="shared" si="6"/>
        <v>0</v>
      </c>
      <c r="U8" s="273">
        <f>'人员人工-研发人员工资'!U8</f>
        <v>0</v>
      </c>
      <c r="V8" s="274">
        <f t="shared" si="7"/>
        <v>0</v>
      </c>
      <c r="W8" s="273">
        <f>'人员人工-研发人员工资'!W8</f>
        <v>0</v>
      </c>
      <c r="X8" s="274">
        <f t="shared" si="8"/>
        <v>0</v>
      </c>
      <c r="Y8" s="273">
        <f>'人员人工-研发人员工资'!Y8</f>
        <v>0</v>
      </c>
      <c r="Z8" s="274">
        <f t="shared" si="9"/>
        <v>0</v>
      </c>
    </row>
    <row r="9" s="251" customFormat="1" customHeight="1" spans="1:26">
      <c r="A9" s="270">
        <v>4</v>
      </c>
      <c r="B9" s="271">
        <f>'人员人工-研发人员工资'!B9</f>
        <v>0</v>
      </c>
      <c r="C9" s="272"/>
      <c r="D9" s="272">
        <f>'人员人工-研发人员工资'!D9</f>
        <v>0</v>
      </c>
      <c r="E9" s="272">
        <f t="shared" si="0"/>
        <v>0</v>
      </c>
      <c r="F9" s="272">
        <f t="shared" si="10"/>
        <v>0</v>
      </c>
      <c r="G9" s="273">
        <f>'人员人工-研发人员工资'!G9</f>
        <v>0</v>
      </c>
      <c r="H9" s="274">
        <f t="shared" si="11"/>
        <v>0</v>
      </c>
      <c r="I9" s="273">
        <f>'人员人工-研发人员工资'!I9</f>
        <v>0</v>
      </c>
      <c r="J9" s="274">
        <f t="shared" si="1"/>
        <v>0</v>
      </c>
      <c r="K9" s="275">
        <f>'人员人工-研发人员工资'!K9</f>
        <v>0</v>
      </c>
      <c r="L9" s="274">
        <f t="shared" si="2"/>
        <v>0</v>
      </c>
      <c r="M9" s="273">
        <f>'人员人工-研发人员工资'!M9</f>
        <v>0</v>
      </c>
      <c r="N9" s="274">
        <f t="shared" si="3"/>
        <v>0</v>
      </c>
      <c r="O9" s="273">
        <f>'人员人工-研发人员工资'!O9</f>
        <v>0</v>
      </c>
      <c r="P9" s="274">
        <f t="shared" si="4"/>
        <v>0</v>
      </c>
      <c r="Q9" s="273">
        <f>'人员人工-研发人员工资'!Q9</f>
        <v>0</v>
      </c>
      <c r="R9" s="274">
        <f t="shared" si="5"/>
        <v>0</v>
      </c>
      <c r="S9" s="273">
        <f>'人员人工-研发人员工资'!S9</f>
        <v>0</v>
      </c>
      <c r="T9" s="274">
        <f t="shared" si="6"/>
        <v>0</v>
      </c>
      <c r="U9" s="273">
        <f>'人员人工-研发人员工资'!U9</f>
        <v>0</v>
      </c>
      <c r="V9" s="274">
        <f t="shared" si="7"/>
        <v>0</v>
      </c>
      <c r="W9" s="273">
        <f>'人员人工-研发人员工资'!W9</f>
        <v>0</v>
      </c>
      <c r="X9" s="274">
        <f t="shared" si="8"/>
        <v>0</v>
      </c>
      <c r="Y9" s="273">
        <f>'人员人工-研发人员工资'!Y9</f>
        <v>0</v>
      </c>
      <c r="Z9" s="274">
        <f t="shared" si="9"/>
        <v>0</v>
      </c>
    </row>
    <row r="10" s="251" customFormat="1" customHeight="1" spans="1:26">
      <c r="A10" s="270">
        <v>5</v>
      </c>
      <c r="B10" s="271">
        <f>'人员人工-研发人员工资'!B10</f>
        <v>0</v>
      </c>
      <c r="C10" s="272"/>
      <c r="D10" s="272">
        <f>'人员人工-研发人员工资'!D10</f>
        <v>0</v>
      </c>
      <c r="E10" s="272">
        <f t="shared" si="0"/>
        <v>0</v>
      </c>
      <c r="F10" s="272">
        <f t="shared" si="10"/>
        <v>0</v>
      </c>
      <c r="G10" s="273">
        <f>'人员人工-研发人员工资'!G10</f>
        <v>0</v>
      </c>
      <c r="H10" s="274">
        <f t="shared" si="11"/>
        <v>0</v>
      </c>
      <c r="I10" s="273">
        <f>'人员人工-研发人员工资'!I10</f>
        <v>0</v>
      </c>
      <c r="J10" s="274">
        <f t="shared" si="1"/>
        <v>0</v>
      </c>
      <c r="K10" s="275">
        <f>'人员人工-研发人员工资'!K10</f>
        <v>0</v>
      </c>
      <c r="L10" s="274">
        <f t="shared" si="2"/>
        <v>0</v>
      </c>
      <c r="M10" s="273">
        <f>'人员人工-研发人员工资'!M10</f>
        <v>0</v>
      </c>
      <c r="N10" s="274">
        <f t="shared" si="3"/>
        <v>0</v>
      </c>
      <c r="O10" s="273">
        <f>'人员人工-研发人员工资'!O10</f>
        <v>0</v>
      </c>
      <c r="P10" s="274">
        <f t="shared" si="4"/>
        <v>0</v>
      </c>
      <c r="Q10" s="273">
        <f>'人员人工-研发人员工资'!Q10</f>
        <v>0</v>
      </c>
      <c r="R10" s="274">
        <f t="shared" si="5"/>
        <v>0</v>
      </c>
      <c r="S10" s="273">
        <f>'人员人工-研发人员工资'!S10</f>
        <v>0</v>
      </c>
      <c r="T10" s="274">
        <f t="shared" si="6"/>
        <v>0</v>
      </c>
      <c r="U10" s="273">
        <f>'人员人工-研发人员工资'!U10</f>
        <v>0</v>
      </c>
      <c r="V10" s="274">
        <f t="shared" si="7"/>
        <v>0</v>
      </c>
      <c r="W10" s="273">
        <f>'人员人工-研发人员工资'!W10</f>
        <v>0</v>
      </c>
      <c r="X10" s="274">
        <f t="shared" si="8"/>
        <v>0</v>
      </c>
      <c r="Y10" s="273">
        <f>'人员人工-研发人员工资'!Y10</f>
        <v>0</v>
      </c>
      <c r="Z10" s="274">
        <f t="shared" si="9"/>
        <v>0</v>
      </c>
    </row>
    <row r="11" s="251" customFormat="1" customHeight="1" spans="1:26">
      <c r="A11" s="270">
        <v>6</v>
      </c>
      <c r="B11" s="271">
        <f>'人员人工-研发人员工资'!B11</f>
        <v>0</v>
      </c>
      <c r="C11" s="274"/>
      <c r="D11" s="272">
        <f>'人员人工-研发人员工资'!D11</f>
        <v>0</v>
      </c>
      <c r="E11" s="272">
        <f t="shared" si="0"/>
        <v>0</v>
      </c>
      <c r="F11" s="272">
        <f t="shared" si="10"/>
        <v>0</v>
      </c>
      <c r="G11" s="273">
        <f>'人员人工-研发人员工资'!G11</f>
        <v>0</v>
      </c>
      <c r="H11" s="274">
        <f t="shared" si="11"/>
        <v>0</v>
      </c>
      <c r="I11" s="273">
        <f>'人员人工-研发人员工资'!I11</f>
        <v>0</v>
      </c>
      <c r="J11" s="274">
        <f t="shared" si="1"/>
        <v>0</v>
      </c>
      <c r="K11" s="275">
        <f>'人员人工-研发人员工资'!K11</f>
        <v>0</v>
      </c>
      <c r="L11" s="274">
        <f t="shared" si="2"/>
        <v>0</v>
      </c>
      <c r="M11" s="273">
        <f>'人员人工-研发人员工资'!M11</f>
        <v>0</v>
      </c>
      <c r="N11" s="274">
        <f t="shared" si="3"/>
        <v>0</v>
      </c>
      <c r="O11" s="273">
        <f>'人员人工-研发人员工资'!O11</f>
        <v>0</v>
      </c>
      <c r="P11" s="274">
        <f t="shared" si="4"/>
        <v>0</v>
      </c>
      <c r="Q11" s="273">
        <f>'人员人工-研发人员工资'!Q11</f>
        <v>0</v>
      </c>
      <c r="R11" s="274">
        <f t="shared" si="5"/>
        <v>0</v>
      </c>
      <c r="S11" s="273">
        <f>'人员人工-研发人员工资'!S11</f>
        <v>0</v>
      </c>
      <c r="T11" s="274">
        <f t="shared" si="6"/>
        <v>0</v>
      </c>
      <c r="U11" s="273">
        <f>'人员人工-研发人员工资'!U11</f>
        <v>0</v>
      </c>
      <c r="V11" s="274">
        <f t="shared" si="7"/>
        <v>0</v>
      </c>
      <c r="W11" s="273">
        <f>'人员人工-研发人员工资'!W11</f>
        <v>0</v>
      </c>
      <c r="X11" s="274">
        <f t="shared" si="8"/>
        <v>0</v>
      </c>
      <c r="Y11" s="273">
        <f>'人员人工-研发人员工资'!Y11</f>
        <v>0</v>
      </c>
      <c r="Z11" s="274">
        <f t="shared" si="9"/>
        <v>0</v>
      </c>
    </row>
    <row r="12" s="251" customFormat="1" customHeight="1" spans="1:26">
      <c r="A12" s="270">
        <v>7</v>
      </c>
      <c r="B12" s="271">
        <f>'人员人工-研发人员工资'!B12</f>
        <v>0</v>
      </c>
      <c r="C12" s="274"/>
      <c r="D12" s="272">
        <f>'人员人工-研发人员工资'!D12</f>
        <v>0</v>
      </c>
      <c r="E12" s="272">
        <f t="shared" si="0"/>
        <v>0</v>
      </c>
      <c r="F12" s="272">
        <f t="shared" si="10"/>
        <v>0</v>
      </c>
      <c r="G12" s="273">
        <f>'人员人工-研发人员工资'!G12</f>
        <v>0</v>
      </c>
      <c r="H12" s="274">
        <f t="shared" si="11"/>
        <v>0</v>
      </c>
      <c r="I12" s="273">
        <f>'人员人工-研发人员工资'!I12</f>
        <v>0</v>
      </c>
      <c r="J12" s="274">
        <f t="shared" si="1"/>
        <v>0</v>
      </c>
      <c r="K12" s="275">
        <f>'人员人工-研发人员工资'!K12</f>
        <v>0</v>
      </c>
      <c r="L12" s="274">
        <f t="shared" si="2"/>
        <v>0</v>
      </c>
      <c r="M12" s="273">
        <f>'人员人工-研发人员工资'!M12</f>
        <v>0</v>
      </c>
      <c r="N12" s="274">
        <f t="shared" si="3"/>
        <v>0</v>
      </c>
      <c r="O12" s="273">
        <f>'人员人工-研发人员工资'!O12</f>
        <v>0</v>
      </c>
      <c r="P12" s="274">
        <f t="shared" si="4"/>
        <v>0</v>
      </c>
      <c r="Q12" s="273">
        <f>'人员人工-研发人员工资'!Q12</f>
        <v>0</v>
      </c>
      <c r="R12" s="274">
        <f t="shared" si="5"/>
        <v>0</v>
      </c>
      <c r="S12" s="273">
        <f>'人员人工-研发人员工资'!S12</f>
        <v>0</v>
      </c>
      <c r="T12" s="274">
        <f t="shared" si="6"/>
        <v>0</v>
      </c>
      <c r="U12" s="273">
        <f>'人员人工-研发人员工资'!U12</f>
        <v>0</v>
      </c>
      <c r="V12" s="274">
        <f t="shared" si="7"/>
        <v>0</v>
      </c>
      <c r="W12" s="273">
        <f>'人员人工-研发人员工资'!W12</f>
        <v>0</v>
      </c>
      <c r="X12" s="274">
        <f t="shared" si="8"/>
        <v>0</v>
      </c>
      <c r="Y12" s="273">
        <f>'人员人工-研发人员工资'!Y12</f>
        <v>0</v>
      </c>
      <c r="Z12" s="274">
        <f t="shared" si="9"/>
        <v>0</v>
      </c>
    </row>
    <row r="13" s="251" customFormat="1" customHeight="1" spans="1:26">
      <c r="A13" s="270">
        <v>8</v>
      </c>
      <c r="B13" s="271">
        <f>'人员人工-研发人员工资'!B13</f>
        <v>0</v>
      </c>
      <c r="C13" s="274"/>
      <c r="D13" s="272">
        <f>'人员人工-研发人员工资'!D13</f>
        <v>0</v>
      </c>
      <c r="E13" s="272">
        <f t="shared" si="0"/>
        <v>0</v>
      </c>
      <c r="F13" s="272">
        <f t="shared" si="10"/>
        <v>0</v>
      </c>
      <c r="G13" s="273">
        <f>'人员人工-研发人员工资'!G13</f>
        <v>0</v>
      </c>
      <c r="H13" s="274">
        <f t="shared" si="11"/>
        <v>0</v>
      </c>
      <c r="I13" s="273">
        <f>'人员人工-研发人员工资'!I13</f>
        <v>0</v>
      </c>
      <c r="J13" s="274">
        <f t="shared" si="1"/>
        <v>0</v>
      </c>
      <c r="K13" s="275">
        <f>'人员人工-研发人员工资'!K13</f>
        <v>0</v>
      </c>
      <c r="L13" s="274">
        <f t="shared" si="2"/>
        <v>0</v>
      </c>
      <c r="M13" s="273">
        <f>'人员人工-研发人员工资'!M13</f>
        <v>0</v>
      </c>
      <c r="N13" s="274">
        <f t="shared" si="3"/>
        <v>0</v>
      </c>
      <c r="O13" s="273">
        <f>'人员人工-研发人员工资'!O13</f>
        <v>0</v>
      </c>
      <c r="P13" s="274">
        <f t="shared" si="4"/>
        <v>0</v>
      </c>
      <c r="Q13" s="273">
        <f>'人员人工-研发人员工资'!Q13</f>
        <v>0</v>
      </c>
      <c r="R13" s="274">
        <f t="shared" si="5"/>
        <v>0</v>
      </c>
      <c r="S13" s="273">
        <f>'人员人工-研发人员工资'!S13</f>
        <v>0</v>
      </c>
      <c r="T13" s="274">
        <f t="shared" si="6"/>
        <v>0</v>
      </c>
      <c r="U13" s="273">
        <f>'人员人工-研发人员工资'!U13</f>
        <v>0</v>
      </c>
      <c r="V13" s="274">
        <f t="shared" si="7"/>
        <v>0</v>
      </c>
      <c r="W13" s="273">
        <f>'人员人工-研发人员工资'!W13</f>
        <v>0</v>
      </c>
      <c r="X13" s="274">
        <f t="shared" si="8"/>
        <v>0</v>
      </c>
      <c r="Y13" s="273">
        <f>'人员人工-研发人员工资'!Y13</f>
        <v>0</v>
      </c>
      <c r="Z13" s="274">
        <f t="shared" si="9"/>
        <v>0</v>
      </c>
    </row>
    <row r="14" s="251" customFormat="1" customHeight="1" spans="1:26">
      <c r="A14" s="270">
        <v>9</v>
      </c>
      <c r="B14" s="271">
        <f>'人员人工-研发人员工资'!B14</f>
        <v>0</v>
      </c>
      <c r="C14" s="274"/>
      <c r="D14" s="272">
        <f>'人员人工-研发人员工资'!D14</f>
        <v>0</v>
      </c>
      <c r="E14" s="272">
        <f t="shared" si="0"/>
        <v>0</v>
      </c>
      <c r="F14" s="272">
        <f t="shared" si="10"/>
        <v>0</v>
      </c>
      <c r="G14" s="273">
        <f>'人员人工-研发人员工资'!G14</f>
        <v>0</v>
      </c>
      <c r="H14" s="274">
        <f t="shared" si="11"/>
        <v>0</v>
      </c>
      <c r="I14" s="273">
        <f>'人员人工-研发人员工资'!I14</f>
        <v>0</v>
      </c>
      <c r="J14" s="274">
        <f t="shared" si="1"/>
        <v>0</v>
      </c>
      <c r="K14" s="275">
        <f>'人员人工-研发人员工资'!K14</f>
        <v>0</v>
      </c>
      <c r="L14" s="274">
        <f t="shared" si="2"/>
        <v>0</v>
      </c>
      <c r="M14" s="273">
        <f>'人员人工-研发人员工资'!M14</f>
        <v>0</v>
      </c>
      <c r="N14" s="274">
        <f t="shared" si="3"/>
        <v>0</v>
      </c>
      <c r="O14" s="273">
        <f>'人员人工-研发人员工资'!O14</f>
        <v>0</v>
      </c>
      <c r="P14" s="274">
        <f t="shared" si="4"/>
        <v>0</v>
      </c>
      <c r="Q14" s="273">
        <f>'人员人工-研发人员工资'!Q14</f>
        <v>0</v>
      </c>
      <c r="R14" s="274">
        <f t="shared" si="5"/>
        <v>0</v>
      </c>
      <c r="S14" s="273">
        <f>'人员人工-研发人员工资'!S14</f>
        <v>0</v>
      </c>
      <c r="T14" s="274">
        <f t="shared" si="6"/>
        <v>0</v>
      </c>
      <c r="U14" s="273">
        <f>'人员人工-研发人员工资'!U14</f>
        <v>0</v>
      </c>
      <c r="V14" s="274">
        <f t="shared" si="7"/>
        <v>0</v>
      </c>
      <c r="W14" s="273">
        <f>'人员人工-研发人员工资'!W14</f>
        <v>0</v>
      </c>
      <c r="X14" s="274">
        <f t="shared" si="8"/>
        <v>0</v>
      </c>
      <c r="Y14" s="273">
        <f>'人员人工-研发人员工资'!Y14</f>
        <v>0</v>
      </c>
      <c r="Z14" s="274">
        <f t="shared" si="9"/>
        <v>0</v>
      </c>
    </row>
    <row r="15" s="251" customFormat="1" customHeight="1" spans="1:26">
      <c r="A15" s="270">
        <v>10</v>
      </c>
      <c r="B15" s="271">
        <f>'人员人工-研发人员工资'!B15</f>
        <v>0</v>
      </c>
      <c r="C15" s="274"/>
      <c r="D15" s="272">
        <f>'人员人工-研发人员工资'!D15</f>
        <v>0</v>
      </c>
      <c r="E15" s="272">
        <f t="shared" si="0"/>
        <v>0</v>
      </c>
      <c r="F15" s="272">
        <f t="shared" si="10"/>
        <v>0</v>
      </c>
      <c r="G15" s="273">
        <f>'人员人工-研发人员工资'!G15</f>
        <v>0</v>
      </c>
      <c r="H15" s="274">
        <f t="shared" si="11"/>
        <v>0</v>
      </c>
      <c r="I15" s="273">
        <f>'人员人工-研发人员工资'!I15</f>
        <v>0</v>
      </c>
      <c r="J15" s="274">
        <f t="shared" si="1"/>
        <v>0</v>
      </c>
      <c r="K15" s="275">
        <f>'人员人工-研发人员工资'!K15</f>
        <v>0</v>
      </c>
      <c r="L15" s="274">
        <f t="shared" si="2"/>
        <v>0</v>
      </c>
      <c r="M15" s="273">
        <f>'人员人工-研发人员工资'!M15</f>
        <v>0</v>
      </c>
      <c r="N15" s="274">
        <f t="shared" si="3"/>
        <v>0</v>
      </c>
      <c r="O15" s="273">
        <f>'人员人工-研发人员工资'!O15</f>
        <v>0</v>
      </c>
      <c r="P15" s="274">
        <f t="shared" si="4"/>
        <v>0</v>
      </c>
      <c r="Q15" s="273">
        <f>'人员人工-研发人员工资'!Q15</f>
        <v>0</v>
      </c>
      <c r="R15" s="274">
        <f t="shared" si="5"/>
        <v>0</v>
      </c>
      <c r="S15" s="273">
        <f>'人员人工-研发人员工资'!S15</f>
        <v>0</v>
      </c>
      <c r="T15" s="274">
        <f t="shared" si="6"/>
        <v>0</v>
      </c>
      <c r="U15" s="273">
        <f>'人员人工-研发人员工资'!U15</f>
        <v>0</v>
      </c>
      <c r="V15" s="274">
        <f t="shared" si="7"/>
        <v>0</v>
      </c>
      <c r="W15" s="273">
        <f>'人员人工-研发人员工资'!W15</f>
        <v>0</v>
      </c>
      <c r="X15" s="274">
        <f t="shared" si="8"/>
        <v>0</v>
      </c>
      <c r="Y15" s="273">
        <f>'人员人工-研发人员工资'!Y15</f>
        <v>0</v>
      </c>
      <c r="Z15" s="274">
        <f t="shared" si="9"/>
        <v>0</v>
      </c>
    </row>
    <row r="16" s="251" customFormat="1" customHeight="1" spans="1:26">
      <c r="A16" s="270">
        <v>11</v>
      </c>
      <c r="B16" s="271">
        <f>'人员人工-研发人员工资'!B16</f>
        <v>0</v>
      </c>
      <c r="C16" s="274"/>
      <c r="D16" s="272">
        <f>'人员人工-研发人员工资'!D16</f>
        <v>0</v>
      </c>
      <c r="E16" s="272">
        <f t="shared" si="0"/>
        <v>0</v>
      </c>
      <c r="F16" s="272">
        <f t="shared" si="10"/>
        <v>0</v>
      </c>
      <c r="G16" s="273">
        <f>'人员人工-研发人员工资'!G16</f>
        <v>0</v>
      </c>
      <c r="H16" s="274">
        <f t="shared" si="11"/>
        <v>0</v>
      </c>
      <c r="I16" s="273">
        <f>'人员人工-研发人员工资'!I16</f>
        <v>0</v>
      </c>
      <c r="J16" s="274">
        <f t="shared" si="1"/>
        <v>0</v>
      </c>
      <c r="K16" s="275">
        <f>'人员人工-研发人员工资'!K16</f>
        <v>0</v>
      </c>
      <c r="L16" s="274">
        <f t="shared" si="2"/>
        <v>0</v>
      </c>
      <c r="M16" s="273">
        <f>'人员人工-研发人员工资'!M16</f>
        <v>0</v>
      </c>
      <c r="N16" s="274">
        <f t="shared" si="3"/>
        <v>0</v>
      </c>
      <c r="O16" s="273">
        <f>'人员人工-研发人员工资'!O16</f>
        <v>0</v>
      </c>
      <c r="P16" s="274">
        <f t="shared" si="4"/>
        <v>0</v>
      </c>
      <c r="Q16" s="273">
        <f>'人员人工-研发人员工资'!Q16</f>
        <v>0</v>
      </c>
      <c r="R16" s="274">
        <f t="shared" si="5"/>
        <v>0</v>
      </c>
      <c r="S16" s="273">
        <f>'人员人工-研发人员工资'!S16</f>
        <v>0</v>
      </c>
      <c r="T16" s="274">
        <f t="shared" si="6"/>
        <v>0</v>
      </c>
      <c r="U16" s="273">
        <f>'人员人工-研发人员工资'!U16</f>
        <v>0</v>
      </c>
      <c r="V16" s="274">
        <f t="shared" si="7"/>
        <v>0</v>
      </c>
      <c r="W16" s="273">
        <f>'人员人工-研发人员工资'!W16</f>
        <v>0</v>
      </c>
      <c r="X16" s="274">
        <f t="shared" si="8"/>
        <v>0</v>
      </c>
      <c r="Y16" s="273">
        <f>'人员人工-研发人员工资'!Y16</f>
        <v>0</v>
      </c>
      <c r="Z16" s="274">
        <f t="shared" si="9"/>
        <v>0</v>
      </c>
    </row>
    <row r="17" s="251" customFormat="1" customHeight="1" spans="1:26">
      <c r="A17" s="270">
        <v>12</v>
      </c>
      <c r="B17" s="271">
        <f>'人员人工-研发人员工资'!B17</f>
        <v>0</v>
      </c>
      <c r="C17" s="274"/>
      <c r="D17" s="272">
        <f>'人员人工-研发人员工资'!D17</f>
        <v>0</v>
      </c>
      <c r="E17" s="272">
        <f t="shared" si="0"/>
        <v>0</v>
      </c>
      <c r="F17" s="272">
        <f t="shared" si="10"/>
        <v>0</v>
      </c>
      <c r="G17" s="273">
        <f>'人员人工-研发人员工资'!G17</f>
        <v>0</v>
      </c>
      <c r="H17" s="274">
        <f t="shared" si="11"/>
        <v>0</v>
      </c>
      <c r="I17" s="273">
        <f>'人员人工-研发人员工资'!I17</f>
        <v>0</v>
      </c>
      <c r="J17" s="274">
        <f t="shared" si="1"/>
        <v>0</v>
      </c>
      <c r="K17" s="275">
        <f>'人员人工-研发人员工资'!K17</f>
        <v>0</v>
      </c>
      <c r="L17" s="274">
        <f t="shared" si="2"/>
        <v>0</v>
      </c>
      <c r="M17" s="273">
        <f>'人员人工-研发人员工资'!M17</f>
        <v>0</v>
      </c>
      <c r="N17" s="274">
        <f t="shared" si="3"/>
        <v>0</v>
      </c>
      <c r="O17" s="273">
        <f>'人员人工-研发人员工资'!O17</f>
        <v>0</v>
      </c>
      <c r="P17" s="274">
        <f t="shared" si="4"/>
        <v>0</v>
      </c>
      <c r="Q17" s="273">
        <f>'人员人工-研发人员工资'!Q17</f>
        <v>0</v>
      </c>
      <c r="R17" s="274">
        <f t="shared" si="5"/>
        <v>0</v>
      </c>
      <c r="S17" s="273">
        <f>'人员人工-研发人员工资'!S17</f>
        <v>0</v>
      </c>
      <c r="T17" s="274">
        <f t="shared" si="6"/>
        <v>0</v>
      </c>
      <c r="U17" s="273">
        <f>'人员人工-研发人员工资'!U17</f>
        <v>0</v>
      </c>
      <c r="V17" s="274">
        <f t="shared" si="7"/>
        <v>0</v>
      </c>
      <c r="W17" s="273">
        <f>'人员人工-研发人员工资'!W17</f>
        <v>0</v>
      </c>
      <c r="X17" s="274">
        <f t="shared" si="8"/>
        <v>0</v>
      </c>
      <c r="Y17" s="273">
        <f>'人员人工-研发人员工资'!Y17</f>
        <v>0</v>
      </c>
      <c r="Z17" s="274">
        <f t="shared" si="9"/>
        <v>0</v>
      </c>
    </row>
    <row r="18" s="251" customFormat="1" customHeight="1" spans="1:26">
      <c r="A18" s="270">
        <v>13</v>
      </c>
      <c r="B18" s="271">
        <f>'人员人工-研发人员工资'!B18</f>
        <v>0</v>
      </c>
      <c r="C18" s="274"/>
      <c r="D18" s="272">
        <f>'人员人工-研发人员工资'!D18</f>
        <v>0</v>
      </c>
      <c r="E18" s="272">
        <f t="shared" si="0"/>
        <v>0</v>
      </c>
      <c r="F18" s="272">
        <f t="shared" si="10"/>
        <v>0</v>
      </c>
      <c r="G18" s="273">
        <f>'人员人工-研发人员工资'!G18</f>
        <v>0</v>
      </c>
      <c r="H18" s="274">
        <f t="shared" si="11"/>
        <v>0</v>
      </c>
      <c r="I18" s="273">
        <f>'人员人工-研发人员工资'!I18</f>
        <v>0</v>
      </c>
      <c r="J18" s="274">
        <f t="shared" si="1"/>
        <v>0</v>
      </c>
      <c r="K18" s="275">
        <f>'人员人工-研发人员工资'!K18</f>
        <v>0</v>
      </c>
      <c r="L18" s="274">
        <f t="shared" si="2"/>
        <v>0</v>
      </c>
      <c r="M18" s="273">
        <f>'人员人工-研发人员工资'!M18</f>
        <v>0</v>
      </c>
      <c r="N18" s="274">
        <f t="shared" si="3"/>
        <v>0</v>
      </c>
      <c r="O18" s="273">
        <f>'人员人工-研发人员工资'!O18</f>
        <v>0</v>
      </c>
      <c r="P18" s="274">
        <f t="shared" si="4"/>
        <v>0</v>
      </c>
      <c r="Q18" s="273">
        <f>'人员人工-研发人员工资'!Q18</f>
        <v>0</v>
      </c>
      <c r="R18" s="274">
        <f t="shared" si="5"/>
        <v>0</v>
      </c>
      <c r="S18" s="273">
        <f>'人员人工-研发人员工资'!S18</f>
        <v>0</v>
      </c>
      <c r="T18" s="274">
        <f t="shared" si="6"/>
        <v>0</v>
      </c>
      <c r="U18" s="273">
        <f>'人员人工-研发人员工资'!U18</f>
        <v>0</v>
      </c>
      <c r="V18" s="274">
        <f t="shared" si="7"/>
        <v>0</v>
      </c>
      <c r="W18" s="273">
        <f>'人员人工-研发人员工资'!W18</f>
        <v>0</v>
      </c>
      <c r="X18" s="274">
        <f t="shared" si="8"/>
        <v>0</v>
      </c>
      <c r="Y18" s="273">
        <f>'人员人工-研发人员工资'!Y18</f>
        <v>0</v>
      </c>
      <c r="Z18" s="274">
        <f t="shared" si="9"/>
        <v>0</v>
      </c>
    </row>
    <row r="19" s="251" customFormat="1" customHeight="1" spans="1:26">
      <c r="A19" s="270">
        <v>14</v>
      </c>
      <c r="B19" s="271">
        <f>'人员人工-研发人员工资'!B19</f>
        <v>0</v>
      </c>
      <c r="C19" s="274"/>
      <c r="D19" s="272">
        <f>'人员人工-研发人员工资'!D19</f>
        <v>0</v>
      </c>
      <c r="E19" s="272">
        <f t="shared" si="0"/>
        <v>0</v>
      </c>
      <c r="F19" s="272">
        <f t="shared" si="10"/>
        <v>0</v>
      </c>
      <c r="G19" s="273">
        <f>'人员人工-研发人员工资'!G19</f>
        <v>0</v>
      </c>
      <c r="H19" s="274">
        <f t="shared" si="11"/>
        <v>0</v>
      </c>
      <c r="I19" s="273">
        <f>'人员人工-研发人员工资'!I19</f>
        <v>0</v>
      </c>
      <c r="J19" s="274">
        <f t="shared" si="1"/>
        <v>0</v>
      </c>
      <c r="K19" s="275">
        <f>'人员人工-研发人员工资'!K19</f>
        <v>0</v>
      </c>
      <c r="L19" s="274">
        <f t="shared" si="2"/>
        <v>0</v>
      </c>
      <c r="M19" s="273">
        <f>'人员人工-研发人员工资'!M19</f>
        <v>0</v>
      </c>
      <c r="N19" s="274">
        <f t="shared" si="3"/>
        <v>0</v>
      </c>
      <c r="O19" s="273">
        <f>'人员人工-研发人员工资'!O19</f>
        <v>0</v>
      </c>
      <c r="P19" s="274">
        <f t="shared" si="4"/>
        <v>0</v>
      </c>
      <c r="Q19" s="273">
        <f>'人员人工-研发人员工资'!Q19</f>
        <v>0</v>
      </c>
      <c r="R19" s="274">
        <f t="shared" si="5"/>
        <v>0</v>
      </c>
      <c r="S19" s="273">
        <f>'人员人工-研发人员工资'!S19</f>
        <v>0</v>
      </c>
      <c r="T19" s="274">
        <f t="shared" si="6"/>
        <v>0</v>
      </c>
      <c r="U19" s="273">
        <f>'人员人工-研发人员工资'!U19</f>
        <v>0</v>
      </c>
      <c r="V19" s="274">
        <f t="shared" si="7"/>
        <v>0</v>
      </c>
      <c r="W19" s="273">
        <f>'人员人工-研发人员工资'!W19</f>
        <v>0</v>
      </c>
      <c r="X19" s="274">
        <f t="shared" si="8"/>
        <v>0</v>
      </c>
      <c r="Y19" s="273">
        <f>'人员人工-研发人员工资'!Y19</f>
        <v>0</v>
      </c>
      <c r="Z19" s="274">
        <f t="shared" si="9"/>
        <v>0</v>
      </c>
    </row>
    <row r="20" s="251" customFormat="1" customHeight="1" spans="1:26">
      <c r="A20" s="270">
        <v>15</v>
      </c>
      <c r="B20" s="271">
        <f>'人员人工-研发人员工资'!B20</f>
        <v>0</v>
      </c>
      <c r="C20" s="274"/>
      <c r="D20" s="272">
        <f>'人员人工-研发人员工资'!D20</f>
        <v>0</v>
      </c>
      <c r="E20" s="272">
        <f t="shared" si="0"/>
        <v>0</v>
      </c>
      <c r="F20" s="272">
        <f t="shared" si="10"/>
        <v>0</v>
      </c>
      <c r="G20" s="273">
        <f>'人员人工-研发人员工资'!G20</f>
        <v>0</v>
      </c>
      <c r="H20" s="274">
        <f t="shared" si="11"/>
        <v>0</v>
      </c>
      <c r="I20" s="273">
        <f>'人员人工-研发人员工资'!I20</f>
        <v>0</v>
      </c>
      <c r="J20" s="274">
        <f t="shared" si="1"/>
        <v>0</v>
      </c>
      <c r="K20" s="275">
        <f>'人员人工-研发人员工资'!K20</f>
        <v>0</v>
      </c>
      <c r="L20" s="274">
        <f t="shared" si="2"/>
        <v>0</v>
      </c>
      <c r="M20" s="273">
        <f>'人员人工-研发人员工资'!M20</f>
        <v>0</v>
      </c>
      <c r="N20" s="274">
        <f t="shared" si="3"/>
        <v>0</v>
      </c>
      <c r="O20" s="273">
        <f>'人员人工-研发人员工资'!O20</f>
        <v>0</v>
      </c>
      <c r="P20" s="274">
        <f t="shared" si="4"/>
        <v>0</v>
      </c>
      <c r="Q20" s="273">
        <f>'人员人工-研发人员工资'!Q20</f>
        <v>0</v>
      </c>
      <c r="R20" s="274">
        <f t="shared" si="5"/>
        <v>0</v>
      </c>
      <c r="S20" s="273">
        <f>'人员人工-研发人员工资'!S20</f>
        <v>0</v>
      </c>
      <c r="T20" s="274">
        <f t="shared" si="6"/>
        <v>0</v>
      </c>
      <c r="U20" s="273">
        <f>'人员人工-研发人员工资'!U20</f>
        <v>0</v>
      </c>
      <c r="V20" s="274">
        <f t="shared" si="7"/>
        <v>0</v>
      </c>
      <c r="W20" s="273">
        <f>'人员人工-研发人员工资'!W20</f>
        <v>0</v>
      </c>
      <c r="X20" s="274">
        <f t="shared" si="8"/>
        <v>0</v>
      </c>
      <c r="Y20" s="273">
        <f>'人员人工-研发人员工资'!Y20</f>
        <v>0</v>
      </c>
      <c r="Z20" s="274">
        <f t="shared" si="9"/>
        <v>0</v>
      </c>
    </row>
    <row r="21" s="251" customFormat="1" customHeight="1" spans="1:26">
      <c r="A21" s="270">
        <v>16</v>
      </c>
      <c r="B21" s="271">
        <f>'人员人工-研发人员工资'!B21</f>
        <v>0</v>
      </c>
      <c r="C21" s="274"/>
      <c r="D21" s="272">
        <f>'人员人工-研发人员工资'!D21</f>
        <v>0</v>
      </c>
      <c r="E21" s="272">
        <f t="shared" si="0"/>
        <v>0</v>
      </c>
      <c r="F21" s="272">
        <f t="shared" si="10"/>
        <v>0</v>
      </c>
      <c r="G21" s="273">
        <f>'人员人工-研发人员工资'!G21</f>
        <v>0</v>
      </c>
      <c r="H21" s="274">
        <f t="shared" si="11"/>
        <v>0</v>
      </c>
      <c r="I21" s="273">
        <f>'人员人工-研发人员工资'!I21</f>
        <v>0</v>
      </c>
      <c r="J21" s="274">
        <f t="shared" si="1"/>
        <v>0</v>
      </c>
      <c r="K21" s="275">
        <f>'人员人工-研发人员工资'!K21</f>
        <v>0</v>
      </c>
      <c r="L21" s="274">
        <f t="shared" si="2"/>
        <v>0</v>
      </c>
      <c r="M21" s="273">
        <f>'人员人工-研发人员工资'!M21</f>
        <v>0</v>
      </c>
      <c r="N21" s="274">
        <f t="shared" si="3"/>
        <v>0</v>
      </c>
      <c r="O21" s="273">
        <f>'人员人工-研发人员工资'!O21</f>
        <v>0</v>
      </c>
      <c r="P21" s="274">
        <f t="shared" si="4"/>
        <v>0</v>
      </c>
      <c r="Q21" s="273">
        <f>'人员人工-研发人员工资'!Q21</f>
        <v>0</v>
      </c>
      <c r="R21" s="274">
        <f t="shared" si="5"/>
        <v>0</v>
      </c>
      <c r="S21" s="273">
        <f>'人员人工-研发人员工资'!S21</f>
        <v>0</v>
      </c>
      <c r="T21" s="274">
        <f t="shared" si="6"/>
        <v>0</v>
      </c>
      <c r="U21" s="273">
        <f>'人员人工-研发人员工资'!U21</f>
        <v>0</v>
      </c>
      <c r="V21" s="274">
        <f t="shared" si="7"/>
        <v>0</v>
      </c>
      <c r="W21" s="273">
        <f>'人员人工-研发人员工资'!W21</f>
        <v>0</v>
      </c>
      <c r="X21" s="274">
        <f t="shared" si="8"/>
        <v>0</v>
      </c>
      <c r="Y21" s="273">
        <f>'人员人工-研发人员工资'!Y21</f>
        <v>0</v>
      </c>
      <c r="Z21" s="274">
        <f t="shared" si="9"/>
        <v>0</v>
      </c>
    </row>
    <row r="22" s="251" customFormat="1" customHeight="1" spans="1:26">
      <c r="A22" s="270">
        <v>17</v>
      </c>
      <c r="B22" s="271">
        <f>'人员人工-研发人员工资'!B22</f>
        <v>0</v>
      </c>
      <c r="C22" s="274"/>
      <c r="D22" s="272">
        <f>'人员人工-研发人员工资'!D22</f>
        <v>0</v>
      </c>
      <c r="E22" s="272">
        <f t="shared" si="0"/>
        <v>0</v>
      </c>
      <c r="F22" s="272">
        <f t="shared" si="10"/>
        <v>0</v>
      </c>
      <c r="G22" s="273">
        <f>'人员人工-研发人员工资'!G22</f>
        <v>0</v>
      </c>
      <c r="H22" s="274">
        <f t="shared" si="11"/>
        <v>0</v>
      </c>
      <c r="I22" s="273">
        <f>'人员人工-研发人员工资'!I22</f>
        <v>0</v>
      </c>
      <c r="J22" s="274">
        <f t="shared" si="1"/>
        <v>0</v>
      </c>
      <c r="K22" s="275">
        <f>'人员人工-研发人员工资'!K22</f>
        <v>0</v>
      </c>
      <c r="L22" s="274">
        <f t="shared" si="2"/>
        <v>0</v>
      </c>
      <c r="M22" s="273">
        <f>'人员人工-研发人员工资'!M22</f>
        <v>0</v>
      </c>
      <c r="N22" s="274">
        <f t="shared" si="3"/>
        <v>0</v>
      </c>
      <c r="O22" s="273">
        <f>'人员人工-研发人员工资'!O22</f>
        <v>0</v>
      </c>
      <c r="P22" s="274">
        <f t="shared" si="4"/>
        <v>0</v>
      </c>
      <c r="Q22" s="273">
        <f>'人员人工-研发人员工资'!Q22</f>
        <v>0</v>
      </c>
      <c r="R22" s="274">
        <f t="shared" si="5"/>
        <v>0</v>
      </c>
      <c r="S22" s="273">
        <f>'人员人工-研发人员工资'!S22</f>
        <v>0</v>
      </c>
      <c r="T22" s="274">
        <f t="shared" si="6"/>
        <v>0</v>
      </c>
      <c r="U22" s="273">
        <f>'人员人工-研发人员工资'!U22</f>
        <v>0</v>
      </c>
      <c r="V22" s="274">
        <f t="shared" si="7"/>
        <v>0</v>
      </c>
      <c r="W22" s="273">
        <f>'人员人工-研发人员工资'!W22</f>
        <v>0</v>
      </c>
      <c r="X22" s="274">
        <f t="shared" si="8"/>
        <v>0</v>
      </c>
      <c r="Y22" s="273">
        <f>'人员人工-研发人员工资'!Y22</f>
        <v>0</v>
      </c>
      <c r="Z22" s="274">
        <f t="shared" si="9"/>
        <v>0</v>
      </c>
    </row>
    <row r="23" s="251" customFormat="1" customHeight="1" spans="1:26">
      <c r="A23" s="270">
        <v>18</v>
      </c>
      <c r="B23" s="271">
        <f>'人员人工-研发人员工资'!B23</f>
        <v>0</v>
      </c>
      <c r="C23" s="274"/>
      <c r="D23" s="272">
        <f>'人员人工-研发人员工资'!D23</f>
        <v>0</v>
      </c>
      <c r="E23" s="272">
        <f t="shared" si="0"/>
        <v>0</v>
      </c>
      <c r="F23" s="272">
        <f t="shared" si="10"/>
        <v>0</v>
      </c>
      <c r="G23" s="273">
        <f>'人员人工-研发人员工资'!G23</f>
        <v>0</v>
      </c>
      <c r="H23" s="274">
        <f t="shared" si="11"/>
        <v>0</v>
      </c>
      <c r="I23" s="273">
        <f>'人员人工-研发人员工资'!I23</f>
        <v>0</v>
      </c>
      <c r="J23" s="274">
        <f t="shared" si="1"/>
        <v>0</v>
      </c>
      <c r="K23" s="275">
        <f>'人员人工-研发人员工资'!K23</f>
        <v>0</v>
      </c>
      <c r="L23" s="274">
        <f t="shared" si="2"/>
        <v>0</v>
      </c>
      <c r="M23" s="273">
        <f>'人员人工-研发人员工资'!M23</f>
        <v>0</v>
      </c>
      <c r="N23" s="274">
        <f t="shared" si="3"/>
        <v>0</v>
      </c>
      <c r="O23" s="273">
        <f>'人员人工-研发人员工资'!O23</f>
        <v>0</v>
      </c>
      <c r="P23" s="274">
        <f t="shared" si="4"/>
        <v>0</v>
      </c>
      <c r="Q23" s="273">
        <f>'人员人工-研发人员工资'!Q23</f>
        <v>0</v>
      </c>
      <c r="R23" s="274">
        <f t="shared" si="5"/>
        <v>0</v>
      </c>
      <c r="S23" s="273">
        <f>'人员人工-研发人员工资'!S23</f>
        <v>0</v>
      </c>
      <c r="T23" s="274">
        <f t="shared" si="6"/>
        <v>0</v>
      </c>
      <c r="U23" s="273">
        <f>'人员人工-研发人员工资'!U23</f>
        <v>0</v>
      </c>
      <c r="V23" s="274">
        <f t="shared" si="7"/>
        <v>0</v>
      </c>
      <c r="W23" s="273">
        <f>'人员人工-研发人员工资'!W23</f>
        <v>0</v>
      </c>
      <c r="X23" s="274">
        <f t="shared" si="8"/>
        <v>0</v>
      </c>
      <c r="Y23" s="273">
        <f>'人员人工-研发人员工资'!Y23</f>
        <v>0</v>
      </c>
      <c r="Z23" s="274">
        <f t="shared" si="9"/>
        <v>0</v>
      </c>
    </row>
    <row r="24" s="251" customFormat="1" customHeight="1" spans="1:26">
      <c r="A24" s="270">
        <v>19</v>
      </c>
      <c r="B24" s="271">
        <f>'人员人工-研发人员工资'!B25</f>
        <v>0</v>
      </c>
      <c r="C24" s="274"/>
      <c r="D24" s="272">
        <f>'人员人工-研发人员工资'!D25</f>
        <v>0</v>
      </c>
      <c r="E24" s="272">
        <f>G25+I25+K25+M25+O25+Q25+S25+U25+W25+Y25</f>
        <v>0</v>
      </c>
      <c r="F24" s="272">
        <f>H25+J25+L25+N25+P25+R25+T25+V25+X25+Z25</f>
        <v>0</v>
      </c>
      <c r="G24" s="273">
        <f>'人员人工-研发人员工资'!G25</f>
        <v>0</v>
      </c>
      <c r="H24" s="274">
        <f>IF($D25=0,0,ROUND(G25/$D25*$C25,2))</f>
        <v>0</v>
      </c>
      <c r="I24" s="273">
        <f>'人员人工-研发人员工资'!I25</f>
        <v>0</v>
      </c>
      <c r="J24" s="274">
        <f>IF($D25=0,0,ROUND(I25/$D25*$C25,2))</f>
        <v>0</v>
      </c>
      <c r="K24" s="275">
        <f>'人员人工-研发人员工资'!K25</f>
        <v>0</v>
      </c>
      <c r="L24" s="274">
        <f>IF($D25=0,0,ROUND(K25/$D25*$C25,2))</f>
        <v>0</v>
      </c>
      <c r="M24" s="273">
        <f>'人员人工-研发人员工资'!M25</f>
        <v>0</v>
      </c>
      <c r="N24" s="274">
        <f>IF($D25=0,0,ROUND(M25/$D25*$C25,2))</f>
        <v>0</v>
      </c>
      <c r="O24" s="273">
        <f>'人员人工-研发人员工资'!O25</f>
        <v>0</v>
      </c>
      <c r="P24" s="274">
        <f>IF($D25=0,0,ROUND(O25/$D25*$C25,2))</f>
        <v>0</v>
      </c>
      <c r="Q24" s="273">
        <f>'人员人工-研发人员工资'!Q25</f>
        <v>0</v>
      </c>
      <c r="R24" s="274">
        <f>IF($D25=0,0,ROUND(Q25/$D25*$C25,2))</f>
        <v>0</v>
      </c>
      <c r="S24" s="273">
        <f>'人员人工-研发人员工资'!S25</f>
        <v>0</v>
      </c>
      <c r="T24" s="274">
        <f>IF($D25=0,0,ROUND(S25/$D25*$C25,2))</f>
        <v>0</v>
      </c>
      <c r="U24" s="273">
        <f>'人员人工-研发人员工资'!U25</f>
        <v>0</v>
      </c>
      <c r="V24" s="274">
        <f>IF($D25=0,0,ROUND(U25/$D25*$C25,2))</f>
        <v>0</v>
      </c>
      <c r="W24" s="273">
        <f>'人员人工-研发人员工资'!W25</f>
        <v>0</v>
      </c>
      <c r="X24" s="274">
        <f>IF($D25=0,0,ROUND(W25/$D25*$C25,2))</f>
        <v>0</v>
      </c>
      <c r="Y24" s="273">
        <f>'人员人工-研发人员工资'!Y25</f>
        <v>0</v>
      </c>
      <c r="Z24" s="274">
        <f>IF($D25=0,0,ROUND(Y25/$D25*$C25,2))</f>
        <v>0</v>
      </c>
    </row>
    <row r="25" s="251" customFormat="1" customHeight="1" spans="1:26">
      <c r="A25" s="270">
        <v>20</v>
      </c>
      <c r="B25" s="271">
        <f>'人员人工-研发人员工资'!B25</f>
        <v>0</v>
      </c>
      <c r="C25" s="274"/>
      <c r="D25" s="272">
        <f>'人员人工-研发人员工资'!D25</f>
        <v>0</v>
      </c>
      <c r="E25" s="272">
        <f t="shared" si="0"/>
        <v>0</v>
      </c>
      <c r="F25" s="272">
        <f t="shared" si="10"/>
        <v>0</v>
      </c>
      <c r="G25" s="273">
        <f>'人员人工-研发人员工资'!G25</f>
        <v>0</v>
      </c>
      <c r="H25" s="274">
        <f t="shared" si="11"/>
        <v>0</v>
      </c>
      <c r="I25" s="273">
        <f>'人员人工-研发人员工资'!I25</f>
        <v>0</v>
      </c>
      <c r="J25" s="274">
        <f t="shared" si="1"/>
        <v>0</v>
      </c>
      <c r="K25" s="275">
        <f>'人员人工-研发人员工资'!K25</f>
        <v>0</v>
      </c>
      <c r="L25" s="274">
        <f t="shared" si="2"/>
        <v>0</v>
      </c>
      <c r="M25" s="273">
        <f>'人员人工-研发人员工资'!M25</f>
        <v>0</v>
      </c>
      <c r="N25" s="274">
        <f t="shared" si="3"/>
        <v>0</v>
      </c>
      <c r="O25" s="273">
        <f>'人员人工-研发人员工资'!O25</f>
        <v>0</v>
      </c>
      <c r="P25" s="274">
        <f t="shared" si="4"/>
        <v>0</v>
      </c>
      <c r="Q25" s="273">
        <f>'人员人工-研发人员工资'!Q25</f>
        <v>0</v>
      </c>
      <c r="R25" s="274">
        <f t="shared" si="5"/>
        <v>0</v>
      </c>
      <c r="S25" s="273">
        <f>'人员人工-研发人员工资'!S25</f>
        <v>0</v>
      </c>
      <c r="T25" s="274">
        <f t="shared" si="6"/>
        <v>0</v>
      </c>
      <c r="U25" s="273">
        <f>'人员人工-研发人员工资'!U25</f>
        <v>0</v>
      </c>
      <c r="V25" s="274">
        <f t="shared" si="7"/>
        <v>0</v>
      </c>
      <c r="W25" s="273">
        <f>'人员人工-研发人员工资'!W25</f>
        <v>0</v>
      </c>
      <c r="X25" s="274">
        <f t="shared" si="8"/>
        <v>0</v>
      </c>
      <c r="Y25" s="273">
        <f>'人员人工-研发人员工资'!Y25</f>
        <v>0</v>
      </c>
      <c r="Z25" s="274">
        <f t="shared" si="9"/>
        <v>0</v>
      </c>
    </row>
    <row r="26" s="251" customFormat="1" customHeight="1" spans="1:26">
      <c r="A26" s="270">
        <v>21</v>
      </c>
      <c r="B26" s="271">
        <f>'人员人工-研发人员工资'!B26</f>
        <v>0</v>
      </c>
      <c r="C26" s="274"/>
      <c r="D26" s="272">
        <f>'人员人工-研发人员工资'!D26</f>
        <v>0</v>
      </c>
      <c r="E26" s="272">
        <f t="shared" si="0"/>
        <v>0</v>
      </c>
      <c r="F26" s="272">
        <f t="shared" si="10"/>
        <v>0</v>
      </c>
      <c r="G26" s="273">
        <f>'人员人工-研发人员工资'!G26</f>
        <v>0</v>
      </c>
      <c r="H26" s="274">
        <f t="shared" si="11"/>
        <v>0</v>
      </c>
      <c r="I26" s="273">
        <f>'人员人工-研发人员工资'!I26</f>
        <v>0</v>
      </c>
      <c r="J26" s="274">
        <f t="shared" si="1"/>
        <v>0</v>
      </c>
      <c r="K26" s="275">
        <f>'人员人工-研发人员工资'!K26</f>
        <v>0</v>
      </c>
      <c r="L26" s="274">
        <f t="shared" si="2"/>
        <v>0</v>
      </c>
      <c r="M26" s="273">
        <f>'人员人工-研发人员工资'!M26</f>
        <v>0</v>
      </c>
      <c r="N26" s="274">
        <f t="shared" si="3"/>
        <v>0</v>
      </c>
      <c r="O26" s="273">
        <f>'人员人工-研发人员工资'!O26</f>
        <v>0</v>
      </c>
      <c r="P26" s="274">
        <f t="shared" si="4"/>
        <v>0</v>
      </c>
      <c r="Q26" s="273">
        <f>'人员人工-研发人员工资'!Q26</f>
        <v>0</v>
      </c>
      <c r="R26" s="274">
        <f t="shared" si="5"/>
        <v>0</v>
      </c>
      <c r="S26" s="273">
        <f>'人员人工-研发人员工资'!S26</f>
        <v>0</v>
      </c>
      <c r="T26" s="274">
        <f t="shared" si="6"/>
        <v>0</v>
      </c>
      <c r="U26" s="273">
        <f>'人员人工-研发人员工资'!U26</f>
        <v>0</v>
      </c>
      <c r="V26" s="274">
        <f t="shared" si="7"/>
        <v>0</v>
      </c>
      <c r="W26" s="273">
        <f>'人员人工-研发人员工资'!W26</f>
        <v>0</v>
      </c>
      <c r="X26" s="274">
        <f t="shared" si="8"/>
        <v>0</v>
      </c>
      <c r="Y26" s="273">
        <f>'人员人工-研发人员工资'!Y26</f>
        <v>0</v>
      </c>
      <c r="Z26" s="274">
        <f t="shared" si="9"/>
        <v>0</v>
      </c>
    </row>
    <row r="27" s="251" customFormat="1" customHeight="1" spans="1:26">
      <c r="A27" s="270">
        <v>22</v>
      </c>
      <c r="B27" s="271">
        <f>'人员人工-研发人员工资'!B27</f>
        <v>0</v>
      </c>
      <c r="C27" s="274"/>
      <c r="D27" s="272">
        <f>'人员人工-研发人员工资'!D27</f>
        <v>0</v>
      </c>
      <c r="E27" s="272">
        <f t="shared" si="0"/>
        <v>0</v>
      </c>
      <c r="F27" s="272">
        <f t="shared" si="10"/>
        <v>0</v>
      </c>
      <c r="G27" s="273">
        <f>'人员人工-研发人员工资'!G27</f>
        <v>0</v>
      </c>
      <c r="H27" s="274">
        <f t="shared" si="11"/>
        <v>0</v>
      </c>
      <c r="I27" s="273">
        <f>'人员人工-研发人员工资'!I27</f>
        <v>0</v>
      </c>
      <c r="J27" s="274">
        <f t="shared" si="1"/>
        <v>0</v>
      </c>
      <c r="K27" s="275">
        <f>'人员人工-研发人员工资'!K27</f>
        <v>0</v>
      </c>
      <c r="L27" s="274">
        <f t="shared" si="2"/>
        <v>0</v>
      </c>
      <c r="M27" s="273">
        <f>'人员人工-研发人员工资'!M27</f>
        <v>0</v>
      </c>
      <c r="N27" s="274">
        <f t="shared" si="3"/>
        <v>0</v>
      </c>
      <c r="O27" s="273">
        <f>'人员人工-研发人员工资'!O27</f>
        <v>0</v>
      </c>
      <c r="P27" s="274">
        <f t="shared" si="4"/>
        <v>0</v>
      </c>
      <c r="Q27" s="273">
        <f>'人员人工-研发人员工资'!Q27</f>
        <v>0</v>
      </c>
      <c r="R27" s="274">
        <f t="shared" si="5"/>
        <v>0</v>
      </c>
      <c r="S27" s="273">
        <f>'人员人工-研发人员工资'!S27</f>
        <v>0</v>
      </c>
      <c r="T27" s="274">
        <f t="shared" si="6"/>
        <v>0</v>
      </c>
      <c r="U27" s="273">
        <f>'人员人工-研发人员工资'!U27</f>
        <v>0</v>
      </c>
      <c r="V27" s="274">
        <f t="shared" si="7"/>
        <v>0</v>
      </c>
      <c r="W27" s="273">
        <f>'人员人工-研发人员工资'!W27</f>
        <v>0</v>
      </c>
      <c r="X27" s="274">
        <f t="shared" si="8"/>
        <v>0</v>
      </c>
      <c r="Y27" s="273">
        <f>'人员人工-研发人员工资'!Y27</f>
        <v>0</v>
      </c>
      <c r="Z27" s="274">
        <f t="shared" si="9"/>
        <v>0</v>
      </c>
    </row>
    <row r="28" s="251" customFormat="1" customHeight="1" spans="1:26">
      <c r="A28" s="270">
        <v>23</v>
      </c>
      <c r="B28" s="271">
        <f>'人员人工-研发人员工资'!B28</f>
        <v>0</v>
      </c>
      <c r="C28" s="274"/>
      <c r="D28" s="272">
        <f>'人员人工-研发人员工资'!D28</f>
        <v>0</v>
      </c>
      <c r="E28" s="272">
        <f t="shared" si="0"/>
        <v>0</v>
      </c>
      <c r="F28" s="272">
        <f t="shared" si="10"/>
        <v>0</v>
      </c>
      <c r="G28" s="273">
        <f>'人员人工-研发人员工资'!G28</f>
        <v>0</v>
      </c>
      <c r="H28" s="274">
        <f t="shared" si="11"/>
        <v>0</v>
      </c>
      <c r="I28" s="273">
        <f>'人员人工-研发人员工资'!I28</f>
        <v>0</v>
      </c>
      <c r="J28" s="274">
        <f t="shared" si="1"/>
        <v>0</v>
      </c>
      <c r="K28" s="275">
        <f>'人员人工-研发人员工资'!K28</f>
        <v>0</v>
      </c>
      <c r="L28" s="274">
        <f t="shared" si="2"/>
        <v>0</v>
      </c>
      <c r="M28" s="273">
        <f>'人员人工-研发人员工资'!M28</f>
        <v>0</v>
      </c>
      <c r="N28" s="274">
        <f t="shared" si="3"/>
        <v>0</v>
      </c>
      <c r="O28" s="273">
        <f>'人员人工-研发人员工资'!O28</f>
        <v>0</v>
      </c>
      <c r="P28" s="274">
        <f t="shared" si="4"/>
        <v>0</v>
      </c>
      <c r="Q28" s="273">
        <f>'人员人工-研发人员工资'!Q28</f>
        <v>0</v>
      </c>
      <c r="R28" s="274">
        <f t="shared" si="5"/>
        <v>0</v>
      </c>
      <c r="S28" s="273">
        <f>'人员人工-研发人员工资'!S28</f>
        <v>0</v>
      </c>
      <c r="T28" s="274">
        <f t="shared" si="6"/>
        <v>0</v>
      </c>
      <c r="U28" s="273">
        <f>'人员人工-研发人员工资'!U28</f>
        <v>0</v>
      </c>
      <c r="V28" s="274">
        <f t="shared" si="7"/>
        <v>0</v>
      </c>
      <c r="W28" s="273">
        <f>'人员人工-研发人员工资'!W28</f>
        <v>0</v>
      </c>
      <c r="X28" s="274">
        <f t="shared" si="8"/>
        <v>0</v>
      </c>
      <c r="Y28" s="273">
        <f>'人员人工-研发人员工资'!Y28</f>
        <v>0</v>
      </c>
      <c r="Z28" s="274">
        <f t="shared" si="9"/>
        <v>0</v>
      </c>
    </row>
    <row r="29" s="251" customFormat="1" customHeight="1" spans="1:26">
      <c r="A29" s="270">
        <v>25</v>
      </c>
      <c r="B29" s="271">
        <f>'人员人工-研发人员工资'!B29</f>
        <v>0</v>
      </c>
      <c r="C29" s="274"/>
      <c r="D29" s="272">
        <f>'人员人工-研发人员工资'!D29</f>
        <v>0</v>
      </c>
      <c r="E29" s="272">
        <f t="shared" si="0"/>
        <v>0</v>
      </c>
      <c r="F29" s="272">
        <f t="shared" si="10"/>
        <v>0</v>
      </c>
      <c r="G29" s="273">
        <f>'人员人工-研发人员工资'!G29</f>
        <v>0</v>
      </c>
      <c r="H29" s="274">
        <f t="shared" si="11"/>
        <v>0</v>
      </c>
      <c r="I29" s="273">
        <f>'人员人工-研发人员工资'!I29</f>
        <v>0</v>
      </c>
      <c r="J29" s="274">
        <f t="shared" si="1"/>
        <v>0</v>
      </c>
      <c r="K29" s="275">
        <f>'人员人工-研发人员工资'!K29</f>
        <v>0</v>
      </c>
      <c r="L29" s="274">
        <f t="shared" si="2"/>
        <v>0</v>
      </c>
      <c r="M29" s="273">
        <f>'人员人工-研发人员工资'!M29</f>
        <v>0</v>
      </c>
      <c r="N29" s="274">
        <f t="shared" si="3"/>
        <v>0</v>
      </c>
      <c r="O29" s="273">
        <f>'人员人工-研发人员工资'!O29</f>
        <v>0</v>
      </c>
      <c r="P29" s="274">
        <f t="shared" si="4"/>
        <v>0</v>
      </c>
      <c r="Q29" s="273">
        <f>'人员人工-研发人员工资'!Q29</f>
        <v>0</v>
      </c>
      <c r="R29" s="274">
        <f t="shared" si="5"/>
        <v>0</v>
      </c>
      <c r="S29" s="273">
        <f>'人员人工-研发人员工资'!S29</f>
        <v>0</v>
      </c>
      <c r="T29" s="274">
        <f t="shared" si="6"/>
        <v>0</v>
      </c>
      <c r="U29" s="273">
        <f>'人员人工-研发人员工资'!U29</f>
        <v>0</v>
      </c>
      <c r="V29" s="274">
        <f t="shared" si="7"/>
        <v>0</v>
      </c>
      <c r="W29" s="273">
        <f>'人员人工-研发人员工资'!W29</f>
        <v>0</v>
      </c>
      <c r="X29" s="274">
        <f t="shared" si="8"/>
        <v>0</v>
      </c>
      <c r="Y29" s="273">
        <f>'人员人工-研发人员工资'!Y29</f>
        <v>0</v>
      </c>
      <c r="Z29" s="274">
        <f t="shared" si="9"/>
        <v>0</v>
      </c>
    </row>
    <row r="30" s="251" customFormat="1" customHeight="1" spans="1:26">
      <c r="A30" s="270">
        <v>25</v>
      </c>
      <c r="B30" s="271">
        <f>'人员人工-研发人员工资'!B30</f>
        <v>0</v>
      </c>
      <c r="C30" s="274"/>
      <c r="D30" s="272">
        <f>'人员人工-研发人员工资'!D30</f>
        <v>0</v>
      </c>
      <c r="E30" s="272">
        <f t="shared" si="0"/>
        <v>0</v>
      </c>
      <c r="F30" s="272">
        <f t="shared" si="10"/>
        <v>0</v>
      </c>
      <c r="G30" s="273">
        <f>'人员人工-研发人员工资'!G30</f>
        <v>0</v>
      </c>
      <c r="H30" s="274">
        <f t="shared" si="11"/>
        <v>0</v>
      </c>
      <c r="I30" s="273">
        <f>'人员人工-研发人员工资'!I30</f>
        <v>0</v>
      </c>
      <c r="J30" s="274">
        <f t="shared" si="1"/>
        <v>0</v>
      </c>
      <c r="K30" s="275">
        <f>'人员人工-研发人员工资'!K30</f>
        <v>0</v>
      </c>
      <c r="L30" s="274">
        <f t="shared" si="2"/>
        <v>0</v>
      </c>
      <c r="M30" s="273">
        <f>'人员人工-研发人员工资'!M30</f>
        <v>0</v>
      </c>
      <c r="N30" s="274">
        <f t="shared" si="3"/>
        <v>0</v>
      </c>
      <c r="O30" s="273">
        <f>'人员人工-研发人员工资'!O30</f>
        <v>0</v>
      </c>
      <c r="P30" s="274">
        <f t="shared" si="4"/>
        <v>0</v>
      </c>
      <c r="Q30" s="273">
        <f>'人员人工-研发人员工资'!Q30</f>
        <v>0</v>
      </c>
      <c r="R30" s="274">
        <f t="shared" si="5"/>
        <v>0</v>
      </c>
      <c r="S30" s="273">
        <f>'人员人工-研发人员工资'!S30</f>
        <v>0</v>
      </c>
      <c r="T30" s="274">
        <f t="shared" si="6"/>
        <v>0</v>
      </c>
      <c r="U30" s="273">
        <f>'人员人工-研发人员工资'!U30</f>
        <v>0</v>
      </c>
      <c r="V30" s="274">
        <f t="shared" si="7"/>
        <v>0</v>
      </c>
      <c r="W30" s="273">
        <f>'人员人工-研发人员工资'!W30</f>
        <v>0</v>
      </c>
      <c r="X30" s="274">
        <f t="shared" si="8"/>
        <v>0</v>
      </c>
      <c r="Y30" s="273">
        <f>'人员人工-研发人员工资'!Y30</f>
        <v>0</v>
      </c>
      <c r="Z30" s="274">
        <f t="shared" si="9"/>
        <v>0</v>
      </c>
    </row>
    <row r="31" s="251" customFormat="1" customHeight="1" spans="1:26">
      <c r="A31" s="270">
        <v>26</v>
      </c>
      <c r="B31" s="271">
        <f>'人员人工-研发人员工资'!B31</f>
        <v>0</v>
      </c>
      <c r="C31" s="274"/>
      <c r="D31" s="272">
        <f>'人员人工-研发人员工资'!D31</f>
        <v>0</v>
      </c>
      <c r="E31" s="272">
        <f t="shared" si="0"/>
        <v>0</v>
      </c>
      <c r="F31" s="272">
        <f t="shared" si="10"/>
        <v>0</v>
      </c>
      <c r="G31" s="273">
        <f>'人员人工-研发人员工资'!G31</f>
        <v>0</v>
      </c>
      <c r="H31" s="274">
        <f t="shared" si="11"/>
        <v>0</v>
      </c>
      <c r="I31" s="273">
        <f>'人员人工-研发人员工资'!I31</f>
        <v>0</v>
      </c>
      <c r="J31" s="274">
        <f t="shared" si="1"/>
        <v>0</v>
      </c>
      <c r="K31" s="275">
        <f>'人员人工-研发人员工资'!K31</f>
        <v>0</v>
      </c>
      <c r="L31" s="274">
        <f t="shared" si="2"/>
        <v>0</v>
      </c>
      <c r="M31" s="273">
        <f>'人员人工-研发人员工资'!M31</f>
        <v>0</v>
      </c>
      <c r="N31" s="274">
        <f t="shared" si="3"/>
        <v>0</v>
      </c>
      <c r="O31" s="273">
        <f>'人员人工-研发人员工资'!O31</f>
        <v>0</v>
      </c>
      <c r="P31" s="274">
        <f t="shared" si="4"/>
        <v>0</v>
      </c>
      <c r="Q31" s="273">
        <f>'人员人工-研发人员工资'!Q31</f>
        <v>0</v>
      </c>
      <c r="R31" s="274">
        <f t="shared" si="5"/>
        <v>0</v>
      </c>
      <c r="S31" s="273">
        <f>'人员人工-研发人员工资'!S31</f>
        <v>0</v>
      </c>
      <c r="T31" s="274">
        <f t="shared" si="6"/>
        <v>0</v>
      </c>
      <c r="U31" s="273">
        <f>'人员人工-研发人员工资'!U31</f>
        <v>0</v>
      </c>
      <c r="V31" s="274">
        <f t="shared" si="7"/>
        <v>0</v>
      </c>
      <c r="W31" s="273">
        <f>'人员人工-研发人员工资'!W31</f>
        <v>0</v>
      </c>
      <c r="X31" s="274">
        <f t="shared" si="8"/>
        <v>0</v>
      </c>
      <c r="Y31" s="273">
        <f>'人员人工-研发人员工资'!Y31</f>
        <v>0</v>
      </c>
      <c r="Z31" s="274">
        <f t="shared" si="9"/>
        <v>0</v>
      </c>
    </row>
    <row r="32" s="251" customFormat="1" customHeight="1" spans="1:26">
      <c r="A32" s="270">
        <v>27</v>
      </c>
      <c r="B32" s="271">
        <f>'人员人工-研发人员工资'!B32</f>
        <v>0</v>
      </c>
      <c r="C32" s="274"/>
      <c r="D32" s="272">
        <f>'人员人工-研发人员工资'!D32</f>
        <v>0</v>
      </c>
      <c r="E32" s="272">
        <f t="shared" si="0"/>
        <v>0</v>
      </c>
      <c r="F32" s="272">
        <f t="shared" si="10"/>
        <v>0</v>
      </c>
      <c r="G32" s="273">
        <f>'人员人工-研发人员工资'!G32</f>
        <v>0</v>
      </c>
      <c r="H32" s="274">
        <f t="shared" si="11"/>
        <v>0</v>
      </c>
      <c r="I32" s="273">
        <f>'人员人工-研发人员工资'!I32</f>
        <v>0</v>
      </c>
      <c r="J32" s="274">
        <f t="shared" si="1"/>
        <v>0</v>
      </c>
      <c r="K32" s="275">
        <f>'人员人工-研发人员工资'!K32</f>
        <v>0</v>
      </c>
      <c r="L32" s="274">
        <f t="shared" si="2"/>
        <v>0</v>
      </c>
      <c r="M32" s="273">
        <f>'人员人工-研发人员工资'!M32</f>
        <v>0</v>
      </c>
      <c r="N32" s="274">
        <f t="shared" si="3"/>
        <v>0</v>
      </c>
      <c r="O32" s="273">
        <f>'人员人工-研发人员工资'!O32</f>
        <v>0</v>
      </c>
      <c r="P32" s="274">
        <f t="shared" si="4"/>
        <v>0</v>
      </c>
      <c r="Q32" s="273">
        <f>'人员人工-研发人员工资'!Q32</f>
        <v>0</v>
      </c>
      <c r="R32" s="274">
        <f t="shared" si="5"/>
        <v>0</v>
      </c>
      <c r="S32" s="273">
        <f>'人员人工-研发人员工资'!S32</f>
        <v>0</v>
      </c>
      <c r="T32" s="274">
        <f t="shared" si="6"/>
        <v>0</v>
      </c>
      <c r="U32" s="273">
        <f>'人员人工-研发人员工资'!U32</f>
        <v>0</v>
      </c>
      <c r="V32" s="274">
        <f t="shared" si="7"/>
        <v>0</v>
      </c>
      <c r="W32" s="273">
        <f>'人员人工-研发人员工资'!W32</f>
        <v>0</v>
      </c>
      <c r="X32" s="274">
        <f t="shared" si="8"/>
        <v>0</v>
      </c>
      <c r="Y32" s="273">
        <f>'人员人工-研发人员工资'!Y32</f>
        <v>0</v>
      </c>
      <c r="Z32" s="274">
        <f t="shared" si="9"/>
        <v>0</v>
      </c>
    </row>
    <row r="33" s="251" customFormat="1" customHeight="1" spans="1:26">
      <c r="A33" s="270">
        <v>28</v>
      </c>
      <c r="B33" s="271">
        <f>'人员人工-研发人员工资'!B33</f>
        <v>0</v>
      </c>
      <c r="C33" s="274"/>
      <c r="D33" s="272">
        <f>'人员人工-研发人员工资'!D33</f>
        <v>0</v>
      </c>
      <c r="E33" s="272">
        <f t="shared" si="0"/>
        <v>0</v>
      </c>
      <c r="F33" s="272">
        <f t="shared" si="10"/>
        <v>0</v>
      </c>
      <c r="G33" s="273">
        <f>'人员人工-研发人员工资'!G33</f>
        <v>0</v>
      </c>
      <c r="H33" s="274">
        <f t="shared" si="11"/>
        <v>0</v>
      </c>
      <c r="I33" s="273">
        <f>'人员人工-研发人员工资'!I33</f>
        <v>0</v>
      </c>
      <c r="J33" s="274">
        <f t="shared" si="1"/>
        <v>0</v>
      </c>
      <c r="K33" s="275">
        <f>'人员人工-研发人员工资'!K33</f>
        <v>0</v>
      </c>
      <c r="L33" s="274">
        <f t="shared" si="2"/>
        <v>0</v>
      </c>
      <c r="M33" s="273">
        <f>'人员人工-研发人员工资'!M33</f>
        <v>0</v>
      </c>
      <c r="N33" s="274">
        <f t="shared" si="3"/>
        <v>0</v>
      </c>
      <c r="O33" s="273">
        <f>'人员人工-研发人员工资'!O33</f>
        <v>0</v>
      </c>
      <c r="P33" s="274">
        <f t="shared" si="4"/>
        <v>0</v>
      </c>
      <c r="Q33" s="273">
        <f>'人员人工-研发人员工资'!Q33</f>
        <v>0</v>
      </c>
      <c r="R33" s="274">
        <f t="shared" si="5"/>
        <v>0</v>
      </c>
      <c r="S33" s="273">
        <f>'人员人工-研发人员工资'!S33</f>
        <v>0</v>
      </c>
      <c r="T33" s="274">
        <f t="shared" si="6"/>
        <v>0</v>
      </c>
      <c r="U33" s="273">
        <f>'人员人工-研发人员工资'!U33</f>
        <v>0</v>
      </c>
      <c r="V33" s="274">
        <f t="shared" si="7"/>
        <v>0</v>
      </c>
      <c r="W33" s="273">
        <f>'人员人工-研发人员工资'!W33</f>
        <v>0</v>
      </c>
      <c r="X33" s="274">
        <f t="shared" si="8"/>
        <v>0</v>
      </c>
      <c r="Y33" s="273">
        <f>'人员人工-研发人员工资'!Y33</f>
        <v>0</v>
      </c>
      <c r="Z33" s="274">
        <f t="shared" si="9"/>
        <v>0</v>
      </c>
    </row>
    <row r="34" s="251" customFormat="1" customHeight="1" spans="1:26">
      <c r="A34" s="270">
        <v>29</v>
      </c>
      <c r="B34" s="271">
        <f>'人员人工-研发人员工资'!B34</f>
        <v>0</v>
      </c>
      <c r="C34" s="274"/>
      <c r="D34" s="272">
        <f>'人员人工-研发人员工资'!D34</f>
        <v>0</v>
      </c>
      <c r="E34" s="272">
        <f t="shared" si="0"/>
        <v>0</v>
      </c>
      <c r="F34" s="272">
        <f t="shared" si="10"/>
        <v>0</v>
      </c>
      <c r="G34" s="273">
        <f>'人员人工-研发人员工资'!G34</f>
        <v>0</v>
      </c>
      <c r="H34" s="274">
        <f t="shared" si="11"/>
        <v>0</v>
      </c>
      <c r="I34" s="273">
        <f>'人员人工-研发人员工资'!I34</f>
        <v>0</v>
      </c>
      <c r="J34" s="274">
        <f t="shared" si="1"/>
        <v>0</v>
      </c>
      <c r="K34" s="275">
        <f>'人员人工-研发人员工资'!K34</f>
        <v>0</v>
      </c>
      <c r="L34" s="274">
        <f t="shared" si="2"/>
        <v>0</v>
      </c>
      <c r="M34" s="273">
        <f>'人员人工-研发人员工资'!M34</f>
        <v>0</v>
      </c>
      <c r="N34" s="274">
        <f t="shared" si="3"/>
        <v>0</v>
      </c>
      <c r="O34" s="273">
        <f>'人员人工-研发人员工资'!O34</f>
        <v>0</v>
      </c>
      <c r="P34" s="274">
        <f t="shared" si="4"/>
        <v>0</v>
      </c>
      <c r="Q34" s="273">
        <f>'人员人工-研发人员工资'!Q34</f>
        <v>0</v>
      </c>
      <c r="R34" s="274">
        <f t="shared" si="5"/>
        <v>0</v>
      </c>
      <c r="S34" s="273">
        <f>'人员人工-研发人员工资'!S34</f>
        <v>0</v>
      </c>
      <c r="T34" s="274">
        <f t="shared" si="6"/>
        <v>0</v>
      </c>
      <c r="U34" s="273">
        <f>'人员人工-研发人员工资'!U34</f>
        <v>0</v>
      </c>
      <c r="V34" s="274">
        <f t="shared" si="7"/>
        <v>0</v>
      </c>
      <c r="W34" s="273">
        <f>'人员人工-研发人员工资'!W34</f>
        <v>0</v>
      </c>
      <c r="X34" s="274">
        <f t="shared" si="8"/>
        <v>0</v>
      </c>
      <c r="Y34" s="273">
        <f>'人员人工-研发人员工资'!Y34</f>
        <v>0</v>
      </c>
      <c r="Z34" s="274">
        <f t="shared" si="9"/>
        <v>0</v>
      </c>
    </row>
    <row r="35" s="251" customFormat="1" customHeight="1" spans="1:26">
      <c r="A35" s="270">
        <v>30</v>
      </c>
      <c r="B35" s="271">
        <f>'人员人工-研发人员工资'!B35</f>
        <v>0</v>
      </c>
      <c r="C35" s="274"/>
      <c r="D35" s="272">
        <f>'人员人工-研发人员工资'!D35</f>
        <v>0</v>
      </c>
      <c r="E35" s="272">
        <f t="shared" si="0"/>
        <v>0</v>
      </c>
      <c r="F35" s="272">
        <f t="shared" si="10"/>
        <v>0</v>
      </c>
      <c r="G35" s="273">
        <f>'人员人工-研发人员工资'!G35</f>
        <v>0</v>
      </c>
      <c r="H35" s="274">
        <f t="shared" si="11"/>
        <v>0</v>
      </c>
      <c r="I35" s="273">
        <f>'人员人工-研发人员工资'!I35</f>
        <v>0</v>
      </c>
      <c r="J35" s="274">
        <f t="shared" si="1"/>
        <v>0</v>
      </c>
      <c r="K35" s="275">
        <f>'人员人工-研发人员工资'!K35</f>
        <v>0</v>
      </c>
      <c r="L35" s="274">
        <f t="shared" si="2"/>
        <v>0</v>
      </c>
      <c r="M35" s="273">
        <f>'人员人工-研发人员工资'!M35</f>
        <v>0</v>
      </c>
      <c r="N35" s="274">
        <f t="shared" si="3"/>
        <v>0</v>
      </c>
      <c r="O35" s="273">
        <f>'人员人工-研发人员工资'!O35</f>
        <v>0</v>
      </c>
      <c r="P35" s="274">
        <f t="shared" si="4"/>
        <v>0</v>
      </c>
      <c r="Q35" s="273">
        <f>'人员人工-研发人员工资'!Q35</f>
        <v>0</v>
      </c>
      <c r="R35" s="274">
        <f t="shared" si="5"/>
        <v>0</v>
      </c>
      <c r="S35" s="273">
        <f>'人员人工-研发人员工资'!S35</f>
        <v>0</v>
      </c>
      <c r="T35" s="274">
        <f t="shared" si="6"/>
        <v>0</v>
      </c>
      <c r="U35" s="273">
        <f>'人员人工-研发人员工资'!U35</f>
        <v>0</v>
      </c>
      <c r="V35" s="274">
        <f t="shared" si="7"/>
        <v>0</v>
      </c>
      <c r="W35" s="273">
        <f>'人员人工-研发人员工资'!W35</f>
        <v>0</v>
      </c>
      <c r="X35" s="274">
        <f t="shared" si="8"/>
        <v>0</v>
      </c>
      <c r="Y35" s="273">
        <f>'人员人工-研发人员工资'!Y35</f>
        <v>0</v>
      </c>
      <c r="Z35" s="274">
        <f t="shared" si="9"/>
        <v>0</v>
      </c>
    </row>
    <row r="36" s="251" customFormat="1" customHeight="1" spans="1:26">
      <c r="A36" s="276" t="s">
        <v>22</v>
      </c>
      <c r="B36" s="277"/>
      <c r="C36" s="261">
        <f t="shared" ref="C36:G36" si="12">SUM(C6:C35)</f>
        <v>0</v>
      </c>
      <c r="D36" s="261">
        <f t="shared" si="12"/>
        <v>0</v>
      </c>
      <c r="E36" s="261">
        <f t="shared" si="12"/>
        <v>0</v>
      </c>
      <c r="F36" s="272">
        <f t="shared" si="12"/>
        <v>0</v>
      </c>
      <c r="G36" s="261">
        <f t="shared" si="12"/>
        <v>0</v>
      </c>
      <c r="H36" s="261">
        <f t="shared" ref="H36:AA36" si="13">SUM(H6:H35)</f>
        <v>0</v>
      </c>
      <c r="I36" s="261">
        <f t="shared" si="13"/>
        <v>0</v>
      </c>
      <c r="J36" s="261">
        <f t="shared" si="13"/>
        <v>0</v>
      </c>
      <c r="K36" s="261">
        <f t="shared" si="13"/>
        <v>0</v>
      </c>
      <c r="L36" s="261">
        <f t="shared" si="13"/>
        <v>0</v>
      </c>
      <c r="M36" s="261">
        <f t="shared" si="13"/>
        <v>0</v>
      </c>
      <c r="N36" s="261">
        <f t="shared" si="13"/>
        <v>0</v>
      </c>
      <c r="O36" s="261">
        <f t="shared" si="13"/>
        <v>0</v>
      </c>
      <c r="P36" s="261">
        <f t="shared" si="13"/>
        <v>0</v>
      </c>
      <c r="Q36" s="261">
        <f t="shared" si="13"/>
        <v>0</v>
      </c>
      <c r="R36" s="261">
        <f t="shared" si="13"/>
        <v>0</v>
      </c>
      <c r="S36" s="261">
        <f t="shared" si="13"/>
        <v>0</v>
      </c>
      <c r="T36" s="261">
        <f t="shared" si="13"/>
        <v>0</v>
      </c>
      <c r="U36" s="261">
        <f t="shared" si="13"/>
        <v>0</v>
      </c>
      <c r="V36" s="261">
        <f t="shared" si="13"/>
        <v>0</v>
      </c>
      <c r="W36" s="261">
        <f t="shared" si="13"/>
        <v>0</v>
      </c>
      <c r="X36" s="261">
        <f t="shared" si="13"/>
        <v>0</v>
      </c>
      <c r="Y36" s="261">
        <f t="shared" si="13"/>
        <v>0</v>
      </c>
      <c r="Z36" s="261">
        <f t="shared" si="13"/>
        <v>0</v>
      </c>
    </row>
    <row r="37" s="251" customFormat="1" customHeight="1" spans="1:26">
      <c r="A37" s="252"/>
      <c r="B37" s="253"/>
      <c r="C37" s="254"/>
      <c r="D37" s="254"/>
      <c r="E37" s="255"/>
      <c r="F37" s="255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</row>
    <row r="38" s="251" customFormat="1" customHeight="1" spans="1:26">
      <c r="A38" s="252"/>
      <c r="B38" s="257" t="s">
        <v>160</v>
      </c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</row>
    <row r="39" s="251" customFormat="1" customHeight="1" spans="1:26">
      <c r="A39" s="252"/>
      <c r="B39" s="253"/>
      <c r="C39" s="254"/>
      <c r="D39" s="254"/>
      <c r="E39" s="255"/>
      <c r="F39" s="255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</row>
    <row r="40" s="251" customFormat="1" customHeight="1" spans="1:26">
      <c r="A40" s="259" t="s">
        <v>31</v>
      </c>
      <c r="B40" s="260" t="s">
        <v>32</v>
      </c>
      <c r="C40" s="261" t="s">
        <v>157</v>
      </c>
      <c r="D40" s="261" t="s">
        <v>34</v>
      </c>
      <c r="E40" s="262" t="s">
        <v>35</v>
      </c>
      <c r="F40" s="262" t="s">
        <v>158</v>
      </c>
      <c r="G40" s="263" t="str">
        <f>立项!$A$3</f>
        <v>RD01</v>
      </c>
      <c r="H40" s="264"/>
      <c r="I40" s="264" t="str">
        <f>立项!$A$4</f>
        <v>RD02</v>
      </c>
      <c r="J40" s="264"/>
      <c r="K40" s="264" t="str">
        <f>立项!$A$5</f>
        <v>RD03</v>
      </c>
      <c r="L40" s="264"/>
      <c r="M40" s="264" t="str">
        <f>立项!$A$6</f>
        <v>RD04</v>
      </c>
      <c r="N40" s="264"/>
      <c r="O40" s="264" t="str">
        <f>立项!$A$7</f>
        <v>RD05</v>
      </c>
      <c r="P40" s="264"/>
      <c r="Q40" s="264" t="str">
        <f>立项!$A$8</f>
        <v>RD06</v>
      </c>
      <c r="R40" s="264"/>
      <c r="S40" s="264" t="str">
        <f>立项!$A$9</f>
        <v>RD07</v>
      </c>
      <c r="T40" s="264"/>
      <c r="U40" s="264" t="str">
        <f>立项!$A$10</f>
        <v>RD08</v>
      </c>
      <c r="V40" s="264"/>
      <c r="W40" s="264" t="str">
        <f>立项!$A$11</f>
        <v>RD09</v>
      </c>
      <c r="X40" s="264"/>
      <c r="Y40" s="264" t="str">
        <f>立项!$A$12</f>
        <v>RD10</v>
      </c>
      <c r="Z40" s="264"/>
    </row>
    <row r="41" s="251" customFormat="1" customHeight="1" spans="1:26">
      <c r="A41" s="265"/>
      <c r="B41" s="260"/>
      <c r="C41" s="278"/>
      <c r="D41" s="261"/>
      <c r="E41" s="262"/>
      <c r="F41" s="262"/>
      <c r="G41" s="267">
        <f>立项!C3</f>
        <v>0</v>
      </c>
      <c r="H41" s="263"/>
      <c r="I41" s="267">
        <f>立项!C4</f>
        <v>0</v>
      </c>
      <c r="J41" s="263"/>
      <c r="K41" s="267">
        <f>立项!C5</f>
        <v>0</v>
      </c>
      <c r="L41" s="263"/>
      <c r="M41" s="267">
        <f>立项!C6</f>
        <v>0</v>
      </c>
      <c r="N41" s="263"/>
      <c r="O41" s="267">
        <f>立项!C7</f>
        <v>0</v>
      </c>
      <c r="P41" s="263"/>
      <c r="Q41" s="267">
        <f>立项!C8</f>
        <v>0</v>
      </c>
      <c r="R41" s="263"/>
      <c r="S41" s="267">
        <f>立项!C9</f>
        <v>0</v>
      </c>
      <c r="T41" s="263"/>
      <c r="U41" s="267">
        <f>立项!C10</f>
        <v>0</v>
      </c>
      <c r="V41" s="263"/>
      <c r="W41" s="267">
        <f>立项!C11</f>
        <v>0</v>
      </c>
      <c r="X41" s="263"/>
      <c r="Y41" s="264">
        <f>立项!C12</f>
        <v>0</v>
      </c>
      <c r="Z41" s="264"/>
    </row>
    <row r="42" s="251" customFormat="1" customHeight="1" spans="1:26">
      <c r="A42" s="268"/>
      <c r="B42" s="260"/>
      <c r="C42" s="278"/>
      <c r="D42" s="261"/>
      <c r="E42" s="262"/>
      <c r="F42" s="262"/>
      <c r="G42" s="264" t="s">
        <v>39</v>
      </c>
      <c r="H42" s="269" t="s">
        <v>159</v>
      </c>
      <c r="I42" s="264" t="s">
        <v>39</v>
      </c>
      <c r="J42" s="269" t="s">
        <v>159</v>
      </c>
      <c r="K42" s="264" t="s">
        <v>39</v>
      </c>
      <c r="L42" s="269" t="s">
        <v>159</v>
      </c>
      <c r="M42" s="264" t="s">
        <v>39</v>
      </c>
      <c r="N42" s="269" t="s">
        <v>159</v>
      </c>
      <c r="O42" s="264" t="s">
        <v>39</v>
      </c>
      <c r="P42" s="269" t="s">
        <v>159</v>
      </c>
      <c r="Q42" s="264" t="s">
        <v>39</v>
      </c>
      <c r="R42" s="269" t="s">
        <v>159</v>
      </c>
      <c r="S42" s="264" t="s">
        <v>39</v>
      </c>
      <c r="T42" s="269" t="s">
        <v>159</v>
      </c>
      <c r="U42" s="264" t="s">
        <v>39</v>
      </c>
      <c r="V42" s="269" t="s">
        <v>159</v>
      </c>
      <c r="W42" s="264" t="s">
        <v>39</v>
      </c>
      <c r="X42" s="269" t="s">
        <v>159</v>
      </c>
      <c r="Y42" s="264" t="s">
        <v>39</v>
      </c>
      <c r="Z42" s="269" t="s">
        <v>159</v>
      </c>
    </row>
    <row r="43" s="251" customFormat="1" customHeight="1" spans="1:26">
      <c r="A43" s="270">
        <v>1</v>
      </c>
      <c r="B43" s="271">
        <f>'人员人工-研发人员工资'!B43</f>
        <v>0</v>
      </c>
      <c r="C43" s="272"/>
      <c r="D43" s="272">
        <f>'人员人工-研发人员工资'!D43</f>
        <v>0</v>
      </c>
      <c r="E43" s="272">
        <f t="shared" ref="E43:E72" si="14">G43+I43+K43+M43+O43+Q43+S43+U43+W43+Y43</f>
        <v>0</v>
      </c>
      <c r="F43" s="272">
        <f t="shared" ref="F43:F72" si="15">H43+J43+L43+N43+P43+R43+T43+V43+X43+Z43</f>
        <v>0</v>
      </c>
      <c r="G43" s="273">
        <f>'人员人工-研发人员工资'!G43</f>
        <v>0</v>
      </c>
      <c r="H43" s="274">
        <f t="shared" ref="H43:H72" si="16">IF($D43=0,0,ROUND(G43/$D43*$C43,2))</f>
        <v>0</v>
      </c>
      <c r="I43" s="273">
        <f>'人员人工-研发人员工资'!I43</f>
        <v>0</v>
      </c>
      <c r="J43" s="274">
        <f t="shared" ref="J43:J72" si="17">IF($D43=0,0,ROUND(I43/$D43*$C43,2))</f>
        <v>0</v>
      </c>
      <c r="K43" s="275">
        <f>'人员人工-研发人员工资'!K43</f>
        <v>0</v>
      </c>
      <c r="L43" s="274">
        <f t="shared" ref="L43:L72" si="18">IF($D43=0,0,ROUND(K43/$D43*$C43,2))</f>
        <v>0</v>
      </c>
      <c r="M43" s="273">
        <f>'人员人工-研发人员工资'!M43</f>
        <v>0</v>
      </c>
      <c r="N43" s="274">
        <f t="shared" ref="N43:N72" si="19">IF($D43=0,0,ROUND(M43/$D43*$C43,2))</f>
        <v>0</v>
      </c>
      <c r="O43" s="273">
        <f>'人员人工-研发人员工资'!O43</f>
        <v>0</v>
      </c>
      <c r="P43" s="274">
        <f t="shared" ref="P43:P72" si="20">IF($D43=0,0,ROUND(O43/$D43*$C43,2))</f>
        <v>0</v>
      </c>
      <c r="Q43" s="273">
        <f>'人员人工-研发人员工资'!Q43</f>
        <v>0</v>
      </c>
      <c r="R43" s="274">
        <f t="shared" ref="R43:R72" si="21">IF($D43=0,0,ROUND(Q43/$D43*$C43,2))</f>
        <v>0</v>
      </c>
      <c r="S43" s="273">
        <f>'人员人工-研发人员工资'!S43</f>
        <v>0</v>
      </c>
      <c r="T43" s="274">
        <f t="shared" ref="T43:T72" si="22">IF($D43=0,0,ROUND(S43/$D43*$C43,2))</f>
        <v>0</v>
      </c>
      <c r="U43" s="273">
        <f>'人员人工-研发人员工资'!U43</f>
        <v>0</v>
      </c>
      <c r="V43" s="274">
        <f t="shared" ref="V43:V72" si="23">IF($D43=0,0,ROUND(U43/$D43*$C43,2))</f>
        <v>0</v>
      </c>
      <c r="W43" s="273">
        <f>'人员人工-研发人员工资'!W43</f>
        <v>0</v>
      </c>
      <c r="X43" s="274">
        <f t="shared" ref="X43:X72" si="24">IF($D43=0,0,ROUND(W43/$D43*$C43,2))</f>
        <v>0</v>
      </c>
      <c r="Y43" s="273">
        <f>'人员人工-研发人员工资'!Y43</f>
        <v>0</v>
      </c>
      <c r="Z43" s="274">
        <f t="shared" ref="Z43:Z72" si="25">IF($D43=0,0,ROUND(Y43/$D43*$C43,2))</f>
        <v>0</v>
      </c>
    </row>
    <row r="44" s="251" customFormat="1" customHeight="1" spans="1:26">
      <c r="A44" s="270">
        <v>2</v>
      </c>
      <c r="B44" s="271">
        <f>'人员人工-研发人员工资'!B44</f>
        <v>0</v>
      </c>
      <c r="C44" s="272"/>
      <c r="D44" s="272">
        <f>'人员人工-研发人员工资'!D44</f>
        <v>0</v>
      </c>
      <c r="E44" s="272">
        <f t="shared" si="14"/>
        <v>0</v>
      </c>
      <c r="F44" s="272">
        <f t="shared" si="15"/>
        <v>0</v>
      </c>
      <c r="G44" s="273">
        <f>'人员人工-研发人员工资'!G44</f>
        <v>0</v>
      </c>
      <c r="H44" s="274">
        <f t="shared" si="16"/>
        <v>0</v>
      </c>
      <c r="I44" s="273">
        <f>'人员人工-研发人员工资'!I44</f>
        <v>0</v>
      </c>
      <c r="J44" s="274">
        <f t="shared" si="17"/>
        <v>0</v>
      </c>
      <c r="K44" s="275">
        <f>'人员人工-研发人员工资'!K44</f>
        <v>0</v>
      </c>
      <c r="L44" s="274">
        <f t="shared" si="18"/>
        <v>0</v>
      </c>
      <c r="M44" s="273">
        <f>'人员人工-研发人员工资'!M44</f>
        <v>0</v>
      </c>
      <c r="N44" s="274">
        <f t="shared" si="19"/>
        <v>0</v>
      </c>
      <c r="O44" s="273">
        <f>'人员人工-研发人员工资'!O44</f>
        <v>0</v>
      </c>
      <c r="P44" s="274">
        <f t="shared" si="20"/>
        <v>0</v>
      </c>
      <c r="Q44" s="273">
        <f>'人员人工-研发人员工资'!Q44</f>
        <v>0</v>
      </c>
      <c r="R44" s="274">
        <f t="shared" si="21"/>
        <v>0</v>
      </c>
      <c r="S44" s="273">
        <f>'人员人工-研发人员工资'!S44</f>
        <v>0</v>
      </c>
      <c r="T44" s="274">
        <f t="shared" si="22"/>
        <v>0</v>
      </c>
      <c r="U44" s="273">
        <f>'人员人工-研发人员工资'!U44</f>
        <v>0</v>
      </c>
      <c r="V44" s="274">
        <f t="shared" si="23"/>
        <v>0</v>
      </c>
      <c r="W44" s="273">
        <f>'人员人工-研发人员工资'!W44</f>
        <v>0</v>
      </c>
      <c r="X44" s="274">
        <f t="shared" si="24"/>
        <v>0</v>
      </c>
      <c r="Y44" s="273">
        <f>'人员人工-研发人员工资'!Y44</f>
        <v>0</v>
      </c>
      <c r="Z44" s="274">
        <f t="shared" si="25"/>
        <v>0</v>
      </c>
    </row>
    <row r="45" s="251" customFormat="1" customHeight="1" spans="1:26">
      <c r="A45" s="270">
        <v>3</v>
      </c>
      <c r="B45" s="271">
        <f>'人员人工-研发人员工资'!B45</f>
        <v>0</v>
      </c>
      <c r="C45" s="272"/>
      <c r="D45" s="272">
        <f>'人员人工-研发人员工资'!D45</f>
        <v>0</v>
      </c>
      <c r="E45" s="272">
        <f t="shared" si="14"/>
        <v>0</v>
      </c>
      <c r="F45" s="272">
        <f t="shared" si="15"/>
        <v>0</v>
      </c>
      <c r="G45" s="273">
        <f>'人员人工-研发人员工资'!G45</f>
        <v>0</v>
      </c>
      <c r="H45" s="274">
        <f t="shared" si="16"/>
        <v>0</v>
      </c>
      <c r="I45" s="273">
        <f>'人员人工-研发人员工资'!I45</f>
        <v>0</v>
      </c>
      <c r="J45" s="274">
        <f t="shared" si="17"/>
        <v>0</v>
      </c>
      <c r="K45" s="275">
        <f>'人员人工-研发人员工资'!K45</f>
        <v>0</v>
      </c>
      <c r="L45" s="274">
        <f t="shared" si="18"/>
        <v>0</v>
      </c>
      <c r="M45" s="273">
        <f>'人员人工-研发人员工资'!M45</f>
        <v>0</v>
      </c>
      <c r="N45" s="274">
        <f t="shared" si="19"/>
        <v>0</v>
      </c>
      <c r="O45" s="273">
        <f>'人员人工-研发人员工资'!O45</f>
        <v>0</v>
      </c>
      <c r="P45" s="274">
        <f t="shared" si="20"/>
        <v>0</v>
      </c>
      <c r="Q45" s="273">
        <f>'人员人工-研发人员工资'!Q45</f>
        <v>0</v>
      </c>
      <c r="R45" s="274">
        <f t="shared" si="21"/>
        <v>0</v>
      </c>
      <c r="S45" s="273">
        <f>'人员人工-研发人员工资'!S45</f>
        <v>0</v>
      </c>
      <c r="T45" s="274">
        <f t="shared" si="22"/>
        <v>0</v>
      </c>
      <c r="U45" s="273">
        <f>'人员人工-研发人员工资'!U45</f>
        <v>0</v>
      </c>
      <c r="V45" s="274">
        <f t="shared" si="23"/>
        <v>0</v>
      </c>
      <c r="W45" s="273">
        <f>'人员人工-研发人员工资'!W45</f>
        <v>0</v>
      </c>
      <c r="X45" s="274">
        <f t="shared" si="24"/>
        <v>0</v>
      </c>
      <c r="Y45" s="273">
        <f>'人员人工-研发人员工资'!Y45</f>
        <v>0</v>
      </c>
      <c r="Z45" s="274">
        <f t="shared" si="25"/>
        <v>0</v>
      </c>
    </row>
    <row r="46" s="251" customFormat="1" customHeight="1" spans="1:26">
      <c r="A46" s="270">
        <v>4</v>
      </c>
      <c r="B46" s="271">
        <f>'人员人工-研发人员工资'!B46</f>
        <v>0</v>
      </c>
      <c r="C46" s="272"/>
      <c r="D46" s="272">
        <f>'人员人工-研发人员工资'!D46</f>
        <v>0</v>
      </c>
      <c r="E46" s="272">
        <f t="shared" si="14"/>
        <v>0</v>
      </c>
      <c r="F46" s="272">
        <f t="shared" si="15"/>
        <v>0</v>
      </c>
      <c r="G46" s="273">
        <f>'人员人工-研发人员工资'!G46</f>
        <v>0</v>
      </c>
      <c r="H46" s="274">
        <f t="shared" si="16"/>
        <v>0</v>
      </c>
      <c r="I46" s="273">
        <f>'人员人工-研发人员工资'!I46</f>
        <v>0</v>
      </c>
      <c r="J46" s="274">
        <f t="shared" si="17"/>
        <v>0</v>
      </c>
      <c r="K46" s="275">
        <f>'人员人工-研发人员工资'!K46</f>
        <v>0</v>
      </c>
      <c r="L46" s="274">
        <f t="shared" si="18"/>
        <v>0</v>
      </c>
      <c r="M46" s="273">
        <f>'人员人工-研发人员工资'!M46</f>
        <v>0</v>
      </c>
      <c r="N46" s="274">
        <f t="shared" si="19"/>
        <v>0</v>
      </c>
      <c r="O46" s="273">
        <f>'人员人工-研发人员工资'!O46</f>
        <v>0</v>
      </c>
      <c r="P46" s="274">
        <f t="shared" si="20"/>
        <v>0</v>
      </c>
      <c r="Q46" s="273">
        <f>'人员人工-研发人员工资'!Q46</f>
        <v>0</v>
      </c>
      <c r="R46" s="274">
        <f t="shared" si="21"/>
        <v>0</v>
      </c>
      <c r="S46" s="273">
        <f>'人员人工-研发人员工资'!S46</f>
        <v>0</v>
      </c>
      <c r="T46" s="274">
        <f t="shared" si="22"/>
        <v>0</v>
      </c>
      <c r="U46" s="273">
        <f>'人员人工-研发人员工资'!U46</f>
        <v>0</v>
      </c>
      <c r="V46" s="274">
        <f t="shared" si="23"/>
        <v>0</v>
      </c>
      <c r="W46" s="273">
        <f>'人员人工-研发人员工资'!W46</f>
        <v>0</v>
      </c>
      <c r="X46" s="274">
        <f t="shared" si="24"/>
        <v>0</v>
      </c>
      <c r="Y46" s="273">
        <f>'人员人工-研发人员工资'!Y46</f>
        <v>0</v>
      </c>
      <c r="Z46" s="274">
        <f t="shared" si="25"/>
        <v>0</v>
      </c>
    </row>
    <row r="47" s="251" customFormat="1" customHeight="1" spans="1:26">
      <c r="A47" s="270">
        <v>5</v>
      </c>
      <c r="B47" s="271">
        <f>'人员人工-研发人员工资'!B47</f>
        <v>0</v>
      </c>
      <c r="C47" s="272"/>
      <c r="D47" s="272">
        <f>'人员人工-研发人员工资'!D47</f>
        <v>0</v>
      </c>
      <c r="E47" s="272">
        <f t="shared" si="14"/>
        <v>0</v>
      </c>
      <c r="F47" s="272">
        <f t="shared" si="15"/>
        <v>0</v>
      </c>
      <c r="G47" s="273">
        <f>'人员人工-研发人员工资'!G47</f>
        <v>0</v>
      </c>
      <c r="H47" s="274">
        <f t="shared" si="16"/>
        <v>0</v>
      </c>
      <c r="I47" s="273">
        <f>'人员人工-研发人员工资'!I47</f>
        <v>0</v>
      </c>
      <c r="J47" s="274">
        <f t="shared" si="17"/>
        <v>0</v>
      </c>
      <c r="K47" s="275">
        <f>'人员人工-研发人员工资'!K47</f>
        <v>0</v>
      </c>
      <c r="L47" s="274">
        <f t="shared" si="18"/>
        <v>0</v>
      </c>
      <c r="M47" s="273">
        <f>'人员人工-研发人员工资'!M47</f>
        <v>0</v>
      </c>
      <c r="N47" s="274">
        <f t="shared" si="19"/>
        <v>0</v>
      </c>
      <c r="O47" s="273">
        <f>'人员人工-研发人员工资'!O47</f>
        <v>0</v>
      </c>
      <c r="P47" s="274">
        <f t="shared" si="20"/>
        <v>0</v>
      </c>
      <c r="Q47" s="273">
        <f>'人员人工-研发人员工资'!Q47</f>
        <v>0</v>
      </c>
      <c r="R47" s="274">
        <f t="shared" si="21"/>
        <v>0</v>
      </c>
      <c r="S47" s="273">
        <f>'人员人工-研发人员工资'!S47</f>
        <v>0</v>
      </c>
      <c r="T47" s="274">
        <f t="shared" si="22"/>
        <v>0</v>
      </c>
      <c r="U47" s="273">
        <f>'人员人工-研发人员工资'!U47</f>
        <v>0</v>
      </c>
      <c r="V47" s="274">
        <f t="shared" si="23"/>
        <v>0</v>
      </c>
      <c r="W47" s="273">
        <f>'人员人工-研发人员工资'!W47</f>
        <v>0</v>
      </c>
      <c r="X47" s="274">
        <f t="shared" si="24"/>
        <v>0</v>
      </c>
      <c r="Y47" s="273">
        <f>'人员人工-研发人员工资'!Y47</f>
        <v>0</v>
      </c>
      <c r="Z47" s="274">
        <f t="shared" si="25"/>
        <v>0</v>
      </c>
    </row>
    <row r="48" s="251" customFormat="1" customHeight="1" spans="1:26">
      <c r="A48" s="270">
        <v>6</v>
      </c>
      <c r="B48" s="271">
        <f>'人员人工-研发人员工资'!B48</f>
        <v>0</v>
      </c>
      <c r="C48" s="274"/>
      <c r="D48" s="272">
        <f>'人员人工-研发人员工资'!D48</f>
        <v>0</v>
      </c>
      <c r="E48" s="272">
        <f t="shared" si="14"/>
        <v>0</v>
      </c>
      <c r="F48" s="272">
        <f t="shared" si="15"/>
        <v>0</v>
      </c>
      <c r="G48" s="273">
        <f>'人员人工-研发人员工资'!G48</f>
        <v>0</v>
      </c>
      <c r="H48" s="274">
        <f t="shared" si="16"/>
        <v>0</v>
      </c>
      <c r="I48" s="273">
        <f>'人员人工-研发人员工资'!I48</f>
        <v>0</v>
      </c>
      <c r="J48" s="274">
        <f t="shared" si="17"/>
        <v>0</v>
      </c>
      <c r="K48" s="275">
        <f>'人员人工-研发人员工资'!K48</f>
        <v>0</v>
      </c>
      <c r="L48" s="274">
        <f t="shared" si="18"/>
        <v>0</v>
      </c>
      <c r="M48" s="273">
        <f>'人员人工-研发人员工资'!M48</f>
        <v>0</v>
      </c>
      <c r="N48" s="274">
        <f t="shared" si="19"/>
        <v>0</v>
      </c>
      <c r="O48" s="273">
        <f>'人员人工-研发人员工资'!O48</f>
        <v>0</v>
      </c>
      <c r="P48" s="274">
        <f t="shared" si="20"/>
        <v>0</v>
      </c>
      <c r="Q48" s="273">
        <f>'人员人工-研发人员工资'!Q48</f>
        <v>0</v>
      </c>
      <c r="R48" s="274">
        <f t="shared" si="21"/>
        <v>0</v>
      </c>
      <c r="S48" s="273">
        <f>'人员人工-研发人员工资'!S48</f>
        <v>0</v>
      </c>
      <c r="T48" s="274">
        <f t="shared" si="22"/>
        <v>0</v>
      </c>
      <c r="U48" s="273">
        <f>'人员人工-研发人员工资'!U48</f>
        <v>0</v>
      </c>
      <c r="V48" s="274">
        <f t="shared" si="23"/>
        <v>0</v>
      </c>
      <c r="W48" s="273">
        <f>'人员人工-研发人员工资'!W48</f>
        <v>0</v>
      </c>
      <c r="X48" s="274">
        <f t="shared" si="24"/>
        <v>0</v>
      </c>
      <c r="Y48" s="273">
        <f>'人员人工-研发人员工资'!Y48</f>
        <v>0</v>
      </c>
      <c r="Z48" s="274">
        <f t="shared" si="25"/>
        <v>0</v>
      </c>
    </row>
    <row r="49" s="251" customFormat="1" customHeight="1" spans="1:26">
      <c r="A49" s="270">
        <v>7</v>
      </c>
      <c r="B49" s="271">
        <f>'人员人工-研发人员工资'!B49</f>
        <v>0</v>
      </c>
      <c r="C49" s="274"/>
      <c r="D49" s="272">
        <f>'人员人工-研发人员工资'!D49</f>
        <v>0</v>
      </c>
      <c r="E49" s="272">
        <f t="shared" si="14"/>
        <v>0</v>
      </c>
      <c r="F49" s="272">
        <f t="shared" si="15"/>
        <v>0</v>
      </c>
      <c r="G49" s="273">
        <f>'人员人工-研发人员工资'!G49</f>
        <v>0</v>
      </c>
      <c r="H49" s="274">
        <f t="shared" si="16"/>
        <v>0</v>
      </c>
      <c r="I49" s="273">
        <f>'人员人工-研发人员工资'!I49</f>
        <v>0</v>
      </c>
      <c r="J49" s="274">
        <f t="shared" si="17"/>
        <v>0</v>
      </c>
      <c r="K49" s="275">
        <f>'人员人工-研发人员工资'!K49</f>
        <v>0</v>
      </c>
      <c r="L49" s="274">
        <f t="shared" si="18"/>
        <v>0</v>
      </c>
      <c r="M49" s="273">
        <f>'人员人工-研发人员工资'!M49</f>
        <v>0</v>
      </c>
      <c r="N49" s="274">
        <f t="shared" si="19"/>
        <v>0</v>
      </c>
      <c r="O49" s="273">
        <f>'人员人工-研发人员工资'!O49</f>
        <v>0</v>
      </c>
      <c r="P49" s="274">
        <f t="shared" si="20"/>
        <v>0</v>
      </c>
      <c r="Q49" s="273">
        <f>'人员人工-研发人员工资'!Q49</f>
        <v>0</v>
      </c>
      <c r="R49" s="274">
        <f t="shared" si="21"/>
        <v>0</v>
      </c>
      <c r="S49" s="273">
        <f>'人员人工-研发人员工资'!S49</f>
        <v>0</v>
      </c>
      <c r="T49" s="274">
        <f t="shared" si="22"/>
        <v>0</v>
      </c>
      <c r="U49" s="273">
        <f>'人员人工-研发人员工资'!U49</f>
        <v>0</v>
      </c>
      <c r="V49" s="274">
        <f t="shared" si="23"/>
        <v>0</v>
      </c>
      <c r="W49" s="273">
        <f>'人员人工-研发人员工资'!W49</f>
        <v>0</v>
      </c>
      <c r="X49" s="274">
        <f t="shared" si="24"/>
        <v>0</v>
      </c>
      <c r="Y49" s="273">
        <f>'人员人工-研发人员工资'!Y49</f>
        <v>0</v>
      </c>
      <c r="Z49" s="274">
        <f t="shared" si="25"/>
        <v>0</v>
      </c>
    </row>
    <row r="50" s="251" customFormat="1" customHeight="1" spans="1:26">
      <c r="A50" s="270">
        <v>8</v>
      </c>
      <c r="B50" s="271">
        <f>'人员人工-研发人员工资'!B50</f>
        <v>0</v>
      </c>
      <c r="C50" s="274"/>
      <c r="D50" s="272">
        <f>'人员人工-研发人员工资'!D50</f>
        <v>0</v>
      </c>
      <c r="E50" s="272">
        <f t="shared" si="14"/>
        <v>0</v>
      </c>
      <c r="F50" s="272">
        <f t="shared" si="15"/>
        <v>0</v>
      </c>
      <c r="G50" s="273">
        <f>'人员人工-研发人员工资'!G50</f>
        <v>0</v>
      </c>
      <c r="H50" s="274">
        <f t="shared" si="16"/>
        <v>0</v>
      </c>
      <c r="I50" s="273">
        <f>'人员人工-研发人员工资'!I50</f>
        <v>0</v>
      </c>
      <c r="J50" s="274">
        <f t="shared" si="17"/>
        <v>0</v>
      </c>
      <c r="K50" s="275">
        <f>'人员人工-研发人员工资'!K50</f>
        <v>0</v>
      </c>
      <c r="L50" s="274">
        <f t="shared" si="18"/>
        <v>0</v>
      </c>
      <c r="M50" s="273">
        <f>'人员人工-研发人员工资'!M50</f>
        <v>0</v>
      </c>
      <c r="N50" s="274">
        <f t="shared" si="19"/>
        <v>0</v>
      </c>
      <c r="O50" s="273">
        <f>'人员人工-研发人员工资'!O50</f>
        <v>0</v>
      </c>
      <c r="P50" s="274">
        <f t="shared" si="20"/>
        <v>0</v>
      </c>
      <c r="Q50" s="273">
        <f>'人员人工-研发人员工资'!Q50</f>
        <v>0</v>
      </c>
      <c r="R50" s="274">
        <f t="shared" si="21"/>
        <v>0</v>
      </c>
      <c r="S50" s="273">
        <f>'人员人工-研发人员工资'!S50</f>
        <v>0</v>
      </c>
      <c r="T50" s="274">
        <f t="shared" si="22"/>
        <v>0</v>
      </c>
      <c r="U50" s="273">
        <f>'人员人工-研发人员工资'!U50</f>
        <v>0</v>
      </c>
      <c r="V50" s="274">
        <f t="shared" si="23"/>
        <v>0</v>
      </c>
      <c r="W50" s="273">
        <f>'人员人工-研发人员工资'!W50</f>
        <v>0</v>
      </c>
      <c r="X50" s="274">
        <f t="shared" si="24"/>
        <v>0</v>
      </c>
      <c r="Y50" s="273">
        <f>'人员人工-研发人员工资'!Y50</f>
        <v>0</v>
      </c>
      <c r="Z50" s="274">
        <f t="shared" si="25"/>
        <v>0</v>
      </c>
    </row>
    <row r="51" s="251" customFormat="1" customHeight="1" spans="1:26">
      <c r="A51" s="270">
        <v>9</v>
      </c>
      <c r="B51" s="271">
        <f>'人员人工-研发人员工资'!B51</f>
        <v>0</v>
      </c>
      <c r="C51" s="274"/>
      <c r="D51" s="272">
        <f>'人员人工-研发人员工资'!D51</f>
        <v>0</v>
      </c>
      <c r="E51" s="272">
        <f t="shared" si="14"/>
        <v>0</v>
      </c>
      <c r="F51" s="272">
        <f t="shared" si="15"/>
        <v>0</v>
      </c>
      <c r="G51" s="273">
        <f>'人员人工-研发人员工资'!G51</f>
        <v>0</v>
      </c>
      <c r="H51" s="274">
        <f t="shared" si="16"/>
        <v>0</v>
      </c>
      <c r="I51" s="273">
        <f>'人员人工-研发人员工资'!I51</f>
        <v>0</v>
      </c>
      <c r="J51" s="274">
        <f t="shared" si="17"/>
        <v>0</v>
      </c>
      <c r="K51" s="275">
        <f>'人员人工-研发人员工资'!K51</f>
        <v>0</v>
      </c>
      <c r="L51" s="274">
        <f t="shared" si="18"/>
        <v>0</v>
      </c>
      <c r="M51" s="273">
        <f>'人员人工-研发人员工资'!M51</f>
        <v>0</v>
      </c>
      <c r="N51" s="274">
        <f t="shared" si="19"/>
        <v>0</v>
      </c>
      <c r="O51" s="273">
        <f>'人员人工-研发人员工资'!O51</f>
        <v>0</v>
      </c>
      <c r="P51" s="274">
        <f t="shared" si="20"/>
        <v>0</v>
      </c>
      <c r="Q51" s="273">
        <f>'人员人工-研发人员工资'!Q51</f>
        <v>0</v>
      </c>
      <c r="R51" s="274">
        <f t="shared" si="21"/>
        <v>0</v>
      </c>
      <c r="S51" s="273">
        <f>'人员人工-研发人员工资'!S51</f>
        <v>0</v>
      </c>
      <c r="T51" s="274">
        <f t="shared" si="22"/>
        <v>0</v>
      </c>
      <c r="U51" s="273">
        <f>'人员人工-研发人员工资'!U51</f>
        <v>0</v>
      </c>
      <c r="V51" s="274">
        <f t="shared" si="23"/>
        <v>0</v>
      </c>
      <c r="W51" s="273">
        <f>'人员人工-研发人员工资'!W51</f>
        <v>0</v>
      </c>
      <c r="X51" s="274">
        <f t="shared" si="24"/>
        <v>0</v>
      </c>
      <c r="Y51" s="273">
        <f>'人员人工-研发人员工资'!Y51</f>
        <v>0</v>
      </c>
      <c r="Z51" s="274">
        <f t="shared" si="25"/>
        <v>0</v>
      </c>
    </row>
    <row r="52" s="251" customFormat="1" customHeight="1" spans="1:26">
      <c r="A52" s="270">
        <v>10</v>
      </c>
      <c r="B52" s="271">
        <f>'人员人工-研发人员工资'!B52</f>
        <v>0</v>
      </c>
      <c r="C52" s="274"/>
      <c r="D52" s="272">
        <f>'人员人工-研发人员工资'!D52</f>
        <v>0</v>
      </c>
      <c r="E52" s="272">
        <f t="shared" si="14"/>
        <v>0</v>
      </c>
      <c r="F52" s="272">
        <f t="shared" si="15"/>
        <v>0</v>
      </c>
      <c r="G52" s="273">
        <f>'人员人工-研发人员工资'!G52</f>
        <v>0</v>
      </c>
      <c r="H52" s="274">
        <f t="shared" si="16"/>
        <v>0</v>
      </c>
      <c r="I52" s="273">
        <f>'人员人工-研发人员工资'!I52</f>
        <v>0</v>
      </c>
      <c r="J52" s="274">
        <f t="shared" si="17"/>
        <v>0</v>
      </c>
      <c r="K52" s="275">
        <f>'人员人工-研发人员工资'!K52</f>
        <v>0</v>
      </c>
      <c r="L52" s="274">
        <f t="shared" si="18"/>
        <v>0</v>
      </c>
      <c r="M52" s="273">
        <f>'人员人工-研发人员工资'!M52</f>
        <v>0</v>
      </c>
      <c r="N52" s="274">
        <f t="shared" si="19"/>
        <v>0</v>
      </c>
      <c r="O52" s="273">
        <f>'人员人工-研发人员工资'!O52</f>
        <v>0</v>
      </c>
      <c r="P52" s="274">
        <f t="shared" si="20"/>
        <v>0</v>
      </c>
      <c r="Q52" s="273">
        <f>'人员人工-研发人员工资'!Q52</f>
        <v>0</v>
      </c>
      <c r="R52" s="274">
        <f t="shared" si="21"/>
        <v>0</v>
      </c>
      <c r="S52" s="273">
        <f>'人员人工-研发人员工资'!S52</f>
        <v>0</v>
      </c>
      <c r="T52" s="274">
        <f t="shared" si="22"/>
        <v>0</v>
      </c>
      <c r="U52" s="273">
        <f>'人员人工-研发人员工资'!U52</f>
        <v>0</v>
      </c>
      <c r="V52" s="274">
        <f t="shared" si="23"/>
        <v>0</v>
      </c>
      <c r="W52" s="273">
        <f>'人员人工-研发人员工资'!W52</f>
        <v>0</v>
      </c>
      <c r="X52" s="274">
        <f t="shared" si="24"/>
        <v>0</v>
      </c>
      <c r="Y52" s="273">
        <f>'人员人工-研发人员工资'!Y52</f>
        <v>0</v>
      </c>
      <c r="Z52" s="274">
        <f t="shared" si="25"/>
        <v>0</v>
      </c>
    </row>
    <row r="53" s="251" customFormat="1" customHeight="1" spans="1:26">
      <c r="A53" s="270">
        <v>11</v>
      </c>
      <c r="B53" s="271">
        <f>'人员人工-研发人员工资'!B53</f>
        <v>0</v>
      </c>
      <c r="C53" s="274"/>
      <c r="D53" s="272">
        <f>'人员人工-研发人员工资'!D53</f>
        <v>0</v>
      </c>
      <c r="E53" s="272">
        <f t="shared" si="14"/>
        <v>0</v>
      </c>
      <c r="F53" s="272">
        <f t="shared" si="15"/>
        <v>0</v>
      </c>
      <c r="G53" s="273">
        <f>'人员人工-研发人员工资'!G53</f>
        <v>0</v>
      </c>
      <c r="H53" s="274">
        <f t="shared" si="16"/>
        <v>0</v>
      </c>
      <c r="I53" s="273">
        <f>'人员人工-研发人员工资'!I53</f>
        <v>0</v>
      </c>
      <c r="J53" s="274">
        <f t="shared" si="17"/>
        <v>0</v>
      </c>
      <c r="K53" s="275">
        <f>'人员人工-研发人员工资'!K53</f>
        <v>0</v>
      </c>
      <c r="L53" s="274">
        <f t="shared" si="18"/>
        <v>0</v>
      </c>
      <c r="M53" s="273">
        <f>'人员人工-研发人员工资'!M53</f>
        <v>0</v>
      </c>
      <c r="N53" s="274">
        <f t="shared" si="19"/>
        <v>0</v>
      </c>
      <c r="O53" s="273">
        <f>'人员人工-研发人员工资'!O53</f>
        <v>0</v>
      </c>
      <c r="P53" s="274">
        <f t="shared" si="20"/>
        <v>0</v>
      </c>
      <c r="Q53" s="273">
        <f>'人员人工-研发人员工资'!Q53</f>
        <v>0</v>
      </c>
      <c r="R53" s="274">
        <f t="shared" si="21"/>
        <v>0</v>
      </c>
      <c r="S53" s="273">
        <f>'人员人工-研发人员工资'!S53</f>
        <v>0</v>
      </c>
      <c r="T53" s="274">
        <f t="shared" si="22"/>
        <v>0</v>
      </c>
      <c r="U53" s="273">
        <f>'人员人工-研发人员工资'!U53</f>
        <v>0</v>
      </c>
      <c r="V53" s="274">
        <f t="shared" si="23"/>
        <v>0</v>
      </c>
      <c r="W53" s="273">
        <f>'人员人工-研发人员工资'!W53</f>
        <v>0</v>
      </c>
      <c r="X53" s="274">
        <f t="shared" si="24"/>
        <v>0</v>
      </c>
      <c r="Y53" s="273">
        <f>'人员人工-研发人员工资'!Y53</f>
        <v>0</v>
      </c>
      <c r="Z53" s="274">
        <f t="shared" si="25"/>
        <v>0</v>
      </c>
    </row>
    <row r="54" s="251" customFormat="1" customHeight="1" spans="1:26">
      <c r="A54" s="270">
        <v>12</v>
      </c>
      <c r="B54" s="271">
        <f>'人员人工-研发人员工资'!B54</f>
        <v>0</v>
      </c>
      <c r="C54" s="274"/>
      <c r="D54" s="272">
        <f>'人员人工-研发人员工资'!D54</f>
        <v>0</v>
      </c>
      <c r="E54" s="272">
        <f t="shared" si="14"/>
        <v>0</v>
      </c>
      <c r="F54" s="272">
        <f t="shared" si="15"/>
        <v>0</v>
      </c>
      <c r="G54" s="273">
        <f>'人员人工-研发人员工资'!G54</f>
        <v>0</v>
      </c>
      <c r="H54" s="274">
        <f t="shared" si="16"/>
        <v>0</v>
      </c>
      <c r="I54" s="273">
        <f>'人员人工-研发人员工资'!I54</f>
        <v>0</v>
      </c>
      <c r="J54" s="274">
        <f t="shared" si="17"/>
        <v>0</v>
      </c>
      <c r="K54" s="275">
        <f>'人员人工-研发人员工资'!K54</f>
        <v>0</v>
      </c>
      <c r="L54" s="274">
        <f t="shared" si="18"/>
        <v>0</v>
      </c>
      <c r="M54" s="273">
        <f>'人员人工-研发人员工资'!M54</f>
        <v>0</v>
      </c>
      <c r="N54" s="274">
        <f t="shared" si="19"/>
        <v>0</v>
      </c>
      <c r="O54" s="273">
        <f>'人员人工-研发人员工资'!O54</f>
        <v>0</v>
      </c>
      <c r="P54" s="274">
        <f t="shared" si="20"/>
        <v>0</v>
      </c>
      <c r="Q54" s="273">
        <f>'人员人工-研发人员工资'!Q54</f>
        <v>0</v>
      </c>
      <c r="R54" s="274">
        <f t="shared" si="21"/>
        <v>0</v>
      </c>
      <c r="S54" s="273">
        <f>'人员人工-研发人员工资'!S54</f>
        <v>0</v>
      </c>
      <c r="T54" s="274">
        <f t="shared" si="22"/>
        <v>0</v>
      </c>
      <c r="U54" s="273">
        <f>'人员人工-研发人员工资'!U54</f>
        <v>0</v>
      </c>
      <c r="V54" s="274">
        <f t="shared" si="23"/>
        <v>0</v>
      </c>
      <c r="W54" s="273">
        <f>'人员人工-研发人员工资'!W54</f>
        <v>0</v>
      </c>
      <c r="X54" s="274">
        <f t="shared" si="24"/>
        <v>0</v>
      </c>
      <c r="Y54" s="273">
        <f>'人员人工-研发人员工资'!Y54</f>
        <v>0</v>
      </c>
      <c r="Z54" s="274">
        <f t="shared" si="25"/>
        <v>0</v>
      </c>
    </row>
    <row r="55" s="251" customFormat="1" customHeight="1" spans="1:26">
      <c r="A55" s="270">
        <v>13</v>
      </c>
      <c r="B55" s="271">
        <f>'人员人工-研发人员工资'!B55</f>
        <v>0</v>
      </c>
      <c r="C55" s="274"/>
      <c r="D55" s="272">
        <f>'人员人工-研发人员工资'!D55</f>
        <v>0</v>
      </c>
      <c r="E55" s="272">
        <f t="shared" si="14"/>
        <v>0</v>
      </c>
      <c r="F55" s="272">
        <f t="shared" si="15"/>
        <v>0</v>
      </c>
      <c r="G55" s="273">
        <f>'人员人工-研发人员工资'!G55</f>
        <v>0</v>
      </c>
      <c r="H55" s="274">
        <f t="shared" si="16"/>
        <v>0</v>
      </c>
      <c r="I55" s="273">
        <f>'人员人工-研发人员工资'!I55</f>
        <v>0</v>
      </c>
      <c r="J55" s="274">
        <f t="shared" si="17"/>
        <v>0</v>
      </c>
      <c r="K55" s="275">
        <f>'人员人工-研发人员工资'!K55</f>
        <v>0</v>
      </c>
      <c r="L55" s="274">
        <f t="shared" si="18"/>
        <v>0</v>
      </c>
      <c r="M55" s="273">
        <f>'人员人工-研发人员工资'!M55</f>
        <v>0</v>
      </c>
      <c r="N55" s="274">
        <f t="shared" si="19"/>
        <v>0</v>
      </c>
      <c r="O55" s="273">
        <f>'人员人工-研发人员工资'!O55</f>
        <v>0</v>
      </c>
      <c r="P55" s="274">
        <f t="shared" si="20"/>
        <v>0</v>
      </c>
      <c r="Q55" s="273">
        <f>'人员人工-研发人员工资'!Q55</f>
        <v>0</v>
      </c>
      <c r="R55" s="274">
        <f t="shared" si="21"/>
        <v>0</v>
      </c>
      <c r="S55" s="273">
        <f>'人员人工-研发人员工资'!S55</f>
        <v>0</v>
      </c>
      <c r="T55" s="274">
        <f t="shared" si="22"/>
        <v>0</v>
      </c>
      <c r="U55" s="273">
        <f>'人员人工-研发人员工资'!U55</f>
        <v>0</v>
      </c>
      <c r="V55" s="274">
        <f t="shared" si="23"/>
        <v>0</v>
      </c>
      <c r="W55" s="273">
        <f>'人员人工-研发人员工资'!W55</f>
        <v>0</v>
      </c>
      <c r="X55" s="274">
        <f t="shared" si="24"/>
        <v>0</v>
      </c>
      <c r="Y55" s="273">
        <f>'人员人工-研发人员工资'!Y55</f>
        <v>0</v>
      </c>
      <c r="Z55" s="274">
        <f t="shared" si="25"/>
        <v>0</v>
      </c>
    </row>
    <row r="56" s="251" customFormat="1" customHeight="1" spans="1:26">
      <c r="A56" s="270">
        <v>14</v>
      </c>
      <c r="B56" s="271">
        <f>'人员人工-研发人员工资'!B56</f>
        <v>0</v>
      </c>
      <c r="C56" s="274"/>
      <c r="D56" s="272">
        <f>'人员人工-研发人员工资'!D56</f>
        <v>0</v>
      </c>
      <c r="E56" s="272">
        <f t="shared" si="14"/>
        <v>0</v>
      </c>
      <c r="F56" s="272">
        <f t="shared" si="15"/>
        <v>0</v>
      </c>
      <c r="G56" s="273">
        <f>'人员人工-研发人员工资'!G56</f>
        <v>0</v>
      </c>
      <c r="H56" s="274">
        <f t="shared" si="16"/>
        <v>0</v>
      </c>
      <c r="I56" s="273">
        <f>'人员人工-研发人员工资'!I56</f>
        <v>0</v>
      </c>
      <c r="J56" s="274">
        <f t="shared" si="17"/>
        <v>0</v>
      </c>
      <c r="K56" s="275">
        <f>'人员人工-研发人员工资'!K56</f>
        <v>0</v>
      </c>
      <c r="L56" s="274">
        <f t="shared" si="18"/>
        <v>0</v>
      </c>
      <c r="M56" s="273">
        <f>'人员人工-研发人员工资'!M56</f>
        <v>0</v>
      </c>
      <c r="N56" s="274">
        <f t="shared" si="19"/>
        <v>0</v>
      </c>
      <c r="O56" s="273">
        <f>'人员人工-研发人员工资'!O56</f>
        <v>0</v>
      </c>
      <c r="P56" s="274">
        <f t="shared" si="20"/>
        <v>0</v>
      </c>
      <c r="Q56" s="273">
        <f>'人员人工-研发人员工资'!Q56</f>
        <v>0</v>
      </c>
      <c r="R56" s="274">
        <f t="shared" si="21"/>
        <v>0</v>
      </c>
      <c r="S56" s="273">
        <f>'人员人工-研发人员工资'!S56</f>
        <v>0</v>
      </c>
      <c r="T56" s="274">
        <f t="shared" si="22"/>
        <v>0</v>
      </c>
      <c r="U56" s="273">
        <f>'人员人工-研发人员工资'!U56</f>
        <v>0</v>
      </c>
      <c r="V56" s="274">
        <f t="shared" si="23"/>
        <v>0</v>
      </c>
      <c r="W56" s="273">
        <f>'人员人工-研发人员工资'!W56</f>
        <v>0</v>
      </c>
      <c r="X56" s="274">
        <f t="shared" si="24"/>
        <v>0</v>
      </c>
      <c r="Y56" s="273">
        <f>'人员人工-研发人员工资'!Y56</f>
        <v>0</v>
      </c>
      <c r="Z56" s="274">
        <f t="shared" si="25"/>
        <v>0</v>
      </c>
    </row>
    <row r="57" s="251" customFormat="1" customHeight="1" spans="1:26">
      <c r="A57" s="270">
        <v>15</v>
      </c>
      <c r="B57" s="271">
        <f>'人员人工-研发人员工资'!B57</f>
        <v>0</v>
      </c>
      <c r="C57" s="274"/>
      <c r="D57" s="272">
        <f>'人员人工-研发人员工资'!D57</f>
        <v>0</v>
      </c>
      <c r="E57" s="272">
        <f t="shared" si="14"/>
        <v>0</v>
      </c>
      <c r="F57" s="272">
        <f t="shared" si="15"/>
        <v>0</v>
      </c>
      <c r="G57" s="273">
        <f>'人员人工-研发人员工资'!G57</f>
        <v>0</v>
      </c>
      <c r="H57" s="274">
        <f t="shared" si="16"/>
        <v>0</v>
      </c>
      <c r="I57" s="273">
        <f>'人员人工-研发人员工资'!I57</f>
        <v>0</v>
      </c>
      <c r="J57" s="274">
        <f t="shared" si="17"/>
        <v>0</v>
      </c>
      <c r="K57" s="275">
        <f>'人员人工-研发人员工资'!K57</f>
        <v>0</v>
      </c>
      <c r="L57" s="274">
        <f t="shared" si="18"/>
        <v>0</v>
      </c>
      <c r="M57" s="273">
        <f>'人员人工-研发人员工资'!M57</f>
        <v>0</v>
      </c>
      <c r="N57" s="274">
        <f t="shared" si="19"/>
        <v>0</v>
      </c>
      <c r="O57" s="273">
        <f>'人员人工-研发人员工资'!O57</f>
        <v>0</v>
      </c>
      <c r="P57" s="274">
        <f t="shared" si="20"/>
        <v>0</v>
      </c>
      <c r="Q57" s="273">
        <f>'人员人工-研发人员工资'!Q57</f>
        <v>0</v>
      </c>
      <c r="R57" s="274">
        <f t="shared" si="21"/>
        <v>0</v>
      </c>
      <c r="S57" s="273">
        <f>'人员人工-研发人员工资'!S57</f>
        <v>0</v>
      </c>
      <c r="T57" s="274">
        <f t="shared" si="22"/>
        <v>0</v>
      </c>
      <c r="U57" s="273">
        <f>'人员人工-研发人员工资'!U57</f>
        <v>0</v>
      </c>
      <c r="V57" s="274">
        <f t="shared" si="23"/>
        <v>0</v>
      </c>
      <c r="W57" s="273">
        <f>'人员人工-研发人员工资'!W57</f>
        <v>0</v>
      </c>
      <c r="X57" s="274">
        <f t="shared" si="24"/>
        <v>0</v>
      </c>
      <c r="Y57" s="273">
        <f>'人员人工-研发人员工资'!Y57</f>
        <v>0</v>
      </c>
      <c r="Z57" s="274">
        <f t="shared" si="25"/>
        <v>0</v>
      </c>
    </row>
    <row r="58" s="251" customFormat="1" customHeight="1" spans="1:26">
      <c r="A58" s="270">
        <v>16</v>
      </c>
      <c r="B58" s="271">
        <f>'人员人工-研发人员工资'!B58</f>
        <v>0</v>
      </c>
      <c r="C58" s="274"/>
      <c r="D58" s="272">
        <f>'人员人工-研发人员工资'!D58</f>
        <v>0</v>
      </c>
      <c r="E58" s="272">
        <f t="shared" si="14"/>
        <v>0</v>
      </c>
      <c r="F58" s="272">
        <f t="shared" si="15"/>
        <v>0</v>
      </c>
      <c r="G58" s="273">
        <f>'人员人工-研发人员工资'!G58</f>
        <v>0</v>
      </c>
      <c r="H58" s="274">
        <f t="shared" si="16"/>
        <v>0</v>
      </c>
      <c r="I58" s="273">
        <f>'人员人工-研发人员工资'!I58</f>
        <v>0</v>
      </c>
      <c r="J58" s="274">
        <f t="shared" si="17"/>
        <v>0</v>
      </c>
      <c r="K58" s="275">
        <f>'人员人工-研发人员工资'!K58</f>
        <v>0</v>
      </c>
      <c r="L58" s="274">
        <f t="shared" si="18"/>
        <v>0</v>
      </c>
      <c r="M58" s="273">
        <f>'人员人工-研发人员工资'!M58</f>
        <v>0</v>
      </c>
      <c r="N58" s="274">
        <f t="shared" si="19"/>
        <v>0</v>
      </c>
      <c r="O58" s="273">
        <f>'人员人工-研发人员工资'!O58</f>
        <v>0</v>
      </c>
      <c r="P58" s="274">
        <f t="shared" si="20"/>
        <v>0</v>
      </c>
      <c r="Q58" s="273">
        <f>'人员人工-研发人员工资'!Q58</f>
        <v>0</v>
      </c>
      <c r="R58" s="274">
        <f t="shared" si="21"/>
        <v>0</v>
      </c>
      <c r="S58" s="273">
        <f>'人员人工-研发人员工资'!S58</f>
        <v>0</v>
      </c>
      <c r="T58" s="274">
        <f t="shared" si="22"/>
        <v>0</v>
      </c>
      <c r="U58" s="273">
        <f>'人员人工-研发人员工资'!U58</f>
        <v>0</v>
      </c>
      <c r="V58" s="274">
        <f t="shared" si="23"/>
        <v>0</v>
      </c>
      <c r="W58" s="273">
        <f>'人员人工-研发人员工资'!W58</f>
        <v>0</v>
      </c>
      <c r="X58" s="274">
        <f t="shared" si="24"/>
        <v>0</v>
      </c>
      <c r="Y58" s="273">
        <f>'人员人工-研发人员工资'!Y58</f>
        <v>0</v>
      </c>
      <c r="Z58" s="274">
        <f t="shared" si="25"/>
        <v>0</v>
      </c>
    </row>
    <row r="59" s="251" customFormat="1" customHeight="1" spans="1:26">
      <c r="A59" s="270">
        <v>17</v>
      </c>
      <c r="B59" s="271">
        <f>'人员人工-研发人员工资'!B59</f>
        <v>0</v>
      </c>
      <c r="C59" s="274"/>
      <c r="D59" s="272">
        <f>'人员人工-研发人员工资'!D59</f>
        <v>0</v>
      </c>
      <c r="E59" s="272">
        <f t="shared" si="14"/>
        <v>0</v>
      </c>
      <c r="F59" s="272">
        <f t="shared" si="15"/>
        <v>0</v>
      </c>
      <c r="G59" s="273">
        <f>'人员人工-研发人员工资'!G59</f>
        <v>0</v>
      </c>
      <c r="H59" s="274">
        <f t="shared" si="16"/>
        <v>0</v>
      </c>
      <c r="I59" s="273">
        <f>'人员人工-研发人员工资'!I59</f>
        <v>0</v>
      </c>
      <c r="J59" s="274">
        <f t="shared" si="17"/>
        <v>0</v>
      </c>
      <c r="K59" s="275">
        <f>'人员人工-研发人员工资'!K59</f>
        <v>0</v>
      </c>
      <c r="L59" s="274">
        <f t="shared" si="18"/>
        <v>0</v>
      </c>
      <c r="M59" s="273">
        <f>'人员人工-研发人员工资'!M59</f>
        <v>0</v>
      </c>
      <c r="N59" s="274">
        <f t="shared" si="19"/>
        <v>0</v>
      </c>
      <c r="O59" s="273">
        <f>'人员人工-研发人员工资'!O59</f>
        <v>0</v>
      </c>
      <c r="P59" s="274">
        <f t="shared" si="20"/>
        <v>0</v>
      </c>
      <c r="Q59" s="273">
        <f>'人员人工-研发人员工资'!Q59</f>
        <v>0</v>
      </c>
      <c r="R59" s="274">
        <f t="shared" si="21"/>
        <v>0</v>
      </c>
      <c r="S59" s="273">
        <f>'人员人工-研发人员工资'!S59</f>
        <v>0</v>
      </c>
      <c r="T59" s="274">
        <f t="shared" si="22"/>
        <v>0</v>
      </c>
      <c r="U59" s="273">
        <f>'人员人工-研发人员工资'!U59</f>
        <v>0</v>
      </c>
      <c r="V59" s="274">
        <f t="shared" si="23"/>
        <v>0</v>
      </c>
      <c r="W59" s="273">
        <f>'人员人工-研发人员工资'!W59</f>
        <v>0</v>
      </c>
      <c r="X59" s="274">
        <f t="shared" si="24"/>
        <v>0</v>
      </c>
      <c r="Y59" s="273">
        <f>'人员人工-研发人员工资'!Y59</f>
        <v>0</v>
      </c>
      <c r="Z59" s="274">
        <f t="shared" si="25"/>
        <v>0</v>
      </c>
    </row>
    <row r="60" s="251" customFormat="1" customHeight="1" spans="1:26">
      <c r="A60" s="270">
        <v>18</v>
      </c>
      <c r="B60" s="271">
        <f>'人员人工-研发人员工资'!B60</f>
        <v>0</v>
      </c>
      <c r="C60" s="274"/>
      <c r="D60" s="272">
        <f>'人员人工-研发人员工资'!D60</f>
        <v>0</v>
      </c>
      <c r="E60" s="272">
        <f t="shared" si="14"/>
        <v>0</v>
      </c>
      <c r="F60" s="272">
        <f t="shared" si="15"/>
        <v>0</v>
      </c>
      <c r="G60" s="273">
        <f>'人员人工-研发人员工资'!G60</f>
        <v>0</v>
      </c>
      <c r="H60" s="274">
        <f t="shared" si="16"/>
        <v>0</v>
      </c>
      <c r="I60" s="273">
        <f>'人员人工-研发人员工资'!I60</f>
        <v>0</v>
      </c>
      <c r="J60" s="274">
        <f t="shared" si="17"/>
        <v>0</v>
      </c>
      <c r="K60" s="275">
        <f>'人员人工-研发人员工资'!K60</f>
        <v>0</v>
      </c>
      <c r="L60" s="274">
        <f t="shared" si="18"/>
        <v>0</v>
      </c>
      <c r="M60" s="273">
        <f>'人员人工-研发人员工资'!M60</f>
        <v>0</v>
      </c>
      <c r="N60" s="274">
        <f t="shared" si="19"/>
        <v>0</v>
      </c>
      <c r="O60" s="273">
        <f>'人员人工-研发人员工资'!O60</f>
        <v>0</v>
      </c>
      <c r="P60" s="274">
        <f t="shared" si="20"/>
        <v>0</v>
      </c>
      <c r="Q60" s="273">
        <f>'人员人工-研发人员工资'!Q60</f>
        <v>0</v>
      </c>
      <c r="R60" s="274">
        <f t="shared" si="21"/>
        <v>0</v>
      </c>
      <c r="S60" s="273">
        <f>'人员人工-研发人员工资'!S60</f>
        <v>0</v>
      </c>
      <c r="T60" s="274">
        <f t="shared" si="22"/>
        <v>0</v>
      </c>
      <c r="U60" s="273">
        <f>'人员人工-研发人员工资'!U60</f>
        <v>0</v>
      </c>
      <c r="V60" s="274">
        <f t="shared" si="23"/>
        <v>0</v>
      </c>
      <c r="W60" s="273">
        <f>'人员人工-研发人员工资'!W60</f>
        <v>0</v>
      </c>
      <c r="X60" s="274">
        <f t="shared" si="24"/>
        <v>0</v>
      </c>
      <c r="Y60" s="273">
        <f>'人员人工-研发人员工资'!Y60</f>
        <v>0</v>
      </c>
      <c r="Z60" s="274">
        <f t="shared" si="25"/>
        <v>0</v>
      </c>
    </row>
    <row r="61" s="251" customFormat="1" customHeight="1" spans="1:26">
      <c r="A61" s="270">
        <v>19</v>
      </c>
      <c r="B61" s="271">
        <f>'人员人工-研发人员工资'!B61</f>
        <v>0</v>
      </c>
      <c r="C61" s="274"/>
      <c r="D61" s="272">
        <f>'人员人工-研发人员工资'!D61</f>
        <v>0</v>
      </c>
      <c r="E61" s="272">
        <f t="shared" si="14"/>
        <v>0</v>
      </c>
      <c r="F61" s="272">
        <f t="shared" si="15"/>
        <v>0</v>
      </c>
      <c r="G61" s="273">
        <f>'人员人工-研发人员工资'!G61</f>
        <v>0</v>
      </c>
      <c r="H61" s="274">
        <f t="shared" si="16"/>
        <v>0</v>
      </c>
      <c r="I61" s="273">
        <f>'人员人工-研发人员工资'!I61</f>
        <v>0</v>
      </c>
      <c r="J61" s="274">
        <f t="shared" si="17"/>
        <v>0</v>
      </c>
      <c r="K61" s="275">
        <f>'人员人工-研发人员工资'!K61</f>
        <v>0</v>
      </c>
      <c r="L61" s="274">
        <f t="shared" si="18"/>
        <v>0</v>
      </c>
      <c r="M61" s="273">
        <f>'人员人工-研发人员工资'!M61</f>
        <v>0</v>
      </c>
      <c r="N61" s="274">
        <f t="shared" si="19"/>
        <v>0</v>
      </c>
      <c r="O61" s="273">
        <f>'人员人工-研发人员工资'!O61</f>
        <v>0</v>
      </c>
      <c r="P61" s="274">
        <f t="shared" si="20"/>
        <v>0</v>
      </c>
      <c r="Q61" s="273">
        <f>'人员人工-研发人员工资'!Q61</f>
        <v>0</v>
      </c>
      <c r="R61" s="274">
        <f t="shared" si="21"/>
        <v>0</v>
      </c>
      <c r="S61" s="273">
        <f>'人员人工-研发人员工资'!S61</f>
        <v>0</v>
      </c>
      <c r="T61" s="274">
        <f t="shared" si="22"/>
        <v>0</v>
      </c>
      <c r="U61" s="273">
        <f>'人员人工-研发人员工资'!U61</f>
        <v>0</v>
      </c>
      <c r="V61" s="274">
        <f t="shared" si="23"/>
        <v>0</v>
      </c>
      <c r="W61" s="273">
        <f>'人员人工-研发人员工资'!W61</f>
        <v>0</v>
      </c>
      <c r="X61" s="274">
        <f t="shared" si="24"/>
        <v>0</v>
      </c>
      <c r="Y61" s="273">
        <f>'人员人工-研发人员工资'!Y61</f>
        <v>0</v>
      </c>
      <c r="Z61" s="274">
        <f t="shared" si="25"/>
        <v>0</v>
      </c>
    </row>
    <row r="62" s="251" customFormat="1" customHeight="1" spans="1:26">
      <c r="A62" s="270">
        <v>20</v>
      </c>
      <c r="B62" s="271">
        <f>'人员人工-研发人员工资'!B62</f>
        <v>0</v>
      </c>
      <c r="C62" s="274"/>
      <c r="D62" s="272">
        <f>'人员人工-研发人员工资'!D62</f>
        <v>0</v>
      </c>
      <c r="E62" s="272">
        <f t="shared" si="14"/>
        <v>0</v>
      </c>
      <c r="F62" s="272">
        <f t="shared" si="15"/>
        <v>0</v>
      </c>
      <c r="G62" s="273">
        <f>'人员人工-研发人员工资'!G62</f>
        <v>0</v>
      </c>
      <c r="H62" s="274">
        <f t="shared" si="16"/>
        <v>0</v>
      </c>
      <c r="I62" s="273">
        <f>'人员人工-研发人员工资'!I62</f>
        <v>0</v>
      </c>
      <c r="J62" s="274">
        <f t="shared" si="17"/>
        <v>0</v>
      </c>
      <c r="K62" s="275">
        <f>'人员人工-研发人员工资'!K62</f>
        <v>0</v>
      </c>
      <c r="L62" s="274">
        <f t="shared" si="18"/>
        <v>0</v>
      </c>
      <c r="M62" s="273">
        <f>'人员人工-研发人员工资'!M62</f>
        <v>0</v>
      </c>
      <c r="N62" s="274">
        <f t="shared" si="19"/>
        <v>0</v>
      </c>
      <c r="O62" s="273">
        <f>'人员人工-研发人员工资'!O62</f>
        <v>0</v>
      </c>
      <c r="P62" s="274">
        <f t="shared" si="20"/>
        <v>0</v>
      </c>
      <c r="Q62" s="273">
        <f>'人员人工-研发人员工资'!Q62</f>
        <v>0</v>
      </c>
      <c r="R62" s="274">
        <f t="shared" si="21"/>
        <v>0</v>
      </c>
      <c r="S62" s="273">
        <f>'人员人工-研发人员工资'!S62</f>
        <v>0</v>
      </c>
      <c r="T62" s="274">
        <f t="shared" si="22"/>
        <v>0</v>
      </c>
      <c r="U62" s="273">
        <f>'人员人工-研发人员工资'!U62</f>
        <v>0</v>
      </c>
      <c r="V62" s="274">
        <f t="shared" si="23"/>
        <v>0</v>
      </c>
      <c r="W62" s="273">
        <f>'人员人工-研发人员工资'!W62</f>
        <v>0</v>
      </c>
      <c r="X62" s="274">
        <f t="shared" si="24"/>
        <v>0</v>
      </c>
      <c r="Y62" s="273">
        <f>'人员人工-研发人员工资'!Y62</f>
        <v>0</v>
      </c>
      <c r="Z62" s="274">
        <f t="shared" si="25"/>
        <v>0</v>
      </c>
    </row>
    <row r="63" s="251" customFormat="1" customHeight="1" spans="1:26">
      <c r="A63" s="270">
        <v>21</v>
      </c>
      <c r="B63" s="271">
        <f>'人员人工-研发人员工资'!B63</f>
        <v>0</v>
      </c>
      <c r="C63" s="274"/>
      <c r="D63" s="272">
        <f>'人员人工-研发人员工资'!D63</f>
        <v>0</v>
      </c>
      <c r="E63" s="272">
        <f t="shared" si="14"/>
        <v>0</v>
      </c>
      <c r="F63" s="272">
        <f t="shared" si="15"/>
        <v>0</v>
      </c>
      <c r="G63" s="273">
        <f>'人员人工-研发人员工资'!G63</f>
        <v>0</v>
      </c>
      <c r="H63" s="274">
        <f t="shared" si="16"/>
        <v>0</v>
      </c>
      <c r="I63" s="273">
        <f>'人员人工-研发人员工资'!I63</f>
        <v>0</v>
      </c>
      <c r="J63" s="274">
        <f t="shared" si="17"/>
        <v>0</v>
      </c>
      <c r="K63" s="275">
        <f>'人员人工-研发人员工资'!K63</f>
        <v>0</v>
      </c>
      <c r="L63" s="274">
        <f t="shared" si="18"/>
        <v>0</v>
      </c>
      <c r="M63" s="273">
        <f>'人员人工-研发人员工资'!M63</f>
        <v>0</v>
      </c>
      <c r="N63" s="274">
        <f t="shared" si="19"/>
        <v>0</v>
      </c>
      <c r="O63" s="273">
        <f>'人员人工-研发人员工资'!O63</f>
        <v>0</v>
      </c>
      <c r="P63" s="274">
        <f t="shared" si="20"/>
        <v>0</v>
      </c>
      <c r="Q63" s="273">
        <f>'人员人工-研发人员工资'!Q63</f>
        <v>0</v>
      </c>
      <c r="R63" s="274">
        <f t="shared" si="21"/>
        <v>0</v>
      </c>
      <c r="S63" s="273">
        <f>'人员人工-研发人员工资'!S63</f>
        <v>0</v>
      </c>
      <c r="T63" s="274">
        <f t="shared" si="22"/>
        <v>0</v>
      </c>
      <c r="U63" s="273">
        <f>'人员人工-研发人员工资'!U63</f>
        <v>0</v>
      </c>
      <c r="V63" s="274">
        <f t="shared" si="23"/>
        <v>0</v>
      </c>
      <c r="W63" s="273">
        <f>'人员人工-研发人员工资'!W63</f>
        <v>0</v>
      </c>
      <c r="X63" s="274">
        <f t="shared" si="24"/>
        <v>0</v>
      </c>
      <c r="Y63" s="273">
        <f>'人员人工-研发人员工资'!Y63</f>
        <v>0</v>
      </c>
      <c r="Z63" s="274">
        <f t="shared" si="25"/>
        <v>0</v>
      </c>
    </row>
    <row r="64" s="251" customFormat="1" customHeight="1" spans="1:26">
      <c r="A64" s="270">
        <v>22</v>
      </c>
      <c r="B64" s="271">
        <f>'人员人工-研发人员工资'!B64</f>
        <v>0</v>
      </c>
      <c r="C64" s="274"/>
      <c r="D64" s="272">
        <f>'人员人工-研发人员工资'!D64</f>
        <v>0</v>
      </c>
      <c r="E64" s="272">
        <f t="shared" si="14"/>
        <v>0</v>
      </c>
      <c r="F64" s="272">
        <f t="shared" si="15"/>
        <v>0</v>
      </c>
      <c r="G64" s="273">
        <f>'人员人工-研发人员工资'!G64</f>
        <v>0</v>
      </c>
      <c r="H64" s="274">
        <f t="shared" si="16"/>
        <v>0</v>
      </c>
      <c r="I64" s="273">
        <f>'人员人工-研发人员工资'!I64</f>
        <v>0</v>
      </c>
      <c r="J64" s="274">
        <f t="shared" si="17"/>
        <v>0</v>
      </c>
      <c r="K64" s="275">
        <f>'人员人工-研发人员工资'!K64</f>
        <v>0</v>
      </c>
      <c r="L64" s="274">
        <f t="shared" si="18"/>
        <v>0</v>
      </c>
      <c r="M64" s="273">
        <f>'人员人工-研发人员工资'!M64</f>
        <v>0</v>
      </c>
      <c r="N64" s="274">
        <f t="shared" si="19"/>
        <v>0</v>
      </c>
      <c r="O64" s="273">
        <f>'人员人工-研发人员工资'!O64</f>
        <v>0</v>
      </c>
      <c r="P64" s="274">
        <f t="shared" si="20"/>
        <v>0</v>
      </c>
      <c r="Q64" s="273">
        <f>'人员人工-研发人员工资'!Q64</f>
        <v>0</v>
      </c>
      <c r="R64" s="274">
        <f t="shared" si="21"/>
        <v>0</v>
      </c>
      <c r="S64" s="273">
        <f>'人员人工-研发人员工资'!S64</f>
        <v>0</v>
      </c>
      <c r="T64" s="274">
        <f t="shared" si="22"/>
        <v>0</v>
      </c>
      <c r="U64" s="273">
        <f>'人员人工-研发人员工资'!U64</f>
        <v>0</v>
      </c>
      <c r="V64" s="274">
        <f t="shared" si="23"/>
        <v>0</v>
      </c>
      <c r="W64" s="273">
        <f>'人员人工-研发人员工资'!W64</f>
        <v>0</v>
      </c>
      <c r="X64" s="274">
        <f t="shared" si="24"/>
        <v>0</v>
      </c>
      <c r="Y64" s="273">
        <f>'人员人工-研发人员工资'!Y64</f>
        <v>0</v>
      </c>
      <c r="Z64" s="274">
        <f t="shared" si="25"/>
        <v>0</v>
      </c>
    </row>
    <row r="65" s="251" customFormat="1" customHeight="1" spans="1:26">
      <c r="A65" s="270">
        <v>23</v>
      </c>
      <c r="B65" s="271">
        <f>'人员人工-研发人员工资'!B65</f>
        <v>0</v>
      </c>
      <c r="C65" s="274"/>
      <c r="D65" s="272">
        <f>'人员人工-研发人员工资'!D65</f>
        <v>0</v>
      </c>
      <c r="E65" s="272">
        <f t="shared" si="14"/>
        <v>0</v>
      </c>
      <c r="F65" s="272">
        <f t="shared" si="15"/>
        <v>0</v>
      </c>
      <c r="G65" s="273">
        <f>'人员人工-研发人员工资'!G65</f>
        <v>0</v>
      </c>
      <c r="H65" s="274">
        <f t="shared" si="16"/>
        <v>0</v>
      </c>
      <c r="I65" s="273">
        <f>'人员人工-研发人员工资'!I65</f>
        <v>0</v>
      </c>
      <c r="J65" s="274">
        <f t="shared" si="17"/>
        <v>0</v>
      </c>
      <c r="K65" s="275">
        <f>'人员人工-研发人员工资'!K65</f>
        <v>0</v>
      </c>
      <c r="L65" s="274">
        <f t="shared" si="18"/>
        <v>0</v>
      </c>
      <c r="M65" s="273">
        <f>'人员人工-研发人员工资'!M65</f>
        <v>0</v>
      </c>
      <c r="N65" s="274">
        <f t="shared" si="19"/>
        <v>0</v>
      </c>
      <c r="O65" s="273">
        <f>'人员人工-研发人员工资'!O65</f>
        <v>0</v>
      </c>
      <c r="P65" s="274">
        <f t="shared" si="20"/>
        <v>0</v>
      </c>
      <c r="Q65" s="273">
        <f>'人员人工-研发人员工资'!Q65</f>
        <v>0</v>
      </c>
      <c r="R65" s="274">
        <f t="shared" si="21"/>
        <v>0</v>
      </c>
      <c r="S65" s="273">
        <f>'人员人工-研发人员工资'!S65</f>
        <v>0</v>
      </c>
      <c r="T65" s="274">
        <f t="shared" si="22"/>
        <v>0</v>
      </c>
      <c r="U65" s="273">
        <f>'人员人工-研发人员工资'!U65</f>
        <v>0</v>
      </c>
      <c r="V65" s="274">
        <f t="shared" si="23"/>
        <v>0</v>
      </c>
      <c r="W65" s="273">
        <f>'人员人工-研发人员工资'!W65</f>
        <v>0</v>
      </c>
      <c r="X65" s="274">
        <f t="shared" si="24"/>
        <v>0</v>
      </c>
      <c r="Y65" s="273">
        <f>'人员人工-研发人员工资'!Y65</f>
        <v>0</v>
      </c>
      <c r="Z65" s="274">
        <f t="shared" si="25"/>
        <v>0</v>
      </c>
    </row>
    <row r="66" s="251" customFormat="1" customHeight="1" spans="1:26">
      <c r="A66" s="270">
        <v>25</v>
      </c>
      <c r="B66" s="271">
        <f>'人员人工-研发人员工资'!B66</f>
        <v>0</v>
      </c>
      <c r="C66" s="274"/>
      <c r="D66" s="272">
        <f>'人员人工-研发人员工资'!D66</f>
        <v>0</v>
      </c>
      <c r="E66" s="272">
        <f t="shared" si="14"/>
        <v>0</v>
      </c>
      <c r="F66" s="272">
        <f t="shared" si="15"/>
        <v>0</v>
      </c>
      <c r="G66" s="273">
        <f>'人员人工-研发人员工资'!G66</f>
        <v>0</v>
      </c>
      <c r="H66" s="274">
        <f t="shared" si="16"/>
        <v>0</v>
      </c>
      <c r="I66" s="273">
        <f>'人员人工-研发人员工资'!I66</f>
        <v>0</v>
      </c>
      <c r="J66" s="274">
        <f t="shared" si="17"/>
        <v>0</v>
      </c>
      <c r="K66" s="275">
        <f>'人员人工-研发人员工资'!K66</f>
        <v>0</v>
      </c>
      <c r="L66" s="274">
        <f t="shared" si="18"/>
        <v>0</v>
      </c>
      <c r="M66" s="273">
        <f>'人员人工-研发人员工资'!M66</f>
        <v>0</v>
      </c>
      <c r="N66" s="274">
        <f t="shared" si="19"/>
        <v>0</v>
      </c>
      <c r="O66" s="273">
        <f>'人员人工-研发人员工资'!O66</f>
        <v>0</v>
      </c>
      <c r="P66" s="274">
        <f t="shared" si="20"/>
        <v>0</v>
      </c>
      <c r="Q66" s="273">
        <f>'人员人工-研发人员工资'!Q66</f>
        <v>0</v>
      </c>
      <c r="R66" s="274">
        <f t="shared" si="21"/>
        <v>0</v>
      </c>
      <c r="S66" s="273">
        <f>'人员人工-研发人员工资'!S66</f>
        <v>0</v>
      </c>
      <c r="T66" s="274">
        <f t="shared" si="22"/>
        <v>0</v>
      </c>
      <c r="U66" s="273">
        <f>'人员人工-研发人员工资'!U66</f>
        <v>0</v>
      </c>
      <c r="V66" s="274">
        <f t="shared" si="23"/>
        <v>0</v>
      </c>
      <c r="W66" s="273">
        <f>'人员人工-研发人员工资'!W66</f>
        <v>0</v>
      </c>
      <c r="X66" s="274">
        <f t="shared" si="24"/>
        <v>0</v>
      </c>
      <c r="Y66" s="273">
        <f>'人员人工-研发人员工资'!Y66</f>
        <v>0</v>
      </c>
      <c r="Z66" s="274">
        <f t="shared" si="25"/>
        <v>0</v>
      </c>
    </row>
    <row r="67" s="251" customFormat="1" customHeight="1" spans="1:26">
      <c r="A67" s="270">
        <v>25</v>
      </c>
      <c r="B67" s="271">
        <f>'人员人工-研发人员工资'!B67</f>
        <v>0</v>
      </c>
      <c r="C67" s="274"/>
      <c r="D67" s="272">
        <f>'人员人工-研发人员工资'!D67</f>
        <v>0</v>
      </c>
      <c r="E67" s="272">
        <f t="shared" si="14"/>
        <v>0</v>
      </c>
      <c r="F67" s="272">
        <f t="shared" si="15"/>
        <v>0</v>
      </c>
      <c r="G67" s="273">
        <f>'人员人工-研发人员工资'!G67</f>
        <v>0</v>
      </c>
      <c r="H67" s="274">
        <f t="shared" si="16"/>
        <v>0</v>
      </c>
      <c r="I67" s="273">
        <f>'人员人工-研发人员工资'!I67</f>
        <v>0</v>
      </c>
      <c r="J67" s="274">
        <f t="shared" si="17"/>
        <v>0</v>
      </c>
      <c r="K67" s="275">
        <f>'人员人工-研发人员工资'!K67</f>
        <v>0</v>
      </c>
      <c r="L67" s="274">
        <f t="shared" si="18"/>
        <v>0</v>
      </c>
      <c r="M67" s="273">
        <f>'人员人工-研发人员工资'!M67</f>
        <v>0</v>
      </c>
      <c r="N67" s="274">
        <f t="shared" si="19"/>
        <v>0</v>
      </c>
      <c r="O67" s="273">
        <f>'人员人工-研发人员工资'!O67</f>
        <v>0</v>
      </c>
      <c r="P67" s="274">
        <f t="shared" si="20"/>
        <v>0</v>
      </c>
      <c r="Q67" s="273">
        <f>'人员人工-研发人员工资'!Q67</f>
        <v>0</v>
      </c>
      <c r="R67" s="274">
        <f t="shared" si="21"/>
        <v>0</v>
      </c>
      <c r="S67" s="273">
        <f>'人员人工-研发人员工资'!S67</f>
        <v>0</v>
      </c>
      <c r="T67" s="274">
        <f t="shared" si="22"/>
        <v>0</v>
      </c>
      <c r="U67" s="273">
        <f>'人员人工-研发人员工资'!U67</f>
        <v>0</v>
      </c>
      <c r="V67" s="274">
        <f t="shared" si="23"/>
        <v>0</v>
      </c>
      <c r="W67" s="273">
        <f>'人员人工-研发人员工资'!W67</f>
        <v>0</v>
      </c>
      <c r="X67" s="274">
        <f t="shared" si="24"/>
        <v>0</v>
      </c>
      <c r="Y67" s="273">
        <f>'人员人工-研发人员工资'!Y67</f>
        <v>0</v>
      </c>
      <c r="Z67" s="274">
        <f t="shared" si="25"/>
        <v>0</v>
      </c>
    </row>
    <row r="68" s="251" customFormat="1" customHeight="1" spans="1:26">
      <c r="A68" s="270">
        <v>26</v>
      </c>
      <c r="B68" s="271">
        <f>'人员人工-研发人员工资'!B68</f>
        <v>0</v>
      </c>
      <c r="C68" s="274"/>
      <c r="D68" s="272">
        <f>'人员人工-研发人员工资'!D68</f>
        <v>0</v>
      </c>
      <c r="E68" s="272">
        <f t="shared" si="14"/>
        <v>0</v>
      </c>
      <c r="F68" s="272">
        <f t="shared" si="15"/>
        <v>0</v>
      </c>
      <c r="G68" s="273">
        <f>'人员人工-研发人员工资'!G68</f>
        <v>0</v>
      </c>
      <c r="H68" s="274">
        <f t="shared" si="16"/>
        <v>0</v>
      </c>
      <c r="I68" s="273">
        <f>'人员人工-研发人员工资'!I68</f>
        <v>0</v>
      </c>
      <c r="J68" s="274">
        <f t="shared" si="17"/>
        <v>0</v>
      </c>
      <c r="K68" s="275">
        <f>'人员人工-研发人员工资'!K68</f>
        <v>0</v>
      </c>
      <c r="L68" s="274">
        <f t="shared" si="18"/>
        <v>0</v>
      </c>
      <c r="M68" s="273">
        <f>'人员人工-研发人员工资'!M68</f>
        <v>0</v>
      </c>
      <c r="N68" s="274">
        <f t="shared" si="19"/>
        <v>0</v>
      </c>
      <c r="O68" s="273">
        <f>'人员人工-研发人员工资'!O68</f>
        <v>0</v>
      </c>
      <c r="P68" s="274">
        <f t="shared" si="20"/>
        <v>0</v>
      </c>
      <c r="Q68" s="273">
        <f>'人员人工-研发人员工资'!Q68</f>
        <v>0</v>
      </c>
      <c r="R68" s="274">
        <f t="shared" si="21"/>
        <v>0</v>
      </c>
      <c r="S68" s="273">
        <f>'人员人工-研发人员工资'!S68</f>
        <v>0</v>
      </c>
      <c r="T68" s="274">
        <f t="shared" si="22"/>
        <v>0</v>
      </c>
      <c r="U68" s="273">
        <f>'人员人工-研发人员工资'!U68</f>
        <v>0</v>
      </c>
      <c r="V68" s="274">
        <f t="shared" si="23"/>
        <v>0</v>
      </c>
      <c r="W68" s="273">
        <f>'人员人工-研发人员工资'!W68</f>
        <v>0</v>
      </c>
      <c r="X68" s="274">
        <f t="shared" si="24"/>
        <v>0</v>
      </c>
      <c r="Y68" s="273">
        <f>'人员人工-研发人员工资'!Y68</f>
        <v>0</v>
      </c>
      <c r="Z68" s="274">
        <f t="shared" si="25"/>
        <v>0</v>
      </c>
    </row>
    <row r="69" s="251" customFormat="1" customHeight="1" spans="1:26">
      <c r="A69" s="270">
        <v>27</v>
      </c>
      <c r="B69" s="271">
        <f>'人员人工-研发人员工资'!B69</f>
        <v>0</v>
      </c>
      <c r="C69" s="274"/>
      <c r="D69" s="272">
        <f>'人员人工-研发人员工资'!D69</f>
        <v>0</v>
      </c>
      <c r="E69" s="272">
        <f t="shared" si="14"/>
        <v>0</v>
      </c>
      <c r="F69" s="272">
        <f t="shared" si="15"/>
        <v>0</v>
      </c>
      <c r="G69" s="273">
        <f>'人员人工-研发人员工资'!G69</f>
        <v>0</v>
      </c>
      <c r="H69" s="274">
        <f t="shared" si="16"/>
        <v>0</v>
      </c>
      <c r="I69" s="273">
        <f>'人员人工-研发人员工资'!I69</f>
        <v>0</v>
      </c>
      <c r="J69" s="274">
        <f t="shared" si="17"/>
        <v>0</v>
      </c>
      <c r="K69" s="275">
        <f>'人员人工-研发人员工资'!K69</f>
        <v>0</v>
      </c>
      <c r="L69" s="274">
        <f t="shared" si="18"/>
        <v>0</v>
      </c>
      <c r="M69" s="273">
        <f>'人员人工-研发人员工资'!M69</f>
        <v>0</v>
      </c>
      <c r="N69" s="274">
        <f t="shared" si="19"/>
        <v>0</v>
      </c>
      <c r="O69" s="273">
        <f>'人员人工-研发人员工资'!O69</f>
        <v>0</v>
      </c>
      <c r="P69" s="274">
        <f t="shared" si="20"/>
        <v>0</v>
      </c>
      <c r="Q69" s="273">
        <f>'人员人工-研发人员工资'!Q69</f>
        <v>0</v>
      </c>
      <c r="R69" s="274">
        <f t="shared" si="21"/>
        <v>0</v>
      </c>
      <c r="S69" s="273">
        <f>'人员人工-研发人员工资'!S69</f>
        <v>0</v>
      </c>
      <c r="T69" s="274">
        <f t="shared" si="22"/>
        <v>0</v>
      </c>
      <c r="U69" s="273">
        <f>'人员人工-研发人员工资'!U69</f>
        <v>0</v>
      </c>
      <c r="V69" s="274">
        <f t="shared" si="23"/>
        <v>0</v>
      </c>
      <c r="W69" s="273">
        <f>'人员人工-研发人员工资'!W69</f>
        <v>0</v>
      </c>
      <c r="X69" s="274">
        <f t="shared" si="24"/>
        <v>0</v>
      </c>
      <c r="Y69" s="273">
        <f>'人员人工-研发人员工资'!Y69</f>
        <v>0</v>
      </c>
      <c r="Z69" s="274">
        <f t="shared" si="25"/>
        <v>0</v>
      </c>
    </row>
    <row r="70" s="251" customFormat="1" customHeight="1" spans="1:26">
      <c r="A70" s="270">
        <v>28</v>
      </c>
      <c r="B70" s="271">
        <f>'人员人工-研发人员工资'!B70</f>
        <v>0</v>
      </c>
      <c r="C70" s="274"/>
      <c r="D70" s="272">
        <f>'人员人工-研发人员工资'!D70</f>
        <v>0</v>
      </c>
      <c r="E70" s="272">
        <f t="shared" si="14"/>
        <v>0</v>
      </c>
      <c r="F70" s="272">
        <f t="shared" si="15"/>
        <v>0</v>
      </c>
      <c r="G70" s="273">
        <f>'人员人工-研发人员工资'!G70</f>
        <v>0</v>
      </c>
      <c r="H70" s="274">
        <f t="shared" si="16"/>
        <v>0</v>
      </c>
      <c r="I70" s="273">
        <f>'人员人工-研发人员工资'!I70</f>
        <v>0</v>
      </c>
      <c r="J70" s="274">
        <f t="shared" si="17"/>
        <v>0</v>
      </c>
      <c r="K70" s="275">
        <f>'人员人工-研发人员工资'!K70</f>
        <v>0</v>
      </c>
      <c r="L70" s="274">
        <f t="shared" si="18"/>
        <v>0</v>
      </c>
      <c r="M70" s="273">
        <f>'人员人工-研发人员工资'!M70</f>
        <v>0</v>
      </c>
      <c r="N70" s="274">
        <f t="shared" si="19"/>
        <v>0</v>
      </c>
      <c r="O70" s="273">
        <f>'人员人工-研发人员工资'!O70</f>
        <v>0</v>
      </c>
      <c r="P70" s="274">
        <f t="shared" si="20"/>
        <v>0</v>
      </c>
      <c r="Q70" s="273">
        <f>'人员人工-研发人员工资'!Q70</f>
        <v>0</v>
      </c>
      <c r="R70" s="274">
        <f t="shared" si="21"/>
        <v>0</v>
      </c>
      <c r="S70" s="273">
        <f>'人员人工-研发人员工资'!S70</f>
        <v>0</v>
      </c>
      <c r="T70" s="274">
        <f t="shared" si="22"/>
        <v>0</v>
      </c>
      <c r="U70" s="273">
        <f>'人员人工-研发人员工资'!U70</f>
        <v>0</v>
      </c>
      <c r="V70" s="274">
        <f t="shared" si="23"/>
        <v>0</v>
      </c>
      <c r="W70" s="273">
        <f>'人员人工-研发人员工资'!W70</f>
        <v>0</v>
      </c>
      <c r="X70" s="274">
        <f t="shared" si="24"/>
        <v>0</v>
      </c>
      <c r="Y70" s="273">
        <f>'人员人工-研发人员工资'!Y70</f>
        <v>0</v>
      </c>
      <c r="Z70" s="274">
        <f t="shared" si="25"/>
        <v>0</v>
      </c>
    </row>
    <row r="71" s="251" customFormat="1" customHeight="1" spans="1:26">
      <c r="A71" s="270">
        <v>29</v>
      </c>
      <c r="B71" s="271">
        <f>'人员人工-研发人员工资'!B71</f>
        <v>0</v>
      </c>
      <c r="C71" s="274"/>
      <c r="D71" s="272">
        <f>'人员人工-研发人员工资'!D71</f>
        <v>0</v>
      </c>
      <c r="E71" s="272">
        <f t="shared" si="14"/>
        <v>0</v>
      </c>
      <c r="F71" s="272">
        <f t="shared" si="15"/>
        <v>0</v>
      </c>
      <c r="G71" s="273">
        <f>'人员人工-研发人员工资'!G71</f>
        <v>0</v>
      </c>
      <c r="H71" s="274">
        <f t="shared" si="16"/>
        <v>0</v>
      </c>
      <c r="I71" s="273">
        <f>'人员人工-研发人员工资'!I71</f>
        <v>0</v>
      </c>
      <c r="J71" s="274">
        <f t="shared" si="17"/>
        <v>0</v>
      </c>
      <c r="K71" s="275">
        <f>'人员人工-研发人员工资'!K71</f>
        <v>0</v>
      </c>
      <c r="L71" s="274">
        <f t="shared" si="18"/>
        <v>0</v>
      </c>
      <c r="M71" s="273">
        <f>'人员人工-研发人员工资'!M71</f>
        <v>0</v>
      </c>
      <c r="N71" s="274">
        <f t="shared" si="19"/>
        <v>0</v>
      </c>
      <c r="O71" s="273">
        <f>'人员人工-研发人员工资'!O71</f>
        <v>0</v>
      </c>
      <c r="P71" s="274">
        <f t="shared" si="20"/>
        <v>0</v>
      </c>
      <c r="Q71" s="273">
        <f>'人员人工-研发人员工资'!Q71</f>
        <v>0</v>
      </c>
      <c r="R71" s="274">
        <f t="shared" si="21"/>
        <v>0</v>
      </c>
      <c r="S71" s="273">
        <f>'人员人工-研发人员工资'!S71</f>
        <v>0</v>
      </c>
      <c r="T71" s="274">
        <f t="shared" si="22"/>
        <v>0</v>
      </c>
      <c r="U71" s="273">
        <f>'人员人工-研发人员工资'!U71</f>
        <v>0</v>
      </c>
      <c r="V71" s="274">
        <f t="shared" si="23"/>
        <v>0</v>
      </c>
      <c r="W71" s="273">
        <f>'人员人工-研发人员工资'!W71</f>
        <v>0</v>
      </c>
      <c r="X71" s="274">
        <f t="shared" si="24"/>
        <v>0</v>
      </c>
      <c r="Y71" s="273">
        <f>'人员人工-研发人员工资'!Y71</f>
        <v>0</v>
      </c>
      <c r="Z71" s="274">
        <f t="shared" si="25"/>
        <v>0</v>
      </c>
    </row>
    <row r="72" s="251" customFormat="1" customHeight="1" spans="1:26">
      <c r="A72" s="270">
        <v>30</v>
      </c>
      <c r="B72" s="271">
        <f>'人员人工-研发人员工资'!B72</f>
        <v>0</v>
      </c>
      <c r="C72" s="274"/>
      <c r="D72" s="272">
        <f>'人员人工-研发人员工资'!D72</f>
        <v>0</v>
      </c>
      <c r="E72" s="272">
        <f t="shared" si="14"/>
        <v>0</v>
      </c>
      <c r="F72" s="272">
        <f t="shared" si="15"/>
        <v>0</v>
      </c>
      <c r="G72" s="273">
        <f>'人员人工-研发人员工资'!G72</f>
        <v>0</v>
      </c>
      <c r="H72" s="274">
        <f t="shared" si="16"/>
        <v>0</v>
      </c>
      <c r="I72" s="273">
        <f>'人员人工-研发人员工资'!I72</f>
        <v>0</v>
      </c>
      <c r="J72" s="274">
        <f t="shared" si="17"/>
        <v>0</v>
      </c>
      <c r="K72" s="275">
        <f>'人员人工-研发人员工资'!K72</f>
        <v>0</v>
      </c>
      <c r="L72" s="274">
        <f t="shared" si="18"/>
        <v>0</v>
      </c>
      <c r="M72" s="273">
        <f>'人员人工-研发人员工资'!M72</f>
        <v>0</v>
      </c>
      <c r="N72" s="274">
        <f t="shared" si="19"/>
        <v>0</v>
      </c>
      <c r="O72" s="273">
        <f>'人员人工-研发人员工资'!O72</f>
        <v>0</v>
      </c>
      <c r="P72" s="274">
        <f t="shared" si="20"/>
        <v>0</v>
      </c>
      <c r="Q72" s="273">
        <f>'人员人工-研发人员工资'!Q72</f>
        <v>0</v>
      </c>
      <c r="R72" s="274">
        <f t="shared" si="21"/>
        <v>0</v>
      </c>
      <c r="S72" s="273">
        <f>'人员人工-研发人员工资'!S72</f>
        <v>0</v>
      </c>
      <c r="T72" s="274">
        <f t="shared" si="22"/>
        <v>0</v>
      </c>
      <c r="U72" s="273">
        <f>'人员人工-研发人员工资'!U72</f>
        <v>0</v>
      </c>
      <c r="V72" s="274">
        <f t="shared" si="23"/>
        <v>0</v>
      </c>
      <c r="W72" s="273">
        <f>'人员人工-研发人员工资'!W72</f>
        <v>0</v>
      </c>
      <c r="X72" s="274">
        <f t="shared" si="24"/>
        <v>0</v>
      </c>
      <c r="Y72" s="273">
        <f>'人员人工-研发人员工资'!Y72</f>
        <v>0</v>
      </c>
      <c r="Z72" s="274">
        <f t="shared" si="25"/>
        <v>0</v>
      </c>
    </row>
    <row r="73" s="251" customFormat="1" customHeight="1" spans="1:26">
      <c r="A73" s="276" t="s">
        <v>22</v>
      </c>
      <c r="B73" s="277"/>
      <c r="C73" s="261">
        <f t="shared" ref="C73:Z73" si="26">SUM(C43:C72)</f>
        <v>0</v>
      </c>
      <c r="D73" s="261">
        <f t="shared" si="26"/>
        <v>0</v>
      </c>
      <c r="E73" s="261">
        <f t="shared" si="26"/>
        <v>0</v>
      </c>
      <c r="F73" s="272">
        <f t="shared" si="26"/>
        <v>0</v>
      </c>
      <c r="G73" s="261">
        <f t="shared" si="26"/>
        <v>0</v>
      </c>
      <c r="H73" s="261">
        <f t="shared" si="26"/>
        <v>0</v>
      </c>
      <c r="I73" s="261">
        <f t="shared" si="26"/>
        <v>0</v>
      </c>
      <c r="J73" s="261">
        <f t="shared" si="26"/>
        <v>0</v>
      </c>
      <c r="K73" s="261">
        <f t="shared" si="26"/>
        <v>0</v>
      </c>
      <c r="L73" s="261">
        <f t="shared" si="26"/>
        <v>0</v>
      </c>
      <c r="M73" s="261">
        <f t="shared" si="26"/>
        <v>0</v>
      </c>
      <c r="N73" s="261">
        <f t="shared" si="26"/>
        <v>0</v>
      </c>
      <c r="O73" s="261">
        <f t="shared" si="26"/>
        <v>0</v>
      </c>
      <c r="P73" s="261">
        <f t="shared" si="26"/>
        <v>0</v>
      </c>
      <c r="Q73" s="261">
        <f t="shared" si="26"/>
        <v>0</v>
      </c>
      <c r="R73" s="261">
        <f t="shared" si="26"/>
        <v>0</v>
      </c>
      <c r="S73" s="261">
        <f t="shared" si="26"/>
        <v>0</v>
      </c>
      <c r="T73" s="261">
        <f t="shared" si="26"/>
        <v>0</v>
      </c>
      <c r="U73" s="261">
        <f t="shared" si="26"/>
        <v>0</v>
      </c>
      <c r="V73" s="261">
        <f t="shared" si="26"/>
        <v>0</v>
      </c>
      <c r="W73" s="261">
        <f t="shared" si="26"/>
        <v>0</v>
      </c>
      <c r="X73" s="261">
        <f t="shared" si="26"/>
        <v>0</v>
      </c>
      <c r="Y73" s="261">
        <f t="shared" si="26"/>
        <v>0</v>
      </c>
      <c r="Z73" s="261">
        <f t="shared" si="26"/>
        <v>0</v>
      </c>
    </row>
    <row r="74" s="251" customFormat="1" customHeight="1" spans="1:26">
      <c r="A74" s="252"/>
      <c r="B74" s="253"/>
      <c r="C74" s="254"/>
      <c r="D74" s="254"/>
      <c r="E74" s="255"/>
      <c r="F74" s="255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</row>
    <row r="75" s="251" customFormat="1" customHeight="1" spans="1:26">
      <c r="A75" s="252"/>
      <c r="B75" s="253"/>
      <c r="C75" s="254"/>
      <c r="D75" s="254"/>
      <c r="E75" s="255"/>
      <c r="F75" s="255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 s="251" customFormat="1" customHeight="1" spans="1:26">
      <c r="A76" s="252"/>
      <c r="B76" s="257" t="s">
        <v>161</v>
      </c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</row>
    <row r="77" s="251" customFormat="1" customHeight="1" spans="1:26">
      <c r="A77" s="252"/>
      <c r="B77" s="253"/>
      <c r="C77" s="254"/>
      <c r="D77" s="254"/>
      <c r="E77" s="255"/>
      <c r="F77" s="255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</row>
    <row r="78" s="251" customFormat="1" customHeight="1" spans="1:26">
      <c r="A78" s="259" t="s">
        <v>31</v>
      </c>
      <c r="B78" s="260" t="s">
        <v>32</v>
      </c>
      <c r="C78" s="261" t="s">
        <v>157</v>
      </c>
      <c r="D78" s="261" t="s">
        <v>34</v>
      </c>
      <c r="E78" s="262" t="s">
        <v>35</v>
      </c>
      <c r="F78" s="262" t="s">
        <v>158</v>
      </c>
      <c r="G78" s="263" t="str">
        <f>立项!$A$3</f>
        <v>RD01</v>
      </c>
      <c r="H78" s="264"/>
      <c r="I78" s="264" t="str">
        <f>立项!$A$4</f>
        <v>RD02</v>
      </c>
      <c r="J78" s="264"/>
      <c r="K78" s="264" t="str">
        <f>立项!$A$5</f>
        <v>RD03</v>
      </c>
      <c r="L78" s="264"/>
      <c r="M78" s="264" t="str">
        <f>立项!$A$6</f>
        <v>RD04</v>
      </c>
      <c r="N78" s="264"/>
      <c r="O78" s="264" t="str">
        <f>立项!$A$7</f>
        <v>RD05</v>
      </c>
      <c r="P78" s="264"/>
      <c r="Q78" s="264" t="str">
        <f>立项!$A$8</f>
        <v>RD06</v>
      </c>
      <c r="R78" s="264"/>
      <c r="S78" s="264" t="str">
        <f>立项!$A$9</f>
        <v>RD07</v>
      </c>
      <c r="T78" s="264"/>
      <c r="U78" s="264" t="str">
        <f>立项!$A$10</f>
        <v>RD08</v>
      </c>
      <c r="V78" s="264"/>
      <c r="W78" s="264" t="str">
        <f>立项!$A$11</f>
        <v>RD09</v>
      </c>
      <c r="X78" s="264"/>
      <c r="Y78" s="264" t="str">
        <f>立项!$A$12</f>
        <v>RD10</v>
      </c>
      <c r="Z78" s="264"/>
    </row>
    <row r="79" s="251" customFormat="1" customHeight="1" spans="1:26">
      <c r="A79" s="265"/>
      <c r="B79" s="260"/>
      <c r="C79" s="261"/>
      <c r="D79" s="261"/>
      <c r="E79" s="262"/>
      <c r="F79" s="262"/>
      <c r="G79" s="267">
        <f>立项!C3</f>
        <v>0</v>
      </c>
      <c r="H79" s="263"/>
      <c r="I79" s="267">
        <f>立项!C4</f>
        <v>0</v>
      </c>
      <c r="J79" s="263"/>
      <c r="K79" s="267">
        <f>立项!C5</f>
        <v>0</v>
      </c>
      <c r="L79" s="263"/>
      <c r="M79" s="267">
        <f>立项!C6</f>
        <v>0</v>
      </c>
      <c r="N79" s="263"/>
      <c r="O79" s="267">
        <f>立项!C7</f>
        <v>0</v>
      </c>
      <c r="P79" s="263"/>
      <c r="Q79" s="267">
        <f>立项!C8</f>
        <v>0</v>
      </c>
      <c r="R79" s="263"/>
      <c r="S79" s="267">
        <f>立项!C9</f>
        <v>0</v>
      </c>
      <c r="T79" s="263"/>
      <c r="U79" s="267">
        <f>立项!C10</f>
        <v>0</v>
      </c>
      <c r="V79" s="263"/>
      <c r="W79" s="267">
        <f>立项!C11</f>
        <v>0</v>
      </c>
      <c r="X79" s="263"/>
      <c r="Y79" s="264">
        <f>立项!C12</f>
        <v>0</v>
      </c>
      <c r="Z79" s="264"/>
    </row>
    <row r="80" s="251" customFormat="1" customHeight="1" spans="1:26">
      <c r="A80" s="268"/>
      <c r="B80" s="260"/>
      <c r="C80" s="261"/>
      <c r="D80" s="261"/>
      <c r="E80" s="262"/>
      <c r="F80" s="262"/>
      <c r="G80" s="264" t="s">
        <v>39</v>
      </c>
      <c r="H80" s="269" t="s">
        <v>159</v>
      </c>
      <c r="I80" s="264" t="s">
        <v>39</v>
      </c>
      <c r="J80" s="269" t="s">
        <v>159</v>
      </c>
      <c r="K80" s="264" t="s">
        <v>39</v>
      </c>
      <c r="L80" s="269" t="s">
        <v>159</v>
      </c>
      <c r="M80" s="264" t="s">
        <v>39</v>
      </c>
      <c r="N80" s="269" t="s">
        <v>159</v>
      </c>
      <c r="O80" s="264" t="s">
        <v>39</v>
      </c>
      <c r="P80" s="269" t="s">
        <v>159</v>
      </c>
      <c r="Q80" s="264" t="s">
        <v>39</v>
      </c>
      <c r="R80" s="269" t="s">
        <v>159</v>
      </c>
      <c r="S80" s="264" t="s">
        <v>39</v>
      </c>
      <c r="T80" s="269" t="s">
        <v>159</v>
      </c>
      <c r="U80" s="264" t="s">
        <v>39</v>
      </c>
      <c r="V80" s="269" t="s">
        <v>159</v>
      </c>
      <c r="W80" s="264" t="s">
        <v>39</v>
      </c>
      <c r="X80" s="269" t="s">
        <v>159</v>
      </c>
      <c r="Y80" s="264" t="s">
        <v>39</v>
      </c>
      <c r="Z80" s="269" t="s">
        <v>159</v>
      </c>
    </row>
    <row r="81" s="251" customFormat="1" customHeight="1" spans="1:26">
      <c r="A81" s="270">
        <v>1</v>
      </c>
      <c r="B81" s="271">
        <f>'人员人工-研发人员工资'!B81</f>
        <v>0</v>
      </c>
      <c r="C81" s="272"/>
      <c r="D81" s="272">
        <f>'人员人工-研发人员工资'!D81</f>
        <v>0</v>
      </c>
      <c r="E81" s="272">
        <f t="shared" ref="E81:E110" si="27">G81+I81+K81+M81+O81+Q81+S81+U81+W81+Y81</f>
        <v>0</v>
      </c>
      <c r="F81" s="272">
        <f t="shared" ref="F81:F110" si="28">H81+J81+L81+N81+P81+R81+T81+V81+X81+Z81</f>
        <v>0</v>
      </c>
      <c r="G81" s="273">
        <f>'人员人工-研发人员工资'!G81</f>
        <v>0</v>
      </c>
      <c r="H81" s="274">
        <f t="shared" ref="H81:H110" si="29">IF($D81=0,0,ROUND(G81/$D81*$C81,2))</f>
        <v>0</v>
      </c>
      <c r="I81" s="273">
        <f>'人员人工-研发人员工资'!I81</f>
        <v>0</v>
      </c>
      <c r="J81" s="274">
        <f t="shared" ref="J81:J110" si="30">IF($D81=0,0,ROUND(I81/$D81*$C81,2))</f>
        <v>0</v>
      </c>
      <c r="K81" s="275">
        <f>'人员人工-研发人员工资'!K81</f>
        <v>0</v>
      </c>
      <c r="L81" s="274">
        <f t="shared" ref="L81:L110" si="31">IF($D81=0,0,ROUND(K81/$D81*$C81,2))</f>
        <v>0</v>
      </c>
      <c r="M81" s="273">
        <f>'人员人工-研发人员工资'!M81</f>
        <v>0</v>
      </c>
      <c r="N81" s="274">
        <f t="shared" ref="N81:N110" si="32">IF($D81=0,0,ROUND(M81/$D81*$C81,2))</f>
        <v>0</v>
      </c>
      <c r="O81" s="273">
        <f>'人员人工-研发人员工资'!O81</f>
        <v>0</v>
      </c>
      <c r="P81" s="274">
        <f t="shared" ref="P81:P110" si="33">IF($D81=0,0,ROUND(O81/$D81*$C81,2))</f>
        <v>0</v>
      </c>
      <c r="Q81" s="273">
        <f>'人员人工-研发人员工资'!Q81</f>
        <v>0</v>
      </c>
      <c r="R81" s="274">
        <f t="shared" ref="R81:R110" si="34">IF($D81=0,0,ROUND(Q81/$D81*$C81,2))</f>
        <v>0</v>
      </c>
      <c r="S81" s="273">
        <f>'人员人工-研发人员工资'!S81</f>
        <v>0</v>
      </c>
      <c r="T81" s="274">
        <f t="shared" ref="T81:T110" si="35">IF($D81=0,0,ROUND(S81/$D81*$C81,2))</f>
        <v>0</v>
      </c>
      <c r="U81" s="273">
        <f>'人员人工-研发人员工资'!U81</f>
        <v>0</v>
      </c>
      <c r="V81" s="274">
        <f t="shared" ref="V81:V110" si="36">IF($D81=0,0,ROUND(U81/$D81*$C81,2))</f>
        <v>0</v>
      </c>
      <c r="W81" s="273">
        <f>'人员人工-研发人员工资'!W81</f>
        <v>0</v>
      </c>
      <c r="X81" s="274">
        <f t="shared" ref="X81:X110" si="37">IF($D81=0,0,ROUND(W81/$D81*$C81,2))</f>
        <v>0</v>
      </c>
      <c r="Y81" s="273">
        <f>'人员人工-研发人员工资'!Y81</f>
        <v>0</v>
      </c>
      <c r="Z81" s="274">
        <f t="shared" ref="Z81:Z110" si="38">IF($D81=0,0,ROUND(Y81/$D81*$C81,2))</f>
        <v>0</v>
      </c>
    </row>
    <row r="82" s="251" customFormat="1" customHeight="1" spans="1:26">
      <c r="A82" s="270">
        <v>2</v>
      </c>
      <c r="B82" s="271">
        <f>'人员人工-研发人员工资'!B82</f>
        <v>0</v>
      </c>
      <c r="C82" s="272"/>
      <c r="D82" s="272">
        <f>'人员人工-研发人员工资'!D82</f>
        <v>0</v>
      </c>
      <c r="E82" s="272">
        <f t="shared" si="27"/>
        <v>0</v>
      </c>
      <c r="F82" s="272">
        <f t="shared" si="28"/>
        <v>0</v>
      </c>
      <c r="G82" s="273">
        <f>'人员人工-研发人员工资'!G82</f>
        <v>0</v>
      </c>
      <c r="H82" s="274">
        <f t="shared" si="29"/>
        <v>0</v>
      </c>
      <c r="I82" s="273">
        <f>'人员人工-研发人员工资'!I82</f>
        <v>0</v>
      </c>
      <c r="J82" s="274">
        <f t="shared" si="30"/>
        <v>0</v>
      </c>
      <c r="K82" s="275">
        <f>'人员人工-研发人员工资'!K82</f>
        <v>0</v>
      </c>
      <c r="L82" s="274">
        <f t="shared" si="31"/>
        <v>0</v>
      </c>
      <c r="M82" s="273">
        <f>'人员人工-研发人员工资'!M82</f>
        <v>0</v>
      </c>
      <c r="N82" s="274">
        <f t="shared" si="32"/>
        <v>0</v>
      </c>
      <c r="O82" s="273">
        <f>'人员人工-研发人员工资'!O82</f>
        <v>0</v>
      </c>
      <c r="P82" s="274">
        <f t="shared" si="33"/>
        <v>0</v>
      </c>
      <c r="Q82" s="273">
        <f>'人员人工-研发人员工资'!Q82</f>
        <v>0</v>
      </c>
      <c r="R82" s="274">
        <f t="shared" si="34"/>
        <v>0</v>
      </c>
      <c r="S82" s="273">
        <f>'人员人工-研发人员工资'!S82</f>
        <v>0</v>
      </c>
      <c r="T82" s="274">
        <f t="shared" si="35"/>
        <v>0</v>
      </c>
      <c r="U82" s="273">
        <f>'人员人工-研发人员工资'!U82</f>
        <v>0</v>
      </c>
      <c r="V82" s="274">
        <f t="shared" si="36"/>
        <v>0</v>
      </c>
      <c r="W82" s="273">
        <f>'人员人工-研发人员工资'!W82</f>
        <v>0</v>
      </c>
      <c r="X82" s="274">
        <f t="shared" si="37"/>
        <v>0</v>
      </c>
      <c r="Y82" s="273">
        <f>'人员人工-研发人员工资'!Y82</f>
        <v>0</v>
      </c>
      <c r="Z82" s="274">
        <f t="shared" si="38"/>
        <v>0</v>
      </c>
    </row>
    <row r="83" s="251" customFormat="1" customHeight="1" spans="1:26">
      <c r="A83" s="270">
        <v>3</v>
      </c>
      <c r="B83" s="271">
        <f>'人员人工-研发人员工资'!B83</f>
        <v>0</v>
      </c>
      <c r="C83" s="272"/>
      <c r="D83" s="272">
        <f>'人员人工-研发人员工资'!D83</f>
        <v>0</v>
      </c>
      <c r="E83" s="272">
        <f t="shared" si="27"/>
        <v>0</v>
      </c>
      <c r="F83" s="272">
        <f t="shared" si="28"/>
        <v>0</v>
      </c>
      <c r="G83" s="273">
        <f>'人员人工-研发人员工资'!G83</f>
        <v>0</v>
      </c>
      <c r="H83" s="274">
        <f t="shared" si="29"/>
        <v>0</v>
      </c>
      <c r="I83" s="273">
        <f>'人员人工-研发人员工资'!I83</f>
        <v>0</v>
      </c>
      <c r="J83" s="274">
        <f t="shared" si="30"/>
        <v>0</v>
      </c>
      <c r="K83" s="275">
        <f>'人员人工-研发人员工资'!K83</f>
        <v>0</v>
      </c>
      <c r="L83" s="274">
        <f t="shared" si="31"/>
        <v>0</v>
      </c>
      <c r="M83" s="273">
        <f>'人员人工-研发人员工资'!M83</f>
        <v>0</v>
      </c>
      <c r="N83" s="274">
        <f t="shared" si="32"/>
        <v>0</v>
      </c>
      <c r="O83" s="273">
        <f>'人员人工-研发人员工资'!O83</f>
        <v>0</v>
      </c>
      <c r="P83" s="274">
        <f t="shared" si="33"/>
        <v>0</v>
      </c>
      <c r="Q83" s="273">
        <f>'人员人工-研发人员工资'!Q83</f>
        <v>0</v>
      </c>
      <c r="R83" s="274">
        <f t="shared" si="34"/>
        <v>0</v>
      </c>
      <c r="S83" s="273">
        <f>'人员人工-研发人员工资'!S83</f>
        <v>0</v>
      </c>
      <c r="T83" s="274">
        <f t="shared" si="35"/>
        <v>0</v>
      </c>
      <c r="U83" s="273">
        <f>'人员人工-研发人员工资'!U83</f>
        <v>0</v>
      </c>
      <c r="V83" s="274">
        <f t="shared" si="36"/>
        <v>0</v>
      </c>
      <c r="W83" s="273">
        <f>'人员人工-研发人员工资'!W83</f>
        <v>0</v>
      </c>
      <c r="X83" s="274">
        <f t="shared" si="37"/>
        <v>0</v>
      </c>
      <c r="Y83" s="273">
        <f>'人员人工-研发人员工资'!Y83</f>
        <v>0</v>
      </c>
      <c r="Z83" s="274">
        <f t="shared" si="38"/>
        <v>0</v>
      </c>
    </row>
    <row r="84" s="251" customFormat="1" customHeight="1" spans="1:26">
      <c r="A84" s="270">
        <v>4</v>
      </c>
      <c r="B84" s="271">
        <f>'人员人工-研发人员工资'!B84</f>
        <v>0</v>
      </c>
      <c r="C84" s="272"/>
      <c r="D84" s="272">
        <f>'人员人工-研发人员工资'!D84</f>
        <v>0</v>
      </c>
      <c r="E84" s="272">
        <f t="shared" si="27"/>
        <v>0</v>
      </c>
      <c r="F84" s="272">
        <f t="shared" si="28"/>
        <v>0</v>
      </c>
      <c r="G84" s="273">
        <f>'人员人工-研发人员工资'!G84</f>
        <v>0</v>
      </c>
      <c r="H84" s="274">
        <f t="shared" si="29"/>
        <v>0</v>
      </c>
      <c r="I84" s="273">
        <f>'人员人工-研发人员工资'!I84</f>
        <v>0</v>
      </c>
      <c r="J84" s="274">
        <f t="shared" si="30"/>
        <v>0</v>
      </c>
      <c r="K84" s="275">
        <f>'人员人工-研发人员工资'!K84</f>
        <v>0</v>
      </c>
      <c r="L84" s="274">
        <f t="shared" si="31"/>
        <v>0</v>
      </c>
      <c r="M84" s="273">
        <f>'人员人工-研发人员工资'!M84</f>
        <v>0</v>
      </c>
      <c r="N84" s="274">
        <f t="shared" si="32"/>
        <v>0</v>
      </c>
      <c r="O84" s="273">
        <f>'人员人工-研发人员工资'!O84</f>
        <v>0</v>
      </c>
      <c r="P84" s="274">
        <f t="shared" si="33"/>
        <v>0</v>
      </c>
      <c r="Q84" s="273">
        <f>'人员人工-研发人员工资'!Q84</f>
        <v>0</v>
      </c>
      <c r="R84" s="274">
        <f t="shared" si="34"/>
        <v>0</v>
      </c>
      <c r="S84" s="273">
        <f>'人员人工-研发人员工资'!S84</f>
        <v>0</v>
      </c>
      <c r="T84" s="274">
        <f t="shared" si="35"/>
        <v>0</v>
      </c>
      <c r="U84" s="273">
        <f>'人员人工-研发人员工资'!U84</f>
        <v>0</v>
      </c>
      <c r="V84" s="274">
        <f t="shared" si="36"/>
        <v>0</v>
      </c>
      <c r="W84" s="273">
        <f>'人员人工-研发人员工资'!W84</f>
        <v>0</v>
      </c>
      <c r="X84" s="274">
        <f t="shared" si="37"/>
        <v>0</v>
      </c>
      <c r="Y84" s="273">
        <f>'人员人工-研发人员工资'!Y84</f>
        <v>0</v>
      </c>
      <c r="Z84" s="274">
        <f t="shared" si="38"/>
        <v>0</v>
      </c>
    </row>
    <row r="85" s="251" customFormat="1" customHeight="1" spans="1:26">
      <c r="A85" s="270">
        <v>5</v>
      </c>
      <c r="B85" s="271">
        <f>'人员人工-研发人员工资'!B85</f>
        <v>0</v>
      </c>
      <c r="C85" s="272"/>
      <c r="D85" s="272">
        <f>'人员人工-研发人员工资'!D85</f>
        <v>0</v>
      </c>
      <c r="E85" s="272">
        <f t="shared" si="27"/>
        <v>0</v>
      </c>
      <c r="F85" s="272">
        <f t="shared" si="28"/>
        <v>0</v>
      </c>
      <c r="G85" s="273">
        <f>'人员人工-研发人员工资'!G85</f>
        <v>0</v>
      </c>
      <c r="H85" s="274">
        <f t="shared" si="29"/>
        <v>0</v>
      </c>
      <c r="I85" s="273">
        <f>'人员人工-研发人员工资'!I85</f>
        <v>0</v>
      </c>
      <c r="J85" s="274">
        <f t="shared" si="30"/>
        <v>0</v>
      </c>
      <c r="K85" s="275">
        <f>'人员人工-研发人员工资'!K85</f>
        <v>0</v>
      </c>
      <c r="L85" s="274">
        <f t="shared" si="31"/>
        <v>0</v>
      </c>
      <c r="M85" s="273">
        <f>'人员人工-研发人员工资'!M85</f>
        <v>0</v>
      </c>
      <c r="N85" s="274">
        <f t="shared" si="32"/>
        <v>0</v>
      </c>
      <c r="O85" s="273">
        <f>'人员人工-研发人员工资'!O85</f>
        <v>0</v>
      </c>
      <c r="P85" s="274">
        <f t="shared" si="33"/>
        <v>0</v>
      </c>
      <c r="Q85" s="273">
        <f>'人员人工-研发人员工资'!Q85</f>
        <v>0</v>
      </c>
      <c r="R85" s="274">
        <f t="shared" si="34"/>
        <v>0</v>
      </c>
      <c r="S85" s="273">
        <f>'人员人工-研发人员工资'!S85</f>
        <v>0</v>
      </c>
      <c r="T85" s="274">
        <f t="shared" si="35"/>
        <v>0</v>
      </c>
      <c r="U85" s="273">
        <f>'人员人工-研发人员工资'!U85</f>
        <v>0</v>
      </c>
      <c r="V85" s="274">
        <f t="shared" si="36"/>
        <v>0</v>
      </c>
      <c r="W85" s="273">
        <f>'人员人工-研发人员工资'!W85</f>
        <v>0</v>
      </c>
      <c r="X85" s="274">
        <f t="shared" si="37"/>
        <v>0</v>
      </c>
      <c r="Y85" s="273">
        <f>'人员人工-研发人员工资'!Y85</f>
        <v>0</v>
      </c>
      <c r="Z85" s="274">
        <f t="shared" si="38"/>
        <v>0</v>
      </c>
    </row>
    <row r="86" s="251" customFormat="1" customHeight="1" spans="1:26">
      <c r="A86" s="270">
        <v>6</v>
      </c>
      <c r="B86" s="271">
        <f>'人员人工-研发人员工资'!B86</f>
        <v>0</v>
      </c>
      <c r="C86" s="274"/>
      <c r="D86" s="272">
        <f>'人员人工-研发人员工资'!D86</f>
        <v>0</v>
      </c>
      <c r="E86" s="272">
        <f t="shared" si="27"/>
        <v>0</v>
      </c>
      <c r="F86" s="272">
        <f t="shared" si="28"/>
        <v>0</v>
      </c>
      <c r="G86" s="273">
        <f>'人员人工-研发人员工资'!G86</f>
        <v>0</v>
      </c>
      <c r="H86" s="274">
        <f t="shared" si="29"/>
        <v>0</v>
      </c>
      <c r="I86" s="273">
        <f>'人员人工-研发人员工资'!I86</f>
        <v>0</v>
      </c>
      <c r="J86" s="274">
        <f t="shared" si="30"/>
        <v>0</v>
      </c>
      <c r="K86" s="275">
        <f>'人员人工-研发人员工资'!K86</f>
        <v>0</v>
      </c>
      <c r="L86" s="274">
        <f t="shared" si="31"/>
        <v>0</v>
      </c>
      <c r="M86" s="273">
        <f>'人员人工-研发人员工资'!M86</f>
        <v>0</v>
      </c>
      <c r="N86" s="274">
        <f t="shared" si="32"/>
        <v>0</v>
      </c>
      <c r="O86" s="273">
        <f>'人员人工-研发人员工资'!O86</f>
        <v>0</v>
      </c>
      <c r="P86" s="274">
        <f t="shared" si="33"/>
        <v>0</v>
      </c>
      <c r="Q86" s="273">
        <f>'人员人工-研发人员工资'!Q86</f>
        <v>0</v>
      </c>
      <c r="R86" s="274">
        <f t="shared" si="34"/>
        <v>0</v>
      </c>
      <c r="S86" s="273">
        <f>'人员人工-研发人员工资'!S86</f>
        <v>0</v>
      </c>
      <c r="T86" s="274">
        <f t="shared" si="35"/>
        <v>0</v>
      </c>
      <c r="U86" s="273">
        <f>'人员人工-研发人员工资'!U86</f>
        <v>0</v>
      </c>
      <c r="V86" s="274">
        <f t="shared" si="36"/>
        <v>0</v>
      </c>
      <c r="W86" s="273">
        <f>'人员人工-研发人员工资'!W86</f>
        <v>0</v>
      </c>
      <c r="X86" s="274">
        <f t="shared" si="37"/>
        <v>0</v>
      </c>
      <c r="Y86" s="273">
        <f>'人员人工-研发人员工资'!Y86</f>
        <v>0</v>
      </c>
      <c r="Z86" s="274">
        <f t="shared" si="38"/>
        <v>0</v>
      </c>
    </row>
    <row r="87" s="251" customFormat="1" customHeight="1" spans="1:26">
      <c r="A87" s="270">
        <v>7</v>
      </c>
      <c r="B87" s="271">
        <f>'人员人工-研发人员工资'!B87</f>
        <v>0</v>
      </c>
      <c r="C87" s="274"/>
      <c r="D87" s="272">
        <f>'人员人工-研发人员工资'!D87</f>
        <v>0</v>
      </c>
      <c r="E87" s="272">
        <f t="shared" si="27"/>
        <v>0</v>
      </c>
      <c r="F87" s="272">
        <f t="shared" si="28"/>
        <v>0</v>
      </c>
      <c r="G87" s="273">
        <f>'人员人工-研发人员工资'!G87</f>
        <v>0</v>
      </c>
      <c r="H87" s="274">
        <f t="shared" si="29"/>
        <v>0</v>
      </c>
      <c r="I87" s="273">
        <f>'人员人工-研发人员工资'!I87</f>
        <v>0</v>
      </c>
      <c r="J87" s="274">
        <f t="shared" si="30"/>
        <v>0</v>
      </c>
      <c r="K87" s="275">
        <f>'人员人工-研发人员工资'!K87</f>
        <v>0</v>
      </c>
      <c r="L87" s="274">
        <f t="shared" si="31"/>
        <v>0</v>
      </c>
      <c r="M87" s="273">
        <f>'人员人工-研发人员工资'!M87</f>
        <v>0</v>
      </c>
      <c r="N87" s="274">
        <f t="shared" si="32"/>
        <v>0</v>
      </c>
      <c r="O87" s="273">
        <f>'人员人工-研发人员工资'!O87</f>
        <v>0</v>
      </c>
      <c r="P87" s="274">
        <f t="shared" si="33"/>
        <v>0</v>
      </c>
      <c r="Q87" s="273">
        <f>'人员人工-研发人员工资'!Q87</f>
        <v>0</v>
      </c>
      <c r="R87" s="274">
        <f t="shared" si="34"/>
        <v>0</v>
      </c>
      <c r="S87" s="273">
        <f>'人员人工-研发人员工资'!S87</f>
        <v>0</v>
      </c>
      <c r="T87" s="274">
        <f t="shared" si="35"/>
        <v>0</v>
      </c>
      <c r="U87" s="273">
        <f>'人员人工-研发人员工资'!U87</f>
        <v>0</v>
      </c>
      <c r="V87" s="274">
        <f t="shared" si="36"/>
        <v>0</v>
      </c>
      <c r="W87" s="273">
        <f>'人员人工-研发人员工资'!W87</f>
        <v>0</v>
      </c>
      <c r="X87" s="274">
        <f t="shared" si="37"/>
        <v>0</v>
      </c>
      <c r="Y87" s="273">
        <f>'人员人工-研发人员工资'!Y87</f>
        <v>0</v>
      </c>
      <c r="Z87" s="274">
        <f t="shared" si="38"/>
        <v>0</v>
      </c>
    </row>
    <row r="88" s="251" customFormat="1" customHeight="1" spans="1:26">
      <c r="A88" s="270">
        <v>8</v>
      </c>
      <c r="B88" s="271">
        <f>'人员人工-研发人员工资'!B88</f>
        <v>0</v>
      </c>
      <c r="C88" s="274"/>
      <c r="D88" s="272">
        <f>'人员人工-研发人员工资'!D88</f>
        <v>0</v>
      </c>
      <c r="E88" s="272">
        <f t="shared" si="27"/>
        <v>0</v>
      </c>
      <c r="F88" s="272">
        <f t="shared" si="28"/>
        <v>0</v>
      </c>
      <c r="G88" s="273">
        <f>'人员人工-研发人员工资'!G88</f>
        <v>0</v>
      </c>
      <c r="H88" s="274">
        <f t="shared" si="29"/>
        <v>0</v>
      </c>
      <c r="I88" s="273">
        <f>'人员人工-研发人员工资'!I88</f>
        <v>0</v>
      </c>
      <c r="J88" s="274">
        <f t="shared" si="30"/>
        <v>0</v>
      </c>
      <c r="K88" s="275">
        <f>'人员人工-研发人员工资'!K88</f>
        <v>0</v>
      </c>
      <c r="L88" s="274">
        <f t="shared" si="31"/>
        <v>0</v>
      </c>
      <c r="M88" s="273">
        <f>'人员人工-研发人员工资'!M88</f>
        <v>0</v>
      </c>
      <c r="N88" s="274">
        <f t="shared" si="32"/>
        <v>0</v>
      </c>
      <c r="O88" s="273">
        <f>'人员人工-研发人员工资'!O88</f>
        <v>0</v>
      </c>
      <c r="P88" s="274">
        <f t="shared" si="33"/>
        <v>0</v>
      </c>
      <c r="Q88" s="273">
        <f>'人员人工-研发人员工资'!Q88</f>
        <v>0</v>
      </c>
      <c r="R88" s="274">
        <f t="shared" si="34"/>
        <v>0</v>
      </c>
      <c r="S88" s="273">
        <f>'人员人工-研发人员工资'!S88</f>
        <v>0</v>
      </c>
      <c r="T88" s="274">
        <f t="shared" si="35"/>
        <v>0</v>
      </c>
      <c r="U88" s="273">
        <f>'人员人工-研发人员工资'!U88</f>
        <v>0</v>
      </c>
      <c r="V88" s="274">
        <f t="shared" si="36"/>
        <v>0</v>
      </c>
      <c r="W88" s="273">
        <f>'人员人工-研发人员工资'!W88</f>
        <v>0</v>
      </c>
      <c r="X88" s="274">
        <f t="shared" si="37"/>
        <v>0</v>
      </c>
      <c r="Y88" s="273">
        <f>'人员人工-研发人员工资'!Y88</f>
        <v>0</v>
      </c>
      <c r="Z88" s="274">
        <f t="shared" si="38"/>
        <v>0</v>
      </c>
    </row>
    <row r="89" s="251" customFormat="1" customHeight="1" spans="1:26">
      <c r="A89" s="270">
        <v>9</v>
      </c>
      <c r="B89" s="271">
        <f>'人员人工-研发人员工资'!B89</f>
        <v>0</v>
      </c>
      <c r="C89" s="274"/>
      <c r="D89" s="272">
        <f>'人员人工-研发人员工资'!D89</f>
        <v>0</v>
      </c>
      <c r="E89" s="272">
        <f t="shared" si="27"/>
        <v>0</v>
      </c>
      <c r="F89" s="272">
        <f t="shared" si="28"/>
        <v>0</v>
      </c>
      <c r="G89" s="273">
        <f>'人员人工-研发人员工资'!G89</f>
        <v>0</v>
      </c>
      <c r="H89" s="274">
        <f t="shared" si="29"/>
        <v>0</v>
      </c>
      <c r="I89" s="273">
        <f>'人员人工-研发人员工资'!I89</f>
        <v>0</v>
      </c>
      <c r="J89" s="274">
        <f t="shared" si="30"/>
        <v>0</v>
      </c>
      <c r="K89" s="275">
        <f>'人员人工-研发人员工资'!K89</f>
        <v>0</v>
      </c>
      <c r="L89" s="274">
        <f t="shared" si="31"/>
        <v>0</v>
      </c>
      <c r="M89" s="273">
        <f>'人员人工-研发人员工资'!M89</f>
        <v>0</v>
      </c>
      <c r="N89" s="274">
        <f t="shared" si="32"/>
        <v>0</v>
      </c>
      <c r="O89" s="273">
        <f>'人员人工-研发人员工资'!O89</f>
        <v>0</v>
      </c>
      <c r="P89" s="274">
        <f t="shared" si="33"/>
        <v>0</v>
      </c>
      <c r="Q89" s="273">
        <f>'人员人工-研发人员工资'!Q89</f>
        <v>0</v>
      </c>
      <c r="R89" s="274">
        <f t="shared" si="34"/>
        <v>0</v>
      </c>
      <c r="S89" s="273">
        <f>'人员人工-研发人员工资'!S89</f>
        <v>0</v>
      </c>
      <c r="T89" s="274">
        <f t="shared" si="35"/>
        <v>0</v>
      </c>
      <c r="U89" s="273">
        <f>'人员人工-研发人员工资'!U89</f>
        <v>0</v>
      </c>
      <c r="V89" s="274">
        <f t="shared" si="36"/>
        <v>0</v>
      </c>
      <c r="W89" s="273">
        <f>'人员人工-研发人员工资'!W89</f>
        <v>0</v>
      </c>
      <c r="X89" s="274">
        <f t="shared" si="37"/>
        <v>0</v>
      </c>
      <c r="Y89" s="273">
        <f>'人员人工-研发人员工资'!Y89</f>
        <v>0</v>
      </c>
      <c r="Z89" s="274">
        <f t="shared" si="38"/>
        <v>0</v>
      </c>
    </row>
    <row r="90" s="251" customFormat="1" customHeight="1" spans="1:26">
      <c r="A90" s="270">
        <v>10</v>
      </c>
      <c r="B90" s="271">
        <f>'人员人工-研发人员工资'!B90</f>
        <v>0</v>
      </c>
      <c r="C90" s="274"/>
      <c r="D90" s="272">
        <f>'人员人工-研发人员工资'!D90</f>
        <v>0</v>
      </c>
      <c r="E90" s="272">
        <f t="shared" si="27"/>
        <v>0</v>
      </c>
      <c r="F90" s="272">
        <f t="shared" si="28"/>
        <v>0</v>
      </c>
      <c r="G90" s="273">
        <f>'人员人工-研发人员工资'!G90</f>
        <v>0</v>
      </c>
      <c r="H90" s="274">
        <f t="shared" si="29"/>
        <v>0</v>
      </c>
      <c r="I90" s="273">
        <f>'人员人工-研发人员工资'!I90</f>
        <v>0</v>
      </c>
      <c r="J90" s="274">
        <f t="shared" si="30"/>
        <v>0</v>
      </c>
      <c r="K90" s="275">
        <f>'人员人工-研发人员工资'!K90</f>
        <v>0</v>
      </c>
      <c r="L90" s="274">
        <f t="shared" si="31"/>
        <v>0</v>
      </c>
      <c r="M90" s="273">
        <f>'人员人工-研发人员工资'!M90</f>
        <v>0</v>
      </c>
      <c r="N90" s="274">
        <f t="shared" si="32"/>
        <v>0</v>
      </c>
      <c r="O90" s="273">
        <f>'人员人工-研发人员工资'!O90</f>
        <v>0</v>
      </c>
      <c r="P90" s="274">
        <f t="shared" si="33"/>
        <v>0</v>
      </c>
      <c r="Q90" s="273">
        <f>'人员人工-研发人员工资'!Q90</f>
        <v>0</v>
      </c>
      <c r="R90" s="274">
        <f t="shared" si="34"/>
        <v>0</v>
      </c>
      <c r="S90" s="273">
        <f>'人员人工-研发人员工资'!S90</f>
        <v>0</v>
      </c>
      <c r="T90" s="274">
        <f t="shared" si="35"/>
        <v>0</v>
      </c>
      <c r="U90" s="273">
        <f>'人员人工-研发人员工资'!U90</f>
        <v>0</v>
      </c>
      <c r="V90" s="274">
        <f t="shared" si="36"/>
        <v>0</v>
      </c>
      <c r="W90" s="273">
        <f>'人员人工-研发人员工资'!W90</f>
        <v>0</v>
      </c>
      <c r="X90" s="274">
        <f t="shared" si="37"/>
        <v>0</v>
      </c>
      <c r="Y90" s="273">
        <f>'人员人工-研发人员工资'!Y90</f>
        <v>0</v>
      </c>
      <c r="Z90" s="274">
        <f t="shared" si="38"/>
        <v>0</v>
      </c>
    </row>
    <row r="91" s="251" customFormat="1" customHeight="1" spans="1:26">
      <c r="A91" s="270">
        <v>11</v>
      </c>
      <c r="B91" s="271">
        <f>'人员人工-研发人员工资'!B91</f>
        <v>0</v>
      </c>
      <c r="C91" s="274"/>
      <c r="D91" s="272">
        <f>'人员人工-研发人员工资'!D91</f>
        <v>0</v>
      </c>
      <c r="E91" s="272">
        <f t="shared" si="27"/>
        <v>0</v>
      </c>
      <c r="F91" s="272">
        <f t="shared" si="28"/>
        <v>0</v>
      </c>
      <c r="G91" s="273">
        <f>'人员人工-研发人员工资'!G91</f>
        <v>0</v>
      </c>
      <c r="H91" s="274">
        <f t="shared" si="29"/>
        <v>0</v>
      </c>
      <c r="I91" s="273">
        <f>'人员人工-研发人员工资'!I91</f>
        <v>0</v>
      </c>
      <c r="J91" s="274">
        <f t="shared" si="30"/>
        <v>0</v>
      </c>
      <c r="K91" s="275">
        <f>'人员人工-研发人员工资'!K91</f>
        <v>0</v>
      </c>
      <c r="L91" s="274">
        <f t="shared" si="31"/>
        <v>0</v>
      </c>
      <c r="M91" s="273">
        <f>'人员人工-研发人员工资'!M91</f>
        <v>0</v>
      </c>
      <c r="N91" s="274">
        <f t="shared" si="32"/>
        <v>0</v>
      </c>
      <c r="O91" s="273">
        <f>'人员人工-研发人员工资'!O91</f>
        <v>0</v>
      </c>
      <c r="P91" s="274">
        <f t="shared" si="33"/>
        <v>0</v>
      </c>
      <c r="Q91" s="273">
        <f>'人员人工-研发人员工资'!Q91</f>
        <v>0</v>
      </c>
      <c r="R91" s="274">
        <f t="shared" si="34"/>
        <v>0</v>
      </c>
      <c r="S91" s="273">
        <f>'人员人工-研发人员工资'!S91</f>
        <v>0</v>
      </c>
      <c r="T91" s="274">
        <f t="shared" si="35"/>
        <v>0</v>
      </c>
      <c r="U91" s="273">
        <f>'人员人工-研发人员工资'!U91</f>
        <v>0</v>
      </c>
      <c r="V91" s="274">
        <f t="shared" si="36"/>
        <v>0</v>
      </c>
      <c r="W91" s="273">
        <f>'人员人工-研发人员工资'!W91</f>
        <v>0</v>
      </c>
      <c r="X91" s="274">
        <f t="shared" si="37"/>
        <v>0</v>
      </c>
      <c r="Y91" s="273">
        <f>'人员人工-研发人员工资'!Y91</f>
        <v>0</v>
      </c>
      <c r="Z91" s="274">
        <f t="shared" si="38"/>
        <v>0</v>
      </c>
    </row>
    <row r="92" s="251" customFormat="1" customHeight="1" spans="1:26">
      <c r="A92" s="270">
        <v>12</v>
      </c>
      <c r="B92" s="271">
        <f>'人员人工-研发人员工资'!B92</f>
        <v>0</v>
      </c>
      <c r="C92" s="274"/>
      <c r="D92" s="272">
        <f>'人员人工-研发人员工资'!D92</f>
        <v>0</v>
      </c>
      <c r="E92" s="272">
        <f t="shared" si="27"/>
        <v>0</v>
      </c>
      <c r="F92" s="272">
        <f t="shared" si="28"/>
        <v>0</v>
      </c>
      <c r="G92" s="273">
        <f>'人员人工-研发人员工资'!G92</f>
        <v>0</v>
      </c>
      <c r="H92" s="274">
        <f t="shared" si="29"/>
        <v>0</v>
      </c>
      <c r="I92" s="273">
        <f>'人员人工-研发人员工资'!I92</f>
        <v>0</v>
      </c>
      <c r="J92" s="274">
        <f t="shared" si="30"/>
        <v>0</v>
      </c>
      <c r="K92" s="275">
        <f>'人员人工-研发人员工资'!K92</f>
        <v>0</v>
      </c>
      <c r="L92" s="274">
        <f t="shared" si="31"/>
        <v>0</v>
      </c>
      <c r="M92" s="273">
        <f>'人员人工-研发人员工资'!M92</f>
        <v>0</v>
      </c>
      <c r="N92" s="274">
        <f t="shared" si="32"/>
        <v>0</v>
      </c>
      <c r="O92" s="273">
        <f>'人员人工-研发人员工资'!O92</f>
        <v>0</v>
      </c>
      <c r="P92" s="274">
        <f t="shared" si="33"/>
        <v>0</v>
      </c>
      <c r="Q92" s="273">
        <f>'人员人工-研发人员工资'!Q92</f>
        <v>0</v>
      </c>
      <c r="R92" s="274">
        <f t="shared" si="34"/>
        <v>0</v>
      </c>
      <c r="S92" s="273">
        <f>'人员人工-研发人员工资'!S92</f>
        <v>0</v>
      </c>
      <c r="T92" s="274">
        <f t="shared" si="35"/>
        <v>0</v>
      </c>
      <c r="U92" s="273">
        <f>'人员人工-研发人员工资'!U92</f>
        <v>0</v>
      </c>
      <c r="V92" s="274">
        <f t="shared" si="36"/>
        <v>0</v>
      </c>
      <c r="W92" s="273">
        <f>'人员人工-研发人员工资'!W92</f>
        <v>0</v>
      </c>
      <c r="X92" s="274">
        <f t="shared" si="37"/>
        <v>0</v>
      </c>
      <c r="Y92" s="273">
        <f>'人员人工-研发人员工资'!Y92</f>
        <v>0</v>
      </c>
      <c r="Z92" s="274">
        <f t="shared" si="38"/>
        <v>0</v>
      </c>
    </row>
    <row r="93" s="251" customFormat="1" customHeight="1" spans="1:26">
      <c r="A93" s="270">
        <v>13</v>
      </c>
      <c r="B93" s="271">
        <f>'人员人工-研发人员工资'!B93</f>
        <v>0</v>
      </c>
      <c r="C93" s="274"/>
      <c r="D93" s="272">
        <f>'人员人工-研发人员工资'!D93</f>
        <v>0</v>
      </c>
      <c r="E93" s="272">
        <f t="shared" si="27"/>
        <v>0</v>
      </c>
      <c r="F93" s="272">
        <f t="shared" si="28"/>
        <v>0</v>
      </c>
      <c r="G93" s="273">
        <f>'人员人工-研发人员工资'!G93</f>
        <v>0</v>
      </c>
      <c r="H93" s="274">
        <f t="shared" si="29"/>
        <v>0</v>
      </c>
      <c r="I93" s="273">
        <f>'人员人工-研发人员工资'!I93</f>
        <v>0</v>
      </c>
      <c r="J93" s="274">
        <f t="shared" si="30"/>
        <v>0</v>
      </c>
      <c r="K93" s="275">
        <f>'人员人工-研发人员工资'!K93</f>
        <v>0</v>
      </c>
      <c r="L93" s="274">
        <f t="shared" si="31"/>
        <v>0</v>
      </c>
      <c r="M93" s="273">
        <f>'人员人工-研发人员工资'!M93</f>
        <v>0</v>
      </c>
      <c r="N93" s="274">
        <f t="shared" si="32"/>
        <v>0</v>
      </c>
      <c r="O93" s="273">
        <f>'人员人工-研发人员工资'!O93</f>
        <v>0</v>
      </c>
      <c r="P93" s="274">
        <f t="shared" si="33"/>
        <v>0</v>
      </c>
      <c r="Q93" s="273">
        <f>'人员人工-研发人员工资'!Q93</f>
        <v>0</v>
      </c>
      <c r="R93" s="274">
        <f t="shared" si="34"/>
        <v>0</v>
      </c>
      <c r="S93" s="273">
        <f>'人员人工-研发人员工资'!S93</f>
        <v>0</v>
      </c>
      <c r="T93" s="274">
        <f t="shared" si="35"/>
        <v>0</v>
      </c>
      <c r="U93" s="273">
        <f>'人员人工-研发人员工资'!U93</f>
        <v>0</v>
      </c>
      <c r="V93" s="274">
        <f t="shared" si="36"/>
        <v>0</v>
      </c>
      <c r="W93" s="273">
        <f>'人员人工-研发人员工资'!W93</f>
        <v>0</v>
      </c>
      <c r="X93" s="274">
        <f t="shared" si="37"/>
        <v>0</v>
      </c>
      <c r="Y93" s="273">
        <f>'人员人工-研发人员工资'!Y93</f>
        <v>0</v>
      </c>
      <c r="Z93" s="274">
        <f t="shared" si="38"/>
        <v>0</v>
      </c>
    </row>
    <row r="94" s="251" customFormat="1" customHeight="1" spans="1:26">
      <c r="A94" s="270">
        <v>14</v>
      </c>
      <c r="B94" s="271">
        <f>'人员人工-研发人员工资'!B94</f>
        <v>0</v>
      </c>
      <c r="C94" s="274"/>
      <c r="D94" s="272">
        <f>'人员人工-研发人员工资'!D94</f>
        <v>0</v>
      </c>
      <c r="E94" s="272">
        <f t="shared" si="27"/>
        <v>0</v>
      </c>
      <c r="F94" s="272">
        <f t="shared" si="28"/>
        <v>0</v>
      </c>
      <c r="G94" s="273">
        <f>'人员人工-研发人员工资'!G94</f>
        <v>0</v>
      </c>
      <c r="H94" s="274">
        <f t="shared" si="29"/>
        <v>0</v>
      </c>
      <c r="I94" s="273">
        <f>'人员人工-研发人员工资'!I94</f>
        <v>0</v>
      </c>
      <c r="J94" s="274">
        <f t="shared" si="30"/>
        <v>0</v>
      </c>
      <c r="K94" s="275">
        <f>'人员人工-研发人员工资'!K94</f>
        <v>0</v>
      </c>
      <c r="L94" s="274">
        <f t="shared" si="31"/>
        <v>0</v>
      </c>
      <c r="M94" s="273">
        <f>'人员人工-研发人员工资'!M94</f>
        <v>0</v>
      </c>
      <c r="N94" s="274">
        <f t="shared" si="32"/>
        <v>0</v>
      </c>
      <c r="O94" s="273">
        <f>'人员人工-研发人员工资'!O94</f>
        <v>0</v>
      </c>
      <c r="P94" s="274">
        <f t="shared" si="33"/>
        <v>0</v>
      </c>
      <c r="Q94" s="273">
        <f>'人员人工-研发人员工资'!Q94</f>
        <v>0</v>
      </c>
      <c r="R94" s="274">
        <f t="shared" si="34"/>
        <v>0</v>
      </c>
      <c r="S94" s="273">
        <f>'人员人工-研发人员工资'!S94</f>
        <v>0</v>
      </c>
      <c r="T94" s="274">
        <f t="shared" si="35"/>
        <v>0</v>
      </c>
      <c r="U94" s="273">
        <f>'人员人工-研发人员工资'!U94</f>
        <v>0</v>
      </c>
      <c r="V94" s="274">
        <f t="shared" si="36"/>
        <v>0</v>
      </c>
      <c r="W94" s="273">
        <f>'人员人工-研发人员工资'!W94</f>
        <v>0</v>
      </c>
      <c r="X94" s="274">
        <f t="shared" si="37"/>
        <v>0</v>
      </c>
      <c r="Y94" s="273">
        <f>'人员人工-研发人员工资'!Y94</f>
        <v>0</v>
      </c>
      <c r="Z94" s="274">
        <f t="shared" si="38"/>
        <v>0</v>
      </c>
    </row>
    <row r="95" s="251" customFormat="1" customHeight="1" spans="1:26">
      <c r="A95" s="270">
        <v>15</v>
      </c>
      <c r="B95" s="271">
        <f>'人员人工-研发人员工资'!B95</f>
        <v>0</v>
      </c>
      <c r="C95" s="274"/>
      <c r="D95" s="272">
        <f>'人员人工-研发人员工资'!D95</f>
        <v>0</v>
      </c>
      <c r="E95" s="272">
        <f t="shared" si="27"/>
        <v>0</v>
      </c>
      <c r="F95" s="272">
        <f t="shared" si="28"/>
        <v>0</v>
      </c>
      <c r="G95" s="273">
        <f>'人员人工-研发人员工资'!G95</f>
        <v>0</v>
      </c>
      <c r="H95" s="274">
        <f t="shared" si="29"/>
        <v>0</v>
      </c>
      <c r="I95" s="273">
        <f>'人员人工-研发人员工资'!I95</f>
        <v>0</v>
      </c>
      <c r="J95" s="274">
        <f t="shared" si="30"/>
        <v>0</v>
      </c>
      <c r="K95" s="275">
        <f>'人员人工-研发人员工资'!K95</f>
        <v>0</v>
      </c>
      <c r="L95" s="274">
        <f t="shared" si="31"/>
        <v>0</v>
      </c>
      <c r="M95" s="273">
        <f>'人员人工-研发人员工资'!M95</f>
        <v>0</v>
      </c>
      <c r="N95" s="274">
        <f t="shared" si="32"/>
        <v>0</v>
      </c>
      <c r="O95" s="273">
        <f>'人员人工-研发人员工资'!O95</f>
        <v>0</v>
      </c>
      <c r="P95" s="274">
        <f t="shared" si="33"/>
        <v>0</v>
      </c>
      <c r="Q95" s="273">
        <f>'人员人工-研发人员工资'!Q95</f>
        <v>0</v>
      </c>
      <c r="R95" s="274">
        <f t="shared" si="34"/>
        <v>0</v>
      </c>
      <c r="S95" s="273">
        <f>'人员人工-研发人员工资'!S95</f>
        <v>0</v>
      </c>
      <c r="T95" s="274">
        <f t="shared" si="35"/>
        <v>0</v>
      </c>
      <c r="U95" s="273">
        <f>'人员人工-研发人员工资'!U95</f>
        <v>0</v>
      </c>
      <c r="V95" s="274">
        <f t="shared" si="36"/>
        <v>0</v>
      </c>
      <c r="W95" s="273">
        <f>'人员人工-研发人员工资'!W95</f>
        <v>0</v>
      </c>
      <c r="X95" s="274">
        <f t="shared" si="37"/>
        <v>0</v>
      </c>
      <c r="Y95" s="273">
        <f>'人员人工-研发人员工资'!Y95</f>
        <v>0</v>
      </c>
      <c r="Z95" s="274">
        <f t="shared" si="38"/>
        <v>0</v>
      </c>
    </row>
    <row r="96" s="251" customFormat="1" customHeight="1" spans="1:26">
      <c r="A96" s="270">
        <v>16</v>
      </c>
      <c r="B96" s="271">
        <f>'人员人工-研发人员工资'!B96</f>
        <v>0</v>
      </c>
      <c r="C96" s="274"/>
      <c r="D96" s="272">
        <f>'人员人工-研发人员工资'!D96</f>
        <v>0</v>
      </c>
      <c r="E96" s="272">
        <f t="shared" si="27"/>
        <v>0</v>
      </c>
      <c r="F96" s="272">
        <f t="shared" si="28"/>
        <v>0</v>
      </c>
      <c r="G96" s="273">
        <f>'人员人工-研发人员工资'!G96</f>
        <v>0</v>
      </c>
      <c r="H96" s="274">
        <f t="shared" si="29"/>
        <v>0</v>
      </c>
      <c r="I96" s="273">
        <f>'人员人工-研发人员工资'!I96</f>
        <v>0</v>
      </c>
      <c r="J96" s="274">
        <f t="shared" si="30"/>
        <v>0</v>
      </c>
      <c r="K96" s="275">
        <f>'人员人工-研发人员工资'!K96</f>
        <v>0</v>
      </c>
      <c r="L96" s="274">
        <f t="shared" si="31"/>
        <v>0</v>
      </c>
      <c r="M96" s="273">
        <f>'人员人工-研发人员工资'!M96</f>
        <v>0</v>
      </c>
      <c r="N96" s="274">
        <f t="shared" si="32"/>
        <v>0</v>
      </c>
      <c r="O96" s="273">
        <f>'人员人工-研发人员工资'!O96</f>
        <v>0</v>
      </c>
      <c r="P96" s="274">
        <f t="shared" si="33"/>
        <v>0</v>
      </c>
      <c r="Q96" s="273">
        <f>'人员人工-研发人员工资'!Q96</f>
        <v>0</v>
      </c>
      <c r="R96" s="274">
        <f t="shared" si="34"/>
        <v>0</v>
      </c>
      <c r="S96" s="273">
        <f>'人员人工-研发人员工资'!S96</f>
        <v>0</v>
      </c>
      <c r="T96" s="274">
        <f t="shared" si="35"/>
        <v>0</v>
      </c>
      <c r="U96" s="273">
        <f>'人员人工-研发人员工资'!U96</f>
        <v>0</v>
      </c>
      <c r="V96" s="274">
        <f t="shared" si="36"/>
        <v>0</v>
      </c>
      <c r="W96" s="273">
        <f>'人员人工-研发人员工资'!W96</f>
        <v>0</v>
      </c>
      <c r="X96" s="274">
        <f t="shared" si="37"/>
        <v>0</v>
      </c>
      <c r="Y96" s="273">
        <f>'人员人工-研发人员工资'!Y96</f>
        <v>0</v>
      </c>
      <c r="Z96" s="274">
        <f t="shared" si="38"/>
        <v>0</v>
      </c>
    </row>
    <row r="97" s="251" customFormat="1" customHeight="1" spans="1:26">
      <c r="A97" s="270">
        <v>17</v>
      </c>
      <c r="B97" s="271">
        <f>'人员人工-研发人员工资'!B97</f>
        <v>0</v>
      </c>
      <c r="C97" s="274"/>
      <c r="D97" s="272">
        <f>'人员人工-研发人员工资'!D97</f>
        <v>0</v>
      </c>
      <c r="E97" s="272">
        <f t="shared" si="27"/>
        <v>0</v>
      </c>
      <c r="F97" s="272">
        <f t="shared" si="28"/>
        <v>0</v>
      </c>
      <c r="G97" s="273">
        <f>'人员人工-研发人员工资'!G97</f>
        <v>0</v>
      </c>
      <c r="H97" s="274">
        <f t="shared" si="29"/>
        <v>0</v>
      </c>
      <c r="I97" s="273">
        <f>'人员人工-研发人员工资'!I97</f>
        <v>0</v>
      </c>
      <c r="J97" s="274">
        <f t="shared" si="30"/>
        <v>0</v>
      </c>
      <c r="K97" s="275">
        <f>'人员人工-研发人员工资'!K97</f>
        <v>0</v>
      </c>
      <c r="L97" s="274">
        <f t="shared" si="31"/>
        <v>0</v>
      </c>
      <c r="M97" s="273">
        <f>'人员人工-研发人员工资'!M97</f>
        <v>0</v>
      </c>
      <c r="N97" s="274">
        <f t="shared" si="32"/>
        <v>0</v>
      </c>
      <c r="O97" s="273">
        <f>'人员人工-研发人员工资'!O97</f>
        <v>0</v>
      </c>
      <c r="P97" s="274">
        <f t="shared" si="33"/>
        <v>0</v>
      </c>
      <c r="Q97" s="273">
        <f>'人员人工-研发人员工资'!Q97</f>
        <v>0</v>
      </c>
      <c r="R97" s="274">
        <f t="shared" si="34"/>
        <v>0</v>
      </c>
      <c r="S97" s="273">
        <f>'人员人工-研发人员工资'!S97</f>
        <v>0</v>
      </c>
      <c r="T97" s="274">
        <f t="shared" si="35"/>
        <v>0</v>
      </c>
      <c r="U97" s="273">
        <f>'人员人工-研发人员工资'!U97</f>
        <v>0</v>
      </c>
      <c r="V97" s="274">
        <f t="shared" si="36"/>
        <v>0</v>
      </c>
      <c r="W97" s="273">
        <f>'人员人工-研发人员工资'!W97</f>
        <v>0</v>
      </c>
      <c r="X97" s="274">
        <f t="shared" si="37"/>
        <v>0</v>
      </c>
      <c r="Y97" s="273">
        <f>'人员人工-研发人员工资'!Y97</f>
        <v>0</v>
      </c>
      <c r="Z97" s="274">
        <f t="shared" si="38"/>
        <v>0</v>
      </c>
    </row>
    <row r="98" s="251" customFormat="1" customHeight="1" spans="1:26">
      <c r="A98" s="270">
        <v>18</v>
      </c>
      <c r="B98" s="271">
        <f>'人员人工-研发人员工资'!B98</f>
        <v>0</v>
      </c>
      <c r="C98" s="274"/>
      <c r="D98" s="272">
        <f>'人员人工-研发人员工资'!D98</f>
        <v>0</v>
      </c>
      <c r="E98" s="272">
        <f t="shared" si="27"/>
        <v>0</v>
      </c>
      <c r="F98" s="272">
        <f t="shared" si="28"/>
        <v>0</v>
      </c>
      <c r="G98" s="273">
        <f>'人员人工-研发人员工资'!G98</f>
        <v>0</v>
      </c>
      <c r="H98" s="274">
        <f t="shared" si="29"/>
        <v>0</v>
      </c>
      <c r="I98" s="273">
        <f>'人员人工-研发人员工资'!I98</f>
        <v>0</v>
      </c>
      <c r="J98" s="274">
        <f t="shared" si="30"/>
        <v>0</v>
      </c>
      <c r="K98" s="275">
        <f>'人员人工-研发人员工资'!K98</f>
        <v>0</v>
      </c>
      <c r="L98" s="274">
        <f t="shared" si="31"/>
        <v>0</v>
      </c>
      <c r="M98" s="273">
        <f>'人员人工-研发人员工资'!M98</f>
        <v>0</v>
      </c>
      <c r="N98" s="274">
        <f t="shared" si="32"/>
        <v>0</v>
      </c>
      <c r="O98" s="273">
        <f>'人员人工-研发人员工资'!O98</f>
        <v>0</v>
      </c>
      <c r="P98" s="274">
        <f t="shared" si="33"/>
        <v>0</v>
      </c>
      <c r="Q98" s="273">
        <f>'人员人工-研发人员工资'!Q98</f>
        <v>0</v>
      </c>
      <c r="R98" s="274">
        <f t="shared" si="34"/>
        <v>0</v>
      </c>
      <c r="S98" s="273">
        <f>'人员人工-研发人员工资'!S98</f>
        <v>0</v>
      </c>
      <c r="T98" s="274">
        <f t="shared" si="35"/>
        <v>0</v>
      </c>
      <c r="U98" s="273">
        <f>'人员人工-研发人员工资'!U98</f>
        <v>0</v>
      </c>
      <c r="V98" s="274">
        <f t="shared" si="36"/>
        <v>0</v>
      </c>
      <c r="W98" s="273">
        <f>'人员人工-研发人员工资'!W98</f>
        <v>0</v>
      </c>
      <c r="X98" s="274">
        <f t="shared" si="37"/>
        <v>0</v>
      </c>
      <c r="Y98" s="273">
        <f>'人员人工-研发人员工资'!Y98</f>
        <v>0</v>
      </c>
      <c r="Z98" s="274">
        <f t="shared" si="38"/>
        <v>0</v>
      </c>
    </row>
    <row r="99" s="251" customFormat="1" customHeight="1" spans="1:26">
      <c r="A99" s="270">
        <v>19</v>
      </c>
      <c r="B99" s="271">
        <f>'人员人工-研发人员工资'!B99</f>
        <v>0</v>
      </c>
      <c r="C99" s="274"/>
      <c r="D99" s="272">
        <f>'人员人工-研发人员工资'!D99</f>
        <v>0</v>
      </c>
      <c r="E99" s="272">
        <f t="shared" si="27"/>
        <v>0</v>
      </c>
      <c r="F99" s="272">
        <f t="shared" si="28"/>
        <v>0</v>
      </c>
      <c r="G99" s="273">
        <f>'人员人工-研发人员工资'!G99</f>
        <v>0</v>
      </c>
      <c r="H99" s="274">
        <f t="shared" si="29"/>
        <v>0</v>
      </c>
      <c r="I99" s="273">
        <f>'人员人工-研发人员工资'!I99</f>
        <v>0</v>
      </c>
      <c r="J99" s="274">
        <f t="shared" si="30"/>
        <v>0</v>
      </c>
      <c r="K99" s="275">
        <f>'人员人工-研发人员工资'!K99</f>
        <v>0</v>
      </c>
      <c r="L99" s="274">
        <f t="shared" si="31"/>
        <v>0</v>
      </c>
      <c r="M99" s="273">
        <f>'人员人工-研发人员工资'!M99</f>
        <v>0</v>
      </c>
      <c r="N99" s="274">
        <f t="shared" si="32"/>
        <v>0</v>
      </c>
      <c r="O99" s="273">
        <f>'人员人工-研发人员工资'!O99</f>
        <v>0</v>
      </c>
      <c r="P99" s="274">
        <f t="shared" si="33"/>
        <v>0</v>
      </c>
      <c r="Q99" s="273">
        <f>'人员人工-研发人员工资'!Q99</f>
        <v>0</v>
      </c>
      <c r="R99" s="274">
        <f t="shared" si="34"/>
        <v>0</v>
      </c>
      <c r="S99" s="273">
        <f>'人员人工-研发人员工资'!S99</f>
        <v>0</v>
      </c>
      <c r="T99" s="274">
        <f t="shared" si="35"/>
        <v>0</v>
      </c>
      <c r="U99" s="273">
        <f>'人员人工-研发人员工资'!U99</f>
        <v>0</v>
      </c>
      <c r="V99" s="274">
        <f t="shared" si="36"/>
        <v>0</v>
      </c>
      <c r="W99" s="273">
        <f>'人员人工-研发人员工资'!W99</f>
        <v>0</v>
      </c>
      <c r="X99" s="274">
        <f t="shared" si="37"/>
        <v>0</v>
      </c>
      <c r="Y99" s="273">
        <f>'人员人工-研发人员工资'!Y99</f>
        <v>0</v>
      </c>
      <c r="Z99" s="274">
        <f t="shared" si="38"/>
        <v>0</v>
      </c>
    </row>
    <row r="100" s="251" customFormat="1" customHeight="1" spans="1:26">
      <c r="A100" s="270">
        <v>20</v>
      </c>
      <c r="B100" s="271">
        <f>'人员人工-研发人员工资'!B100</f>
        <v>0</v>
      </c>
      <c r="C100" s="274"/>
      <c r="D100" s="272">
        <f>'人员人工-研发人员工资'!D100</f>
        <v>0</v>
      </c>
      <c r="E100" s="272">
        <f t="shared" si="27"/>
        <v>0</v>
      </c>
      <c r="F100" s="272">
        <f t="shared" si="28"/>
        <v>0</v>
      </c>
      <c r="G100" s="273">
        <f>'人员人工-研发人员工资'!G100</f>
        <v>0</v>
      </c>
      <c r="H100" s="274">
        <f t="shared" si="29"/>
        <v>0</v>
      </c>
      <c r="I100" s="273">
        <f>'人员人工-研发人员工资'!I100</f>
        <v>0</v>
      </c>
      <c r="J100" s="274">
        <f t="shared" si="30"/>
        <v>0</v>
      </c>
      <c r="K100" s="275">
        <f>'人员人工-研发人员工资'!K100</f>
        <v>0</v>
      </c>
      <c r="L100" s="274">
        <f t="shared" si="31"/>
        <v>0</v>
      </c>
      <c r="M100" s="273">
        <f>'人员人工-研发人员工资'!M100</f>
        <v>0</v>
      </c>
      <c r="N100" s="274">
        <f t="shared" si="32"/>
        <v>0</v>
      </c>
      <c r="O100" s="273">
        <f>'人员人工-研发人员工资'!O100</f>
        <v>0</v>
      </c>
      <c r="P100" s="274">
        <f t="shared" si="33"/>
        <v>0</v>
      </c>
      <c r="Q100" s="273">
        <f>'人员人工-研发人员工资'!Q100</f>
        <v>0</v>
      </c>
      <c r="R100" s="274">
        <f t="shared" si="34"/>
        <v>0</v>
      </c>
      <c r="S100" s="273">
        <f>'人员人工-研发人员工资'!S100</f>
        <v>0</v>
      </c>
      <c r="T100" s="274">
        <f t="shared" si="35"/>
        <v>0</v>
      </c>
      <c r="U100" s="273">
        <f>'人员人工-研发人员工资'!U100</f>
        <v>0</v>
      </c>
      <c r="V100" s="274">
        <f t="shared" si="36"/>
        <v>0</v>
      </c>
      <c r="W100" s="273">
        <f>'人员人工-研发人员工资'!W100</f>
        <v>0</v>
      </c>
      <c r="X100" s="274">
        <f t="shared" si="37"/>
        <v>0</v>
      </c>
      <c r="Y100" s="273">
        <f>'人员人工-研发人员工资'!Y100</f>
        <v>0</v>
      </c>
      <c r="Z100" s="274">
        <f t="shared" si="38"/>
        <v>0</v>
      </c>
    </row>
    <row r="101" s="251" customFormat="1" customHeight="1" spans="1:26">
      <c r="A101" s="270">
        <v>21</v>
      </c>
      <c r="B101" s="271">
        <f>'人员人工-研发人员工资'!B101</f>
        <v>0</v>
      </c>
      <c r="C101" s="274"/>
      <c r="D101" s="272">
        <f>'人员人工-研发人员工资'!D101</f>
        <v>0</v>
      </c>
      <c r="E101" s="272">
        <f t="shared" si="27"/>
        <v>0</v>
      </c>
      <c r="F101" s="272">
        <f t="shared" si="28"/>
        <v>0</v>
      </c>
      <c r="G101" s="273">
        <f>'人员人工-研发人员工资'!G101</f>
        <v>0</v>
      </c>
      <c r="H101" s="274">
        <f t="shared" si="29"/>
        <v>0</v>
      </c>
      <c r="I101" s="273">
        <f>'人员人工-研发人员工资'!I101</f>
        <v>0</v>
      </c>
      <c r="J101" s="274">
        <f t="shared" si="30"/>
        <v>0</v>
      </c>
      <c r="K101" s="275">
        <f>'人员人工-研发人员工资'!K101</f>
        <v>0</v>
      </c>
      <c r="L101" s="274">
        <f t="shared" si="31"/>
        <v>0</v>
      </c>
      <c r="M101" s="273">
        <f>'人员人工-研发人员工资'!M101</f>
        <v>0</v>
      </c>
      <c r="N101" s="274">
        <f t="shared" si="32"/>
        <v>0</v>
      </c>
      <c r="O101" s="273">
        <f>'人员人工-研发人员工资'!O101</f>
        <v>0</v>
      </c>
      <c r="P101" s="274">
        <f t="shared" si="33"/>
        <v>0</v>
      </c>
      <c r="Q101" s="273">
        <f>'人员人工-研发人员工资'!Q101</f>
        <v>0</v>
      </c>
      <c r="R101" s="274">
        <f t="shared" si="34"/>
        <v>0</v>
      </c>
      <c r="S101" s="273">
        <f>'人员人工-研发人员工资'!S101</f>
        <v>0</v>
      </c>
      <c r="T101" s="274">
        <f t="shared" si="35"/>
        <v>0</v>
      </c>
      <c r="U101" s="273">
        <f>'人员人工-研发人员工资'!U101</f>
        <v>0</v>
      </c>
      <c r="V101" s="274">
        <f t="shared" si="36"/>
        <v>0</v>
      </c>
      <c r="W101" s="273">
        <f>'人员人工-研发人员工资'!W101</f>
        <v>0</v>
      </c>
      <c r="X101" s="274">
        <f t="shared" si="37"/>
        <v>0</v>
      </c>
      <c r="Y101" s="273">
        <f>'人员人工-研发人员工资'!Y101</f>
        <v>0</v>
      </c>
      <c r="Z101" s="274">
        <f t="shared" si="38"/>
        <v>0</v>
      </c>
    </row>
    <row r="102" s="251" customFormat="1" customHeight="1" spans="1:26">
      <c r="A102" s="270">
        <v>22</v>
      </c>
      <c r="B102" s="271">
        <f>'人员人工-研发人员工资'!B102</f>
        <v>0</v>
      </c>
      <c r="C102" s="274"/>
      <c r="D102" s="272">
        <f>'人员人工-研发人员工资'!D102</f>
        <v>0</v>
      </c>
      <c r="E102" s="272">
        <f t="shared" si="27"/>
        <v>0</v>
      </c>
      <c r="F102" s="272">
        <f t="shared" si="28"/>
        <v>0</v>
      </c>
      <c r="G102" s="273">
        <f>'人员人工-研发人员工资'!G102</f>
        <v>0</v>
      </c>
      <c r="H102" s="274">
        <f t="shared" si="29"/>
        <v>0</v>
      </c>
      <c r="I102" s="273">
        <f>'人员人工-研发人员工资'!I102</f>
        <v>0</v>
      </c>
      <c r="J102" s="274">
        <f t="shared" si="30"/>
        <v>0</v>
      </c>
      <c r="K102" s="275">
        <f>'人员人工-研发人员工资'!K102</f>
        <v>0</v>
      </c>
      <c r="L102" s="274">
        <f t="shared" si="31"/>
        <v>0</v>
      </c>
      <c r="M102" s="273">
        <f>'人员人工-研发人员工资'!M102</f>
        <v>0</v>
      </c>
      <c r="N102" s="274">
        <f t="shared" si="32"/>
        <v>0</v>
      </c>
      <c r="O102" s="273">
        <f>'人员人工-研发人员工资'!O102</f>
        <v>0</v>
      </c>
      <c r="P102" s="274">
        <f t="shared" si="33"/>
        <v>0</v>
      </c>
      <c r="Q102" s="273">
        <f>'人员人工-研发人员工资'!Q102</f>
        <v>0</v>
      </c>
      <c r="R102" s="274">
        <f t="shared" si="34"/>
        <v>0</v>
      </c>
      <c r="S102" s="273">
        <f>'人员人工-研发人员工资'!S102</f>
        <v>0</v>
      </c>
      <c r="T102" s="274">
        <f t="shared" si="35"/>
        <v>0</v>
      </c>
      <c r="U102" s="273">
        <f>'人员人工-研发人员工资'!U102</f>
        <v>0</v>
      </c>
      <c r="V102" s="274">
        <f t="shared" si="36"/>
        <v>0</v>
      </c>
      <c r="W102" s="273">
        <f>'人员人工-研发人员工资'!W102</f>
        <v>0</v>
      </c>
      <c r="X102" s="274">
        <f t="shared" si="37"/>
        <v>0</v>
      </c>
      <c r="Y102" s="273">
        <f>'人员人工-研发人员工资'!Y102</f>
        <v>0</v>
      </c>
      <c r="Z102" s="274">
        <f t="shared" si="38"/>
        <v>0</v>
      </c>
    </row>
    <row r="103" s="251" customFormat="1" customHeight="1" spans="1:26">
      <c r="A103" s="270">
        <v>23</v>
      </c>
      <c r="B103" s="271">
        <f>'人员人工-研发人员工资'!B103</f>
        <v>0</v>
      </c>
      <c r="C103" s="274"/>
      <c r="D103" s="272">
        <f>'人员人工-研发人员工资'!D103</f>
        <v>0</v>
      </c>
      <c r="E103" s="272">
        <f t="shared" si="27"/>
        <v>0</v>
      </c>
      <c r="F103" s="272">
        <f t="shared" si="28"/>
        <v>0</v>
      </c>
      <c r="G103" s="273">
        <f>'人员人工-研发人员工资'!G103</f>
        <v>0</v>
      </c>
      <c r="H103" s="274">
        <f t="shared" si="29"/>
        <v>0</v>
      </c>
      <c r="I103" s="273">
        <f>'人员人工-研发人员工资'!I103</f>
        <v>0</v>
      </c>
      <c r="J103" s="274">
        <f t="shared" si="30"/>
        <v>0</v>
      </c>
      <c r="K103" s="275">
        <f>'人员人工-研发人员工资'!K103</f>
        <v>0</v>
      </c>
      <c r="L103" s="274">
        <f t="shared" si="31"/>
        <v>0</v>
      </c>
      <c r="M103" s="273">
        <f>'人员人工-研发人员工资'!M103</f>
        <v>0</v>
      </c>
      <c r="N103" s="274">
        <f t="shared" si="32"/>
        <v>0</v>
      </c>
      <c r="O103" s="273">
        <f>'人员人工-研发人员工资'!O103</f>
        <v>0</v>
      </c>
      <c r="P103" s="274">
        <f t="shared" si="33"/>
        <v>0</v>
      </c>
      <c r="Q103" s="273">
        <f>'人员人工-研发人员工资'!Q103</f>
        <v>0</v>
      </c>
      <c r="R103" s="274">
        <f t="shared" si="34"/>
        <v>0</v>
      </c>
      <c r="S103" s="273">
        <f>'人员人工-研发人员工资'!S103</f>
        <v>0</v>
      </c>
      <c r="T103" s="274">
        <f t="shared" si="35"/>
        <v>0</v>
      </c>
      <c r="U103" s="273">
        <f>'人员人工-研发人员工资'!U103</f>
        <v>0</v>
      </c>
      <c r="V103" s="274">
        <f t="shared" si="36"/>
        <v>0</v>
      </c>
      <c r="W103" s="273">
        <f>'人员人工-研发人员工资'!W103</f>
        <v>0</v>
      </c>
      <c r="X103" s="274">
        <f t="shared" si="37"/>
        <v>0</v>
      </c>
      <c r="Y103" s="273">
        <f>'人员人工-研发人员工资'!Y103</f>
        <v>0</v>
      </c>
      <c r="Z103" s="274">
        <f t="shared" si="38"/>
        <v>0</v>
      </c>
    </row>
    <row r="104" s="251" customFormat="1" customHeight="1" spans="1:26">
      <c r="A104" s="270">
        <v>25</v>
      </c>
      <c r="B104" s="271">
        <f>'人员人工-研发人员工资'!B104</f>
        <v>0</v>
      </c>
      <c r="C104" s="274"/>
      <c r="D104" s="272">
        <f>'人员人工-研发人员工资'!D104</f>
        <v>0</v>
      </c>
      <c r="E104" s="272">
        <f t="shared" si="27"/>
        <v>0</v>
      </c>
      <c r="F104" s="272">
        <f t="shared" si="28"/>
        <v>0</v>
      </c>
      <c r="G104" s="273">
        <f>'人员人工-研发人员工资'!G104</f>
        <v>0</v>
      </c>
      <c r="H104" s="274">
        <f t="shared" si="29"/>
        <v>0</v>
      </c>
      <c r="I104" s="273">
        <f>'人员人工-研发人员工资'!I104</f>
        <v>0</v>
      </c>
      <c r="J104" s="274">
        <f t="shared" si="30"/>
        <v>0</v>
      </c>
      <c r="K104" s="275">
        <f>'人员人工-研发人员工资'!K104</f>
        <v>0</v>
      </c>
      <c r="L104" s="274">
        <f t="shared" si="31"/>
        <v>0</v>
      </c>
      <c r="M104" s="273">
        <f>'人员人工-研发人员工资'!M104</f>
        <v>0</v>
      </c>
      <c r="N104" s="274">
        <f t="shared" si="32"/>
        <v>0</v>
      </c>
      <c r="O104" s="273">
        <f>'人员人工-研发人员工资'!O104</f>
        <v>0</v>
      </c>
      <c r="P104" s="274">
        <f t="shared" si="33"/>
        <v>0</v>
      </c>
      <c r="Q104" s="273">
        <f>'人员人工-研发人员工资'!Q104</f>
        <v>0</v>
      </c>
      <c r="R104" s="274">
        <f t="shared" si="34"/>
        <v>0</v>
      </c>
      <c r="S104" s="273">
        <f>'人员人工-研发人员工资'!S104</f>
        <v>0</v>
      </c>
      <c r="T104" s="274">
        <f t="shared" si="35"/>
        <v>0</v>
      </c>
      <c r="U104" s="273">
        <f>'人员人工-研发人员工资'!U104</f>
        <v>0</v>
      </c>
      <c r="V104" s="274">
        <f t="shared" si="36"/>
        <v>0</v>
      </c>
      <c r="W104" s="273">
        <f>'人员人工-研发人员工资'!W104</f>
        <v>0</v>
      </c>
      <c r="X104" s="274">
        <f t="shared" si="37"/>
        <v>0</v>
      </c>
      <c r="Y104" s="273">
        <f>'人员人工-研发人员工资'!Y104</f>
        <v>0</v>
      </c>
      <c r="Z104" s="274">
        <f t="shared" si="38"/>
        <v>0</v>
      </c>
    </row>
    <row r="105" s="251" customFormat="1" customHeight="1" spans="1:26">
      <c r="A105" s="270">
        <v>25</v>
      </c>
      <c r="B105" s="271">
        <f>'人员人工-研发人员工资'!B105</f>
        <v>0</v>
      </c>
      <c r="C105" s="274"/>
      <c r="D105" s="272">
        <f>'人员人工-研发人员工资'!D105</f>
        <v>0</v>
      </c>
      <c r="E105" s="272">
        <f t="shared" si="27"/>
        <v>0</v>
      </c>
      <c r="F105" s="272">
        <f t="shared" si="28"/>
        <v>0</v>
      </c>
      <c r="G105" s="273">
        <f>'人员人工-研发人员工资'!G105</f>
        <v>0</v>
      </c>
      <c r="H105" s="274">
        <f t="shared" si="29"/>
        <v>0</v>
      </c>
      <c r="I105" s="273">
        <f>'人员人工-研发人员工资'!I105</f>
        <v>0</v>
      </c>
      <c r="J105" s="274">
        <f t="shared" si="30"/>
        <v>0</v>
      </c>
      <c r="K105" s="275">
        <f>'人员人工-研发人员工资'!K105</f>
        <v>0</v>
      </c>
      <c r="L105" s="274">
        <f t="shared" si="31"/>
        <v>0</v>
      </c>
      <c r="M105" s="273">
        <f>'人员人工-研发人员工资'!M105</f>
        <v>0</v>
      </c>
      <c r="N105" s="274">
        <f t="shared" si="32"/>
        <v>0</v>
      </c>
      <c r="O105" s="273">
        <f>'人员人工-研发人员工资'!O105</f>
        <v>0</v>
      </c>
      <c r="P105" s="274">
        <f t="shared" si="33"/>
        <v>0</v>
      </c>
      <c r="Q105" s="273">
        <f>'人员人工-研发人员工资'!Q105</f>
        <v>0</v>
      </c>
      <c r="R105" s="274">
        <f t="shared" si="34"/>
        <v>0</v>
      </c>
      <c r="S105" s="273">
        <f>'人员人工-研发人员工资'!S105</f>
        <v>0</v>
      </c>
      <c r="T105" s="274">
        <f t="shared" si="35"/>
        <v>0</v>
      </c>
      <c r="U105" s="273">
        <f>'人员人工-研发人员工资'!U105</f>
        <v>0</v>
      </c>
      <c r="V105" s="274">
        <f t="shared" si="36"/>
        <v>0</v>
      </c>
      <c r="W105" s="273">
        <f>'人员人工-研发人员工资'!W105</f>
        <v>0</v>
      </c>
      <c r="X105" s="274">
        <f t="shared" si="37"/>
        <v>0</v>
      </c>
      <c r="Y105" s="273">
        <f>'人员人工-研发人员工资'!Y105</f>
        <v>0</v>
      </c>
      <c r="Z105" s="274">
        <f t="shared" si="38"/>
        <v>0</v>
      </c>
    </row>
    <row r="106" s="251" customFormat="1" customHeight="1" spans="1:26">
      <c r="A106" s="270">
        <v>26</v>
      </c>
      <c r="B106" s="271">
        <f>'人员人工-研发人员工资'!B106</f>
        <v>0</v>
      </c>
      <c r="C106" s="274"/>
      <c r="D106" s="272">
        <f>'人员人工-研发人员工资'!D106</f>
        <v>0</v>
      </c>
      <c r="E106" s="272">
        <f t="shared" si="27"/>
        <v>0</v>
      </c>
      <c r="F106" s="272">
        <f t="shared" si="28"/>
        <v>0</v>
      </c>
      <c r="G106" s="273">
        <f>'人员人工-研发人员工资'!G106</f>
        <v>0</v>
      </c>
      <c r="H106" s="274">
        <f t="shared" si="29"/>
        <v>0</v>
      </c>
      <c r="I106" s="273">
        <f>'人员人工-研发人员工资'!I106</f>
        <v>0</v>
      </c>
      <c r="J106" s="274">
        <f t="shared" si="30"/>
        <v>0</v>
      </c>
      <c r="K106" s="275">
        <f>'人员人工-研发人员工资'!K106</f>
        <v>0</v>
      </c>
      <c r="L106" s="274">
        <f t="shared" si="31"/>
        <v>0</v>
      </c>
      <c r="M106" s="273">
        <f>'人员人工-研发人员工资'!M106</f>
        <v>0</v>
      </c>
      <c r="N106" s="274">
        <f t="shared" si="32"/>
        <v>0</v>
      </c>
      <c r="O106" s="273">
        <f>'人员人工-研发人员工资'!O106</f>
        <v>0</v>
      </c>
      <c r="P106" s="274">
        <f t="shared" si="33"/>
        <v>0</v>
      </c>
      <c r="Q106" s="273">
        <f>'人员人工-研发人员工资'!Q106</f>
        <v>0</v>
      </c>
      <c r="R106" s="274">
        <f t="shared" si="34"/>
        <v>0</v>
      </c>
      <c r="S106" s="273">
        <f>'人员人工-研发人员工资'!S106</f>
        <v>0</v>
      </c>
      <c r="T106" s="274">
        <f t="shared" si="35"/>
        <v>0</v>
      </c>
      <c r="U106" s="273">
        <f>'人员人工-研发人员工资'!U106</f>
        <v>0</v>
      </c>
      <c r="V106" s="274">
        <f t="shared" si="36"/>
        <v>0</v>
      </c>
      <c r="W106" s="273">
        <f>'人员人工-研发人员工资'!W106</f>
        <v>0</v>
      </c>
      <c r="X106" s="274">
        <f t="shared" si="37"/>
        <v>0</v>
      </c>
      <c r="Y106" s="273">
        <f>'人员人工-研发人员工资'!Y106</f>
        <v>0</v>
      </c>
      <c r="Z106" s="274">
        <f t="shared" si="38"/>
        <v>0</v>
      </c>
    </row>
    <row r="107" s="251" customFormat="1" customHeight="1" spans="1:26">
      <c r="A107" s="270">
        <v>27</v>
      </c>
      <c r="B107" s="271">
        <f>'人员人工-研发人员工资'!B107</f>
        <v>0</v>
      </c>
      <c r="C107" s="274"/>
      <c r="D107" s="272">
        <f>'人员人工-研发人员工资'!D107</f>
        <v>0</v>
      </c>
      <c r="E107" s="272">
        <f t="shared" si="27"/>
        <v>0</v>
      </c>
      <c r="F107" s="272">
        <f t="shared" si="28"/>
        <v>0</v>
      </c>
      <c r="G107" s="273">
        <f>'人员人工-研发人员工资'!G107</f>
        <v>0</v>
      </c>
      <c r="H107" s="274">
        <f t="shared" si="29"/>
        <v>0</v>
      </c>
      <c r="I107" s="273">
        <f>'人员人工-研发人员工资'!I107</f>
        <v>0</v>
      </c>
      <c r="J107" s="274">
        <f t="shared" si="30"/>
        <v>0</v>
      </c>
      <c r="K107" s="275">
        <f>'人员人工-研发人员工资'!K107</f>
        <v>0</v>
      </c>
      <c r="L107" s="274">
        <f t="shared" si="31"/>
        <v>0</v>
      </c>
      <c r="M107" s="273">
        <f>'人员人工-研发人员工资'!M107</f>
        <v>0</v>
      </c>
      <c r="N107" s="274">
        <f t="shared" si="32"/>
        <v>0</v>
      </c>
      <c r="O107" s="273">
        <f>'人员人工-研发人员工资'!O107</f>
        <v>0</v>
      </c>
      <c r="P107" s="274">
        <f t="shared" si="33"/>
        <v>0</v>
      </c>
      <c r="Q107" s="273">
        <f>'人员人工-研发人员工资'!Q107</f>
        <v>0</v>
      </c>
      <c r="R107" s="274">
        <f t="shared" si="34"/>
        <v>0</v>
      </c>
      <c r="S107" s="273">
        <f>'人员人工-研发人员工资'!S107</f>
        <v>0</v>
      </c>
      <c r="T107" s="274">
        <f t="shared" si="35"/>
        <v>0</v>
      </c>
      <c r="U107" s="273">
        <f>'人员人工-研发人员工资'!U107</f>
        <v>0</v>
      </c>
      <c r="V107" s="274">
        <f t="shared" si="36"/>
        <v>0</v>
      </c>
      <c r="W107" s="273">
        <f>'人员人工-研发人员工资'!W107</f>
        <v>0</v>
      </c>
      <c r="X107" s="274">
        <f t="shared" si="37"/>
        <v>0</v>
      </c>
      <c r="Y107" s="273">
        <f>'人员人工-研发人员工资'!Y107</f>
        <v>0</v>
      </c>
      <c r="Z107" s="274">
        <f t="shared" si="38"/>
        <v>0</v>
      </c>
    </row>
    <row r="108" s="251" customFormat="1" customHeight="1" spans="1:26">
      <c r="A108" s="270">
        <v>28</v>
      </c>
      <c r="B108" s="271">
        <f>'人员人工-研发人员工资'!B108</f>
        <v>0</v>
      </c>
      <c r="C108" s="274"/>
      <c r="D108" s="272">
        <f>'人员人工-研发人员工资'!D108</f>
        <v>0</v>
      </c>
      <c r="E108" s="272">
        <f t="shared" si="27"/>
        <v>0</v>
      </c>
      <c r="F108" s="272">
        <f t="shared" si="28"/>
        <v>0</v>
      </c>
      <c r="G108" s="273">
        <f>'人员人工-研发人员工资'!G108</f>
        <v>0</v>
      </c>
      <c r="H108" s="274">
        <f t="shared" si="29"/>
        <v>0</v>
      </c>
      <c r="I108" s="273">
        <f>'人员人工-研发人员工资'!I108</f>
        <v>0</v>
      </c>
      <c r="J108" s="274">
        <f t="shared" si="30"/>
        <v>0</v>
      </c>
      <c r="K108" s="275">
        <f>'人员人工-研发人员工资'!K108</f>
        <v>0</v>
      </c>
      <c r="L108" s="274">
        <f t="shared" si="31"/>
        <v>0</v>
      </c>
      <c r="M108" s="273">
        <f>'人员人工-研发人员工资'!M108</f>
        <v>0</v>
      </c>
      <c r="N108" s="274">
        <f t="shared" si="32"/>
        <v>0</v>
      </c>
      <c r="O108" s="273">
        <f>'人员人工-研发人员工资'!O108</f>
        <v>0</v>
      </c>
      <c r="P108" s="274">
        <f t="shared" si="33"/>
        <v>0</v>
      </c>
      <c r="Q108" s="273">
        <f>'人员人工-研发人员工资'!Q108</f>
        <v>0</v>
      </c>
      <c r="R108" s="274">
        <f t="shared" si="34"/>
        <v>0</v>
      </c>
      <c r="S108" s="273">
        <f>'人员人工-研发人员工资'!S108</f>
        <v>0</v>
      </c>
      <c r="T108" s="274">
        <f t="shared" si="35"/>
        <v>0</v>
      </c>
      <c r="U108" s="273">
        <f>'人员人工-研发人员工资'!U108</f>
        <v>0</v>
      </c>
      <c r="V108" s="274">
        <f t="shared" si="36"/>
        <v>0</v>
      </c>
      <c r="W108" s="273">
        <f>'人员人工-研发人员工资'!W108</f>
        <v>0</v>
      </c>
      <c r="X108" s="274">
        <f t="shared" si="37"/>
        <v>0</v>
      </c>
      <c r="Y108" s="273">
        <f>'人员人工-研发人员工资'!Y108</f>
        <v>0</v>
      </c>
      <c r="Z108" s="274">
        <f t="shared" si="38"/>
        <v>0</v>
      </c>
    </row>
    <row r="109" s="251" customFormat="1" customHeight="1" spans="1:26">
      <c r="A109" s="270">
        <v>29</v>
      </c>
      <c r="B109" s="271">
        <f>'人员人工-研发人员工资'!B109</f>
        <v>0</v>
      </c>
      <c r="C109" s="274"/>
      <c r="D109" s="272">
        <f>'人员人工-研发人员工资'!D109</f>
        <v>0</v>
      </c>
      <c r="E109" s="272">
        <f t="shared" si="27"/>
        <v>0</v>
      </c>
      <c r="F109" s="272">
        <f t="shared" si="28"/>
        <v>0</v>
      </c>
      <c r="G109" s="273">
        <f>'人员人工-研发人员工资'!G109</f>
        <v>0</v>
      </c>
      <c r="H109" s="274">
        <f t="shared" si="29"/>
        <v>0</v>
      </c>
      <c r="I109" s="273">
        <f>'人员人工-研发人员工资'!I109</f>
        <v>0</v>
      </c>
      <c r="J109" s="274">
        <f t="shared" si="30"/>
        <v>0</v>
      </c>
      <c r="K109" s="275">
        <f>'人员人工-研发人员工资'!K109</f>
        <v>0</v>
      </c>
      <c r="L109" s="274">
        <f t="shared" si="31"/>
        <v>0</v>
      </c>
      <c r="M109" s="273">
        <f>'人员人工-研发人员工资'!M109</f>
        <v>0</v>
      </c>
      <c r="N109" s="274">
        <f t="shared" si="32"/>
        <v>0</v>
      </c>
      <c r="O109" s="273">
        <f>'人员人工-研发人员工资'!O109</f>
        <v>0</v>
      </c>
      <c r="P109" s="274">
        <f t="shared" si="33"/>
        <v>0</v>
      </c>
      <c r="Q109" s="273">
        <f>'人员人工-研发人员工资'!Q109</f>
        <v>0</v>
      </c>
      <c r="R109" s="274">
        <f t="shared" si="34"/>
        <v>0</v>
      </c>
      <c r="S109" s="273">
        <f>'人员人工-研发人员工资'!S109</f>
        <v>0</v>
      </c>
      <c r="T109" s="274">
        <f t="shared" si="35"/>
        <v>0</v>
      </c>
      <c r="U109" s="273">
        <f>'人员人工-研发人员工资'!U109</f>
        <v>0</v>
      </c>
      <c r="V109" s="274">
        <f t="shared" si="36"/>
        <v>0</v>
      </c>
      <c r="W109" s="273">
        <f>'人员人工-研发人员工资'!W109</f>
        <v>0</v>
      </c>
      <c r="X109" s="274">
        <f t="shared" si="37"/>
        <v>0</v>
      </c>
      <c r="Y109" s="273">
        <f>'人员人工-研发人员工资'!Y109</f>
        <v>0</v>
      </c>
      <c r="Z109" s="274">
        <f t="shared" si="38"/>
        <v>0</v>
      </c>
    </row>
    <row r="110" s="251" customFormat="1" customHeight="1" spans="1:26">
      <c r="A110" s="270">
        <v>30</v>
      </c>
      <c r="B110" s="271">
        <f>'人员人工-研发人员工资'!B110</f>
        <v>0</v>
      </c>
      <c r="C110" s="274"/>
      <c r="D110" s="272">
        <f>'人员人工-研发人员工资'!D110</f>
        <v>0</v>
      </c>
      <c r="E110" s="272">
        <f t="shared" si="27"/>
        <v>0</v>
      </c>
      <c r="F110" s="272">
        <f t="shared" si="28"/>
        <v>0</v>
      </c>
      <c r="G110" s="273">
        <f>'人员人工-研发人员工资'!G110</f>
        <v>0</v>
      </c>
      <c r="H110" s="274">
        <f t="shared" si="29"/>
        <v>0</v>
      </c>
      <c r="I110" s="273">
        <f>'人员人工-研发人员工资'!I110</f>
        <v>0</v>
      </c>
      <c r="J110" s="274">
        <f t="shared" si="30"/>
        <v>0</v>
      </c>
      <c r="K110" s="275">
        <f>'人员人工-研发人员工资'!K110</f>
        <v>0</v>
      </c>
      <c r="L110" s="274">
        <f t="shared" si="31"/>
        <v>0</v>
      </c>
      <c r="M110" s="273">
        <f>'人员人工-研发人员工资'!M110</f>
        <v>0</v>
      </c>
      <c r="N110" s="274">
        <f t="shared" si="32"/>
        <v>0</v>
      </c>
      <c r="O110" s="273">
        <f>'人员人工-研发人员工资'!O110</f>
        <v>0</v>
      </c>
      <c r="P110" s="274">
        <f t="shared" si="33"/>
        <v>0</v>
      </c>
      <c r="Q110" s="273">
        <f>'人员人工-研发人员工资'!Q110</f>
        <v>0</v>
      </c>
      <c r="R110" s="274">
        <f t="shared" si="34"/>
        <v>0</v>
      </c>
      <c r="S110" s="273">
        <f>'人员人工-研发人员工资'!S110</f>
        <v>0</v>
      </c>
      <c r="T110" s="274">
        <f t="shared" si="35"/>
        <v>0</v>
      </c>
      <c r="U110" s="273">
        <f>'人员人工-研发人员工资'!U110</f>
        <v>0</v>
      </c>
      <c r="V110" s="274">
        <f t="shared" si="36"/>
        <v>0</v>
      </c>
      <c r="W110" s="273">
        <f>'人员人工-研发人员工资'!W110</f>
        <v>0</v>
      </c>
      <c r="X110" s="274">
        <f t="shared" si="37"/>
        <v>0</v>
      </c>
      <c r="Y110" s="273">
        <f>'人员人工-研发人员工资'!Y110</f>
        <v>0</v>
      </c>
      <c r="Z110" s="274">
        <f t="shared" si="38"/>
        <v>0</v>
      </c>
    </row>
    <row r="111" s="251" customFormat="1" customHeight="1" spans="1:26">
      <c r="A111" s="276" t="s">
        <v>22</v>
      </c>
      <c r="B111" s="277"/>
      <c r="C111" s="261">
        <f t="shared" ref="C111:Z111" si="39">SUM(C81:C110)</f>
        <v>0</v>
      </c>
      <c r="D111" s="261">
        <f t="shared" si="39"/>
        <v>0</v>
      </c>
      <c r="E111" s="261">
        <f t="shared" si="39"/>
        <v>0</v>
      </c>
      <c r="F111" s="272">
        <f t="shared" si="39"/>
        <v>0</v>
      </c>
      <c r="G111" s="261">
        <f t="shared" si="39"/>
        <v>0</v>
      </c>
      <c r="H111" s="261">
        <f t="shared" si="39"/>
        <v>0</v>
      </c>
      <c r="I111" s="261">
        <f t="shared" si="39"/>
        <v>0</v>
      </c>
      <c r="J111" s="261">
        <f t="shared" si="39"/>
        <v>0</v>
      </c>
      <c r="K111" s="261">
        <f t="shared" si="39"/>
        <v>0</v>
      </c>
      <c r="L111" s="261">
        <f t="shared" si="39"/>
        <v>0</v>
      </c>
      <c r="M111" s="261">
        <f t="shared" si="39"/>
        <v>0</v>
      </c>
      <c r="N111" s="261">
        <f t="shared" si="39"/>
        <v>0</v>
      </c>
      <c r="O111" s="261">
        <f t="shared" si="39"/>
        <v>0</v>
      </c>
      <c r="P111" s="261">
        <f t="shared" si="39"/>
        <v>0</v>
      </c>
      <c r="Q111" s="261">
        <f t="shared" si="39"/>
        <v>0</v>
      </c>
      <c r="R111" s="261">
        <f t="shared" si="39"/>
        <v>0</v>
      </c>
      <c r="S111" s="261">
        <f t="shared" si="39"/>
        <v>0</v>
      </c>
      <c r="T111" s="261">
        <f t="shared" si="39"/>
        <v>0</v>
      </c>
      <c r="U111" s="261">
        <f t="shared" si="39"/>
        <v>0</v>
      </c>
      <c r="V111" s="261">
        <f t="shared" si="39"/>
        <v>0</v>
      </c>
      <c r="W111" s="261">
        <f t="shared" si="39"/>
        <v>0</v>
      </c>
      <c r="X111" s="261">
        <f t="shared" si="39"/>
        <v>0</v>
      </c>
      <c r="Y111" s="261">
        <f t="shared" si="39"/>
        <v>0</v>
      </c>
      <c r="Z111" s="261">
        <f t="shared" si="39"/>
        <v>0</v>
      </c>
    </row>
    <row r="112" s="251" customFormat="1" customHeight="1" spans="1:26">
      <c r="A112" s="279"/>
      <c r="B112" s="253"/>
      <c r="C112" s="254"/>
      <c r="D112" s="254"/>
      <c r="E112" s="255"/>
      <c r="F112" s="255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</row>
    <row r="113" s="251" customFormat="1" customHeight="1" spans="1:26">
      <c r="A113" s="252"/>
      <c r="B113" s="253"/>
      <c r="C113" s="254"/>
      <c r="D113" s="254"/>
      <c r="E113" s="255"/>
      <c r="F113" s="255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</row>
    <row r="114" s="251" customFormat="1" customHeight="1" spans="1:26">
      <c r="A114" s="252"/>
      <c r="B114" s="257" t="s">
        <v>162</v>
      </c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  <c r="Z114" s="258"/>
    </row>
    <row r="115" s="251" customFormat="1" customHeight="1" spans="1:26">
      <c r="A115" s="252"/>
      <c r="B115" s="253"/>
      <c r="C115" s="254"/>
      <c r="D115" s="254"/>
      <c r="E115" s="255"/>
      <c r="F115" s="255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</row>
    <row r="116" s="251" customFormat="1" customHeight="1" spans="1:26">
      <c r="A116" s="259" t="s">
        <v>31</v>
      </c>
      <c r="B116" s="260" t="s">
        <v>32</v>
      </c>
      <c r="C116" s="261" t="s">
        <v>157</v>
      </c>
      <c r="D116" s="261" t="s">
        <v>34</v>
      </c>
      <c r="E116" s="262" t="s">
        <v>35</v>
      </c>
      <c r="F116" s="262" t="s">
        <v>158</v>
      </c>
      <c r="G116" s="263" t="str">
        <f>立项!$A$3</f>
        <v>RD01</v>
      </c>
      <c r="H116" s="264"/>
      <c r="I116" s="264" t="str">
        <f>立项!$A$4</f>
        <v>RD02</v>
      </c>
      <c r="J116" s="264"/>
      <c r="K116" s="264" t="str">
        <f>立项!$A$5</f>
        <v>RD03</v>
      </c>
      <c r="L116" s="264"/>
      <c r="M116" s="264" t="str">
        <f>立项!$A$6</f>
        <v>RD04</v>
      </c>
      <c r="N116" s="264"/>
      <c r="O116" s="264" t="str">
        <f>立项!$A$7</f>
        <v>RD05</v>
      </c>
      <c r="P116" s="264"/>
      <c r="Q116" s="264" t="str">
        <f>立项!$A$8</f>
        <v>RD06</v>
      </c>
      <c r="R116" s="264"/>
      <c r="S116" s="264" t="str">
        <f>立项!$A$9</f>
        <v>RD07</v>
      </c>
      <c r="T116" s="264"/>
      <c r="U116" s="264" t="str">
        <f>立项!$A$10</f>
        <v>RD08</v>
      </c>
      <c r="V116" s="264"/>
      <c r="W116" s="264" t="str">
        <f>立项!$A$11</f>
        <v>RD09</v>
      </c>
      <c r="X116" s="264"/>
      <c r="Y116" s="264" t="str">
        <f>立项!$A$12</f>
        <v>RD10</v>
      </c>
      <c r="Z116" s="264"/>
    </row>
    <row r="117" s="251" customFormat="1" customHeight="1" spans="1:26">
      <c r="A117" s="265"/>
      <c r="B117" s="260"/>
      <c r="C117" s="261"/>
      <c r="D117" s="261"/>
      <c r="E117" s="262"/>
      <c r="F117" s="262"/>
      <c r="G117" s="267">
        <f>立项!C3</f>
        <v>0</v>
      </c>
      <c r="H117" s="263"/>
      <c r="I117" s="267">
        <f>立项!C4</f>
        <v>0</v>
      </c>
      <c r="J117" s="263"/>
      <c r="K117" s="267">
        <f>立项!C5</f>
        <v>0</v>
      </c>
      <c r="L117" s="263"/>
      <c r="M117" s="267">
        <f>立项!C6</f>
        <v>0</v>
      </c>
      <c r="N117" s="263"/>
      <c r="O117" s="267">
        <f>立项!C7</f>
        <v>0</v>
      </c>
      <c r="P117" s="263"/>
      <c r="Q117" s="267">
        <f>立项!C8</f>
        <v>0</v>
      </c>
      <c r="R117" s="263"/>
      <c r="S117" s="267">
        <f>立项!C9</f>
        <v>0</v>
      </c>
      <c r="T117" s="263"/>
      <c r="U117" s="267">
        <f>立项!C10</f>
        <v>0</v>
      </c>
      <c r="V117" s="263"/>
      <c r="W117" s="267">
        <f>立项!C11</f>
        <v>0</v>
      </c>
      <c r="X117" s="263"/>
      <c r="Y117" s="264">
        <f>立项!C12</f>
        <v>0</v>
      </c>
      <c r="Z117" s="264"/>
    </row>
    <row r="118" s="251" customFormat="1" customHeight="1" spans="1:26">
      <c r="A118" s="268"/>
      <c r="B118" s="260"/>
      <c r="C118" s="261"/>
      <c r="D118" s="261"/>
      <c r="E118" s="262"/>
      <c r="F118" s="262"/>
      <c r="G118" s="264" t="s">
        <v>39</v>
      </c>
      <c r="H118" s="269" t="s">
        <v>159</v>
      </c>
      <c r="I118" s="264" t="s">
        <v>39</v>
      </c>
      <c r="J118" s="269" t="s">
        <v>159</v>
      </c>
      <c r="K118" s="264" t="s">
        <v>39</v>
      </c>
      <c r="L118" s="269" t="s">
        <v>159</v>
      </c>
      <c r="M118" s="264" t="s">
        <v>39</v>
      </c>
      <c r="N118" s="269" t="s">
        <v>159</v>
      </c>
      <c r="O118" s="264" t="s">
        <v>39</v>
      </c>
      <c r="P118" s="269" t="s">
        <v>159</v>
      </c>
      <c r="Q118" s="264" t="s">
        <v>39</v>
      </c>
      <c r="R118" s="269" t="s">
        <v>159</v>
      </c>
      <c r="S118" s="264" t="s">
        <v>39</v>
      </c>
      <c r="T118" s="269" t="s">
        <v>159</v>
      </c>
      <c r="U118" s="264" t="s">
        <v>39</v>
      </c>
      <c r="V118" s="269" t="s">
        <v>159</v>
      </c>
      <c r="W118" s="264" t="s">
        <v>39</v>
      </c>
      <c r="X118" s="269" t="s">
        <v>159</v>
      </c>
      <c r="Y118" s="264" t="s">
        <v>39</v>
      </c>
      <c r="Z118" s="269" t="s">
        <v>159</v>
      </c>
    </row>
    <row r="119" s="251" customFormat="1" customHeight="1" spans="1:26">
      <c r="A119" s="270">
        <v>1</v>
      </c>
      <c r="B119" s="271">
        <f>'人员人工-研发人员工资'!B119</f>
        <v>0</v>
      </c>
      <c r="C119" s="272"/>
      <c r="D119" s="272">
        <f>'人员人工-研发人员工资'!D119</f>
        <v>0</v>
      </c>
      <c r="E119" s="272">
        <f t="shared" ref="E119:E148" si="40">G119+I119+K119+M119+O119+Q119+S119+U119+W119+Y119</f>
        <v>0</v>
      </c>
      <c r="F119" s="272">
        <f t="shared" ref="F119:F148" si="41">H119+J119+L119+N119+P119+R119+T119+V119+X119+Z119</f>
        <v>0</v>
      </c>
      <c r="G119" s="273">
        <f>'人员人工-研发人员工资'!G119</f>
        <v>0</v>
      </c>
      <c r="H119" s="274">
        <f t="shared" ref="H119:H148" si="42">IF($D119=0,0,ROUND(G119/$D119*$C119,2))</f>
        <v>0</v>
      </c>
      <c r="I119" s="273">
        <f>'人员人工-研发人员工资'!I119</f>
        <v>0</v>
      </c>
      <c r="J119" s="274">
        <f t="shared" ref="J119:J148" si="43">IF($D119=0,0,ROUND(I119/$D119*$C119,2))</f>
        <v>0</v>
      </c>
      <c r="K119" s="275">
        <f>'人员人工-研发人员工资'!K119</f>
        <v>0</v>
      </c>
      <c r="L119" s="274">
        <f t="shared" ref="L119:L148" si="44">IF($D119=0,0,ROUND(K119/$D119*$C119,2))</f>
        <v>0</v>
      </c>
      <c r="M119" s="273">
        <f>'人员人工-研发人员工资'!M119</f>
        <v>0</v>
      </c>
      <c r="N119" s="274">
        <f t="shared" ref="N119:N148" si="45">IF($D119=0,0,ROUND(M119/$D119*$C119,2))</f>
        <v>0</v>
      </c>
      <c r="O119" s="273">
        <f>'人员人工-研发人员工资'!O119</f>
        <v>0</v>
      </c>
      <c r="P119" s="274">
        <f t="shared" ref="P119:P148" si="46">IF($D119=0,0,ROUND(O119/$D119*$C119,2))</f>
        <v>0</v>
      </c>
      <c r="Q119" s="273">
        <f>'人员人工-研发人员工资'!Q119</f>
        <v>0</v>
      </c>
      <c r="R119" s="274">
        <f t="shared" ref="R119:R148" si="47">IF($D119=0,0,ROUND(Q119/$D119*$C119,2))</f>
        <v>0</v>
      </c>
      <c r="S119" s="273">
        <f>'人员人工-研发人员工资'!S119</f>
        <v>0</v>
      </c>
      <c r="T119" s="274">
        <f t="shared" ref="T119:T148" si="48">IF($D119=0,0,ROUND(S119/$D119*$C119,2))</f>
        <v>0</v>
      </c>
      <c r="U119" s="273">
        <f>'人员人工-研发人员工资'!U119</f>
        <v>0</v>
      </c>
      <c r="V119" s="274">
        <f t="shared" ref="V119:V148" si="49">IF($D119=0,0,ROUND(U119/$D119*$C119,2))</f>
        <v>0</v>
      </c>
      <c r="W119" s="273">
        <f>'人员人工-研发人员工资'!W119</f>
        <v>0</v>
      </c>
      <c r="X119" s="274">
        <f t="shared" ref="X119:X148" si="50">IF($D119=0,0,ROUND(W119/$D119*$C119,2))</f>
        <v>0</v>
      </c>
      <c r="Y119" s="273">
        <f>'人员人工-研发人员工资'!Y119</f>
        <v>0</v>
      </c>
      <c r="Z119" s="274">
        <f t="shared" ref="Z119:Z148" si="51">IF($D119=0,0,ROUND(Y119/$D119*$C119,2))</f>
        <v>0</v>
      </c>
    </row>
    <row r="120" s="251" customFormat="1" customHeight="1" spans="1:26">
      <c r="A120" s="270">
        <v>2</v>
      </c>
      <c r="B120" s="271">
        <f>'人员人工-研发人员工资'!B120</f>
        <v>0</v>
      </c>
      <c r="C120" s="272"/>
      <c r="D120" s="272">
        <f>'人员人工-研发人员工资'!D120</f>
        <v>0</v>
      </c>
      <c r="E120" s="272">
        <f t="shared" si="40"/>
        <v>0</v>
      </c>
      <c r="F120" s="272">
        <f t="shared" si="41"/>
        <v>0</v>
      </c>
      <c r="G120" s="273">
        <f>'人员人工-研发人员工资'!G120</f>
        <v>0</v>
      </c>
      <c r="H120" s="274">
        <f t="shared" si="42"/>
        <v>0</v>
      </c>
      <c r="I120" s="273">
        <f>'人员人工-研发人员工资'!I120</f>
        <v>0</v>
      </c>
      <c r="J120" s="274">
        <f t="shared" si="43"/>
        <v>0</v>
      </c>
      <c r="K120" s="275">
        <f>'人员人工-研发人员工资'!K120</f>
        <v>0</v>
      </c>
      <c r="L120" s="274">
        <f t="shared" si="44"/>
        <v>0</v>
      </c>
      <c r="M120" s="273">
        <f>'人员人工-研发人员工资'!M120</f>
        <v>0</v>
      </c>
      <c r="N120" s="274">
        <f t="shared" si="45"/>
        <v>0</v>
      </c>
      <c r="O120" s="273">
        <f>'人员人工-研发人员工资'!O120</f>
        <v>0</v>
      </c>
      <c r="P120" s="274">
        <f t="shared" si="46"/>
        <v>0</v>
      </c>
      <c r="Q120" s="273">
        <f>'人员人工-研发人员工资'!Q120</f>
        <v>0</v>
      </c>
      <c r="R120" s="274">
        <f t="shared" si="47"/>
        <v>0</v>
      </c>
      <c r="S120" s="273">
        <f>'人员人工-研发人员工资'!S120</f>
        <v>0</v>
      </c>
      <c r="T120" s="274">
        <f t="shared" si="48"/>
        <v>0</v>
      </c>
      <c r="U120" s="273">
        <f>'人员人工-研发人员工资'!U120</f>
        <v>0</v>
      </c>
      <c r="V120" s="274">
        <f t="shared" si="49"/>
        <v>0</v>
      </c>
      <c r="W120" s="273">
        <f>'人员人工-研发人员工资'!W120</f>
        <v>0</v>
      </c>
      <c r="X120" s="274">
        <f t="shared" si="50"/>
        <v>0</v>
      </c>
      <c r="Y120" s="273">
        <f>'人员人工-研发人员工资'!Y120</f>
        <v>0</v>
      </c>
      <c r="Z120" s="274">
        <f t="shared" si="51"/>
        <v>0</v>
      </c>
    </row>
    <row r="121" s="251" customFormat="1" customHeight="1" spans="1:26">
      <c r="A121" s="270">
        <v>3</v>
      </c>
      <c r="B121" s="271">
        <f>'人员人工-研发人员工资'!B121</f>
        <v>0</v>
      </c>
      <c r="C121" s="272"/>
      <c r="D121" s="272">
        <f>'人员人工-研发人员工资'!D121</f>
        <v>0</v>
      </c>
      <c r="E121" s="272">
        <f t="shared" si="40"/>
        <v>0</v>
      </c>
      <c r="F121" s="272">
        <f t="shared" si="41"/>
        <v>0</v>
      </c>
      <c r="G121" s="273">
        <f>'人员人工-研发人员工资'!G121</f>
        <v>0</v>
      </c>
      <c r="H121" s="274">
        <f t="shared" si="42"/>
        <v>0</v>
      </c>
      <c r="I121" s="273">
        <f>'人员人工-研发人员工资'!I121</f>
        <v>0</v>
      </c>
      <c r="J121" s="274">
        <f t="shared" si="43"/>
        <v>0</v>
      </c>
      <c r="K121" s="275">
        <f>'人员人工-研发人员工资'!K121</f>
        <v>0</v>
      </c>
      <c r="L121" s="274">
        <f t="shared" si="44"/>
        <v>0</v>
      </c>
      <c r="M121" s="273">
        <f>'人员人工-研发人员工资'!M121</f>
        <v>0</v>
      </c>
      <c r="N121" s="274">
        <f t="shared" si="45"/>
        <v>0</v>
      </c>
      <c r="O121" s="273">
        <f>'人员人工-研发人员工资'!O121</f>
        <v>0</v>
      </c>
      <c r="P121" s="274">
        <f t="shared" si="46"/>
        <v>0</v>
      </c>
      <c r="Q121" s="273">
        <f>'人员人工-研发人员工资'!Q121</f>
        <v>0</v>
      </c>
      <c r="R121" s="274">
        <f t="shared" si="47"/>
        <v>0</v>
      </c>
      <c r="S121" s="273">
        <f>'人员人工-研发人员工资'!S121</f>
        <v>0</v>
      </c>
      <c r="T121" s="274">
        <f t="shared" si="48"/>
        <v>0</v>
      </c>
      <c r="U121" s="273">
        <f>'人员人工-研发人员工资'!U121</f>
        <v>0</v>
      </c>
      <c r="V121" s="274">
        <f t="shared" si="49"/>
        <v>0</v>
      </c>
      <c r="W121" s="273">
        <f>'人员人工-研发人员工资'!W121</f>
        <v>0</v>
      </c>
      <c r="X121" s="274">
        <f t="shared" si="50"/>
        <v>0</v>
      </c>
      <c r="Y121" s="273">
        <f>'人员人工-研发人员工资'!Y121</f>
        <v>0</v>
      </c>
      <c r="Z121" s="274">
        <f t="shared" si="51"/>
        <v>0</v>
      </c>
    </row>
    <row r="122" s="251" customFormat="1" customHeight="1" spans="1:26">
      <c r="A122" s="270">
        <v>4</v>
      </c>
      <c r="B122" s="271">
        <f>'人员人工-研发人员工资'!B122</f>
        <v>0</v>
      </c>
      <c r="C122" s="272"/>
      <c r="D122" s="272">
        <f>'人员人工-研发人员工资'!D122</f>
        <v>0</v>
      </c>
      <c r="E122" s="272">
        <f t="shared" si="40"/>
        <v>0</v>
      </c>
      <c r="F122" s="272">
        <f t="shared" si="41"/>
        <v>0</v>
      </c>
      <c r="G122" s="273">
        <f>'人员人工-研发人员工资'!G122</f>
        <v>0</v>
      </c>
      <c r="H122" s="274">
        <f t="shared" si="42"/>
        <v>0</v>
      </c>
      <c r="I122" s="273">
        <f>'人员人工-研发人员工资'!I122</f>
        <v>0</v>
      </c>
      <c r="J122" s="274">
        <f t="shared" si="43"/>
        <v>0</v>
      </c>
      <c r="K122" s="275">
        <f>'人员人工-研发人员工资'!K122</f>
        <v>0</v>
      </c>
      <c r="L122" s="274">
        <f t="shared" si="44"/>
        <v>0</v>
      </c>
      <c r="M122" s="273">
        <f>'人员人工-研发人员工资'!M122</f>
        <v>0</v>
      </c>
      <c r="N122" s="274">
        <f t="shared" si="45"/>
        <v>0</v>
      </c>
      <c r="O122" s="273">
        <f>'人员人工-研发人员工资'!O122</f>
        <v>0</v>
      </c>
      <c r="P122" s="274">
        <f t="shared" si="46"/>
        <v>0</v>
      </c>
      <c r="Q122" s="273">
        <f>'人员人工-研发人员工资'!Q122</f>
        <v>0</v>
      </c>
      <c r="R122" s="274">
        <f t="shared" si="47"/>
        <v>0</v>
      </c>
      <c r="S122" s="273">
        <f>'人员人工-研发人员工资'!S122</f>
        <v>0</v>
      </c>
      <c r="T122" s="274">
        <f t="shared" si="48"/>
        <v>0</v>
      </c>
      <c r="U122" s="273">
        <f>'人员人工-研发人员工资'!U122</f>
        <v>0</v>
      </c>
      <c r="V122" s="274">
        <f t="shared" si="49"/>
        <v>0</v>
      </c>
      <c r="W122" s="273">
        <f>'人员人工-研发人员工资'!W122</f>
        <v>0</v>
      </c>
      <c r="X122" s="274">
        <f t="shared" si="50"/>
        <v>0</v>
      </c>
      <c r="Y122" s="273">
        <f>'人员人工-研发人员工资'!Y122</f>
        <v>0</v>
      </c>
      <c r="Z122" s="274">
        <f t="shared" si="51"/>
        <v>0</v>
      </c>
    </row>
    <row r="123" s="251" customFormat="1" customHeight="1" spans="1:26">
      <c r="A123" s="270">
        <v>5</v>
      </c>
      <c r="B123" s="271">
        <f>'人员人工-研发人员工资'!B123</f>
        <v>0</v>
      </c>
      <c r="C123" s="272"/>
      <c r="D123" s="272">
        <f>'人员人工-研发人员工资'!D123</f>
        <v>0</v>
      </c>
      <c r="E123" s="272">
        <f t="shared" si="40"/>
        <v>0</v>
      </c>
      <c r="F123" s="272">
        <f t="shared" si="41"/>
        <v>0</v>
      </c>
      <c r="G123" s="273">
        <f>'人员人工-研发人员工资'!G123</f>
        <v>0</v>
      </c>
      <c r="H123" s="274">
        <f t="shared" si="42"/>
        <v>0</v>
      </c>
      <c r="I123" s="273">
        <f>'人员人工-研发人员工资'!I123</f>
        <v>0</v>
      </c>
      <c r="J123" s="274">
        <f t="shared" si="43"/>
        <v>0</v>
      </c>
      <c r="K123" s="275">
        <f>'人员人工-研发人员工资'!K123</f>
        <v>0</v>
      </c>
      <c r="L123" s="274">
        <f t="shared" si="44"/>
        <v>0</v>
      </c>
      <c r="M123" s="273">
        <f>'人员人工-研发人员工资'!M123</f>
        <v>0</v>
      </c>
      <c r="N123" s="274">
        <f t="shared" si="45"/>
        <v>0</v>
      </c>
      <c r="O123" s="273">
        <f>'人员人工-研发人员工资'!O123</f>
        <v>0</v>
      </c>
      <c r="P123" s="274">
        <f t="shared" si="46"/>
        <v>0</v>
      </c>
      <c r="Q123" s="273">
        <f>'人员人工-研发人员工资'!Q123</f>
        <v>0</v>
      </c>
      <c r="R123" s="274">
        <f t="shared" si="47"/>
        <v>0</v>
      </c>
      <c r="S123" s="273">
        <f>'人员人工-研发人员工资'!S123</f>
        <v>0</v>
      </c>
      <c r="T123" s="274">
        <f t="shared" si="48"/>
        <v>0</v>
      </c>
      <c r="U123" s="273">
        <f>'人员人工-研发人员工资'!U123</f>
        <v>0</v>
      </c>
      <c r="V123" s="274">
        <f t="shared" si="49"/>
        <v>0</v>
      </c>
      <c r="W123" s="273">
        <f>'人员人工-研发人员工资'!W123</f>
        <v>0</v>
      </c>
      <c r="X123" s="274">
        <f t="shared" si="50"/>
        <v>0</v>
      </c>
      <c r="Y123" s="273">
        <f>'人员人工-研发人员工资'!Y123</f>
        <v>0</v>
      </c>
      <c r="Z123" s="274">
        <f t="shared" si="51"/>
        <v>0</v>
      </c>
    </row>
    <row r="124" s="251" customFormat="1" customHeight="1" spans="1:26">
      <c r="A124" s="270">
        <v>6</v>
      </c>
      <c r="B124" s="271">
        <f>'人员人工-研发人员工资'!B125</f>
        <v>0</v>
      </c>
      <c r="C124" s="274"/>
      <c r="D124" s="272">
        <f>'人员人工-研发人员工资'!D125</f>
        <v>0</v>
      </c>
      <c r="E124" s="272">
        <f>G125+I125+K125+M125+O125+Q125+S125+U125+W125+Y125</f>
        <v>0</v>
      </c>
      <c r="F124" s="272">
        <f>H125+J125+L125+N125+P125+R125+T125+V125+X125+Z125</f>
        <v>0</v>
      </c>
      <c r="G124" s="273">
        <f>'人员人工-研发人员工资'!G125</f>
        <v>0</v>
      </c>
      <c r="H124" s="274">
        <f>IF($D125=0,0,ROUND(G125/$D125*$C125,2))</f>
        <v>0</v>
      </c>
      <c r="I124" s="273">
        <f>'人员人工-研发人员工资'!I125</f>
        <v>0</v>
      </c>
      <c r="J124" s="274">
        <f>IF($D125=0,0,ROUND(I125/$D125*$C125,2))</f>
        <v>0</v>
      </c>
      <c r="K124" s="275">
        <f>'人员人工-研发人员工资'!K125</f>
        <v>0</v>
      </c>
      <c r="L124" s="274">
        <f>IF($D125=0,0,ROUND(K125/$D125*$C125,2))</f>
        <v>0</v>
      </c>
      <c r="M124" s="273">
        <f>'人员人工-研发人员工资'!M125</f>
        <v>0</v>
      </c>
      <c r="N124" s="274">
        <f>IF($D125=0,0,ROUND(M125/$D125*$C125,2))</f>
        <v>0</v>
      </c>
      <c r="O124" s="273">
        <f>'人员人工-研发人员工资'!O125</f>
        <v>0</v>
      </c>
      <c r="P124" s="274">
        <f>IF($D125=0,0,ROUND(O125/$D125*$C125,2))</f>
        <v>0</v>
      </c>
      <c r="Q124" s="273">
        <f>'人员人工-研发人员工资'!Q125</f>
        <v>0</v>
      </c>
      <c r="R124" s="274">
        <f>IF($D125=0,0,ROUND(Q125/$D125*$C125,2))</f>
        <v>0</v>
      </c>
      <c r="S124" s="273">
        <f>'人员人工-研发人员工资'!S125</f>
        <v>0</v>
      </c>
      <c r="T124" s="274">
        <f>IF($D125=0,0,ROUND(S125/$D125*$C125,2))</f>
        <v>0</v>
      </c>
      <c r="U124" s="273">
        <f>'人员人工-研发人员工资'!U125</f>
        <v>0</v>
      </c>
      <c r="V124" s="274">
        <f>IF($D125=0,0,ROUND(U125/$D125*$C125,2))</f>
        <v>0</v>
      </c>
      <c r="W124" s="273">
        <f>'人员人工-研发人员工资'!W125</f>
        <v>0</v>
      </c>
      <c r="X124" s="274">
        <f>IF($D125=0,0,ROUND(W125/$D125*$C125,2))</f>
        <v>0</v>
      </c>
      <c r="Y124" s="273">
        <f>'人员人工-研发人员工资'!Y125</f>
        <v>0</v>
      </c>
      <c r="Z124" s="274">
        <f>IF($D125=0,0,ROUND(Y125/$D125*$C125,2))</f>
        <v>0</v>
      </c>
    </row>
    <row r="125" s="251" customFormat="1" customHeight="1" spans="1:26">
      <c r="A125" s="270">
        <v>7</v>
      </c>
      <c r="B125" s="271">
        <f>'人员人工-研发人员工资'!B125</f>
        <v>0</v>
      </c>
      <c r="C125" s="274"/>
      <c r="D125" s="272">
        <f>'人员人工-研发人员工资'!D125</f>
        <v>0</v>
      </c>
      <c r="E125" s="272">
        <f t="shared" si="40"/>
        <v>0</v>
      </c>
      <c r="F125" s="272">
        <f t="shared" si="41"/>
        <v>0</v>
      </c>
      <c r="G125" s="273">
        <f>'人员人工-研发人员工资'!G125</f>
        <v>0</v>
      </c>
      <c r="H125" s="274">
        <f t="shared" si="42"/>
        <v>0</v>
      </c>
      <c r="I125" s="273">
        <f>'人员人工-研发人员工资'!I125</f>
        <v>0</v>
      </c>
      <c r="J125" s="274">
        <f t="shared" si="43"/>
        <v>0</v>
      </c>
      <c r="K125" s="275">
        <f>'人员人工-研发人员工资'!K125</f>
        <v>0</v>
      </c>
      <c r="L125" s="274">
        <f t="shared" si="44"/>
        <v>0</v>
      </c>
      <c r="M125" s="273">
        <f>'人员人工-研发人员工资'!M125</f>
        <v>0</v>
      </c>
      <c r="N125" s="274">
        <f t="shared" si="45"/>
        <v>0</v>
      </c>
      <c r="O125" s="273">
        <f>'人员人工-研发人员工资'!O125</f>
        <v>0</v>
      </c>
      <c r="P125" s="274">
        <f t="shared" si="46"/>
        <v>0</v>
      </c>
      <c r="Q125" s="273">
        <f>'人员人工-研发人员工资'!Q125</f>
        <v>0</v>
      </c>
      <c r="R125" s="274">
        <f t="shared" si="47"/>
        <v>0</v>
      </c>
      <c r="S125" s="273">
        <f>'人员人工-研发人员工资'!S125</f>
        <v>0</v>
      </c>
      <c r="T125" s="274">
        <f t="shared" si="48"/>
        <v>0</v>
      </c>
      <c r="U125" s="273">
        <f>'人员人工-研发人员工资'!U125</f>
        <v>0</v>
      </c>
      <c r="V125" s="274">
        <f t="shared" si="49"/>
        <v>0</v>
      </c>
      <c r="W125" s="273">
        <f>'人员人工-研发人员工资'!W125</f>
        <v>0</v>
      </c>
      <c r="X125" s="274">
        <f t="shared" si="50"/>
        <v>0</v>
      </c>
      <c r="Y125" s="273">
        <f>'人员人工-研发人员工资'!Y125</f>
        <v>0</v>
      </c>
      <c r="Z125" s="274">
        <f t="shared" si="51"/>
        <v>0</v>
      </c>
    </row>
    <row r="126" s="251" customFormat="1" customHeight="1" spans="1:26">
      <c r="A126" s="270">
        <v>8</v>
      </c>
      <c r="B126" s="271">
        <f>'人员人工-研发人员工资'!B126</f>
        <v>0</v>
      </c>
      <c r="C126" s="274"/>
      <c r="D126" s="272">
        <f>'人员人工-研发人员工资'!D126</f>
        <v>0</v>
      </c>
      <c r="E126" s="272">
        <f t="shared" si="40"/>
        <v>0</v>
      </c>
      <c r="F126" s="272">
        <f t="shared" si="41"/>
        <v>0</v>
      </c>
      <c r="G126" s="273">
        <f>'人员人工-研发人员工资'!G126</f>
        <v>0</v>
      </c>
      <c r="H126" s="274">
        <f t="shared" si="42"/>
        <v>0</v>
      </c>
      <c r="I126" s="273">
        <f>'人员人工-研发人员工资'!I126</f>
        <v>0</v>
      </c>
      <c r="J126" s="274">
        <f t="shared" si="43"/>
        <v>0</v>
      </c>
      <c r="K126" s="275">
        <f>'人员人工-研发人员工资'!K126</f>
        <v>0</v>
      </c>
      <c r="L126" s="274">
        <f t="shared" si="44"/>
        <v>0</v>
      </c>
      <c r="M126" s="273">
        <f>'人员人工-研发人员工资'!M126</f>
        <v>0</v>
      </c>
      <c r="N126" s="274">
        <f t="shared" si="45"/>
        <v>0</v>
      </c>
      <c r="O126" s="273">
        <f>'人员人工-研发人员工资'!O126</f>
        <v>0</v>
      </c>
      <c r="P126" s="274">
        <f t="shared" si="46"/>
        <v>0</v>
      </c>
      <c r="Q126" s="273">
        <f>'人员人工-研发人员工资'!Q126</f>
        <v>0</v>
      </c>
      <c r="R126" s="274">
        <f t="shared" si="47"/>
        <v>0</v>
      </c>
      <c r="S126" s="273">
        <f>'人员人工-研发人员工资'!S126</f>
        <v>0</v>
      </c>
      <c r="T126" s="274">
        <f t="shared" si="48"/>
        <v>0</v>
      </c>
      <c r="U126" s="273">
        <f>'人员人工-研发人员工资'!U126</f>
        <v>0</v>
      </c>
      <c r="V126" s="274">
        <f t="shared" si="49"/>
        <v>0</v>
      </c>
      <c r="W126" s="273">
        <f>'人员人工-研发人员工资'!W126</f>
        <v>0</v>
      </c>
      <c r="X126" s="274">
        <f t="shared" si="50"/>
        <v>0</v>
      </c>
      <c r="Y126" s="273">
        <f>'人员人工-研发人员工资'!Y126</f>
        <v>0</v>
      </c>
      <c r="Z126" s="274">
        <f t="shared" si="51"/>
        <v>0</v>
      </c>
    </row>
    <row r="127" s="251" customFormat="1" customHeight="1" spans="1:26">
      <c r="A127" s="270">
        <v>9</v>
      </c>
      <c r="B127" s="271">
        <f>'人员人工-研发人员工资'!B127</f>
        <v>0</v>
      </c>
      <c r="C127" s="274"/>
      <c r="D127" s="272">
        <f>'人员人工-研发人员工资'!D127</f>
        <v>0</v>
      </c>
      <c r="E127" s="272">
        <f t="shared" si="40"/>
        <v>0</v>
      </c>
      <c r="F127" s="272">
        <f t="shared" si="41"/>
        <v>0</v>
      </c>
      <c r="G127" s="273">
        <f>'人员人工-研发人员工资'!G127</f>
        <v>0</v>
      </c>
      <c r="H127" s="274">
        <f t="shared" si="42"/>
        <v>0</v>
      </c>
      <c r="I127" s="273">
        <f>'人员人工-研发人员工资'!I127</f>
        <v>0</v>
      </c>
      <c r="J127" s="274">
        <f t="shared" si="43"/>
        <v>0</v>
      </c>
      <c r="K127" s="275">
        <f>'人员人工-研发人员工资'!K127</f>
        <v>0</v>
      </c>
      <c r="L127" s="274">
        <f t="shared" si="44"/>
        <v>0</v>
      </c>
      <c r="M127" s="273">
        <f>'人员人工-研发人员工资'!M127</f>
        <v>0</v>
      </c>
      <c r="N127" s="274">
        <f t="shared" si="45"/>
        <v>0</v>
      </c>
      <c r="O127" s="273">
        <f>'人员人工-研发人员工资'!O127</f>
        <v>0</v>
      </c>
      <c r="P127" s="274">
        <f t="shared" si="46"/>
        <v>0</v>
      </c>
      <c r="Q127" s="273">
        <f>'人员人工-研发人员工资'!Q127</f>
        <v>0</v>
      </c>
      <c r="R127" s="274">
        <f t="shared" si="47"/>
        <v>0</v>
      </c>
      <c r="S127" s="273">
        <f>'人员人工-研发人员工资'!S127</f>
        <v>0</v>
      </c>
      <c r="T127" s="274">
        <f t="shared" si="48"/>
        <v>0</v>
      </c>
      <c r="U127" s="273">
        <f>'人员人工-研发人员工资'!U127</f>
        <v>0</v>
      </c>
      <c r="V127" s="274">
        <f t="shared" si="49"/>
        <v>0</v>
      </c>
      <c r="W127" s="273">
        <f>'人员人工-研发人员工资'!W127</f>
        <v>0</v>
      </c>
      <c r="X127" s="274">
        <f t="shared" si="50"/>
        <v>0</v>
      </c>
      <c r="Y127" s="273">
        <f>'人员人工-研发人员工资'!Y127</f>
        <v>0</v>
      </c>
      <c r="Z127" s="274">
        <f t="shared" si="51"/>
        <v>0</v>
      </c>
    </row>
    <row r="128" s="251" customFormat="1" customHeight="1" spans="1:26">
      <c r="A128" s="270">
        <v>10</v>
      </c>
      <c r="B128" s="271">
        <f>'人员人工-研发人员工资'!B128</f>
        <v>0</v>
      </c>
      <c r="C128" s="274"/>
      <c r="D128" s="272">
        <f>'人员人工-研发人员工资'!D128</f>
        <v>0</v>
      </c>
      <c r="E128" s="272">
        <f t="shared" si="40"/>
        <v>0</v>
      </c>
      <c r="F128" s="272">
        <f t="shared" si="41"/>
        <v>0</v>
      </c>
      <c r="G128" s="273">
        <f>'人员人工-研发人员工资'!G128</f>
        <v>0</v>
      </c>
      <c r="H128" s="274">
        <f t="shared" si="42"/>
        <v>0</v>
      </c>
      <c r="I128" s="273">
        <f>'人员人工-研发人员工资'!I128</f>
        <v>0</v>
      </c>
      <c r="J128" s="274">
        <f t="shared" si="43"/>
        <v>0</v>
      </c>
      <c r="K128" s="275">
        <f>'人员人工-研发人员工资'!K128</f>
        <v>0</v>
      </c>
      <c r="L128" s="274">
        <f t="shared" si="44"/>
        <v>0</v>
      </c>
      <c r="M128" s="273">
        <f>'人员人工-研发人员工资'!M128</f>
        <v>0</v>
      </c>
      <c r="N128" s="274">
        <f t="shared" si="45"/>
        <v>0</v>
      </c>
      <c r="O128" s="273">
        <f>'人员人工-研发人员工资'!O128</f>
        <v>0</v>
      </c>
      <c r="P128" s="274">
        <f t="shared" si="46"/>
        <v>0</v>
      </c>
      <c r="Q128" s="273">
        <f>'人员人工-研发人员工资'!Q128</f>
        <v>0</v>
      </c>
      <c r="R128" s="274">
        <f t="shared" si="47"/>
        <v>0</v>
      </c>
      <c r="S128" s="273">
        <f>'人员人工-研发人员工资'!S128</f>
        <v>0</v>
      </c>
      <c r="T128" s="274">
        <f t="shared" si="48"/>
        <v>0</v>
      </c>
      <c r="U128" s="273">
        <f>'人员人工-研发人员工资'!U128</f>
        <v>0</v>
      </c>
      <c r="V128" s="274">
        <f t="shared" si="49"/>
        <v>0</v>
      </c>
      <c r="W128" s="273">
        <f>'人员人工-研发人员工资'!W128</f>
        <v>0</v>
      </c>
      <c r="X128" s="274">
        <f t="shared" si="50"/>
        <v>0</v>
      </c>
      <c r="Y128" s="273">
        <f>'人员人工-研发人员工资'!Y128</f>
        <v>0</v>
      </c>
      <c r="Z128" s="274">
        <f t="shared" si="51"/>
        <v>0</v>
      </c>
    </row>
    <row r="129" s="251" customFormat="1" customHeight="1" spans="1:26">
      <c r="A129" s="270">
        <v>11</v>
      </c>
      <c r="B129" s="271">
        <f>'人员人工-研发人员工资'!B129</f>
        <v>0</v>
      </c>
      <c r="C129" s="274"/>
      <c r="D129" s="272">
        <f>'人员人工-研发人员工资'!D129</f>
        <v>0</v>
      </c>
      <c r="E129" s="272">
        <f t="shared" si="40"/>
        <v>0</v>
      </c>
      <c r="F129" s="272">
        <f t="shared" si="41"/>
        <v>0</v>
      </c>
      <c r="G129" s="273">
        <f>'人员人工-研发人员工资'!G129</f>
        <v>0</v>
      </c>
      <c r="H129" s="274">
        <f t="shared" si="42"/>
        <v>0</v>
      </c>
      <c r="I129" s="273">
        <f>'人员人工-研发人员工资'!I129</f>
        <v>0</v>
      </c>
      <c r="J129" s="274">
        <f t="shared" si="43"/>
        <v>0</v>
      </c>
      <c r="K129" s="275">
        <f>'人员人工-研发人员工资'!K129</f>
        <v>0</v>
      </c>
      <c r="L129" s="274">
        <f t="shared" si="44"/>
        <v>0</v>
      </c>
      <c r="M129" s="273">
        <f>'人员人工-研发人员工资'!M129</f>
        <v>0</v>
      </c>
      <c r="N129" s="274">
        <f t="shared" si="45"/>
        <v>0</v>
      </c>
      <c r="O129" s="273">
        <f>'人员人工-研发人员工资'!O129</f>
        <v>0</v>
      </c>
      <c r="P129" s="274">
        <f t="shared" si="46"/>
        <v>0</v>
      </c>
      <c r="Q129" s="273">
        <f>'人员人工-研发人员工资'!Q129</f>
        <v>0</v>
      </c>
      <c r="R129" s="274">
        <f t="shared" si="47"/>
        <v>0</v>
      </c>
      <c r="S129" s="273">
        <f>'人员人工-研发人员工资'!S129</f>
        <v>0</v>
      </c>
      <c r="T129" s="274">
        <f t="shared" si="48"/>
        <v>0</v>
      </c>
      <c r="U129" s="273">
        <f>'人员人工-研发人员工资'!U129</f>
        <v>0</v>
      </c>
      <c r="V129" s="274">
        <f t="shared" si="49"/>
        <v>0</v>
      </c>
      <c r="W129" s="273">
        <f>'人员人工-研发人员工资'!W129</f>
        <v>0</v>
      </c>
      <c r="X129" s="274">
        <f t="shared" si="50"/>
        <v>0</v>
      </c>
      <c r="Y129" s="273">
        <f>'人员人工-研发人员工资'!Y129</f>
        <v>0</v>
      </c>
      <c r="Z129" s="274">
        <f t="shared" si="51"/>
        <v>0</v>
      </c>
    </row>
    <row r="130" s="251" customFormat="1" customHeight="1" spans="1:26">
      <c r="A130" s="270">
        <v>12</v>
      </c>
      <c r="B130" s="271">
        <f>'人员人工-研发人员工资'!B130</f>
        <v>0</v>
      </c>
      <c r="C130" s="274"/>
      <c r="D130" s="272">
        <f>'人员人工-研发人员工资'!D130</f>
        <v>0</v>
      </c>
      <c r="E130" s="272">
        <f t="shared" si="40"/>
        <v>0</v>
      </c>
      <c r="F130" s="272">
        <f t="shared" si="41"/>
        <v>0</v>
      </c>
      <c r="G130" s="273">
        <f>'人员人工-研发人员工资'!G130</f>
        <v>0</v>
      </c>
      <c r="H130" s="274">
        <f t="shared" si="42"/>
        <v>0</v>
      </c>
      <c r="I130" s="273">
        <f>'人员人工-研发人员工资'!I130</f>
        <v>0</v>
      </c>
      <c r="J130" s="274">
        <f t="shared" si="43"/>
        <v>0</v>
      </c>
      <c r="K130" s="275">
        <f>'人员人工-研发人员工资'!K130</f>
        <v>0</v>
      </c>
      <c r="L130" s="274">
        <f t="shared" si="44"/>
        <v>0</v>
      </c>
      <c r="M130" s="273">
        <f>'人员人工-研发人员工资'!M130</f>
        <v>0</v>
      </c>
      <c r="N130" s="274">
        <f t="shared" si="45"/>
        <v>0</v>
      </c>
      <c r="O130" s="273">
        <f>'人员人工-研发人员工资'!O130</f>
        <v>0</v>
      </c>
      <c r="P130" s="274">
        <f t="shared" si="46"/>
        <v>0</v>
      </c>
      <c r="Q130" s="273">
        <f>'人员人工-研发人员工资'!Q130</f>
        <v>0</v>
      </c>
      <c r="R130" s="274">
        <f t="shared" si="47"/>
        <v>0</v>
      </c>
      <c r="S130" s="273">
        <f>'人员人工-研发人员工资'!S130</f>
        <v>0</v>
      </c>
      <c r="T130" s="274">
        <f t="shared" si="48"/>
        <v>0</v>
      </c>
      <c r="U130" s="273">
        <f>'人员人工-研发人员工资'!U130</f>
        <v>0</v>
      </c>
      <c r="V130" s="274">
        <f t="shared" si="49"/>
        <v>0</v>
      </c>
      <c r="W130" s="273">
        <f>'人员人工-研发人员工资'!W130</f>
        <v>0</v>
      </c>
      <c r="X130" s="274">
        <f t="shared" si="50"/>
        <v>0</v>
      </c>
      <c r="Y130" s="273">
        <f>'人员人工-研发人员工资'!Y130</f>
        <v>0</v>
      </c>
      <c r="Z130" s="274">
        <f t="shared" si="51"/>
        <v>0</v>
      </c>
    </row>
    <row r="131" s="251" customFormat="1" customHeight="1" spans="1:26">
      <c r="A131" s="270">
        <v>13</v>
      </c>
      <c r="B131" s="271">
        <f>'人员人工-研发人员工资'!B131</f>
        <v>0</v>
      </c>
      <c r="C131" s="274"/>
      <c r="D131" s="272">
        <f>'人员人工-研发人员工资'!D131</f>
        <v>0</v>
      </c>
      <c r="E131" s="272">
        <f t="shared" si="40"/>
        <v>0</v>
      </c>
      <c r="F131" s="272">
        <f t="shared" si="41"/>
        <v>0</v>
      </c>
      <c r="G131" s="273">
        <f>'人员人工-研发人员工资'!G131</f>
        <v>0</v>
      </c>
      <c r="H131" s="274">
        <f t="shared" si="42"/>
        <v>0</v>
      </c>
      <c r="I131" s="273">
        <f>'人员人工-研发人员工资'!I131</f>
        <v>0</v>
      </c>
      <c r="J131" s="274">
        <f t="shared" si="43"/>
        <v>0</v>
      </c>
      <c r="K131" s="275">
        <f>'人员人工-研发人员工资'!K131</f>
        <v>0</v>
      </c>
      <c r="L131" s="274">
        <f t="shared" si="44"/>
        <v>0</v>
      </c>
      <c r="M131" s="273">
        <f>'人员人工-研发人员工资'!M131</f>
        <v>0</v>
      </c>
      <c r="N131" s="274">
        <f t="shared" si="45"/>
        <v>0</v>
      </c>
      <c r="O131" s="273">
        <f>'人员人工-研发人员工资'!O131</f>
        <v>0</v>
      </c>
      <c r="P131" s="274">
        <f t="shared" si="46"/>
        <v>0</v>
      </c>
      <c r="Q131" s="273">
        <f>'人员人工-研发人员工资'!Q131</f>
        <v>0</v>
      </c>
      <c r="R131" s="274">
        <f t="shared" si="47"/>
        <v>0</v>
      </c>
      <c r="S131" s="273">
        <f>'人员人工-研发人员工资'!S131</f>
        <v>0</v>
      </c>
      <c r="T131" s="274">
        <f t="shared" si="48"/>
        <v>0</v>
      </c>
      <c r="U131" s="273">
        <f>'人员人工-研发人员工资'!U131</f>
        <v>0</v>
      </c>
      <c r="V131" s="274">
        <f t="shared" si="49"/>
        <v>0</v>
      </c>
      <c r="W131" s="273">
        <f>'人员人工-研发人员工资'!W131</f>
        <v>0</v>
      </c>
      <c r="X131" s="274">
        <f t="shared" si="50"/>
        <v>0</v>
      </c>
      <c r="Y131" s="273">
        <f>'人员人工-研发人员工资'!Y131</f>
        <v>0</v>
      </c>
      <c r="Z131" s="274">
        <f t="shared" si="51"/>
        <v>0</v>
      </c>
    </row>
    <row r="132" s="251" customFormat="1" customHeight="1" spans="1:26">
      <c r="A132" s="270">
        <v>14</v>
      </c>
      <c r="B132" s="271">
        <f>'人员人工-研发人员工资'!B132</f>
        <v>0</v>
      </c>
      <c r="C132" s="274"/>
      <c r="D132" s="272">
        <f>'人员人工-研发人员工资'!D132</f>
        <v>0</v>
      </c>
      <c r="E132" s="272">
        <f t="shared" si="40"/>
        <v>0</v>
      </c>
      <c r="F132" s="272">
        <f t="shared" si="41"/>
        <v>0</v>
      </c>
      <c r="G132" s="273">
        <f>'人员人工-研发人员工资'!G132</f>
        <v>0</v>
      </c>
      <c r="H132" s="274">
        <f t="shared" si="42"/>
        <v>0</v>
      </c>
      <c r="I132" s="273">
        <f>'人员人工-研发人员工资'!I132</f>
        <v>0</v>
      </c>
      <c r="J132" s="274">
        <f t="shared" si="43"/>
        <v>0</v>
      </c>
      <c r="K132" s="275">
        <f>'人员人工-研发人员工资'!K132</f>
        <v>0</v>
      </c>
      <c r="L132" s="274">
        <f t="shared" si="44"/>
        <v>0</v>
      </c>
      <c r="M132" s="273">
        <f>'人员人工-研发人员工资'!M132</f>
        <v>0</v>
      </c>
      <c r="N132" s="274">
        <f t="shared" si="45"/>
        <v>0</v>
      </c>
      <c r="O132" s="273">
        <f>'人员人工-研发人员工资'!O132</f>
        <v>0</v>
      </c>
      <c r="P132" s="274">
        <f t="shared" si="46"/>
        <v>0</v>
      </c>
      <c r="Q132" s="273">
        <f>'人员人工-研发人员工资'!Q132</f>
        <v>0</v>
      </c>
      <c r="R132" s="274">
        <f t="shared" si="47"/>
        <v>0</v>
      </c>
      <c r="S132" s="273">
        <f>'人员人工-研发人员工资'!S132</f>
        <v>0</v>
      </c>
      <c r="T132" s="274">
        <f t="shared" si="48"/>
        <v>0</v>
      </c>
      <c r="U132" s="273">
        <f>'人员人工-研发人员工资'!U132</f>
        <v>0</v>
      </c>
      <c r="V132" s="274">
        <f t="shared" si="49"/>
        <v>0</v>
      </c>
      <c r="W132" s="273">
        <f>'人员人工-研发人员工资'!W132</f>
        <v>0</v>
      </c>
      <c r="X132" s="274">
        <f t="shared" si="50"/>
        <v>0</v>
      </c>
      <c r="Y132" s="273">
        <f>'人员人工-研发人员工资'!Y132</f>
        <v>0</v>
      </c>
      <c r="Z132" s="274">
        <f t="shared" si="51"/>
        <v>0</v>
      </c>
    </row>
    <row r="133" s="251" customFormat="1" customHeight="1" spans="1:26">
      <c r="A133" s="270">
        <v>15</v>
      </c>
      <c r="B133" s="271">
        <f>'人员人工-研发人员工资'!B133</f>
        <v>0</v>
      </c>
      <c r="C133" s="274"/>
      <c r="D133" s="272">
        <f>'人员人工-研发人员工资'!D133</f>
        <v>0</v>
      </c>
      <c r="E133" s="272">
        <f t="shared" si="40"/>
        <v>0</v>
      </c>
      <c r="F133" s="272">
        <f t="shared" si="41"/>
        <v>0</v>
      </c>
      <c r="G133" s="273">
        <f>'人员人工-研发人员工资'!G133</f>
        <v>0</v>
      </c>
      <c r="H133" s="274">
        <f t="shared" si="42"/>
        <v>0</v>
      </c>
      <c r="I133" s="273">
        <f>'人员人工-研发人员工资'!I133</f>
        <v>0</v>
      </c>
      <c r="J133" s="274">
        <f t="shared" si="43"/>
        <v>0</v>
      </c>
      <c r="K133" s="275">
        <f>'人员人工-研发人员工资'!K133</f>
        <v>0</v>
      </c>
      <c r="L133" s="274">
        <f t="shared" si="44"/>
        <v>0</v>
      </c>
      <c r="M133" s="273">
        <f>'人员人工-研发人员工资'!M133</f>
        <v>0</v>
      </c>
      <c r="N133" s="274">
        <f t="shared" si="45"/>
        <v>0</v>
      </c>
      <c r="O133" s="273">
        <f>'人员人工-研发人员工资'!O133</f>
        <v>0</v>
      </c>
      <c r="P133" s="274">
        <f t="shared" si="46"/>
        <v>0</v>
      </c>
      <c r="Q133" s="273">
        <f>'人员人工-研发人员工资'!Q133</f>
        <v>0</v>
      </c>
      <c r="R133" s="274">
        <f t="shared" si="47"/>
        <v>0</v>
      </c>
      <c r="S133" s="273">
        <f>'人员人工-研发人员工资'!S133</f>
        <v>0</v>
      </c>
      <c r="T133" s="274">
        <f t="shared" si="48"/>
        <v>0</v>
      </c>
      <c r="U133" s="273">
        <f>'人员人工-研发人员工资'!U133</f>
        <v>0</v>
      </c>
      <c r="V133" s="274">
        <f t="shared" si="49"/>
        <v>0</v>
      </c>
      <c r="W133" s="273">
        <f>'人员人工-研发人员工资'!W133</f>
        <v>0</v>
      </c>
      <c r="X133" s="274">
        <f t="shared" si="50"/>
        <v>0</v>
      </c>
      <c r="Y133" s="273">
        <f>'人员人工-研发人员工资'!Y133</f>
        <v>0</v>
      </c>
      <c r="Z133" s="274">
        <f t="shared" si="51"/>
        <v>0</v>
      </c>
    </row>
    <row r="134" s="251" customFormat="1" customHeight="1" spans="1:26">
      <c r="A134" s="270">
        <v>16</v>
      </c>
      <c r="B134" s="271">
        <f>'人员人工-研发人员工资'!B134</f>
        <v>0</v>
      </c>
      <c r="C134" s="274"/>
      <c r="D134" s="272">
        <f>'人员人工-研发人员工资'!D134</f>
        <v>0</v>
      </c>
      <c r="E134" s="272">
        <f t="shared" si="40"/>
        <v>0</v>
      </c>
      <c r="F134" s="272">
        <f t="shared" si="41"/>
        <v>0</v>
      </c>
      <c r="G134" s="273">
        <f>'人员人工-研发人员工资'!G134</f>
        <v>0</v>
      </c>
      <c r="H134" s="274">
        <f t="shared" si="42"/>
        <v>0</v>
      </c>
      <c r="I134" s="273">
        <f>'人员人工-研发人员工资'!I134</f>
        <v>0</v>
      </c>
      <c r="J134" s="274">
        <f t="shared" si="43"/>
        <v>0</v>
      </c>
      <c r="K134" s="275">
        <f>'人员人工-研发人员工资'!K134</f>
        <v>0</v>
      </c>
      <c r="L134" s="274">
        <f t="shared" si="44"/>
        <v>0</v>
      </c>
      <c r="M134" s="273">
        <f>'人员人工-研发人员工资'!M134</f>
        <v>0</v>
      </c>
      <c r="N134" s="274">
        <f t="shared" si="45"/>
        <v>0</v>
      </c>
      <c r="O134" s="273">
        <f>'人员人工-研发人员工资'!O134</f>
        <v>0</v>
      </c>
      <c r="P134" s="274">
        <f t="shared" si="46"/>
        <v>0</v>
      </c>
      <c r="Q134" s="273">
        <f>'人员人工-研发人员工资'!Q134</f>
        <v>0</v>
      </c>
      <c r="R134" s="274">
        <f t="shared" si="47"/>
        <v>0</v>
      </c>
      <c r="S134" s="273">
        <f>'人员人工-研发人员工资'!S134</f>
        <v>0</v>
      </c>
      <c r="T134" s="274">
        <f t="shared" si="48"/>
        <v>0</v>
      </c>
      <c r="U134" s="273">
        <f>'人员人工-研发人员工资'!U134</f>
        <v>0</v>
      </c>
      <c r="V134" s="274">
        <f t="shared" si="49"/>
        <v>0</v>
      </c>
      <c r="W134" s="273">
        <f>'人员人工-研发人员工资'!W134</f>
        <v>0</v>
      </c>
      <c r="X134" s="274">
        <f t="shared" si="50"/>
        <v>0</v>
      </c>
      <c r="Y134" s="273">
        <f>'人员人工-研发人员工资'!Y134</f>
        <v>0</v>
      </c>
      <c r="Z134" s="274">
        <f t="shared" si="51"/>
        <v>0</v>
      </c>
    </row>
    <row r="135" s="251" customFormat="1" customHeight="1" spans="1:26">
      <c r="A135" s="270">
        <v>17</v>
      </c>
      <c r="B135" s="271">
        <f>'人员人工-研发人员工资'!B135</f>
        <v>0</v>
      </c>
      <c r="C135" s="274"/>
      <c r="D135" s="272">
        <f>'人员人工-研发人员工资'!D135</f>
        <v>0</v>
      </c>
      <c r="E135" s="272">
        <f t="shared" si="40"/>
        <v>0</v>
      </c>
      <c r="F135" s="272">
        <f t="shared" si="41"/>
        <v>0</v>
      </c>
      <c r="G135" s="273">
        <f>'人员人工-研发人员工资'!G135</f>
        <v>0</v>
      </c>
      <c r="H135" s="274">
        <f t="shared" si="42"/>
        <v>0</v>
      </c>
      <c r="I135" s="273">
        <f>'人员人工-研发人员工资'!I135</f>
        <v>0</v>
      </c>
      <c r="J135" s="274">
        <f t="shared" si="43"/>
        <v>0</v>
      </c>
      <c r="K135" s="275">
        <f>'人员人工-研发人员工资'!K135</f>
        <v>0</v>
      </c>
      <c r="L135" s="274">
        <f t="shared" si="44"/>
        <v>0</v>
      </c>
      <c r="M135" s="273">
        <f>'人员人工-研发人员工资'!M135</f>
        <v>0</v>
      </c>
      <c r="N135" s="274">
        <f t="shared" si="45"/>
        <v>0</v>
      </c>
      <c r="O135" s="273">
        <f>'人员人工-研发人员工资'!O135</f>
        <v>0</v>
      </c>
      <c r="P135" s="274">
        <f t="shared" si="46"/>
        <v>0</v>
      </c>
      <c r="Q135" s="273">
        <f>'人员人工-研发人员工资'!Q135</f>
        <v>0</v>
      </c>
      <c r="R135" s="274">
        <f t="shared" si="47"/>
        <v>0</v>
      </c>
      <c r="S135" s="273">
        <f>'人员人工-研发人员工资'!S135</f>
        <v>0</v>
      </c>
      <c r="T135" s="274">
        <f t="shared" si="48"/>
        <v>0</v>
      </c>
      <c r="U135" s="273">
        <f>'人员人工-研发人员工资'!U135</f>
        <v>0</v>
      </c>
      <c r="V135" s="274">
        <f t="shared" si="49"/>
        <v>0</v>
      </c>
      <c r="W135" s="273">
        <f>'人员人工-研发人员工资'!W135</f>
        <v>0</v>
      </c>
      <c r="X135" s="274">
        <f t="shared" si="50"/>
        <v>0</v>
      </c>
      <c r="Y135" s="273">
        <f>'人员人工-研发人员工资'!Y135</f>
        <v>0</v>
      </c>
      <c r="Z135" s="274">
        <f t="shared" si="51"/>
        <v>0</v>
      </c>
    </row>
    <row r="136" s="251" customFormat="1" customHeight="1" spans="1:26">
      <c r="A136" s="270">
        <v>18</v>
      </c>
      <c r="B136" s="271">
        <f>'人员人工-研发人员工资'!B136</f>
        <v>0</v>
      </c>
      <c r="C136" s="274"/>
      <c r="D136" s="272">
        <f>'人员人工-研发人员工资'!D136</f>
        <v>0</v>
      </c>
      <c r="E136" s="272">
        <f t="shared" si="40"/>
        <v>0</v>
      </c>
      <c r="F136" s="272">
        <f t="shared" si="41"/>
        <v>0</v>
      </c>
      <c r="G136" s="273">
        <f>'人员人工-研发人员工资'!G136</f>
        <v>0</v>
      </c>
      <c r="H136" s="274">
        <f t="shared" si="42"/>
        <v>0</v>
      </c>
      <c r="I136" s="273">
        <f>'人员人工-研发人员工资'!I136</f>
        <v>0</v>
      </c>
      <c r="J136" s="274">
        <f t="shared" si="43"/>
        <v>0</v>
      </c>
      <c r="K136" s="275">
        <f>'人员人工-研发人员工资'!K136</f>
        <v>0</v>
      </c>
      <c r="L136" s="274">
        <f t="shared" si="44"/>
        <v>0</v>
      </c>
      <c r="M136" s="273">
        <f>'人员人工-研发人员工资'!M136</f>
        <v>0</v>
      </c>
      <c r="N136" s="274">
        <f t="shared" si="45"/>
        <v>0</v>
      </c>
      <c r="O136" s="273">
        <f>'人员人工-研发人员工资'!O136</f>
        <v>0</v>
      </c>
      <c r="P136" s="274">
        <f t="shared" si="46"/>
        <v>0</v>
      </c>
      <c r="Q136" s="273">
        <f>'人员人工-研发人员工资'!Q136</f>
        <v>0</v>
      </c>
      <c r="R136" s="274">
        <f t="shared" si="47"/>
        <v>0</v>
      </c>
      <c r="S136" s="273">
        <f>'人员人工-研发人员工资'!S136</f>
        <v>0</v>
      </c>
      <c r="T136" s="274">
        <f t="shared" si="48"/>
        <v>0</v>
      </c>
      <c r="U136" s="273">
        <f>'人员人工-研发人员工资'!U136</f>
        <v>0</v>
      </c>
      <c r="V136" s="274">
        <f t="shared" si="49"/>
        <v>0</v>
      </c>
      <c r="W136" s="273">
        <f>'人员人工-研发人员工资'!W136</f>
        <v>0</v>
      </c>
      <c r="X136" s="274">
        <f t="shared" si="50"/>
        <v>0</v>
      </c>
      <c r="Y136" s="273">
        <f>'人员人工-研发人员工资'!Y136</f>
        <v>0</v>
      </c>
      <c r="Z136" s="274">
        <f t="shared" si="51"/>
        <v>0</v>
      </c>
    </row>
    <row r="137" s="251" customFormat="1" customHeight="1" spans="1:26">
      <c r="A137" s="270">
        <v>19</v>
      </c>
      <c r="B137" s="271">
        <f>'人员人工-研发人员工资'!B137</f>
        <v>0</v>
      </c>
      <c r="C137" s="274"/>
      <c r="D137" s="272">
        <f>'人员人工-研发人员工资'!D137</f>
        <v>0</v>
      </c>
      <c r="E137" s="272">
        <f t="shared" si="40"/>
        <v>0</v>
      </c>
      <c r="F137" s="272">
        <f t="shared" si="41"/>
        <v>0</v>
      </c>
      <c r="G137" s="273">
        <f>'人员人工-研发人员工资'!G137</f>
        <v>0</v>
      </c>
      <c r="H137" s="274">
        <f t="shared" si="42"/>
        <v>0</v>
      </c>
      <c r="I137" s="273">
        <f>'人员人工-研发人员工资'!I137</f>
        <v>0</v>
      </c>
      <c r="J137" s="274">
        <f t="shared" si="43"/>
        <v>0</v>
      </c>
      <c r="K137" s="275">
        <f>'人员人工-研发人员工资'!K137</f>
        <v>0</v>
      </c>
      <c r="L137" s="274">
        <f t="shared" si="44"/>
        <v>0</v>
      </c>
      <c r="M137" s="273">
        <f>'人员人工-研发人员工资'!M137</f>
        <v>0</v>
      </c>
      <c r="N137" s="274">
        <f t="shared" si="45"/>
        <v>0</v>
      </c>
      <c r="O137" s="273">
        <f>'人员人工-研发人员工资'!O137</f>
        <v>0</v>
      </c>
      <c r="P137" s="274">
        <f t="shared" si="46"/>
        <v>0</v>
      </c>
      <c r="Q137" s="273">
        <f>'人员人工-研发人员工资'!Q137</f>
        <v>0</v>
      </c>
      <c r="R137" s="274">
        <f t="shared" si="47"/>
        <v>0</v>
      </c>
      <c r="S137" s="273">
        <f>'人员人工-研发人员工资'!S137</f>
        <v>0</v>
      </c>
      <c r="T137" s="274">
        <f t="shared" si="48"/>
        <v>0</v>
      </c>
      <c r="U137" s="273">
        <f>'人员人工-研发人员工资'!U137</f>
        <v>0</v>
      </c>
      <c r="V137" s="274">
        <f t="shared" si="49"/>
        <v>0</v>
      </c>
      <c r="W137" s="273">
        <f>'人员人工-研发人员工资'!W137</f>
        <v>0</v>
      </c>
      <c r="X137" s="274">
        <f t="shared" si="50"/>
        <v>0</v>
      </c>
      <c r="Y137" s="273">
        <f>'人员人工-研发人员工资'!Y137</f>
        <v>0</v>
      </c>
      <c r="Z137" s="274">
        <f t="shared" si="51"/>
        <v>0</v>
      </c>
    </row>
    <row r="138" s="251" customFormat="1" customHeight="1" spans="1:26">
      <c r="A138" s="270">
        <v>20</v>
      </c>
      <c r="B138" s="271">
        <f>'人员人工-研发人员工资'!B138</f>
        <v>0</v>
      </c>
      <c r="C138" s="274"/>
      <c r="D138" s="272">
        <f>'人员人工-研发人员工资'!D138</f>
        <v>0</v>
      </c>
      <c r="E138" s="272">
        <f t="shared" si="40"/>
        <v>0</v>
      </c>
      <c r="F138" s="272">
        <f t="shared" si="41"/>
        <v>0</v>
      </c>
      <c r="G138" s="273">
        <f>'人员人工-研发人员工资'!G138</f>
        <v>0</v>
      </c>
      <c r="H138" s="274">
        <f t="shared" si="42"/>
        <v>0</v>
      </c>
      <c r="I138" s="273">
        <f>'人员人工-研发人员工资'!I138</f>
        <v>0</v>
      </c>
      <c r="J138" s="274">
        <f t="shared" si="43"/>
        <v>0</v>
      </c>
      <c r="K138" s="275">
        <f>'人员人工-研发人员工资'!K138</f>
        <v>0</v>
      </c>
      <c r="L138" s="274">
        <f t="shared" si="44"/>
        <v>0</v>
      </c>
      <c r="M138" s="273">
        <f>'人员人工-研发人员工资'!M138</f>
        <v>0</v>
      </c>
      <c r="N138" s="274">
        <f t="shared" si="45"/>
        <v>0</v>
      </c>
      <c r="O138" s="273">
        <f>'人员人工-研发人员工资'!O138</f>
        <v>0</v>
      </c>
      <c r="P138" s="274">
        <f t="shared" si="46"/>
        <v>0</v>
      </c>
      <c r="Q138" s="273">
        <f>'人员人工-研发人员工资'!Q138</f>
        <v>0</v>
      </c>
      <c r="R138" s="274">
        <f t="shared" si="47"/>
        <v>0</v>
      </c>
      <c r="S138" s="273">
        <f>'人员人工-研发人员工资'!S138</f>
        <v>0</v>
      </c>
      <c r="T138" s="274">
        <f t="shared" si="48"/>
        <v>0</v>
      </c>
      <c r="U138" s="273">
        <f>'人员人工-研发人员工资'!U138</f>
        <v>0</v>
      </c>
      <c r="V138" s="274">
        <f t="shared" si="49"/>
        <v>0</v>
      </c>
      <c r="W138" s="273">
        <f>'人员人工-研发人员工资'!W138</f>
        <v>0</v>
      </c>
      <c r="X138" s="274">
        <f t="shared" si="50"/>
        <v>0</v>
      </c>
      <c r="Y138" s="273">
        <f>'人员人工-研发人员工资'!Y138</f>
        <v>0</v>
      </c>
      <c r="Z138" s="274">
        <f t="shared" si="51"/>
        <v>0</v>
      </c>
    </row>
    <row r="139" s="251" customFormat="1" customHeight="1" spans="1:26">
      <c r="A139" s="270">
        <v>21</v>
      </c>
      <c r="B139" s="271">
        <f>'人员人工-研发人员工资'!B139</f>
        <v>0</v>
      </c>
      <c r="C139" s="274"/>
      <c r="D139" s="272">
        <f>'人员人工-研发人员工资'!D139</f>
        <v>0</v>
      </c>
      <c r="E139" s="272">
        <f t="shared" si="40"/>
        <v>0</v>
      </c>
      <c r="F139" s="272">
        <f t="shared" si="41"/>
        <v>0</v>
      </c>
      <c r="G139" s="273">
        <f>'人员人工-研发人员工资'!G139</f>
        <v>0</v>
      </c>
      <c r="H139" s="274">
        <f t="shared" si="42"/>
        <v>0</v>
      </c>
      <c r="I139" s="273">
        <f>'人员人工-研发人员工资'!I139</f>
        <v>0</v>
      </c>
      <c r="J139" s="274">
        <f t="shared" si="43"/>
        <v>0</v>
      </c>
      <c r="K139" s="275">
        <f>'人员人工-研发人员工资'!K139</f>
        <v>0</v>
      </c>
      <c r="L139" s="274">
        <f t="shared" si="44"/>
        <v>0</v>
      </c>
      <c r="M139" s="273">
        <f>'人员人工-研发人员工资'!M139</f>
        <v>0</v>
      </c>
      <c r="N139" s="274">
        <f t="shared" si="45"/>
        <v>0</v>
      </c>
      <c r="O139" s="273">
        <f>'人员人工-研发人员工资'!O139</f>
        <v>0</v>
      </c>
      <c r="P139" s="274">
        <f t="shared" si="46"/>
        <v>0</v>
      </c>
      <c r="Q139" s="273">
        <f>'人员人工-研发人员工资'!Q139</f>
        <v>0</v>
      </c>
      <c r="R139" s="274">
        <f t="shared" si="47"/>
        <v>0</v>
      </c>
      <c r="S139" s="273">
        <f>'人员人工-研发人员工资'!S139</f>
        <v>0</v>
      </c>
      <c r="T139" s="274">
        <f t="shared" si="48"/>
        <v>0</v>
      </c>
      <c r="U139" s="273">
        <f>'人员人工-研发人员工资'!U139</f>
        <v>0</v>
      </c>
      <c r="V139" s="274">
        <f t="shared" si="49"/>
        <v>0</v>
      </c>
      <c r="W139" s="273">
        <f>'人员人工-研发人员工资'!W139</f>
        <v>0</v>
      </c>
      <c r="X139" s="274">
        <f t="shared" si="50"/>
        <v>0</v>
      </c>
      <c r="Y139" s="273">
        <f>'人员人工-研发人员工资'!Y139</f>
        <v>0</v>
      </c>
      <c r="Z139" s="274">
        <f t="shared" si="51"/>
        <v>0</v>
      </c>
    </row>
    <row r="140" s="251" customFormat="1" customHeight="1" spans="1:26">
      <c r="A140" s="270">
        <v>22</v>
      </c>
      <c r="B140" s="271">
        <f>'人员人工-研发人员工资'!B140</f>
        <v>0</v>
      </c>
      <c r="C140" s="274"/>
      <c r="D140" s="272">
        <f>'人员人工-研发人员工资'!D140</f>
        <v>0</v>
      </c>
      <c r="E140" s="272">
        <f t="shared" si="40"/>
        <v>0</v>
      </c>
      <c r="F140" s="272">
        <f t="shared" si="41"/>
        <v>0</v>
      </c>
      <c r="G140" s="273">
        <f>'人员人工-研发人员工资'!G140</f>
        <v>0</v>
      </c>
      <c r="H140" s="274">
        <f t="shared" si="42"/>
        <v>0</v>
      </c>
      <c r="I140" s="273">
        <f>'人员人工-研发人员工资'!I140</f>
        <v>0</v>
      </c>
      <c r="J140" s="274">
        <f t="shared" si="43"/>
        <v>0</v>
      </c>
      <c r="K140" s="275">
        <f>'人员人工-研发人员工资'!K140</f>
        <v>0</v>
      </c>
      <c r="L140" s="274">
        <f t="shared" si="44"/>
        <v>0</v>
      </c>
      <c r="M140" s="273">
        <f>'人员人工-研发人员工资'!M140</f>
        <v>0</v>
      </c>
      <c r="N140" s="274">
        <f t="shared" si="45"/>
        <v>0</v>
      </c>
      <c r="O140" s="273">
        <f>'人员人工-研发人员工资'!O140</f>
        <v>0</v>
      </c>
      <c r="P140" s="274">
        <f t="shared" si="46"/>
        <v>0</v>
      </c>
      <c r="Q140" s="273">
        <f>'人员人工-研发人员工资'!Q140</f>
        <v>0</v>
      </c>
      <c r="R140" s="274">
        <f t="shared" si="47"/>
        <v>0</v>
      </c>
      <c r="S140" s="273">
        <f>'人员人工-研发人员工资'!S140</f>
        <v>0</v>
      </c>
      <c r="T140" s="274">
        <f t="shared" si="48"/>
        <v>0</v>
      </c>
      <c r="U140" s="273">
        <f>'人员人工-研发人员工资'!U140</f>
        <v>0</v>
      </c>
      <c r="V140" s="274">
        <f t="shared" si="49"/>
        <v>0</v>
      </c>
      <c r="W140" s="273">
        <f>'人员人工-研发人员工资'!W140</f>
        <v>0</v>
      </c>
      <c r="X140" s="274">
        <f t="shared" si="50"/>
        <v>0</v>
      </c>
      <c r="Y140" s="273">
        <f>'人员人工-研发人员工资'!Y140</f>
        <v>0</v>
      </c>
      <c r="Z140" s="274">
        <f t="shared" si="51"/>
        <v>0</v>
      </c>
    </row>
    <row r="141" s="251" customFormat="1" customHeight="1" spans="1:26">
      <c r="A141" s="270">
        <v>23</v>
      </c>
      <c r="B141" s="271">
        <f>'人员人工-研发人员工资'!B141</f>
        <v>0</v>
      </c>
      <c r="C141" s="274"/>
      <c r="D141" s="272">
        <f>'人员人工-研发人员工资'!D141</f>
        <v>0</v>
      </c>
      <c r="E141" s="272">
        <f t="shared" si="40"/>
        <v>0</v>
      </c>
      <c r="F141" s="272">
        <f t="shared" si="41"/>
        <v>0</v>
      </c>
      <c r="G141" s="273">
        <f>'人员人工-研发人员工资'!G141</f>
        <v>0</v>
      </c>
      <c r="H141" s="274">
        <f t="shared" si="42"/>
        <v>0</v>
      </c>
      <c r="I141" s="273">
        <f>'人员人工-研发人员工资'!I141</f>
        <v>0</v>
      </c>
      <c r="J141" s="274">
        <f t="shared" si="43"/>
        <v>0</v>
      </c>
      <c r="K141" s="275">
        <f>'人员人工-研发人员工资'!K141</f>
        <v>0</v>
      </c>
      <c r="L141" s="274">
        <f t="shared" si="44"/>
        <v>0</v>
      </c>
      <c r="M141" s="273">
        <f>'人员人工-研发人员工资'!M141</f>
        <v>0</v>
      </c>
      <c r="N141" s="274">
        <f t="shared" si="45"/>
        <v>0</v>
      </c>
      <c r="O141" s="273">
        <f>'人员人工-研发人员工资'!O141</f>
        <v>0</v>
      </c>
      <c r="P141" s="274">
        <f t="shared" si="46"/>
        <v>0</v>
      </c>
      <c r="Q141" s="273">
        <f>'人员人工-研发人员工资'!Q141</f>
        <v>0</v>
      </c>
      <c r="R141" s="274">
        <f t="shared" si="47"/>
        <v>0</v>
      </c>
      <c r="S141" s="273">
        <f>'人员人工-研发人员工资'!S141</f>
        <v>0</v>
      </c>
      <c r="T141" s="274">
        <f t="shared" si="48"/>
        <v>0</v>
      </c>
      <c r="U141" s="273">
        <f>'人员人工-研发人员工资'!U141</f>
        <v>0</v>
      </c>
      <c r="V141" s="274">
        <f t="shared" si="49"/>
        <v>0</v>
      </c>
      <c r="W141" s="273">
        <f>'人员人工-研发人员工资'!W141</f>
        <v>0</v>
      </c>
      <c r="X141" s="274">
        <f t="shared" si="50"/>
        <v>0</v>
      </c>
      <c r="Y141" s="273">
        <f>'人员人工-研发人员工资'!Y141</f>
        <v>0</v>
      </c>
      <c r="Z141" s="274">
        <f t="shared" si="51"/>
        <v>0</v>
      </c>
    </row>
    <row r="142" s="251" customFormat="1" customHeight="1" spans="1:26">
      <c r="A142" s="270">
        <v>25</v>
      </c>
      <c r="B142" s="271">
        <f>'人员人工-研发人员工资'!B142</f>
        <v>0</v>
      </c>
      <c r="C142" s="274"/>
      <c r="D142" s="272">
        <f>'人员人工-研发人员工资'!D142</f>
        <v>0</v>
      </c>
      <c r="E142" s="272">
        <f t="shared" si="40"/>
        <v>0</v>
      </c>
      <c r="F142" s="272">
        <f t="shared" si="41"/>
        <v>0</v>
      </c>
      <c r="G142" s="273">
        <f>'人员人工-研发人员工资'!G142</f>
        <v>0</v>
      </c>
      <c r="H142" s="274">
        <f t="shared" si="42"/>
        <v>0</v>
      </c>
      <c r="I142" s="273">
        <f>'人员人工-研发人员工资'!I142</f>
        <v>0</v>
      </c>
      <c r="J142" s="274">
        <f t="shared" si="43"/>
        <v>0</v>
      </c>
      <c r="K142" s="275">
        <f>'人员人工-研发人员工资'!K142</f>
        <v>0</v>
      </c>
      <c r="L142" s="274">
        <f t="shared" si="44"/>
        <v>0</v>
      </c>
      <c r="M142" s="273">
        <f>'人员人工-研发人员工资'!M142</f>
        <v>0</v>
      </c>
      <c r="N142" s="274">
        <f t="shared" si="45"/>
        <v>0</v>
      </c>
      <c r="O142" s="273">
        <f>'人员人工-研发人员工资'!O142</f>
        <v>0</v>
      </c>
      <c r="P142" s="274">
        <f t="shared" si="46"/>
        <v>0</v>
      </c>
      <c r="Q142" s="273">
        <f>'人员人工-研发人员工资'!Q142</f>
        <v>0</v>
      </c>
      <c r="R142" s="274">
        <f t="shared" si="47"/>
        <v>0</v>
      </c>
      <c r="S142" s="273">
        <f>'人员人工-研发人员工资'!S142</f>
        <v>0</v>
      </c>
      <c r="T142" s="274">
        <f t="shared" si="48"/>
        <v>0</v>
      </c>
      <c r="U142" s="273">
        <f>'人员人工-研发人员工资'!U142</f>
        <v>0</v>
      </c>
      <c r="V142" s="274">
        <f t="shared" si="49"/>
        <v>0</v>
      </c>
      <c r="W142" s="273">
        <f>'人员人工-研发人员工资'!W142</f>
        <v>0</v>
      </c>
      <c r="X142" s="274">
        <f t="shared" si="50"/>
        <v>0</v>
      </c>
      <c r="Y142" s="273">
        <f>'人员人工-研发人员工资'!Y142</f>
        <v>0</v>
      </c>
      <c r="Z142" s="274">
        <f t="shared" si="51"/>
        <v>0</v>
      </c>
    </row>
    <row r="143" s="251" customFormat="1" customHeight="1" spans="1:26">
      <c r="A143" s="270">
        <v>25</v>
      </c>
      <c r="B143" s="271">
        <f>'人员人工-研发人员工资'!B143</f>
        <v>0</v>
      </c>
      <c r="C143" s="274"/>
      <c r="D143" s="272">
        <f>'人员人工-研发人员工资'!D143</f>
        <v>0</v>
      </c>
      <c r="E143" s="272">
        <f t="shared" si="40"/>
        <v>0</v>
      </c>
      <c r="F143" s="272">
        <f t="shared" si="41"/>
        <v>0</v>
      </c>
      <c r="G143" s="273">
        <f>'人员人工-研发人员工资'!G143</f>
        <v>0</v>
      </c>
      <c r="H143" s="274">
        <f t="shared" si="42"/>
        <v>0</v>
      </c>
      <c r="I143" s="273">
        <f>'人员人工-研发人员工资'!I143</f>
        <v>0</v>
      </c>
      <c r="J143" s="274">
        <f t="shared" si="43"/>
        <v>0</v>
      </c>
      <c r="K143" s="275">
        <f>'人员人工-研发人员工资'!K143</f>
        <v>0</v>
      </c>
      <c r="L143" s="274">
        <f t="shared" si="44"/>
        <v>0</v>
      </c>
      <c r="M143" s="273">
        <f>'人员人工-研发人员工资'!M143</f>
        <v>0</v>
      </c>
      <c r="N143" s="274">
        <f t="shared" si="45"/>
        <v>0</v>
      </c>
      <c r="O143" s="273">
        <f>'人员人工-研发人员工资'!O143</f>
        <v>0</v>
      </c>
      <c r="P143" s="274">
        <f t="shared" si="46"/>
        <v>0</v>
      </c>
      <c r="Q143" s="273">
        <f>'人员人工-研发人员工资'!Q143</f>
        <v>0</v>
      </c>
      <c r="R143" s="274">
        <f t="shared" si="47"/>
        <v>0</v>
      </c>
      <c r="S143" s="273">
        <f>'人员人工-研发人员工资'!S143</f>
        <v>0</v>
      </c>
      <c r="T143" s="274">
        <f t="shared" si="48"/>
        <v>0</v>
      </c>
      <c r="U143" s="273">
        <f>'人员人工-研发人员工资'!U143</f>
        <v>0</v>
      </c>
      <c r="V143" s="274">
        <f t="shared" si="49"/>
        <v>0</v>
      </c>
      <c r="W143" s="273">
        <f>'人员人工-研发人员工资'!W143</f>
        <v>0</v>
      </c>
      <c r="X143" s="274">
        <f t="shared" si="50"/>
        <v>0</v>
      </c>
      <c r="Y143" s="273">
        <f>'人员人工-研发人员工资'!Y143</f>
        <v>0</v>
      </c>
      <c r="Z143" s="274">
        <f t="shared" si="51"/>
        <v>0</v>
      </c>
    </row>
    <row r="144" s="251" customFormat="1" customHeight="1" spans="1:26">
      <c r="A144" s="270">
        <v>26</v>
      </c>
      <c r="B144" s="271">
        <f>'人员人工-研发人员工资'!B144</f>
        <v>0</v>
      </c>
      <c r="C144" s="274"/>
      <c r="D144" s="272">
        <f>'人员人工-研发人员工资'!D144</f>
        <v>0</v>
      </c>
      <c r="E144" s="272">
        <f t="shared" si="40"/>
        <v>0</v>
      </c>
      <c r="F144" s="272">
        <f t="shared" si="41"/>
        <v>0</v>
      </c>
      <c r="G144" s="273">
        <f>'人员人工-研发人员工资'!G144</f>
        <v>0</v>
      </c>
      <c r="H144" s="274">
        <f t="shared" si="42"/>
        <v>0</v>
      </c>
      <c r="I144" s="273">
        <f>'人员人工-研发人员工资'!I144</f>
        <v>0</v>
      </c>
      <c r="J144" s="274">
        <f t="shared" si="43"/>
        <v>0</v>
      </c>
      <c r="K144" s="275">
        <f>'人员人工-研发人员工资'!K144</f>
        <v>0</v>
      </c>
      <c r="L144" s="274">
        <f t="shared" si="44"/>
        <v>0</v>
      </c>
      <c r="M144" s="273">
        <f>'人员人工-研发人员工资'!M144</f>
        <v>0</v>
      </c>
      <c r="N144" s="274">
        <f t="shared" si="45"/>
        <v>0</v>
      </c>
      <c r="O144" s="273">
        <f>'人员人工-研发人员工资'!O144</f>
        <v>0</v>
      </c>
      <c r="P144" s="274">
        <f t="shared" si="46"/>
        <v>0</v>
      </c>
      <c r="Q144" s="273">
        <f>'人员人工-研发人员工资'!Q144</f>
        <v>0</v>
      </c>
      <c r="R144" s="274">
        <f t="shared" si="47"/>
        <v>0</v>
      </c>
      <c r="S144" s="273">
        <f>'人员人工-研发人员工资'!S144</f>
        <v>0</v>
      </c>
      <c r="T144" s="274">
        <f t="shared" si="48"/>
        <v>0</v>
      </c>
      <c r="U144" s="273">
        <f>'人员人工-研发人员工资'!U144</f>
        <v>0</v>
      </c>
      <c r="V144" s="274">
        <f t="shared" si="49"/>
        <v>0</v>
      </c>
      <c r="W144" s="273">
        <f>'人员人工-研发人员工资'!W144</f>
        <v>0</v>
      </c>
      <c r="X144" s="274">
        <f t="shared" si="50"/>
        <v>0</v>
      </c>
      <c r="Y144" s="273">
        <f>'人员人工-研发人员工资'!Y144</f>
        <v>0</v>
      </c>
      <c r="Z144" s="274">
        <f t="shared" si="51"/>
        <v>0</v>
      </c>
    </row>
    <row r="145" s="251" customFormat="1" customHeight="1" spans="1:26">
      <c r="A145" s="270">
        <v>27</v>
      </c>
      <c r="B145" s="271">
        <f>'人员人工-研发人员工资'!B145</f>
        <v>0</v>
      </c>
      <c r="C145" s="274"/>
      <c r="D145" s="272">
        <f>'人员人工-研发人员工资'!D145</f>
        <v>0</v>
      </c>
      <c r="E145" s="272">
        <f t="shared" si="40"/>
        <v>0</v>
      </c>
      <c r="F145" s="272">
        <f t="shared" si="41"/>
        <v>0</v>
      </c>
      <c r="G145" s="273">
        <f>'人员人工-研发人员工资'!G145</f>
        <v>0</v>
      </c>
      <c r="H145" s="274">
        <f t="shared" si="42"/>
        <v>0</v>
      </c>
      <c r="I145" s="273">
        <f>'人员人工-研发人员工资'!I145</f>
        <v>0</v>
      </c>
      <c r="J145" s="274">
        <f t="shared" si="43"/>
        <v>0</v>
      </c>
      <c r="K145" s="275">
        <f>'人员人工-研发人员工资'!K145</f>
        <v>0</v>
      </c>
      <c r="L145" s="274">
        <f t="shared" si="44"/>
        <v>0</v>
      </c>
      <c r="M145" s="273">
        <f>'人员人工-研发人员工资'!M145</f>
        <v>0</v>
      </c>
      <c r="N145" s="274">
        <f t="shared" si="45"/>
        <v>0</v>
      </c>
      <c r="O145" s="273">
        <f>'人员人工-研发人员工资'!O145</f>
        <v>0</v>
      </c>
      <c r="P145" s="274">
        <f t="shared" si="46"/>
        <v>0</v>
      </c>
      <c r="Q145" s="273">
        <f>'人员人工-研发人员工资'!Q145</f>
        <v>0</v>
      </c>
      <c r="R145" s="274">
        <f t="shared" si="47"/>
        <v>0</v>
      </c>
      <c r="S145" s="273">
        <f>'人员人工-研发人员工资'!S145</f>
        <v>0</v>
      </c>
      <c r="T145" s="274">
        <f t="shared" si="48"/>
        <v>0</v>
      </c>
      <c r="U145" s="273">
        <f>'人员人工-研发人员工资'!U145</f>
        <v>0</v>
      </c>
      <c r="V145" s="274">
        <f t="shared" si="49"/>
        <v>0</v>
      </c>
      <c r="W145" s="273">
        <f>'人员人工-研发人员工资'!W145</f>
        <v>0</v>
      </c>
      <c r="X145" s="274">
        <f t="shared" si="50"/>
        <v>0</v>
      </c>
      <c r="Y145" s="273">
        <f>'人员人工-研发人员工资'!Y145</f>
        <v>0</v>
      </c>
      <c r="Z145" s="274">
        <f t="shared" si="51"/>
        <v>0</v>
      </c>
    </row>
    <row r="146" s="251" customFormat="1" customHeight="1" spans="1:26">
      <c r="A146" s="270">
        <v>28</v>
      </c>
      <c r="B146" s="271">
        <f>'人员人工-研发人员工资'!B146</f>
        <v>0</v>
      </c>
      <c r="C146" s="274"/>
      <c r="D146" s="272">
        <f>'人员人工-研发人员工资'!D146</f>
        <v>0</v>
      </c>
      <c r="E146" s="272">
        <f t="shared" si="40"/>
        <v>0</v>
      </c>
      <c r="F146" s="272">
        <f t="shared" si="41"/>
        <v>0</v>
      </c>
      <c r="G146" s="273">
        <f>'人员人工-研发人员工资'!G146</f>
        <v>0</v>
      </c>
      <c r="H146" s="274">
        <f t="shared" si="42"/>
        <v>0</v>
      </c>
      <c r="I146" s="273">
        <f>'人员人工-研发人员工资'!I146</f>
        <v>0</v>
      </c>
      <c r="J146" s="274">
        <f t="shared" si="43"/>
        <v>0</v>
      </c>
      <c r="K146" s="275">
        <f>'人员人工-研发人员工资'!K146</f>
        <v>0</v>
      </c>
      <c r="L146" s="274">
        <f t="shared" si="44"/>
        <v>0</v>
      </c>
      <c r="M146" s="273">
        <f>'人员人工-研发人员工资'!M146</f>
        <v>0</v>
      </c>
      <c r="N146" s="274">
        <f t="shared" si="45"/>
        <v>0</v>
      </c>
      <c r="O146" s="273">
        <f>'人员人工-研发人员工资'!O146</f>
        <v>0</v>
      </c>
      <c r="P146" s="274">
        <f t="shared" si="46"/>
        <v>0</v>
      </c>
      <c r="Q146" s="273">
        <f>'人员人工-研发人员工资'!Q146</f>
        <v>0</v>
      </c>
      <c r="R146" s="274">
        <f t="shared" si="47"/>
        <v>0</v>
      </c>
      <c r="S146" s="273">
        <f>'人员人工-研发人员工资'!S146</f>
        <v>0</v>
      </c>
      <c r="T146" s="274">
        <f t="shared" si="48"/>
        <v>0</v>
      </c>
      <c r="U146" s="273">
        <f>'人员人工-研发人员工资'!U146</f>
        <v>0</v>
      </c>
      <c r="V146" s="274">
        <f t="shared" si="49"/>
        <v>0</v>
      </c>
      <c r="W146" s="273">
        <f>'人员人工-研发人员工资'!W146</f>
        <v>0</v>
      </c>
      <c r="X146" s="274">
        <f t="shared" si="50"/>
        <v>0</v>
      </c>
      <c r="Y146" s="273">
        <f>'人员人工-研发人员工资'!Y146</f>
        <v>0</v>
      </c>
      <c r="Z146" s="274">
        <f t="shared" si="51"/>
        <v>0</v>
      </c>
    </row>
    <row r="147" s="251" customFormat="1" customHeight="1" spans="1:26">
      <c r="A147" s="270">
        <v>29</v>
      </c>
      <c r="B147" s="271">
        <f>'人员人工-研发人员工资'!B147</f>
        <v>0</v>
      </c>
      <c r="C147" s="274"/>
      <c r="D147" s="272">
        <f>'人员人工-研发人员工资'!D147</f>
        <v>0</v>
      </c>
      <c r="E147" s="272">
        <f t="shared" si="40"/>
        <v>0</v>
      </c>
      <c r="F147" s="272">
        <f t="shared" si="41"/>
        <v>0</v>
      </c>
      <c r="G147" s="273">
        <f>'人员人工-研发人员工资'!G147</f>
        <v>0</v>
      </c>
      <c r="H147" s="274">
        <f t="shared" si="42"/>
        <v>0</v>
      </c>
      <c r="I147" s="273">
        <f>'人员人工-研发人员工资'!I147</f>
        <v>0</v>
      </c>
      <c r="J147" s="274">
        <f t="shared" si="43"/>
        <v>0</v>
      </c>
      <c r="K147" s="275">
        <f>'人员人工-研发人员工资'!K147</f>
        <v>0</v>
      </c>
      <c r="L147" s="274">
        <f t="shared" si="44"/>
        <v>0</v>
      </c>
      <c r="M147" s="273">
        <f>'人员人工-研发人员工资'!M147</f>
        <v>0</v>
      </c>
      <c r="N147" s="274">
        <f t="shared" si="45"/>
        <v>0</v>
      </c>
      <c r="O147" s="273">
        <f>'人员人工-研发人员工资'!O147</f>
        <v>0</v>
      </c>
      <c r="P147" s="274">
        <f t="shared" si="46"/>
        <v>0</v>
      </c>
      <c r="Q147" s="273">
        <f>'人员人工-研发人员工资'!Q147</f>
        <v>0</v>
      </c>
      <c r="R147" s="274">
        <f t="shared" si="47"/>
        <v>0</v>
      </c>
      <c r="S147" s="273">
        <f>'人员人工-研发人员工资'!S147</f>
        <v>0</v>
      </c>
      <c r="T147" s="274">
        <f t="shared" si="48"/>
        <v>0</v>
      </c>
      <c r="U147" s="273">
        <f>'人员人工-研发人员工资'!U147</f>
        <v>0</v>
      </c>
      <c r="V147" s="274">
        <f t="shared" si="49"/>
        <v>0</v>
      </c>
      <c r="W147" s="273">
        <f>'人员人工-研发人员工资'!W147</f>
        <v>0</v>
      </c>
      <c r="X147" s="274">
        <f t="shared" si="50"/>
        <v>0</v>
      </c>
      <c r="Y147" s="273">
        <f>'人员人工-研发人员工资'!Y147</f>
        <v>0</v>
      </c>
      <c r="Z147" s="274">
        <f t="shared" si="51"/>
        <v>0</v>
      </c>
    </row>
    <row r="148" s="251" customFormat="1" customHeight="1" spans="1:26">
      <c r="A148" s="270">
        <v>30</v>
      </c>
      <c r="B148" s="271">
        <f>'人员人工-研发人员工资'!B148</f>
        <v>0</v>
      </c>
      <c r="C148" s="274"/>
      <c r="D148" s="272">
        <f>'人员人工-研发人员工资'!D148</f>
        <v>0</v>
      </c>
      <c r="E148" s="272">
        <f t="shared" si="40"/>
        <v>0</v>
      </c>
      <c r="F148" s="272">
        <f t="shared" si="41"/>
        <v>0</v>
      </c>
      <c r="G148" s="273">
        <f>'人员人工-研发人员工资'!G148</f>
        <v>0</v>
      </c>
      <c r="H148" s="274">
        <f t="shared" si="42"/>
        <v>0</v>
      </c>
      <c r="I148" s="273">
        <f>'人员人工-研发人员工资'!I148</f>
        <v>0</v>
      </c>
      <c r="J148" s="274">
        <f t="shared" si="43"/>
        <v>0</v>
      </c>
      <c r="K148" s="275">
        <f>'人员人工-研发人员工资'!K148</f>
        <v>0</v>
      </c>
      <c r="L148" s="274">
        <f t="shared" si="44"/>
        <v>0</v>
      </c>
      <c r="M148" s="273">
        <f>'人员人工-研发人员工资'!M148</f>
        <v>0</v>
      </c>
      <c r="N148" s="274">
        <f t="shared" si="45"/>
        <v>0</v>
      </c>
      <c r="O148" s="273">
        <f>'人员人工-研发人员工资'!O148</f>
        <v>0</v>
      </c>
      <c r="P148" s="274">
        <f t="shared" si="46"/>
        <v>0</v>
      </c>
      <c r="Q148" s="273">
        <f>'人员人工-研发人员工资'!Q148</f>
        <v>0</v>
      </c>
      <c r="R148" s="274">
        <f t="shared" si="47"/>
        <v>0</v>
      </c>
      <c r="S148" s="273">
        <f>'人员人工-研发人员工资'!S148</f>
        <v>0</v>
      </c>
      <c r="T148" s="274">
        <f t="shared" si="48"/>
        <v>0</v>
      </c>
      <c r="U148" s="273">
        <f>'人员人工-研发人员工资'!U148</f>
        <v>0</v>
      </c>
      <c r="V148" s="274">
        <f t="shared" si="49"/>
        <v>0</v>
      </c>
      <c r="W148" s="273">
        <f>'人员人工-研发人员工资'!W148</f>
        <v>0</v>
      </c>
      <c r="X148" s="274">
        <f t="shared" si="50"/>
        <v>0</v>
      </c>
      <c r="Y148" s="273">
        <f>'人员人工-研发人员工资'!Y148</f>
        <v>0</v>
      </c>
      <c r="Z148" s="274">
        <f t="shared" si="51"/>
        <v>0</v>
      </c>
    </row>
    <row r="149" s="251" customFormat="1" customHeight="1" spans="1:26">
      <c r="A149" s="276" t="s">
        <v>22</v>
      </c>
      <c r="B149" s="277"/>
      <c r="C149" s="261">
        <f t="shared" ref="C149:Z149" si="52">SUM(C119:C148)</f>
        <v>0</v>
      </c>
      <c r="D149" s="261">
        <f t="shared" si="52"/>
        <v>0</v>
      </c>
      <c r="E149" s="261">
        <f t="shared" si="52"/>
        <v>0</v>
      </c>
      <c r="F149" s="272">
        <f t="shared" si="52"/>
        <v>0</v>
      </c>
      <c r="G149" s="261">
        <f t="shared" si="52"/>
        <v>0</v>
      </c>
      <c r="H149" s="261">
        <f t="shared" si="52"/>
        <v>0</v>
      </c>
      <c r="I149" s="261">
        <f t="shared" si="52"/>
        <v>0</v>
      </c>
      <c r="J149" s="261">
        <f t="shared" si="52"/>
        <v>0</v>
      </c>
      <c r="K149" s="261">
        <f t="shared" si="52"/>
        <v>0</v>
      </c>
      <c r="L149" s="261">
        <f t="shared" si="52"/>
        <v>0</v>
      </c>
      <c r="M149" s="261">
        <f t="shared" si="52"/>
        <v>0</v>
      </c>
      <c r="N149" s="261">
        <f t="shared" si="52"/>
        <v>0</v>
      </c>
      <c r="O149" s="261">
        <f t="shared" si="52"/>
        <v>0</v>
      </c>
      <c r="P149" s="261">
        <f t="shared" si="52"/>
        <v>0</v>
      </c>
      <c r="Q149" s="261">
        <f t="shared" si="52"/>
        <v>0</v>
      </c>
      <c r="R149" s="261">
        <f t="shared" si="52"/>
        <v>0</v>
      </c>
      <c r="S149" s="261">
        <f t="shared" si="52"/>
        <v>0</v>
      </c>
      <c r="T149" s="261">
        <f t="shared" si="52"/>
        <v>0</v>
      </c>
      <c r="U149" s="261">
        <f t="shared" si="52"/>
        <v>0</v>
      </c>
      <c r="V149" s="261">
        <f t="shared" si="52"/>
        <v>0</v>
      </c>
      <c r="W149" s="261">
        <f t="shared" si="52"/>
        <v>0</v>
      </c>
      <c r="X149" s="261">
        <f t="shared" si="52"/>
        <v>0</v>
      </c>
      <c r="Y149" s="261">
        <f t="shared" si="52"/>
        <v>0</v>
      </c>
      <c r="Z149" s="261">
        <f t="shared" si="52"/>
        <v>0</v>
      </c>
    </row>
    <row r="150" s="251" customFormat="1" customHeight="1" spans="1:26">
      <c r="A150" s="252"/>
      <c r="B150" s="253"/>
      <c r="C150" s="254"/>
      <c r="D150" s="254"/>
      <c r="E150" s="255"/>
      <c r="F150" s="255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</row>
    <row r="151" s="251" customFormat="1" customHeight="1" spans="1:26">
      <c r="A151" s="252"/>
      <c r="B151" s="253"/>
      <c r="C151" s="254"/>
      <c r="D151" s="254"/>
      <c r="E151" s="255"/>
      <c r="F151" s="255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</row>
    <row r="152" s="251" customFormat="1" customHeight="1" spans="1:26">
      <c r="A152" s="252"/>
      <c r="B152" s="257" t="s">
        <v>163</v>
      </c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</row>
    <row r="153" s="251" customFormat="1" customHeight="1" spans="1:26">
      <c r="A153" s="252"/>
      <c r="B153" s="253"/>
      <c r="C153" s="254"/>
      <c r="D153" s="254"/>
      <c r="E153" s="255"/>
      <c r="F153" s="255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</row>
    <row r="154" s="251" customFormat="1" customHeight="1" spans="1:26">
      <c r="A154" s="259" t="s">
        <v>31</v>
      </c>
      <c r="B154" s="260" t="s">
        <v>32</v>
      </c>
      <c r="C154" s="261" t="s">
        <v>157</v>
      </c>
      <c r="D154" s="261" t="s">
        <v>34</v>
      </c>
      <c r="E154" s="262" t="s">
        <v>35</v>
      </c>
      <c r="F154" s="262" t="s">
        <v>158</v>
      </c>
      <c r="G154" s="263" t="str">
        <f>立项!$A$3</f>
        <v>RD01</v>
      </c>
      <c r="H154" s="264"/>
      <c r="I154" s="264" t="str">
        <f>立项!$A$4</f>
        <v>RD02</v>
      </c>
      <c r="J154" s="264"/>
      <c r="K154" s="264" t="str">
        <f>立项!$A$5</f>
        <v>RD03</v>
      </c>
      <c r="L154" s="264"/>
      <c r="M154" s="264" t="str">
        <f>立项!$A$6</f>
        <v>RD04</v>
      </c>
      <c r="N154" s="264"/>
      <c r="O154" s="264" t="str">
        <f>立项!$A$7</f>
        <v>RD05</v>
      </c>
      <c r="P154" s="264"/>
      <c r="Q154" s="264" t="str">
        <f>立项!$A$8</f>
        <v>RD06</v>
      </c>
      <c r="R154" s="264"/>
      <c r="S154" s="264" t="str">
        <f>立项!$A$9</f>
        <v>RD07</v>
      </c>
      <c r="T154" s="264"/>
      <c r="U154" s="264" t="str">
        <f>立项!$A$10</f>
        <v>RD08</v>
      </c>
      <c r="V154" s="264"/>
      <c r="W154" s="264" t="str">
        <f>立项!$A$11</f>
        <v>RD09</v>
      </c>
      <c r="X154" s="264"/>
      <c r="Y154" s="264" t="str">
        <f>立项!$A$12</f>
        <v>RD10</v>
      </c>
      <c r="Z154" s="264"/>
    </row>
    <row r="155" s="251" customFormat="1" customHeight="1" spans="1:26">
      <c r="A155" s="265"/>
      <c r="B155" s="260"/>
      <c r="C155" s="261"/>
      <c r="D155" s="261"/>
      <c r="E155" s="262"/>
      <c r="F155" s="262"/>
      <c r="G155" s="267">
        <f>立项!C3</f>
        <v>0</v>
      </c>
      <c r="H155" s="263"/>
      <c r="I155" s="267">
        <f>立项!C4</f>
        <v>0</v>
      </c>
      <c r="J155" s="263"/>
      <c r="K155" s="267">
        <f>立项!C5</f>
        <v>0</v>
      </c>
      <c r="L155" s="263"/>
      <c r="M155" s="267">
        <f>立项!C6</f>
        <v>0</v>
      </c>
      <c r="N155" s="263"/>
      <c r="O155" s="267">
        <f>立项!C7</f>
        <v>0</v>
      </c>
      <c r="P155" s="263"/>
      <c r="Q155" s="267">
        <f>立项!C8</f>
        <v>0</v>
      </c>
      <c r="R155" s="263"/>
      <c r="S155" s="267">
        <f>立项!C9</f>
        <v>0</v>
      </c>
      <c r="T155" s="263"/>
      <c r="U155" s="267">
        <f>立项!C10</f>
        <v>0</v>
      </c>
      <c r="V155" s="263"/>
      <c r="W155" s="267">
        <f>立项!C11</f>
        <v>0</v>
      </c>
      <c r="X155" s="263"/>
      <c r="Y155" s="264">
        <f>立项!C12</f>
        <v>0</v>
      </c>
      <c r="Z155" s="264"/>
    </row>
    <row r="156" s="251" customFormat="1" customHeight="1" spans="1:26">
      <c r="A156" s="268"/>
      <c r="B156" s="260"/>
      <c r="C156" s="261"/>
      <c r="D156" s="261"/>
      <c r="E156" s="262"/>
      <c r="F156" s="262"/>
      <c r="G156" s="264" t="s">
        <v>39</v>
      </c>
      <c r="H156" s="269" t="s">
        <v>159</v>
      </c>
      <c r="I156" s="264" t="s">
        <v>39</v>
      </c>
      <c r="J156" s="269" t="s">
        <v>159</v>
      </c>
      <c r="K156" s="264" t="s">
        <v>39</v>
      </c>
      <c r="L156" s="269" t="s">
        <v>159</v>
      </c>
      <c r="M156" s="264" t="s">
        <v>39</v>
      </c>
      <c r="N156" s="269" t="s">
        <v>159</v>
      </c>
      <c r="O156" s="264" t="s">
        <v>39</v>
      </c>
      <c r="P156" s="269" t="s">
        <v>159</v>
      </c>
      <c r="Q156" s="264" t="s">
        <v>39</v>
      </c>
      <c r="R156" s="269" t="s">
        <v>159</v>
      </c>
      <c r="S156" s="264" t="s">
        <v>39</v>
      </c>
      <c r="T156" s="269" t="s">
        <v>159</v>
      </c>
      <c r="U156" s="264" t="s">
        <v>39</v>
      </c>
      <c r="V156" s="269" t="s">
        <v>159</v>
      </c>
      <c r="W156" s="264" t="s">
        <v>39</v>
      </c>
      <c r="X156" s="269" t="s">
        <v>159</v>
      </c>
      <c r="Y156" s="264" t="s">
        <v>39</v>
      </c>
      <c r="Z156" s="269" t="s">
        <v>159</v>
      </c>
    </row>
    <row r="157" s="251" customFormat="1" customHeight="1" spans="1:26">
      <c r="A157" s="270">
        <v>1</v>
      </c>
      <c r="B157" s="271">
        <f>'人员人工-研发人员工资'!B157</f>
        <v>0</v>
      </c>
      <c r="C157" s="272"/>
      <c r="D157" s="272">
        <f>'人员人工-研发人员工资'!D157</f>
        <v>0</v>
      </c>
      <c r="E157" s="272">
        <f t="shared" ref="E157:E186" si="53">G157+I157+K157+M157+O157+Q157+S157+U157+W157+Y157</f>
        <v>0</v>
      </c>
      <c r="F157" s="272">
        <f t="shared" ref="F157:F186" si="54">H157+J157+L157+N157+P157+R157+T157+V157+X157+Z157</f>
        <v>0</v>
      </c>
      <c r="G157" s="273">
        <f>'人员人工-研发人员工资'!G157</f>
        <v>0</v>
      </c>
      <c r="H157" s="274">
        <f t="shared" ref="H157:H186" si="55">IF($D157=0,0,ROUND(G157/$D157*$C157,2))</f>
        <v>0</v>
      </c>
      <c r="I157" s="273">
        <f>'人员人工-研发人员工资'!I157</f>
        <v>0</v>
      </c>
      <c r="J157" s="274">
        <f t="shared" ref="J157:J186" si="56">IF($D157=0,0,ROUND(I157/$D157*$C157,2))</f>
        <v>0</v>
      </c>
      <c r="K157" s="275">
        <f>'人员人工-研发人员工资'!K157</f>
        <v>0</v>
      </c>
      <c r="L157" s="274">
        <f t="shared" ref="L157:L186" si="57">IF($D157=0,0,ROUND(K157/$D157*$C157,2))</f>
        <v>0</v>
      </c>
      <c r="M157" s="273">
        <f>'人员人工-研发人员工资'!M157</f>
        <v>0</v>
      </c>
      <c r="N157" s="274">
        <f t="shared" ref="N157:N186" si="58">IF($D157=0,0,ROUND(M157/$D157*$C157,2))</f>
        <v>0</v>
      </c>
      <c r="O157" s="273">
        <f>'人员人工-研发人员工资'!O157</f>
        <v>0</v>
      </c>
      <c r="P157" s="274">
        <f t="shared" ref="P157:P186" si="59">IF($D157=0,0,ROUND(O157/$D157*$C157,2))</f>
        <v>0</v>
      </c>
      <c r="Q157" s="273">
        <f>'人员人工-研发人员工资'!Q157</f>
        <v>0</v>
      </c>
      <c r="R157" s="274">
        <f t="shared" ref="R157:R186" si="60">IF($D157=0,0,ROUND(Q157/$D157*$C157,2))</f>
        <v>0</v>
      </c>
      <c r="S157" s="273">
        <f>'人员人工-研发人员工资'!S157</f>
        <v>0</v>
      </c>
      <c r="T157" s="274">
        <f t="shared" ref="T157:T186" si="61">IF($D157=0,0,ROUND(S157/$D157*$C157,2))</f>
        <v>0</v>
      </c>
      <c r="U157" s="273">
        <f>'人员人工-研发人员工资'!U157</f>
        <v>0</v>
      </c>
      <c r="V157" s="274">
        <f t="shared" ref="V157:V186" si="62">IF($D157=0,0,ROUND(U157/$D157*$C157,2))</f>
        <v>0</v>
      </c>
      <c r="W157" s="273">
        <f>'人员人工-研发人员工资'!W157</f>
        <v>0</v>
      </c>
      <c r="X157" s="274">
        <f t="shared" ref="X157:X186" si="63">IF($D157=0,0,ROUND(W157/$D157*$C157,2))</f>
        <v>0</v>
      </c>
      <c r="Y157" s="273">
        <f>'人员人工-研发人员工资'!Y157</f>
        <v>0</v>
      </c>
      <c r="Z157" s="274">
        <f t="shared" ref="Z157:Z186" si="64">IF($D157=0,0,ROUND(Y157/$D157*$C157,2))</f>
        <v>0</v>
      </c>
    </row>
    <row r="158" s="251" customFormat="1" customHeight="1" spans="1:26">
      <c r="A158" s="270">
        <v>2</v>
      </c>
      <c r="B158" s="271">
        <f>'人员人工-研发人员工资'!B158</f>
        <v>0</v>
      </c>
      <c r="C158" s="272"/>
      <c r="D158" s="272">
        <f>'人员人工-研发人员工资'!D158</f>
        <v>0</v>
      </c>
      <c r="E158" s="272">
        <f t="shared" si="53"/>
        <v>0</v>
      </c>
      <c r="F158" s="272">
        <f t="shared" si="54"/>
        <v>0</v>
      </c>
      <c r="G158" s="273">
        <f>'人员人工-研发人员工资'!G158</f>
        <v>0</v>
      </c>
      <c r="H158" s="274">
        <f t="shared" si="55"/>
        <v>0</v>
      </c>
      <c r="I158" s="273">
        <f>'人员人工-研发人员工资'!I158</f>
        <v>0</v>
      </c>
      <c r="J158" s="274">
        <f t="shared" si="56"/>
        <v>0</v>
      </c>
      <c r="K158" s="275">
        <f>'人员人工-研发人员工资'!K158</f>
        <v>0</v>
      </c>
      <c r="L158" s="274">
        <f t="shared" si="57"/>
        <v>0</v>
      </c>
      <c r="M158" s="273">
        <f>'人员人工-研发人员工资'!M158</f>
        <v>0</v>
      </c>
      <c r="N158" s="274">
        <f t="shared" si="58"/>
        <v>0</v>
      </c>
      <c r="O158" s="273">
        <f>'人员人工-研发人员工资'!O158</f>
        <v>0</v>
      </c>
      <c r="P158" s="274">
        <f t="shared" si="59"/>
        <v>0</v>
      </c>
      <c r="Q158" s="273">
        <f>'人员人工-研发人员工资'!Q158</f>
        <v>0</v>
      </c>
      <c r="R158" s="274">
        <f t="shared" si="60"/>
        <v>0</v>
      </c>
      <c r="S158" s="273">
        <f>'人员人工-研发人员工资'!S158</f>
        <v>0</v>
      </c>
      <c r="T158" s="274">
        <f t="shared" si="61"/>
        <v>0</v>
      </c>
      <c r="U158" s="273">
        <f>'人员人工-研发人员工资'!U158</f>
        <v>0</v>
      </c>
      <c r="V158" s="274">
        <f t="shared" si="62"/>
        <v>0</v>
      </c>
      <c r="W158" s="273">
        <f>'人员人工-研发人员工资'!W158</f>
        <v>0</v>
      </c>
      <c r="X158" s="274">
        <f t="shared" si="63"/>
        <v>0</v>
      </c>
      <c r="Y158" s="273">
        <f>'人员人工-研发人员工资'!Y158</f>
        <v>0</v>
      </c>
      <c r="Z158" s="274">
        <f t="shared" si="64"/>
        <v>0</v>
      </c>
    </row>
    <row r="159" s="251" customFormat="1" customHeight="1" spans="1:26">
      <c r="A159" s="270">
        <v>3</v>
      </c>
      <c r="B159" s="271">
        <f>'人员人工-研发人员工资'!B159</f>
        <v>0</v>
      </c>
      <c r="C159" s="272"/>
      <c r="D159" s="272">
        <f>'人员人工-研发人员工资'!D159</f>
        <v>0</v>
      </c>
      <c r="E159" s="272">
        <f t="shared" si="53"/>
        <v>0</v>
      </c>
      <c r="F159" s="272">
        <f t="shared" si="54"/>
        <v>0</v>
      </c>
      <c r="G159" s="273">
        <f>'人员人工-研发人员工资'!G159</f>
        <v>0</v>
      </c>
      <c r="H159" s="274">
        <f t="shared" si="55"/>
        <v>0</v>
      </c>
      <c r="I159" s="273">
        <f>'人员人工-研发人员工资'!I159</f>
        <v>0</v>
      </c>
      <c r="J159" s="274">
        <f t="shared" si="56"/>
        <v>0</v>
      </c>
      <c r="K159" s="275">
        <f>'人员人工-研发人员工资'!K159</f>
        <v>0</v>
      </c>
      <c r="L159" s="274">
        <f t="shared" si="57"/>
        <v>0</v>
      </c>
      <c r="M159" s="273">
        <f>'人员人工-研发人员工资'!M159</f>
        <v>0</v>
      </c>
      <c r="N159" s="274">
        <f t="shared" si="58"/>
        <v>0</v>
      </c>
      <c r="O159" s="273">
        <f>'人员人工-研发人员工资'!O159</f>
        <v>0</v>
      </c>
      <c r="P159" s="274">
        <f t="shared" si="59"/>
        <v>0</v>
      </c>
      <c r="Q159" s="273">
        <f>'人员人工-研发人员工资'!Q159</f>
        <v>0</v>
      </c>
      <c r="R159" s="274">
        <f t="shared" si="60"/>
        <v>0</v>
      </c>
      <c r="S159" s="273">
        <f>'人员人工-研发人员工资'!S159</f>
        <v>0</v>
      </c>
      <c r="T159" s="274">
        <f t="shared" si="61"/>
        <v>0</v>
      </c>
      <c r="U159" s="273">
        <f>'人员人工-研发人员工资'!U159</f>
        <v>0</v>
      </c>
      <c r="V159" s="274">
        <f t="shared" si="62"/>
        <v>0</v>
      </c>
      <c r="W159" s="273">
        <f>'人员人工-研发人员工资'!W159</f>
        <v>0</v>
      </c>
      <c r="X159" s="274">
        <f t="shared" si="63"/>
        <v>0</v>
      </c>
      <c r="Y159" s="273">
        <f>'人员人工-研发人员工资'!Y159</f>
        <v>0</v>
      </c>
      <c r="Z159" s="274">
        <f t="shared" si="64"/>
        <v>0</v>
      </c>
    </row>
    <row r="160" s="251" customFormat="1" customHeight="1" spans="1:26">
      <c r="A160" s="270">
        <v>4</v>
      </c>
      <c r="B160" s="271">
        <f>'人员人工-研发人员工资'!B160</f>
        <v>0</v>
      </c>
      <c r="C160" s="272"/>
      <c r="D160" s="272">
        <f>'人员人工-研发人员工资'!D160</f>
        <v>0</v>
      </c>
      <c r="E160" s="272">
        <f t="shared" si="53"/>
        <v>0</v>
      </c>
      <c r="F160" s="272">
        <f t="shared" si="54"/>
        <v>0</v>
      </c>
      <c r="G160" s="273">
        <f>'人员人工-研发人员工资'!G160</f>
        <v>0</v>
      </c>
      <c r="H160" s="274">
        <f t="shared" si="55"/>
        <v>0</v>
      </c>
      <c r="I160" s="273">
        <f>'人员人工-研发人员工资'!I160</f>
        <v>0</v>
      </c>
      <c r="J160" s="274">
        <f t="shared" si="56"/>
        <v>0</v>
      </c>
      <c r="K160" s="275">
        <f>'人员人工-研发人员工资'!K160</f>
        <v>0</v>
      </c>
      <c r="L160" s="274">
        <f t="shared" si="57"/>
        <v>0</v>
      </c>
      <c r="M160" s="273">
        <f>'人员人工-研发人员工资'!M160</f>
        <v>0</v>
      </c>
      <c r="N160" s="274">
        <f t="shared" si="58"/>
        <v>0</v>
      </c>
      <c r="O160" s="273">
        <f>'人员人工-研发人员工资'!O160</f>
        <v>0</v>
      </c>
      <c r="P160" s="274">
        <f t="shared" si="59"/>
        <v>0</v>
      </c>
      <c r="Q160" s="273">
        <f>'人员人工-研发人员工资'!Q160</f>
        <v>0</v>
      </c>
      <c r="R160" s="274">
        <f t="shared" si="60"/>
        <v>0</v>
      </c>
      <c r="S160" s="273">
        <f>'人员人工-研发人员工资'!S160</f>
        <v>0</v>
      </c>
      <c r="T160" s="274">
        <f t="shared" si="61"/>
        <v>0</v>
      </c>
      <c r="U160" s="273">
        <f>'人员人工-研发人员工资'!U160</f>
        <v>0</v>
      </c>
      <c r="V160" s="274">
        <f t="shared" si="62"/>
        <v>0</v>
      </c>
      <c r="W160" s="273">
        <f>'人员人工-研发人员工资'!W160</f>
        <v>0</v>
      </c>
      <c r="X160" s="274">
        <f t="shared" si="63"/>
        <v>0</v>
      </c>
      <c r="Y160" s="273">
        <f>'人员人工-研发人员工资'!Y160</f>
        <v>0</v>
      </c>
      <c r="Z160" s="274">
        <f t="shared" si="64"/>
        <v>0</v>
      </c>
    </row>
    <row r="161" s="251" customFormat="1" customHeight="1" spans="1:26">
      <c r="A161" s="270">
        <v>5</v>
      </c>
      <c r="B161" s="271">
        <f>'人员人工-研发人员工资'!B161</f>
        <v>0</v>
      </c>
      <c r="C161" s="272"/>
      <c r="D161" s="272">
        <f>'人员人工-研发人员工资'!D161</f>
        <v>0</v>
      </c>
      <c r="E161" s="272">
        <f t="shared" si="53"/>
        <v>0</v>
      </c>
      <c r="F161" s="272">
        <f t="shared" si="54"/>
        <v>0</v>
      </c>
      <c r="G161" s="273">
        <f>'人员人工-研发人员工资'!G161</f>
        <v>0</v>
      </c>
      <c r="H161" s="274">
        <f t="shared" si="55"/>
        <v>0</v>
      </c>
      <c r="I161" s="273">
        <f>'人员人工-研发人员工资'!I161</f>
        <v>0</v>
      </c>
      <c r="J161" s="274">
        <f t="shared" si="56"/>
        <v>0</v>
      </c>
      <c r="K161" s="275">
        <f>'人员人工-研发人员工资'!K161</f>
        <v>0</v>
      </c>
      <c r="L161" s="274">
        <f t="shared" si="57"/>
        <v>0</v>
      </c>
      <c r="M161" s="273">
        <f>'人员人工-研发人员工资'!M161</f>
        <v>0</v>
      </c>
      <c r="N161" s="274">
        <f t="shared" si="58"/>
        <v>0</v>
      </c>
      <c r="O161" s="273">
        <f>'人员人工-研发人员工资'!O161</f>
        <v>0</v>
      </c>
      <c r="P161" s="274">
        <f t="shared" si="59"/>
        <v>0</v>
      </c>
      <c r="Q161" s="273">
        <f>'人员人工-研发人员工资'!Q161</f>
        <v>0</v>
      </c>
      <c r="R161" s="274">
        <f t="shared" si="60"/>
        <v>0</v>
      </c>
      <c r="S161" s="273">
        <f>'人员人工-研发人员工资'!S161</f>
        <v>0</v>
      </c>
      <c r="T161" s="274">
        <f t="shared" si="61"/>
        <v>0</v>
      </c>
      <c r="U161" s="273">
        <f>'人员人工-研发人员工资'!U161</f>
        <v>0</v>
      </c>
      <c r="V161" s="274">
        <f t="shared" si="62"/>
        <v>0</v>
      </c>
      <c r="W161" s="273">
        <f>'人员人工-研发人员工资'!W161</f>
        <v>0</v>
      </c>
      <c r="X161" s="274">
        <f t="shared" si="63"/>
        <v>0</v>
      </c>
      <c r="Y161" s="273">
        <f>'人员人工-研发人员工资'!Y161</f>
        <v>0</v>
      </c>
      <c r="Z161" s="274">
        <f t="shared" si="64"/>
        <v>0</v>
      </c>
    </row>
    <row r="162" s="251" customFormat="1" customHeight="1" spans="1:26">
      <c r="A162" s="270">
        <v>6</v>
      </c>
      <c r="B162" s="271">
        <f>'人员人工-研发人员工资'!B162</f>
        <v>0</v>
      </c>
      <c r="C162" s="274"/>
      <c r="D162" s="272">
        <f>'人员人工-研发人员工资'!D162</f>
        <v>0</v>
      </c>
      <c r="E162" s="272">
        <f t="shared" si="53"/>
        <v>0</v>
      </c>
      <c r="F162" s="272">
        <f t="shared" si="54"/>
        <v>0</v>
      </c>
      <c r="G162" s="273">
        <f>'人员人工-研发人员工资'!G162</f>
        <v>0</v>
      </c>
      <c r="H162" s="274">
        <f t="shared" si="55"/>
        <v>0</v>
      </c>
      <c r="I162" s="273">
        <f>'人员人工-研发人员工资'!I162</f>
        <v>0</v>
      </c>
      <c r="J162" s="274">
        <f t="shared" si="56"/>
        <v>0</v>
      </c>
      <c r="K162" s="275">
        <f>'人员人工-研发人员工资'!K162</f>
        <v>0</v>
      </c>
      <c r="L162" s="274">
        <f t="shared" si="57"/>
        <v>0</v>
      </c>
      <c r="M162" s="273">
        <f>'人员人工-研发人员工资'!M162</f>
        <v>0</v>
      </c>
      <c r="N162" s="274">
        <f t="shared" si="58"/>
        <v>0</v>
      </c>
      <c r="O162" s="273">
        <f>'人员人工-研发人员工资'!O162</f>
        <v>0</v>
      </c>
      <c r="P162" s="274">
        <f t="shared" si="59"/>
        <v>0</v>
      </c>
      <c r="Q162" s="273">
        <f>'人员人工-研发人员工资'!Q162</f>
        <v>0</v>
      </c>
      <c r="R162" s="274">
        <f t="shared" si="60"/>
        <v>0</v>
      </c>
      <c r="S162" s="273">
        <f>'人员人工-研发人员工资'!S162</f>
        <v>0</v>
      </c>
      <c r="T162" s="274">
        <f t="shared" si="61"/>
        <v>0</v>
      </c>
      <c r="U162" s="273">
        <f>'人员人工-研发人员工资'!U162</f>
        <v>0</v>
      </c>
      <c r="V162" s="274">
        <f t="shared" si="62"/>
        <v>0</v>
      </c>
      <c r="W162" s="273">
        <f>'人员人工-研发人员工资'!W162</f>
        <v>0</v>
      </c>
      <c r="X162" s="274">
        <f t="shared" si="63"/>
        <v>0</v>
      </c>
      <c r="Y162" s="273">
        <f>'人员人工-研发人员工资'!Y162</f>
        <v>0</v>
      </c>
      <c r="Z162" s="274">
        <f t="shared" si="64"/>
        <v>0</v>
      </c>
    </row>
    <row r="163" s="251" customFormat="1" customHeight="1" spans="1:26">
      <c r="A163" s="270">
        <v>7</v>
      </c>
      <c r="B163" s="271">
        <f>'人员人工-研发人员工资'!B163</f>
        <v>0</v>
      </c>
      <c r="C163" s="274"/>
      <c r="D163" s="272">
        <f>'人员人工-研发人员工资'!D163</f>
        <v>0</v>
      </c>
      <c r="E163" s="272">
        <f t="shared" si="53"/>
        <v>0</v>
      </c>
      <c r="F163" s="272">
        <f t="shared" si="54"/>
        <v>0</v>
      </c>
      <c r="G163" s="273">
        <f>'人员人工-研发人员工资'!G163</f>
        <v>0</v>
      </c>
      <c r="H163" s="274">
        <f t="shared" si="55"/>
        <v>0</v>
      </c>
      <c r="I163" s="273">
        <f>'人员人工-研发人员工资'!I163</f>
        <v>0</v>
      </c>
      <c r="J163" s="274">
        <f t="shared" si="56"/>
        <v>0</v>
      </c>
      <c r="K163" s="275">
        <f>'人员人工-研发人员工资'!K163</f>
        <v>0</v>
      </c>
      <c r="L163" s="274">
        <f t="shared" si="57"/>
        <v>0</v>
      </c>
      <c r="M163" s="273">
        <f>'人员人工-研发人员工资'!M163</f>
        <v>0</v>
      </c>
      <c r="N163" s="274">
        <f t="shared" si="58"/>
        <v>0</v>
      </c>
      <c r="O163" s="273">
        <f>'人员人工-研发人员工资'!O163</f>
        <v>0</v>
      </c>
      <c r="P163" s="274">
        <f t="shared" si="59"/>
        <v>0</v>
      </c>
      <c r="Q163" s="273">
        <f>'人员人工-研发人员工资'!Q163</f>
        <v>0</v>
      </c>
      <c r="R163" s="274">
        <f t="shared" si="60"/>
        <v>0</v>
      </c>
      <c r="S163" s="273">
        <f>'人员人工-研发人员工资'!S163</f>
        <v>0</v>
      </c>
      <c r="T163" s="274">
        <f t="shared" si="61"/>
        <v>0</v>
      </c>
      <c r="U163" s="273">
        <f>'人员人工-研发人员工资'!U163</f>
        <v>0</v>
      </c>
      <c r="V163" s="274">
        <f t="shared" si="62"/>
        <v>0</v>
      </c>
      <c r="W163" s="273">
        <f>'人员人工-研发人员工资'!W163</f>
        <v>0</v>
      </c>
      <c r="X163" s="274">
        <f t="shared" si="63"/>
        <v>0</v>
      </c>
      <c r="Y163" s="273">
        <f>'人员人工-研发人员工资'!Y163</f>
        <v>0</v>
      </c>
      <c r="Z163" s="274">
        <f t="shared" si="64"/>
        <v>0</v>
      </c>
    </row>
    <row r="164" s="251" customFormat="1" customHeight="1" spans="1:26">
      <c r="A164" s="270">
        <v>8</v>
      </c>
      <c r="B164" s="271">
        <f>'人员人工-研发人员工资'!B164</f>
        <v>0</v>
      </c>
      <c r="C164" s="274"/>
      <c r="D164" s="272">
        <f>'人员人工-研发人员工资'!D164</f>
        <v>0</v>
      </c>
      <c r="E164" s="272">
        <f t="shared" si="53"/>
        <v>0</v>
      </c>
      <c r="F164" s="272">
        <f t="shared" si="54"/>
        <v>0</v>
      </c>
      <c r="G164" s="273">
        <f>'人员人工-研发人员工资'!G164</f>
        <v>0</v>
      </c>
      <c r="H164" s="274">
        <f t="shared" si="55"/>
        <v>0</v>
      </c>
      <c r="I164" s="273">
        <f>'人员人工-研发人员工资'!I164</f>
        <v>0</v>
      </c>
      <c r="J164" s="274">
        <f t="shared" si="56"/>
        <v>0</v>
      </c>
      <c r="K164" s="275">
        <f>'人员人工-研发人员工资'!K164</f>
        <v>0</v>
      </c>
      <c r="L164" s="274">
        <f t="shared" si="57"/>
        <v>0</v>
      </c>
      <c r="M164" s="273">
        <f>'人员人工-研发人员工资'!M164</f>
        <v>0</v>
      </c>
      <c r="N164" s="274">
        <f t="shared" si="58"/>
        <v>0</v>
      </c>
      <c r="O164" s="273">
        <f>'人员人工-研发人员工资'!O164</f>
        <v>0</v>
      </c>
      <c r="P164" s="274">
        <f t="shared" si="59"/>
        <v>0</v>
      </c>
      <c r="Q164" s="273">
        <f>'人员人工-研发人员工资'!Q164</f>
        <v>0</v>
      </c>
      <c r="R164" s="274">
        <f t="shared" si="60"/>
        <v>0</v>
      </c>
      <c r="S164" s="273">
        <f>'人员人工-研发人员工资'!S164</f>
        <v>0</v>
      </c>
      <c r="T164" s="274">
        <f t="shared" si="61"/>
        <v>0</v>
      </c>
      <c r="U164" s="273">
        <f>'人员人工-研发人员工资'!U164</f>
        <v>0</v>
      </c>
      <c r="V164" s="274">
        <f t="shared" si="62"/>
        <v>0</v>
      </c>
      <c r="W164" s="273">
        <f>'人员人工-研发人员工资'!W164</f>
        <v>0</v>
      </c>
      <c r="X164" s="274">
        <f t="shared" si="63"/>
        <v>0</v>
      </c>
      <c r="Y164" s="273">
        <f>'人员人工-研发人员工资'!Y164</f>
        <v>0</v>
      </c>
      <c r="Z164" s="274">
        <f t="shared" si="64"/>
        <v>0</v>
      </c>
    </row>
    <row r="165" s="251" customFormat="1" customHeight="1" spans="1:26">
      <c r="A165" s="270">
        <v>9</v>
      </c>
      <c r="B165" s="271">
        <f>'人员人工-研发人员工资'!B165</f>
        <v>0</v>
      </c>
      <c r="C165" s="274"/>
      <c r="D165" s="272">
        <f>'人员人工-研发人员工资'!D165</f>
        <v>0</v>
      </c>
      <c r="E165" s="272">
        <f t="shared" si="53"/>
        <v>0</v>
      </c>
      <c r="F165" s="272">
        <f t="shared" si="54"/>
        <v>0</v>
      </c>
      <c r="G165" s="273">
        <f>'人员人工-研发人员工资'!G165</f>
        <v>0</v>
      </c>
      <c r="H165" s="274">
        <f t="shared" si="55"/>
        <v>0</v>
      </c>
      <c r="I165" s="273">
        <f>'人员人工-研发人员工资'!I165</f>
        <v>0</v>
      </c>
      <c r="J165" s="274">
        <f t="shared" si="56"/>
        <v>0</v>
      </c>
      <c r="K165" s="275">
        <f>'人员人工-研发人员工资'!K165</f>
        <v>0</v>
      </c>
      <c r="L165" s="274">
        <f t="shared" si="57"/>
        <v>0</v>
      </c>
      <c r="M165" s="273">
        <f>'人员人工-研发人员工资'!M165</f>
        <v>0</v>
      </c>
      <c r="N165" s="274">
        <f t="shared" si="58"/>
        <v>0</v>
      </c>
      <c r="O165" s="273">
        <f>'人员人工-研发人员工资'!O165</f>
        <v>0</v>
      </c>
      <c r="P165" s="274">
        <f t="shared" si="59"/>
        <v>0</v>
      </c>
      <c r="Q165" s="273">
        <f>'人员人工-研发人员工资'!Q165</f>
        <v>0</v>
      </c>
      <c r="R165" s="274">
        <f t="shared" si="60"/>
        <v>0</v>
      </c>
      <c r="S165" s="273">
        <f>'人员人工-研发人员工资'!S165</f>
        <v>0</v>
      </c>
      <c r="T165" s="274">
        <f t="shared" si="61"/>
        <v>0</v>
      </c>
      <c r="U165" s="273">
        <f>'人员人工-研发人员工资'!U165</f>
        <v>0</v>
      </c>
      <c r="V165" s="274">
        <f t="shared" si="62"/>
        <v>0</v>
      </c>
      <c r="W165" s="273">
        <f>'人员人工-研发人员工资'!W165</f>
        <v>0</v>
      </c>
      <c r="X165" s="274">
        <f t="shared" si="63"/>
        <v>0</v>
      </c>
      <c r="Y165" s="273">
        <f>'人员人工-研发人员工资'!Y165</f>
        <v>0</v>
      </c>
      <c r="Z165" s="274">
        <f t="shared" si="64"/>
        <v>0</v>
      </c>
    </row>
    <row r="166" s="251" customFormat="1" customHeight="1" spans="1:26">
      <c r="A166" s="270">
        <v>10</v>
      </c>
      <c r="B166" s="271">
        <f>'人员人工-研发人员工资'!B166</f>
        <v>0</v>
      </c>
      <c r="C166" s="274"/>
      <c r="D166" s="272">
        <f>'人员人工-研发人员工资'!D166</f>
        <v>0</v>
      </c>
      <c r="E166" s="272">
        <f t="shared" si="53"/>
        <v>0</v>
      </c>
      <c r="F166" s="272">
        <f t="shared" si="54"/>
        <v>0</v>
      </c>
      <c r="G166" s="273">
        <f>'人员人工-研发人员工资'!G166</f>
        <v>0</v>
      </c>
      <c r="H166" s="274">
        <f t="shared" si="55"/>
        <v>0</v>
      </c>
      <c r="I166" s="273">
        <f>'人员人工-研发人员工资'!I166</f>
        <v>0</v>
      </c>
      <c r="J166" s="274">
        <f t="shared" si="56"/>
        <v>0</v>
      </c>
      <c r="K166" s="275">
        <f>'人员人工-研发人员工资'!K166</f>
        <v>0</v>
      </c>
      <c r="L166" s="274">
        <f t="shared" si="57"/>
        <v>0</v>
      </c>
      <c r="M166" s="273">
        <f>'人员人工-研发人员工资'!M166</f>
        <v>0</v>
      </c>
      <c r="N166" s="274">
        <f t="shared" si="58"/>
        <v>0</v>
      </c>
      <c r="O166" s="273">
        <f>'人员人工-研发人员工资'!O166</f>
        <v>0</v>
      </c>
      <c r="P166" s="274">
        <f t="shared" si="59"/>
        <v>0</v>
      </c>
      <c r="Q166" s="273">
        <f>'人员人工-研发人员工资'!Q166</f>
        <v>0</v>
      </c>
      <c r="R166" s="274">
        <f t="shared" si="60"/>
        <v>0</v>
      </c>
      <c r="S166" s="273">
        <f>'人员人工-研发人员工资'!S166</f>
        <v>0</v>
      </c>
      <c r="T166" s="274">
        <f t="shared" si="61"/>
        <v>0</v>
      </c>
      <c r="U166" s="273">
        <f>'人员人工-研发人员工资'!U166</f>
        <v>0</v>
      </c>
      <c r="V166" s="274">
        <f t="shared" si="62"/>
        <v>0</v>
      </c>
      <c r="W166" s="273">
        <f>'人员人工-研发人员工资'!W166</f>
        <v>0</v>
      </c>
      <c r="X166" s="274">
        <f t="shared" si="63"/>
        <v>0</v>
      </c>
      <c r="Y166" s="273">
        <f>'人员人工-研发人员工资'!Y166</f>
        <v>0</v>
      </c>
      <c r="Z166" s="274">
        <f t="shared" si="64"/>
        <v>0</v>
      </c>
    </row>
    <row r="167" s="251" customFormat="1" customHeight="1" spans="1:26">
      <c r="A167" s="270">
        <v>11</v>
      </c>
      <c r="B167" s="271">
        <f>'人员人工-研发人员工资'!B167</f>
        <v>0</v>
      </c>
      <c r="C167" s="274"/>
      <c r="D167" s="272">
        <f>'人员人工-研发人员工资'!D167</f>
        <v>0</v>
      </c>
      <c r="E167" s="272">
        <f t="shared" si="53"/>
        <v>0</v>
      </c>
      <c r="F167" s="272">
        <f t="shared" si="54"/>
        <v>0</v>
      </c>
      <c r="G167" s="273">
        <f>'人员人工-研发人员工资'!G167</f>
        <v>0</v>
      </c>
      <c r="H167" s="274">
        <f t="shared" si="55"/>
        <v>0</v>
      </c>
      <c r="I167" s="273">
        <f>'人员人工-研发人员工资'!I167</f>
        <v>0</v>
      </c>
      <c r="J167" s="274">
        <f t="shared" si="56"/>
        <v>0</v>
      </c>
      <c r="K167" s="275">
        <f>'人员人工-研发人员工资'!K167</f>
        <v>0</v>
      </c>
      <c r="L167" s="274">
        <f t="shared" si="57"/>
        <v>0</v>
      </c>
      <c r="M167" s="273">
        <f>'人员人工-研发人员工资'!M167</f>
        <v>0</v>
      </c>
      <c r="N167" s="274">
        <f t="shared" si="58"/>
        <v>0</v>
      </c>
      <c r="O167" s="273">
        <f>'人员人工-研发人员工资'!O167</f>
        <v>0</v>
      </c>
      <c r="P167" s="274">
        <f t="shared" si="59"/>
        <v>0</v>
      </c>
      <c r="Q167" s="273">
        <f>'人员人工-研发人员工资'!Q167</f>
        <v>0</v>
      </c>
      <c r="R167" s="274">
        <f t="shared" si="60"/>
        <v>0</v>
      </c>
      <c r="S167" s="273">
        <f>'人员人工-研发人员工资'!S167</f>
        <v>0</v>
      </c>
      <c r="T167" s="274">
        <f t="shared" si="61"/>
        <v>0</v>
      </c>
      <c r="U167" s="273">
        <f>'人员人工-研发人员工资'!U167</f>
        <v>0</v>
      </c>
      <c r="V167" s="274">
        <f t="shared" si="62"/>
        <v>0</v>
      </c>
      <c r="W167" s="273">
        <f>'人员人工-研发人员工资'!W167</f>
        <v>0</v>
      </c>
      <c r="X167" s="274">
        <f t="shared" si="63"/>
        <v>0</v>
      </c>
      <c r="Y167" s="273">
        <f>'人员人工-研发人员工资'!Y167</f>
        <v>0</v>
      </c>
      <c r="Z167" s="274">
        <f t="shared" si="64"/>
        <v>0</v>
      </c>
    </row>
    <row r="168" s="251" customFormat="1" customHeight="1" spans="1:26">
      <c r="A168" s="270">
        <v>12</v>
      </c>
      <c r="B168" s="271">
        <f>'人员人工-研发人员工资'!B168</f>
        <v>0</v>
      </c>
      <c r="C168" s="274"/>
      <c r="D168" s="272">
        <f>'人员人工-研发人员工资'!D168</f>
        <v>0</v>
      </c>
      <c r="E168" s="272">
        <f t="shared" si="53"/>
        <v>0</v>
      </c>
      <c r="F168" s="272">
        <f t="shared" si="54"/>
        <v>0</v>
      </c>
      <c r="G168" s="273">
        <f>'人员人工-研发人员工资'!G168</f>
        <v>0</v>
      </c>
      <c r="H168" s="274">
        <f t="shared" si="55"/>
        <v>0</v>
      </c>
      <c r="I168" s="273">
        <f>'人员人工-研发人员工资'!I168</f>
        <v>0</v>
      </c>
      <c r="J168" s="274">
        <f t="shared" si="56"/>
        <v>0</v>
      </c>
      <c r="K168" s="275">
        <f>'人员人工-研发人员工资'!K168</f>
        <v>0</v>
      </c>
      <c r="L168" s="274">
        <f t="shared" si="57"/>
        <v>0</v>
      </c>
      <c r="M168" s="273">
        <f>'人员人工-研发人员工资'!M168</f>
        <v>0</v>
      </c>
      <c r="N168" s="274">
        <f t="shared" si="58"/>
        <v>0</v>
      </c>
      <c r="O168" s="273">
        <f>'人员人工-研发人员工资'!O168</f>
        <v>0</v>
      </c>
      <c r="P168" s="274">
        <f t="shared" si="59"/>
        <v>0</v>
      </c>
      <c r="Q168" s="273">
        <f>'人员人工-研发人员工资'!Q168</f>
        <v>0</v>
      </c>
      <c r="R168" s="274">
        <f t="shared" si="60"/>
        <v>0</v>
      </c>
      <c r="S168" s="273">
        <f>'人员人工-研发人员工资'!S168</f>
        <v>0</v>
      </c>
      <c r="T168" s="274">
        <f t="shared" si="61"/>
        <v>0</v>
      </c>
      <c r="U168" s="273">
        <f>'人员人工-研发人员工资'!U168</f>
        <v>0</v>
      </c>
      <c r="V168" s="274">
        <f t="shared" si="62"/>
        <v>0</v>
      </c>
      <c r="W168" s="273">
        <f>'人员人工-研发人员工资'!W168</f>
        <v>0</v>
      </c>
      <c r="X168" s="274">
        <f t="shared" si="63"/>
        <v>0</v>
      </c>
      <c r="Y168" s="273">
        <f>'人员人工-研发人员工资'!Y168</f>
        <v>0</v>
      </c>
      <c r="Z168" s="274">
        <f t="shared" si="64"/>
        <v>0</v>
      </c>
    </row>
    <row r="169" s="251" customFormat="1" customHeight="1" spans="1:26">
      <c r="A169" s="270">
        <v>13</v>
      </c>
      <c r="B169" s="271">
        <f>'人员人工-研发人员工资'!B169</f>
        <v>0</v>
      </c>
      <c r="C169" s="274"/>
      <c r="D169" s="272">
        <f>'人员人工-研发人员工资'!D169</f>
        <v>0</v>
      </c>
      <c r="E169" s="272">
        <f t="shared" si="53"/>
        <v>0</v>
      </c>
      <c r="F169" s="272">
        <f t="shared" si="54"/>
        <v>0</v>
      </c>
      <c r="G169" s="273">
        <f>'人员人工-研发人员工资'!G169</f>
        <v>0</v>
      </c>
      <c r="H169" s="274">
        <f t="shared" si="55"/>
        <v>0</v>
      </c>
      <c r="I169" s="273">
        <f>'人员人工-研发人员工资'!I169</f>
        <v>0</v>
      </c>
      <c r="J169" s="274">
        <f t="shared" si="56"/>
        <v>0</v>
      </c>
      <c r="K169" s="275">
        <f>'人员人工-研发人员工资'!K169</f>
        <v>0</v>
      </c>
      <c r="L169" s="274">
        <f t="shared" si="57"/>
        <v>0</v>
      </c>
      <c r="M169" s="273">
        <f>'人员人工-研发人员工资'!M169</f>
        <v>0</v>
      </c>
      <c r="N169" s="274">
        <f t="shared" si="58"/>
        <v>0</v>
      </c>
      <c r="O169" s="273">
        <f>'人员人工-研发人员工资'!O169</f>
        <v>0</v>
      </c>
      <c r="P169" s="274">
        <f t="shared" si="59"/>
        <v>0</v>
      </c>
      <c r="Q169" s="273">
        <f>'人员人工-研发人员工资'!Q169</f>
        <v>0</v>
      </c>
      <c r="R169" s="274">
        <f t="shared" si="60"/>
        <v>0</v>
      </c>
      <c r="S169" s="273">
        <f>'人员人工-研发人员工资'!S169</f>
        <v>0</v>
      </c>
      <c r="T169" s="274">
        <f t="shared" si="61"/>
        <v>0</v>
      </c>
      <c r="U169" s="273">
        <f>'人员人工-研发人员工资'!U169</f>
        <v>0</v>
      </c>
      <c r="V169" s="274">
        <f t="shared" si="62"/>
        <v>0</v>
      </c>
      <c r="W169" s="273">
        <f>'人员人工-研发人员工资'!W169</f>
        <v>0</v>
      </c>
      <c r="X169" s="274">
        <f t="shared" si="63"/>
        <v>0</v>
      </c>
      <c r="Y169" s="273">
        <f>'人员人工-研发人员工资'!Y169</f>
        <v>0</v>
      </c>
      <c r="Z169" s="274">
        <f t="shared" si="64"/>
        <v>0</v>
      </c>
    </row>
    <row r="170" s="251" customFormat="1" customHeight="1" spans="1:26">
      <c r="A170" s="270">
        <v>14</v>
      </c>
      <c r="B170" s="271">
        <f>'人员人工-研发人员工资'!B170</f>
        <v>0</v>
      </c>
      <c r="C170" s="274"/>
      <c r="D170" s="272">
        <f>'人员人工-研发人员工资'!D170</f>
        <v>0</v>
      </c>
      <c r="E170" s="272">
        <f t="shared" si="53"/>
        <v>0</v>
      </c>
      <c r="F170" s="272">
        <f t="shared" si="54"/>
        <v>0</v>
      </c>
      <c r="G170" s="273">
        <f>'人员人工-研发人员工资'!G170</f>
        <v>0</v>
      </c>
      <c r="H170" s="274">
        <f t="shared" si="55"/>
        <v>0</v>
      </c>
      <c r="I170" s="273">
        <f>'人员人工-研发人员工资'!I170</f>
        <v>0</v>
      </c>
      <c r="J170" s="274">
        <f t="shared" si="56"/>
        <v>0</v>
      </c>
      <c r="K170" s="275">
        <f>'人员人工-研发人员工资'!K170</f>
        <v>0</v>
      </c>
      <c r="L170" s="274">
        <f t="shared" si="57"/>
        <v>0</v>
      </c>
      <c r="M170" s="273">
        <f>'人员人工-研发人员工资'!M170</f>
        <v>0</v>
      </c>
      <c r="N170" s="274">
        <f t="shared" si="58"/>
        <v>0</v>
      </c>
      <c r="O170" s="273">
        <f>'人员人工-研发人员工资'!O170</f>
        <v>0</v>
      </c>
      <c r="P170" s="274">
        <f t="shared" si="59"/>
        <v>0</v>
      </c>
      <c r="Q170" s="273">
        <f>'人员人工-研发人员工资'!Q170</f>
        <v>0</v>
      </c>
      <c r="R170" s="274">
        <f t="shared" si="60"/>
        <v>0</v>
      </c>
      <c r="S170" s="273">
        <f>'人员人工-研发人员工资'!S170</f>
        <v>0</v>
      </c>
      <c r="T170" s="274">
        <f t="shared" si="61"/>
        <v>0</v>
      </c>
      <c r="U170" s="273">
        <f>'人员人工-研发人员工资'!U170</f>
        <v>0</v>
      </c>
      <c r="V170" s="274">
        <f t="shared" si="62"/>
        <v>0</v>
      </c>
      <c r="W170" s="273">
        <f>'人员人工-研发人员工资'!W170</f>
        <v>0</v>
      </c>
      <c r="X170" s="274">
        <f t="shared" si="63"/>
        <v>0</v>
      </c>
      <c r="Y170" s="273">
        <f>'人员人工-研发人员工资'!Y170</f>
        <v>0</v>
      </c>
      <c r="Z170" s="274">
        <f t="shared" si="64"/>
        <v>0</v>
      </c>
    </row>
    <row r="171" s="251" customFormat="1" customHeight="1" spans="1:26">
      <c r="A171" s="270">
        <v>15</v>
      </c>
      <c r="B171" s="271">
        <f>'人员人工-研发人员工资'!B171</f>
        <v>0</v>
      </c>
      <c r="C171" s="274"/>
      <c r="D171" s="272">
        <f>'人员人工-研发人员工资'!D171</f>
        <v>0</v>
      </c>
      <c r="E171" s="272">
        <f t="shared" si="53"/>
        <v>0</v>
      </c>
      <c r="F171" s="272">
        <f t="shared" si="54"/>
        <v>0</v>
      </c>
      <c r="G171" s="273">
        <f>'人员人工-研发人员工资'!G171</f>
        <v>0</v>
      </c>
      <c r="H171" s="274">
        <f t="shared" si="55"/>
        <v>0</v>
      </c>
      <c r="I171" s="273">
        <f>'人员人工-研发人员工资'!I171</f>
        <v>0</v>
      </c>
      <c r="J171" s="274">
        <f t="shared" si="56"/>
        <v>0</v>
      </c>
      <c r="K171" s="275">
        <f>'人员人工-研发人员工资'!K171</f>
        <v>0</v>
      </c>
      <c r="L171" s="274">
        <f t="shared" si="57"/>
        <v>0</v>
      </c>
      <c r="M171" s="273">
        <f>'人员人工-研发人员工资'!M171</f>
        <v>0</v>
      </c>
      <c r="N171" s="274">
        <f t="shared" si="58"/>
        <v>0</v>
      </c>
      <c r="O171" s="273">
        <f>'人员人工-研发人员工资'!O171</f>
        <v>0</v>
      </c>
      <c r="P171" s="274">
        <f t="shared" si="59"/>
        <v>0</v>
      </c>
      <c r="Q171" s="273">
        <f>'人员人工-研发人员工资'!Q171</f>
        <v>0</v>
      </c>
      <c r="R171" s="274">
        <f t="shared" si="60"/>
        <v>0</v>
      </c>
      <c r="S171" s="273">
        <f>'人员人工-研发人员工资'!S171</f>
        <v>0</v>
      </c>
      <c r="T171" s="274">
        <f t="shared" si="61"/>
        <v>0</v>
      </c>
      <c r="U171" s="273">
        <f>'人员人工-研发人员工资'!U171</f>
        <v>0</v>
      </c>
      <c r="V171" s="274">
        <f t="shared" si="62"/>
        <v>0</v>
      </c>
      <c r="W171" s="273">
        <f>'人员人工-研发人员工资'!W171</f>
        <v>0</v>
      </c>
      <c r="X171" s="274">
        <f t="shared" si="63"/>
        <v>0</v>
      </c>
      <c r="Y171" s="273">
        <f>'人员人工-研发人员工资'!Y171</f>
        <v>0</v>
      </c>
      <c r="Z171" s="274">
        <f t="shared" si="64"/>
        <v>0</v>
      </c>
    </row>
    <row r="172" s="251" customFormat="1" customHeight="1" spans="1:26">
      <c r="A172" s="270">
        <v>16</v>
      </c>
      <c r="B172" s="271">
        <f>'人员人工-研发人员工资'!B172</f>
        <v>0</v>
      </c>
      <c r="C172" s="274"/>
      <c r="D172" s="272">
        <f>'人员人工-研发人员工资'!D172</f>
        <v>0</v>
      </c>
      <c r="E172" s="272">
        <f t="shared" si="53"/>
        <v>0</v>
      </c>
      <c r="F172" s="272">
        <f t="shared" si="54"/>
        <v>0</v>
      </c>
      <c r="G172" s="273">
        <f>'人员人工-研发人员工资'!G172</f>
        <v>0</v>
      </c>
      <c r="H172" s="274">
        <f t="shared" si="55"/>
        <v>0</v>
      </c>
      <c r="I172" s="273">
        <f>'人员人工-研发人员工资'!I172</f>
        <v>0</v>
      </c>
      <c r="J172" s="274">
        <f t="shared" si="56"/>
        <v>0</v>
      </c>
      <c r="K172" s="275">
        <f>'人员人工-研发人员工资'!K172</f>
        <v>0</v>
      </c>
      <c r="L172" s="274">
        <f t="shared" si="57"/>
        <v>0</v>
      </c>
      <c r="M172" s="273">
        <f>'人员人工-研发人员工资'!M172</f>
        <v>0</v>
      </c>
      <c r="N172" s="274">
        <f t="shared" si="58"/>
        <v>0</v>
      </c>
      <c r="O172" s="273">
        <f>'人员人工-研发人员工资'!O172</f>
        <v>0</v>
      </c>
      <c r="P172" s="274">
        <f t="shared" si="59"/>
        <v>0</v>
      </c>
      <c r="Q172" s="273">
        <f>'人员人工-研发人员工资'!Q172</f>
        <v>0</v>
      </c>
      <c r="R172" s="274">
        <f t="shared" si="60"/>
        <v>0</v>
      </c>
      <c r="S172" s="273">
        <f>'人员人工-研发人员工资'!S172</f>
        <v>0</v>
      </c>
      <c r="T172" s="274">
        <f t="shared" si="61"/>
        <v>0</v>
      </c>
      <c r="U172" s="273">
        <f>'人员人工-研发人员工资'!U172</f>
        <v>0</v>
      </c>
      <c r="V172" s="274">
        <f t="shared" si="62"/>
        <v>0</v>
      </c>
      <c r="W172" s="273">
        <f>'人员人工-研发人员工资'!W172</f>
        <v>0</v>
      </c>
      <c r="X172" s="274">
        <f t="shared" si="63"/>
        <v>0</v>
      </c>
      <c r="Y172" s="273">
        <f>'人员人工-研发人员工资'!Y172</f>
        <v>0</v>
      </c>
      <c r="Z172" s="274">
        <f t="shared" si="64"/>
        <v>0</v>
      </c>
    </row>
    <row r="173" s="251" customFormat="1" customHeight="1" spans="1:26">
      <c r="A173" s="270">
        <v>17</v>
      </c>
      <c r="B173" s="271">
        <f>'人员人工-研发人员工资'!B173</f>
        <v>0</v>
      </c>
      <c r="C173" s="274"/>
      <c r="D173" s="272">
        <f>'人员人工-研发人员工资'!D173</f>
        <v>0</v>
      </c>
      <c r="E173" s="272">
        <f t="shared" si="53"/>
        <v>0</v>
      </c>
      <c r="F173" s="272">
        <f t="shared" si="54"/>
        <v>0</v>
      </c>
      <c r="G173" s="273">
        <f>'人员人工-研发人员工资'!G173</f>
        <v>0</v>
      </c>
      <c r="H173" s="274">
        <f t="shared" si="55"/>
        <v>0</v>
      </c>
      <c r="I173" s="273">
        <f>'人员人工-研发人员工资'!I173</f>
        <v>0</v>
      </c>
      <c r="J173" s="274">
        <f t="shared" si="56"/>
        <v>0</v>
      </c>
      <c r="K173" s="275">
        <f>'人员人工-研发人员工资'!K173</f>
        <v>0</v>
      </c>
      <c r="L173" s="274">
        <f t="shared" si="57"/>
        <v>0</v>
      </c>
      <c r="M173" s="273">
        <f>'人员人工-研发人员工资'!M173</f>
        <v>0</v>
      </c>
      <c r="N173" s="274">
        <f t="shared" si="58"/>
        <v>0</v>
      </c>
      <c r="O173" s="273">
        <f>'人员人工-研发人员工资'!O173</f>
        <v>0</v>
      </c>
      <c r="P173" s="274">
        <f t="shared" si="59"/>
        <v>0</v>
      </c>
      <c r="Q173" s="273">
        <f>'人员人工-研发人员工资'!Q173</f>
        <v>0</v>
      </c>
      <c r="R173" s="274">
        <f t="shared" si="60"/>
        <v>0</v>
      </c>
      <c r="S173" s="273">
        <f>'人员人工-研发人员工资'!S173</f>
        <v>0</v>
      </c>
      <c r="T173" s="274">
        <f t="shared" si="61"/>
        <v>0</v>
      </c>
      <c r="U173" s="273">
        <f>'人员人工-研发人员工资'!U173</f>
        <v>0</v>
      </c>
      <c r="V173" s="274">
        <f t="shared" si="62"/>
        <v>0</v>
      </c>
      <c r="W173" s="273">
        <f>'人员人工-研发人员工资'!W173</f>
        <v>0</v>
      </c>
      <c r="X173" s="274">
        <f t="shared" si="63"/>
        <v>0</v>
      </c>
      <c r="Y173" s="273">
        <f>'人员人工-研发人员工资'!Y173</f>
        <v>0</v>
      </c>
      <c r="Z173" s="274">
        <f t="shared" si="64"/>
        <v>0</v>
      </c>
    </row>
    <row r="174" s="251" customFormat="1" customHeight="1" spans="1:26">
      <c r="A174" s="270">
        <v>18</v>
      </c>
      <c r="B174" s="271">
        <f>'人员人工-研发人员工资'!B174</f>
        <v>0</v>
      </c>
      <c r="C174" s="274"/>
      <c r="D174" s="272">
        <f>'人员人工-研发人员工资'!D174</f>
        <v>0</v>
      </c>
      <c r="E174" s="272">
        <f t="shared" si="53"/>
        <v>0</v>
      </c>
      <c r="F174" s="272">
        <f t="shared" si="54"/>
        <v>0</v>
      </c>
      <c r="G174" s="273">
        <f>'人员人工-研发人员工资'!G174</f>
        <v>0</v>
      </c>
      <c r="H174" s="274">
        <f t="shared" si="55"/>
        <v>0</v>
      </c>
      <c r="I174" s="273">
        <f>'人员人工-研发人员工资'!I174</f>
        <v>0</v>
      </c>
      <c r="J174" s="274">
        <f t="shared" si="56"/>
        <v>0</v>
      </c>
      <c r="K174" s="275">
        <f>'人员人工-研发人员工资'!K174</f>
        <v>0</v>
      </c>
      <c r="L174" s="274">
        <f t="shared" si="57"/>
        <v>0</v>
      </c>
      <c r="M174" s="273">
        <f>'人员人工-研发人员工资'!M174</f>
        <v>0</v>
      </c>
      <c r="N174" s="274">
        <f t="shared" si="58"/>
        <v>0</v>
      </c>
      <c r="O174" s="273">
        <f>'人员人工-研发人员工资'!O174</f>
        <v>0</v>
      </c>
      <c r="P174" s="274">
        <f t="shared" si="59"/>
        <v>0</v>
      </c>
      <c r="Q174" s="273">
        <f>'人员人工-研发人员工资'!Q174</f>
        <v>0</v>
      </c>
      <c r="R174" s="274">
        <f t="shared" si="60"/>
        <v>0</v>
      </c>
      <c r="S174" s="273">
        <f>'人员人工-研发人员工资'!S174</f>
        <v>0</v>
      </c>
      <c r="T174" s="274">
        <f t="shared" si="61"/>
        <v>0</v>
      </c>
      <c r="U174" s="273">
        <f>'人员人工-研发人员工资'!U174</f>
        <v>0</v>
      </c>
      <c r="V174" s="274">
        <f t="shared" si="62"/>
        <v>0</v>
      </c>
      <c r="W174" s="273">
        <f>'人员人工-研发人员工资'!W174</f>
        <v>0</v>
      </c>
      <c r="X174" s="274">
        <f t="shared" si="63"/>
        <v>0</v>
      </c>
      <c r="Y174" s="273">
        <f>'人员人工-研发人员工资'!Y174</f>
        <v>0</v>
      </c>
      <c r="Z174" s="274">
        <f t="shared" si="64"/>
        <v>0</v>
      </c>
    </row>
    <row r="175" s="251" customFormat="1" customHeight="1" spans="1:26">
      <c r="A175" s="270">
        <v>19</v>
      </c>
      <c r="B175" s="271">
        <f>'人员人工-研发人员工资'!B175</f>
        <v>0</v>
      </c>
      <c r="C175" s="274"/>
      <c r="D175" s="272">
        <f>'人员人工-研发人员工资'!D175</f>
        <v>0</v>
      </c>
      <c r="E175" s="272">
        <f t="shared" si="53"/>
        <v>0</v>
      </c>
      <c r="F175" s="272">
        <f t="shared" si="54"/>
        <v>0</v>
      </c>
      <c r="G175" s="273">
        <f>'人员人工-研发人员工资'!G175</f>
        <v>0</v>
      </c>
      <c r="H175" s="274">
        <f t="shared" si="55"/>
        <v>0</v>
      </c>
      <c r="I175" s="273">
        <f>'人员人工-研发人员工资'!I175</f>
        <v>0</v>
      </c>
      <c r="J175" s="274">
        <f t="shared" si="56"/>
        <v>0</v>
      </c>
      <c r="K175" s="275">
        <f>'人员人工-研发人员工资'!K175</f>
        <v>0</v>
      </c>
      <c r="L175" s="274">
        <f t="shared" si="57"/>
        <v>0</v>
      </c>
      <c r="M175" s="273">
        <f>'人员人工-研发人员工资'!M175</f>
        <v>0</v>
      </c>
      <c r="N175" s="274">
        <f t="shared" si="58"/>
        <v>0</v>
      </c>
      <c r="O175" s="273">
        <f>'人员人工-研发人员工资'!O175</f>
        <v>0</v>
      </c>
      <c r="P175" s="274">
        <f t="shared" si="59"/>
        <v>0</v>
      </c>
      <c r="Q175" s="273">
        <f>'人员人工-研发人员工资'!Q175</f>
        <v>0</v>
      </c>
      <c r="R175" s="274">
        <f t="shared" si="60"/>
        <v>0</v>
      </c>
      <c r="S175" s="273">
        <f>'人员人工-研发人员工资'!S175</f>
        <v>0</v>
      </c>
      <c r="T175" s="274">
        <f t="shared" si="61"/>
        <v>0</v>
      </c>
      <c r="U175" s="273">
        <f>'人员人工-研发人员工资'!U175</f>
        <v>0</v>
      </c>
      <c r="V175" s="274">
        <f t="shared" si="62"/>
        <v>0</v>
      </c>
      <c r="W175" s="273">
        <f>'人员人工-研发人员工资'!W175</f>
        <v>0</v>
      </c>
      <c r="X175" s="274">
        <f t="shared" si="63"/>
        <v>0</v>
      </c>
      <c r="Y175" s="273">
        <f>'人员人工-研发人员工资'!Y175</f>
        <v>0</v>
      </c>
      <c r="Z175" s="274">
        <f t="shared" si="64"/>
        <v>0</v>
      </c>
    </row>
    <row r="176" s="251" customFormat="1" customHeight="1" spans="1:26">
      <c r="A176" s="270">
        <v>20</v>
      </c>
      <c r="B176" s="271">
        <f>'人员人工-研发人员工资'!B176</f>
        <v>0</v>
      </c>
      <c r="C176" s="274"/>
      <c r="D176" s="272">
        <f>'人员人工-研发人员工资'!D176</f>
        <v>0</v>
      </c>
      <c r="E176" s="272">
        <f t="shared" si="53"/>
        <v>0</v>
      </c>
      <c r="F176" s="272">
        <f t="shared" si="54"/>
        <v>0</v>
      </c>
      <c r="G176" s="273">
        <f>'人员人工-研发人员工资'!G176</f>
        <v>0</v>
      </c>
      <c r="H176" s="274">
        <f t="shared" si="55"/>
        <v>0</v>
      </c>
      <c r="I176" s="273">
        <f>'人员人工-研发人员工资'!I176</f>
        <v>0</v>
      </c>
      <c r="J176" s="274">
        <f t="shared" si="56"/>
        <v>0</v>
      </c>
      <c r="K176" s="275">
        <f>'人员人工-研发人员工资'!K176</f>
        <v>0</v>
      </c>
      <c r="L176" s="274">
        <f t="shared" si="57"/>
        <v>0</v>
      </c>
      <c r="M176" s="273">
        <f>'人员人工-研发人员工资'!M176</f>
        <v>0</v>
      </c>
      <c r="N176" s="274">
        <f t="shared" si="58"/>
        <v>0</v>
      </c>
      <c r="O176" s="273">
        <f>'人员人工-研发人员工资'!O176</f>
        <v>0</v>
      </c>
      <c r="P176" s="274">
        <f t="shared" si="59"/>
        <v>0</v>
      </c>
      <c r="Q176" s="273">
        <f>'人员人工-研发人员工资'!Q176</f>
        <v>0</v>
      </c>
      <c r="R176" s="274">
        <f t="shared" si="60"/>
        <v>0</v>
      </c>
      <c r="S176" s="273">
        <f>'人员人工-研发人员工资'!S176</f>
        <v>0</v>
      </c>
      <c r="T176" s="274">
        <f t="shared" si="61"/>
        <v>0</v>
      </c>
      <c r="U176" s="273">
        <f>'人员人工-研发人员工资'!U176</f>
        <v>0</v>
      </c>
      <c r="V176" s="274">
        <f t="shared" si="62"/>
        <v>0</v>
      </c>
      <c r="W176" s="273">
        <f>'人员人工-研发人员工资'!W176</f>
        <v>0</v>
      </c>
      <c r="X176" s="274">
        <f t="shared" si="63"/>
        <v>0</v>
      </c>
      <c r="Y176" s="273">
        <f>'人员人工-研发人员工资'!Y176</f>
        <v>0</v>
      </c>
      <c r="Z176" s="274">
        <f t="shared" si="64"/>
        <v>0</v>
      </c>
    </row>
    <row r="177" s="251" customFormat="1" customHeight="1" spans="1:26">
      <c r="A177" s="270">
        <v>21</v>
      </c>
      <c r="B177" s="271">
        <f>'人员人工-研发人员工资'!B177</f>
        <v>0</v>
      </c>
      <c r="C177" s="274"/>
      <c r="D177" s="272">
        <f>'人员人工-研发人员工资'!D177</f>
        <v>0</v>
      </c>
      <c r="E177" s="272">
        <f t="shared" si="53"/>
        <v>0</v>
      </c>
      <c r="F177" s="272">
        <f t="shared" si="54"/>
        <v>0</v>
      </c>
      <c r="G177" s="273">
        <f>'人员人工-研发人员工资'!G177</f>
        <v>0</v>
      </c>
      <c r="H177" s="274">
        <f t="shared" si="55"/>
        <v>0</v>
      </c>
      <c r="I177" s="273">
        <f>'人员人工-研发人员工资'!I177</f>
        <v>0</v>
      </c>
      <c r="J177" s="274">
        <f t="shared" si="56"/>
        <v>0</v>
      </c>
      <c r="K177" s="275">
        <f>'人员人工-研发人员工资'!K177</f>
        <v>0</v>
      </c>
      <c r="L177" s="274">
        <f t="shared" si="57"/>
        <v>0</v>
      </c>
      <c r="M177" s="273">
        <f>'人员人工-研发人员工资'!M177</f>
        <v>0</v>
      </c>
      <c r="N177" s="274">
        <f t="shared" si="58"/>
        <v>0</v>
      </c>
      <c r="O177" s="273">
        <f>'人员人工-研发人员工资'!O177</f>
        <v>0</v>
      </c>
      <c r="P177" s="274">
        <f t="shared" si="59"/>
        <v>0</v>
      </c>
      <c r="Q177" s="273">
        <f>'人员人工-研发人员工资'!Q177</f>
        <v>0</v>
      </c>
      <c r="R177" s="274">
        <f t="shared" si="60"/>
        <v>0</v>
      </c>
      <c r="S177" s="273">
        <f>'人员人工-研发人员工资'!S177</f>
        <v>0</v>
      </c>
      <c r="T177" s="274">
        <f t="shared" si="61"/>
        <v>0</v>
      </c>
      <c r="U177" s="273">
        <f>'人员人工-研发人员工资'!U177</f>
        <v>0</v>
      </c>
      <c r="V177" s="274">
        <f t="shared" si="62"/>
        <v>0</v>
      </c>
      <c r="W177" s="273">
        <f>'人员人工-研发人员工资'!W177</f>
        <v>0</v>
      </c>
      <c r="X177" s="274">
        <f t="shared" si="63"/>
        <v>0</v>
      </c>
      <c r="Y177" s="273">
        <f>'人员人工-研发人员工资'!Y177</f>
        <v>0</v>
      </c>
      <c r="Z177" s="274">
        <f t="shared" si="64"/>
        <v>0</v>
      </c>
    </row>
    <row r="178" s="251" customFormat="1" customHeight="1" spans="1:26">
      <c r="A178" s="270">
        <v>22</v>
      </c>
      <c r="B178" s="271">
        <f>'人员人工-研发人员工资'!B178</f>
        <v>0</v>
      </c>
      <c r="C178" s="274"/>
      <c r="D178" s="272">
        <f>'人员人工-研发人员工资'!D178</f>
        <v>0</v>
      </c>
      <c r="E178" s="272">
        <f t="shared" si="53"/>
        <v>0</v>
      </c>
      <c r="F178" s="272">
        <f t="shared" si="54"/>
        <v>0</v>
      </c>
      <c r="G178" s="273">
        <f>'人员人工-研发人员工资'!G178</f>
        <v>0</v>
      </c>
      <c r="H178" s="274">
        <f t="shared" si="55"/>
        <v>0</v>
      </c>
      <c r="I178" s="273">
        <f>'人员人工-研发人员工资'!I178</f>
        <v>0</v>
      </c>
      <c r="J178" s="274">
        <f t="shared" si="56"/>
        <v>0</v>
      </c>
      <c r="K178" s="275">
        <f>'人员人工-研发人员工资'!K178</f>
        <v>0</v>
      </c>
      <c r="L178" s="274">
        <f t="shared" si="57"/>
        <v>0</v>
      </c>
      <c r="M178" s="273">
        <f>'人员人工-研发人员工资'!M178</f>
        <v>0</v>
      </c>
      <c r="N178" s="274">
        <f t="shared" si="58"/>
        <v>0</v>
      </c>
      <c r="O178" s="273">
        <f>'人员人工-研发人员工资'!O178</f>
        <v>0</v>
      </c>
      <c r="P178" s="274">
        <f t="shared" si="59"/>
        <v>0</v>
      </c>
      <c r="Q178" s="273">
        <f>'人员人工-研发人员工资'!Q178</f>
        <v>0</v>
      </c>
      <c r="R178" s="274">
        <f t="shared" si="60"/>
        <v>0</v>
      </c>
      <c r="S178" s="273">
        <f>'人员人工-研发人员工资'!S178</f>
        <v>0</v>
      </c>
      <c r="T178" s="274">
        <f t="shared" si="61"/>
        <v>0</v>
      </c>
      <c r="U178" s="273">
        <f>'人员人工-研发人员工资'!U178</f>
        <v>0</v>
      </c>
      <c r="V178" s="274">
        <f t="shared" si="62"/>
        <v>0</v>
      </c>
      <c r="W178" s="273">
        <f>'人员人工-研发人员工资'!W178</f>
        <v>0</v>
      </c>
      <c r="X178" s="274">
        <f t="shared" si="63"/>
        <v>0</v>
      </c>
      <c r="Y178" s="273">
        <f>'人员人工-研发人员工资'!Y178</f>
        <v>0</v>
      </c>
      <c r="Z178" s="274">
        <f t="shared" si="64"/>
        <v>0</v>
      </c>
    </row>
    <row r="179" s="251" customFormat="1" customHeight="1" spans="1:26">
      <c r="A179" s="270">
        <v>23</v>
      </c>
      <c r="B179" s="271">
        <f>'人员人工-研发人员工资'!B179</f>
        <v>0</v>
      </c>
      <c r="C179" s="274"/>
      <c r="D179" s="272">
        <f>'人员人工-研发人员工资'!D179</f>
        <v>0</v>
      </c>
      <c r="E179" s="272">
        <f t="shared" si="53"/>
        <v>0</v>
      </c>
      <c r="F179" s="272">
        <f t="shared" si="54"/>
        <v>0</v>
      </c>
      <c r="G179" s="273">
        <f>'人员人工-研发人员工资'!G179</f>
        <v>0</v>
      </c>
      <c r="H179" s="274">
        <f t="shared" si="55"/>
        <v>0</v>
      </c>
      <c r="I179" s="273">
        <f>'人员人工-研发人员工资'!I179</f>
        <v>0</v>
      </c>
      <c r="J179" s="274">
        <f t="shared" si="56"/>
        <v>0</v>
      </c>
      <c r="K179" s="275">
        <f>'人员人工-研发人员工资'!K179</f>
        <v>0</v>
      </c>
      <c r="L179" s="274">
        <f t="shared" si="57"/>
        <v>0</v>
      </c>
      <c r="M179" s="273">
        <f>'人员人工-研发人员工资'!M179</f>
        <v>0</v>
      </c>
      <c r="N179" s="274">
        <f t="shared" si="58"/>
        <v>0</v>
      </c>
      <c r="O179" s="273">
        <f>'人员人工-研发人员工资'!O179</f>
        <v>0</v>
      </c>
      <c r="P179" s="274">
        <f t="shared" si="59"/>
        <v>0</v>
      </c>
      <c r="Q179" s="273">
        <f>'人员人工-研发人员工资'!Q179</f>
        <v>0</v>
      </c>
      <c r="R179" s="274">
        <f t="shared" si="60"/>
        <v>0</v>
      </c>
      <c r="S179" s="273">
        <f>'人员人工-研发人员工资'!S179</f>
        <v>0</v>
      </c>
      <c r="T179" s="274">
        <f t="shared" si="61"/>
        <v>0</v>
      </c>
      <c r="U179" s="273">
        <f>'人员人工-研发人员工资'!U179</f>
        <v>0</v>
      </c>
      <c r="V179" s="274">
        <f t="shared" si="62"/>
        <v>0</v>
      </c>
      <c r="W179" s="273">
        <f>'人员人工-研发人员工资'!W179</f>
        <v>0</v>
      </c>
      <c r="X179" s="274">
        <f t="shared" si="63"/>
        <v>0</v>
      </c>
      <c r="Y179" s="273">
        <f>'人员人工-研发人员工资'!Y179</f>
        <v>0</v>
      </c>
      <c r="Z179" s="274">
        <f t="shared" si="64"/>
        <v>0</v>
      </c>
    </row>
    <row r="180" s="251" customFormat="1" customHeight="1" spans="1:26">
      <c r="A180" s="270">
        <v>25</v>
      </c>
      <c r="B180" s="271">
        <f>'人员人工-研发人员工资'!B180</f>
        <v>0</v>
      </c>
      <c r="C180" s="274"/>
      <c r="D180" s="272">
        <f>'人员人工-研发人员工资'!D180</f>
        <v>0</v>
      </c>
      <c r="E180" s="272">
        <f t="shared" si="53"/>
        <v>0</v>
      </c>
      <c r="F180" s="272">
        <f t="shared" si="54"/>
        <v>0</v>
      </c>
      <c r="G180" s="273">
        <f>'人员人工-研发人员工资'!G180</f>
        <v>0</v>
      </c>
      <c r="H180" s="274">
        <f t="shared" si="55"/>
        <v>0</v>
      </c>
      <c r="I180" s="273">
        <f>'人员人工-研发人员工资'!I180</f>
        <v>0</v>
      </c>
      <c r="J180" s="274">
        <f t="shared" si="56"/>
        <v>0</v>
      </c>
      <c r="K180" s="275">
        <f>'人员人工-研发人员工资'!K180</f>
        <v>0</v>
      </c>
      <c r="L180" s="274">
        <f t="shared" si="57"/>
        <v>0</v>
      </c>
      <c r="M180" s="273">
        <f>'人员人工-研发人员工资'!M180</f>
        <v>0</v>
      </c>
      <c r="N180" s="274">
        <f t="shared" si="58"/>
        <v>0</v>
      </c>
      <c r="O180" s="273">
        <f>'人员人工-研发人员工资'!O180</f>
        <v>0</v>
      </c>
      <c r="P180" s="274">
        <f t="shared" si="59"/>
        <v>0</v>
      </c>
      <c r="Q180" s="273">
        <f>'人员人工-研发人员工资'!Q180</f>
        <v>0</v>
      </c>
      <c r="R180" s="274">
        <f t="shared" si="60"/>
        <v>0</v>
      </c>
      <c r="S180" s="273">
        <f>'人员人工-研发人员工资'!S180</f>
        <v>0</v>
      </c>
      <c r="T180" s="274">
        <f t="shared" si="61"/>
        <v>0</v>
      </c>
      <c r="U180" s="273">
        <f>'人员人工-研发人员工资'!U180</f>
        <v>0</v>
      </c>
      <c r="V180" s="274">
        <f t="shared" si="62"/>
        <v>0</v>
      </c>
      <c r="W180" s="273">
        <f>'人员人工-研发人员工资'!W180</f>
        <v>0</v>
      </c>
      <c r="X180" s="274">
        <f t="shared" si="63"/>
        <v>0</v>
      </c>
      <c r="Y180" s="273">
        <f>'人员人工-研发人员工资'!Y180</f>
        <v>0</v>
      </c>
      <c r="Z180" s="274">
        <f t="shared" si="64"/>
        <v>0</v>
      </c>
    </row>
    <row r="181" s="251" customFormat="1" customHeight="1" spans="1:26">
      <c r="A181" s="270">
        <v>25</v>
      </c>
      <c r="B181" s="271">
        <f>'人员人工-研发人员工资'!B181</f>
        <v>0</v>
      </c>
      <c r="C181" s="274"/>
      <c r="D181" s="272">
        <f>'人员人工-研发人员工资'!D181</f>
        <v>0</v>
      </c>
      <c r="E181" s="272">
        <f t="shared" si="53"/>
        <v>0</v>
      </c>
      <c r="F181" s="272">
        <f t="shared" si="54"/>
        <v>0</v>
      </c>
      <c r="G181" s="273">
        <f>'人员人工-研发人员工资'!G181</f>
        <v>0</v>
      </c>
      <c r="H181" s="274">
        <f t="shared" si="55"/>
        <v>0</v>
      </c>
      <c r="I181" s="273">
        <f>'人员人工-研发人员工资'!I181</f>
        <v>0</v>
      </c>
      <c r="J181" s="274">
        <f t="shared" si="56"/>
        <v>0</v>
      </c>
      <c r="K181" s="275">
        <f>'人员人工-研发人员工资'!K181</f>
        <v>0</v>
      </c>
      <c r="L181" s="274">
        <f t="shared" si="57"/>
        <v>0</v>
      </c>
      <c r="M181" s="273">
        <f>'人员人工-研发人员工资'!M181</f>
        <v>0</v>
      </c>
      <c r="N181" s="274">
        <f t="shared" si="58"/>
        <v>0</v>
      </c>
      <c r="O181" s="273">
        <f>'人员人工-研发人员工资'!O181</f>
        <v>0</v>
      </c>
      <c r="P181" s="274">
        <f t="shared" si="59"/>
        <v>0</v>
      </c>
      <c r="Q181" s="273">
        <f>'人员人工-研发人员工资'!Q181</f>
        <v>0</v>
      </c>
      <c r="R181" s="274">
        <f t="shared" si="60"/>
        <v>0</v>
      </c>
      <c r="S181" s="273">
        <f>'人员人工-研发人员工资'!S181</f>
        <v>0</v>
      </c>
      <c r="T181" s="274">
        <f t="shared" si="61"/>
        <v>0</v>
      </c>
      <c r="U181" s="273">
        <f>'人员人工-研发人员工资'!U181</f>
        <v>0</v>
      </c>
      <c r="V181" s="274">
        <f t="shared" si="62"/>
        <v>0</v>
      </c>
      <c r="W181" s="273">
        <f>'人员人工-研发人员工资'!W181</f>
        <v>0</v>
      </c>
      <c r="X181" s="274">
        <f t="shared" si="63"/>
        <v>0</v>
      </c>
      <c r="Y181" s="273">
        <f>'人员人工-研发人员工资'!Y181</f>
        <v>0</v>
      </c>
      <c r="Z181" s="274">
        <f t="shared" si="64"/>
        <v>0</v>
      </c>
    </row>
    <row r="182" s="251" customFormat="1" customHeight="1" spans="1:26">
      <c r="A182" s="270">
        <v>26</v>
      </c>
      <c r="B182" s="271">
        <f>'人员人工-研发人员工资'!B182</f>
        <v>0</v>
      </c>
      <c r="C182" s="274"/>
      <c r="D182" s="272">
        <f>'人员人工-研发人员工资'!D182</f>
        <v>0</v>
      </c>
      <c r="E182" s="272">
        <f t="shared" si="53"/>
        <v>0</v>
      </c>
      <c r="F182" s="272">
        <f t="shared" si="54"/>
        <v>0</v>
      </c>
      <c r="G182" s="273">
        <f>'人员人工-研发人员工资'!G182</f>
        <v>0</v>
      </c>
      <c r="H182" s="274">
        <f t="shared" si="55"/>
        <v>0</v>
      </c>
      <c r="I182" s="273">
        <f>'人员人工-研发人员工资'!I182</f>
        <v>0</v>
      </c>
      <c r="J182" s="274">
        <f t="shared" si="56"/>
        <v>0</v>
      </c>
      <c r="K182" s="275">
        <f>'人员人工-研发人员工资'!K182</f>
        <v>0</v>
      </c>
      <c r="L182" s="274">
        <f t="shared" si="57"/>
        <v>0</v>
      </c>
      <c r="M182" s="273">
        <f>'人员人工-研发人员工资'!M182</f>
        <v>0</v>
      </c>
      <c r="N182" s="274">
        <f t="shared" si="58"/>
        <v>0</v>
      </c>
      <c r="O182" s="273">
        <f>'人员人工-研发人员工资'!O182</f>
        <v>0</v>
      </c>
      <c r="P182" s="274">
        <f t="shared" si="59"/>
        <v>0</v>
      </c>
      <c r="Q182" s="273">
        <f>'人员人工-研发人员工资'!Q182</f>
        <v>0</v>
      </c>
      <c r="R182" s="274">
        <f t="shared" si="60"/>
        <v>0</v>
      </c>
      <c r="S182" s="273">
        <f>'人员人工-研发人员工资'!S182</f>
        <v>0</v>
      </c>
      <c r="T182" s="274">
        <f t="shared" si="61"/>
        <v>0</v>
      </c>
      <c r="U182" s="273">
        <f>'人员人工-研发人员工资'!U182</f>
        <v>0</v>
      </c>
      <c r="V182" s="274">
        <f t="shared" si="62"/>
        <v>0</v>
      </c>
      <c r="W182" s="273">
        <f>'人员人工-研发人员工资'!W182</f>
        <v>0</v>
      </c>
      <c r="X182" s="274">
        <f t="shared" si="63"/>
        <v>0</v>
      </c>
      <c r="Y182" s="273">
        <f>'人员人工-研发人员工资'!Y182</f>
        <v>0</v>
      </c>
      <c r="Z182" s="274">
        <f t="shared" si="64"/>
        <v>0</v>
      </c>
    </row>
    <row r="183" s="251" customFormat="1" customHeight="1" spans="1:26">
      <c r="A183" s="270">
        <v>27</v>
      </c>
      <c r="B183" s="271">
        <f>'人员人工-研发人员工资'!B183</f>
        <v>0</v>
      </c>
      <c r="C183" s="274"/>
      <c r="D183" s="272">
        <f>'人员人工-研发人员工资'!D183</f>
        <v>0</v>
      </c>
      <c r="E183" s="272">
        <f t="shared" si="53"/>
        <v>0</v>
      </c>
      <c r="F183" s="272">
        <f t="shared" si="54"/>
        <v>0</v>
      </c>
      <c r="G183" s="273">
        <f>'人员人工-研发人员工资'!G183</f>
        <v>0</v>
      </c>
      <c r="H183" s="274">
        <f t="shared" si="55"/>
        <v>0</v>
      </c>
      <c r="I183" s="273">
        <f>'人员人工-研发人员工资'!I183</f>
        <v>0</v>
      </c>
      <c r="J183" s="274">
        <f t="shared" si="56"/>
        <v>0</v>
      </c>
      <c r="K183" s="275">
        <f>'人员人工-研发人员工资'!K183</f>
        <v>0</v>
      </c>
      <c r="L183" s="274">
        <f t="shared" si="57"/>
        <v>0</v>
      </c>
      <c r="M183" s="273">
        <f>'人员人工-研发人员工资'!M183</f>
        <v>0</v>
      </c>
      <c r="N183" s="274">
        <f t="shared" si="58"/>
        <v>0</v>
      </c>
      <c r="O183" s="273">
        <f>'人员人工-研发人员工资'!O183</f>
        <v>0</v>
      </c>
      <c r="P183" s="274">
        <f t="shared" si="59"/>
        <v>0</v>
      </c>
      <c r="Q183" s="273">
        <f>'人员人工-研发人员工资'!Q183</f>
        <v>0</v>
      </c>
      <c r="R183" s="274">
        <f t="shared" si="60"/>
        <v>0</v>
      </c>
      <c r="S183" s="273">
        <f>'人员人工-研发人员工资'!S183</f>
        <v>0</v>
      </c>
      <c r="T183" s="274">
        <f t="shared" si="61"/>
        <v>0</v>
      </c>
      <c r="U183" s="273">
        <f>'人员人工-研发人员工资'!U183</f>
        <v>0</v>
      </c>
      <c r="V183" s="274">
        <f t="shared" si="62"/>
        <v>0</v>
      </c>
      <c r="W183" s="273">
        <f>'人员人工-研发人员工资'!W183</f>
        <v>0</v>
      </c>
      <c r="X183" s="274">
        <f t="shared" si="63"/>
        <v>0</v>
      </c>
      <c r="Y183" s="273">
        <f>'人员人工-研发人员工资'!Y183</f>
        <v>0</v>
      </c>
      <c r="Z183" s="274">
        <f t="shared" si="64"/>
        <v>0</v>
      </c>
    </row>
    <row r="184" s="251" customFormat="1" customHeight="1" spans="1:26">
      <c r="A184" s="270">
        <v>28</v>
      </c>
      <c r="B184" s="271">
        <f>'人员人工-研发人员工资'!B184</f>
        <v>0</v>
      </c>
      <c r="C184" s="274"/>
      <c r="D184" s="272">
        <f>'人员人工-研发人员工资'!D184</f>
        <v>0</v>
      </c>
      <c r="E184" s="272">
        <f t="shared" si="53"/>
        <v>0</v>
      </c>
      <c r="F184" s="272">
        <f t="shared" si="54"/>
        <v>0</v>
      </c>
      <c r="G184" s="273">
        <f>'人员人工-研发人员工资'!G184</f>
        <v>0</v>
      </c>
      <c r="H184" s="274">
        <f t="shared" si="55"/>
        <v>0</v>
      </c>
      <c r="I184" s="273">
        <f>'人员人工-研发人员工资'!I184</f>
        <v>0</v>
      </c>
      <c r="J184" s="274">
        <f t="shared" si="56"/>
        <v>0</v>
      </c>
      <c r="K184" s="275">
        <f>'人员人工-研发人员工资'!K184</f>
        <v>0</v>
      </c>
      <c r="L184" s="274">
        <f t="shared" si="57"/>
        <v>0</v>
      </c>
      <c r="M184" s="273">
        <f>'人员人工-研发人员工资'!M184</f>
        <v>0</v>
      </c>
      <c r="N184" s="274">
        <f t="shared" si="58"/>
        <v>0</v>
      </c>
      <c r="O184" s="273">
        <f>'人员人工-研发人员工资'!O184</f>
        <v>0</v>
      </c>
      <c r="P184" s="274">
        <f t="shared" si="59"/>
        <v>0</v>
      </c>
      <c r="Q184" s="273">
        <f>'人员人工-研发人员工资'!Q184</f>
        <v>0</v>
      </c>
      <c r="R184" s="274">
        <f t="shared" si="60"/>
        <v>0</v>
      </c>
      <c r="S184" s="273">
        <f>'人员人工-研发人员工资'!S184</f>
        <v>0</v>
      </c>
      <c r="T184" s="274">
        <f t="shared" si="61"/>
        <v>0</v>
      </c>
      <c r="U184" s="273">
        <f>'人员人工-研发人员工资'!U184</f>
        <v>0</v>
      </c>
      <c r="V184" s="274">
        <f t="shared" si="62"/>
        <v>0</v>
      </c>
      <c r="W184" s="273">
        <f>'人员人工-研发人员工资'!W184</f>
        <v>0</v>
      </c>
      <c r="X184" s="274">
        <f t="shared" si="63"/>
        <v>0</v>
      </c>
      <c r="Y184" s="273">
        <f>'人员人工-研发人员工资'!Y184</f>
        <v>0</v>
      </c>
      <c r="Z184" s="274">
        <f t="shared" si="64"/>
        <v>0</v>
      </c>
    </row>
    <row r="185" s="251" customFormat="1" customHeight="1" spans="1:26">
      <c r="A185" s="270">
        <v>29</v>
      </c>
      <c r="B185" s="271">
        <f>'人员人工-研发人员工资'!B185</f>
        <v>0</v>
      </c>
      <c r="C185" s="274"/>
      <c r="D185" s="272">
        <f>'人员人工-研发人员工资'!D185</f>
        <v>0</v>
      </c>
      <c r="E185" s="272">
        <f t="shared" si="53"/>
        <v>0</v>
      </c>
      <c r="F185" s="272">
        <f t="shared" si="54"/>
        <v>0</v>
      </c>
      <c r="G185" s="273">
        <f>'人员人工-研发人员工资'!G185</f>
        <v>0</v>
      </c>
      <c r="H185" s="274">
        <f t="shared" si="55"/>
        <v>0</v>
      </c>
      <c r="I185" s="273">
        <f>'人员人工-研发人员工资'!I185</f>
        <v>0</v>
      </c>
      <c r="J185" s="274">
        <f t="shared" si="56"/>
        <v>0</v>
      </c>
      <c r="K185" s="275">
        <f>'人员人工-研发人员工资'!K185</f>
        <v>0</v>
      </c>
      <c r="L185" s="274">
        <f t="shared" si="57"/>
        <v>0</v>
      </c>
      <c r="M185" s="273">
        <f>'人员人工-研发人员工资'!M185</f>
        <v>0</v>
      </c>
      <c r="N185" s="274">
        <f t="shared" si="58"/>
        <v>0</v>
      </c>
      <c r="O185" s="273">
        <f>'人员人工-研发人员工资'!O185</f>
        <v>0</v>
      </c>
      <c r="P185" s="274">
        <f t="shared" si="59"/>
        <v>0</v>
      </c>
      <c r="Q185" s="273">
        <f>'人员人工-研发人员工资'!Q185</f>
        <v>0</v>
      </c>
      <c r="R185" s="274">
        <f t="shared" si="60"/>
        <v>0</v>
      </c>
      <c r="S185" s="273">
        <f>'人员人工-研发人员工资'!S185</f>
        <v>0</v>
      </c>
      <c r="T185" s="274">
        <f t="shared" si="61"/>
        <v>0</v>
      </c>
      <c r="U185" s="273">
        <f>'人员人工-研发人员工资'!U185</f>
        <v>0</v>
      </c>
      <c r="V185" s="274">
        <f t="shared" si="62"/>
        <v>0</v>
      </c>
      <c r="W185" s="273">
        <f>'人员人工-研发人员工资'!W185</f>
        <v>0</v>
      </c>
      <c r="X185" s="274">
        <f t="shared" si="63"/>
        <v>0</v>
      </c>
      <c r="Y185" s="273">
        <f>'人员人工-研发人员工资'!Y185</f>
        <v>0</v>
      </c>
      <c r="Z185" s="274">
        <f t="shared" si="64"/>
        <v>0</v>
      </c>
    </row>
    <row r="186" s="251" customFormat="1" customHeight="1" spans="1:26">
      <c r="A186" s="270">
        <v>30</v>
      </c>
      <c r="B186" s="271">
        <f>'人员人工-研发人员工资'!B186</f>
        <v>0</v>
      </c>
      <c r="C186" s="274"/>
      <c r="D186" s="272">
        <f>'人员人工-研发人员工资'!D186</f>
        <v>0</v>
      </c>
      <c r="E186" s="272">
        <f t="shared" si="53"/>
        <v>0</v>
      </c>
      <c r="F186" s="272">
        <f t="shared" si="54"/>
        <v>0</v>
      </c>
      <c r="G186" s="273">
        <f>'人员人工-研发人员工资'!G186</f>
        <v>0</v>
      </c>
      <c r="H186" s="274">
        <f t="shared" si="55"/>
        <v>0</v>
      </c>
      <c r="I186" s="273">
        <f>'人员人工-研发人员工资'!I186</f>
        <v>0</v>
      </c>
      <c r="J186" s="274">
        <f t="shared" si="56"/>
        <v>0</v>
      </c>
      <c r="K186" s="275">
        <f>'人员人工-研发人员工资'!K186</f>
        <v>0</v>
      </c>
      <c r="L186" s="274">
        <f t="shared" si="57"/>
        <v>0</v>
      </c>
      <c r="M186" s="273">
        <f>'人员人工-研发人员工资'!M186</f>
        <v>0</v>
      </c>
      <c r="N186" s="274">
        <f t="shared" si="58"/>
        <v>0</v>
      </c>
      <c r="O186" s="273">
        <f>'人员人工-研发人员工资'!O186</f>
        <v>0</v>
      </c>
      <c r="P186" s="274">
        <f t="shared" si="59"/>
        <v>0</v>
      </c>
      <c r="Q186" s="273">
        <f>'人员人工-研发人员工资'!Q186</f>
        <v>0</v>
      </c>
      <c r="R186" s="274">
        <f t="shared" si="60"/>
        <v>0</v>
      </c>
      <c r="S186" s="273">
        <f>'人员人工-研发人员工资'!S186</f>
        <v>0</v>
      </c>
      <c r="T186" s="274">
        <f t="shared" si="61"/>
        <v>0</v>
      </c>
      <c r="U186" s="273">
        <f>'人员人工-研发人员工资'!U186</f>
        <v>0</v>
      </c>
      <c r="V186" s="274">
        <f t="shared" si="62"/>
        <v>0</v>
      </c>
      <c r="W186" s="273">
        <f>'人员人工-研发人员工资'!W186</f>
        <v>0</v>
      </c>
      <c r="X186" s="274">
        <f t="shared" si="63"/>
        <v>0</v>
      </c>
      <c r="Y186" s="273">
        <f>'人员人工-研发人员工资'!Y186</f>
        <v>0</v>
      </c>
      <c r="Z186" s="274">
        <f t="shared" si="64"/>
        <v>0</v>
      </c>
    </row>
    <row r="187" s="251" customFormat="1" customHeight="1" spans="1:26">
      <c r="A187" s="276" t="s">
        <v>22</v>
      </c>
      <c r="B187" s="277"/>
      <c r="C187" s="261">
        <f t="shared" ref="C187:Z187" si="65">SUM(C157:C186)</f>
        <v>0</v>
      </c>
      <c r="D187" s="261">
        <f t="shared" si="65"/>
        <v>0</v>
      </c>
      <c r="E187" s="261">
        <f t="shared" si="65"/>
        <v>0</v>
      </c>
      <c r="F187" s="272">
        <f t="shared" si="65"/>
        <v>0</v>
      </c>
      <c r="G187" s="261">
        <f t="shared" si="65"/>
        <v>0</v>
      </c>
      <c r="H187" s="261">
        <f t="shared" si="65"/>
        <v>0</v>
      </c>
      <c r="I187" s="261">
        <f t="shared" si="65"/>
        <v>0</v>
      </c>
      <c r="J187" s="261">
        <f t="shared" si="65"/>
        <v>0</v>
      </c>
      <c r="K187" s="261">
        <f t="shared" si="65"/>
        <v>0</v>
      </c>
      <c r="L187" s="261">
        <f t="shared" si="65"/>
        <v>0</v>
      </c>
      <c r="M187" s="261">
        <f t="shared" si="65"/>
        <v>0</v>
      </c>
      <c r="N187" s="261">
        <f t="shared" si="65"/>
        <v>0</v>
      </c>
      <c r="O187" s="261">
        <f t="shared" si="65"/>
        <v>0</v>
      </c>
      <c r="P187" s="261">
        <f t="shared" si="65"/>
        <v>0</v>
      </c>
      <c r="Q187" s="261">
        <f t="shared" si="65"/>
        <v>0</v>
      </c>
      <c r="R187" s="261">
        <f t="shared" si="65"/>
        <v>0</v>
      </c>
      <c r="S187" s="261">
        <f t="shared" si="65"/>
        <v>0</v>
      </c>
      <c r="T187" s="261">
        <f t="shared" si="65"/>
        <v>0</v>
      </c>
      <c r="U187" s="261">
        <f t="shared" si="65"/>
        <v>0</v>
      </c>
      <c r="V187" s="261">
        <f t="shared" si="65"/>
        <v>0</v>
      </c>
      <c r="W187" s="261">
        <f t="shared" si="65"/>
        <v>0</v>
      </c>
      <c r="X187" s="261">
        <f t="shared" si="65"/>
        <v>0</v>
      </c>
      <c r="Y187" s="261">
        <f t="shared" si="65"/>
        <v>0</v>
      </c>
      <c r="Z187" s="261">
        <f t="shared" si="65"/>
        <v>0</v>
      </c>
    </row>
    <row r="188" s="251" customFormat="1" customHeight="1" spans="1:26">
      <c r="A188" s="252"/>
      <c r="B188" s="253"/>
      <c r="C188" s="254"/>
      <c r="D188" s="254"/>
      <c r="E188" s="255"/>
      <c r="F188" s="255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</row>
    <row r="189" s="251" customFormat="1" customHeight="1" spans="1:26">
      <c r="A189" s="252"/>
      <c r="B189" s="257" t="s">
        <v>164</v>
      </c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  <c r="Z189" s="258"/>
    </row>
    <row r="190" s="251" customFormat="1" customHeight="1" spans="1:26">
      <c r="A190" s="252"/>
      <c r="B190" s="253"/>
      <c r="C190" s="254"/>
      <c r="D190" s="254"/>
      <c r="E190" s="255"/>
      <c r="F190" s="255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</row>
    <row r="191" s="251" customFormat="1" customHeight="1" spans="1:26">
      <c r="A191" s="259" t="s">
        <v>31</v>
      </c>
      <c r="B191" s="260" t="s">
        <v>32</v>
      </c>
      <c r="C191" s="261" t="s">
        <v>157</v>
      </c>
      <c r="D191" s="261" t="s">
        <v>34</v>
      </c>
      <c r="E191" s="262" t="s">
        <v>35</v>
      </c>
      <c r="F191" s="262" t="s">
        <v>158</v>
      </c>
      <c r="G191" s="263" t="str">
        <f>立项!$A$3</f>
        <v>RD01</v>
      </c>
      <c r="H191" s="264"/>
      <c r="I191" s="264" t="str">
        <f>立项!$A$4</f>
        <v>RD02</v>
      </c>
      <c r="J191" s="264"/>
      <c r="K191" s="264" t="str">
        <f>立项!$A$5</f>
        <v>RD03</v>
      </c>
      <c r="L191" s="264"/>
      <c r="M191" s="264" t="str">
        <f>立项!$A$6</f>
        <v>RD04</v>
      </c>
      <c r="N191" s="264"/>
      <c r="O191" s="264" t="str">
        <f>立项!$A$7</f>
        <v>RD05</v>
      </c>
      <c r="P191" s="264"/>
      <c r="Q191" s="264" t="str">
        <f>立项!$A$8</f>
        <v>RD06</v>
      </c>
      <c r="R191" s="264"/>
      <c r="S191" s="264" t="str">
        <f>立项!$A$9</f>
        <v>RD07</v>
      </c>
      <c r="T191" s="264"/>
      <c r="U191" s="264" t="str">
        <f>立项!$A$10</f>
        <v>RD08</v>
      </c>
      <c r="V191" s="264"/>
      <c r="W191" s="264" t="str">
        <f>立项!$A$11</f>
        <v>RD09</v>
      </c>
      <c r="X191" s="264"/>
      <c r="Y191" s="264" t="str">
        <f>立项!$A$12</f>
        <v>RD10</v>
      </c>
      <c r="Z191" s="264"/>
    </row>
    <row r="192" s="251" customFormat="1" customHeight="1" spans="1:26">
      <c r="A192" s="265"/>
      <c r="B192" s="260"/>
      <c r="C192" s="261"/>
      <c r="D192" s="261"/>
      <c r="E192" s="262"/>
      <c r="F192" s="262"/>
      <c r="G192" s="267">
        <f>立项!C3</f>
        <v>0</v>
      </c>
      <c r="H192" s="263"/>
      <c r="I192" s="267">
        <f>立项!C4</f>
        <v>0</v>
      </c>
      <c r="J192" s="263"/>
      <c r="K192" s="267">
        <f>立项!C5</f>
        <v>0</v>
      </c>
      <c r="L192" s="263"/>
      <c r="M192" s="267">
        <f>立项!C6</f>
        <v>0</v>
      </c>
      <c r="N192" s="263"/>
      <c r="O192" s="267">
        <f>立项!C7</f>
        <v>0</v>
      </c>
      <c r="P192" s="263"/>
      <c r="Q192" s="267">
        <f>立项!C8</f>
        <v>0</v>
      </c>
      <c r="R192" s="263"/>
      <c r="S192" s="267">
        <f>立项!C9</f>
        <v>0</v>
      </c>
      <c r="T192" s="263"/>
      <c r="U192" s="267">
        <f>立项!C10</f>
        <v>0</v>
      </c>
      <c r="V192" s="263"/>
      <c r="W192" s="267">
        <f>立项!C11</f>
        <v>0</v>
      </c>
      <c r="X192" s="263"/>
      <c r="Y192" s="264">
        <f>立项!C12</f>
        <v>0</v>
      </c>
      <c r="Z192" s="264"/>
    </row>
    <row r="193" s="251" customFormat="1" customHeight="1" spans="1:26">
      <c r="A193" s="268"/>
      <c r="B193" s="260"/>
      <c r="C193" s="261"/>
      <c r="D193" s="261"/>
      <c r="E193" s="262"/>
      <c r="F193" s="262"/>
      <c r="G193" s="264" t="s">
        <v>39</v>
      </c>
      <c r="H193" s="269" t="s">
        <v>159</v>
      </c>
      <c r="I193" s="264" t="s">
        <v>39</v>
      </c>
      <c r="J193" s="269" t="s">
        <v>159</v>
      </c>
      <c r="K193" s="264" t="s">
        <v>39</v>
      </c>
      <c r="L193" s="269" t="s">
        <v>159</v>
      </c>
      <c r="M193" s="264" t="s">
        <v>39</v>
      </c>
      <c r="N193" s="269" t="s">
        <v>159</v>
      </c>
      <c r="O193" s="264" t="s">
        <v>39</v>
      </c>
      <c r="P193" s="269" t="s">
        <v>159</v>
      </c>
      <c r="Q193" s="264" t="s">
        <v>39</v>
      </c>
      <c r="R193" s="269" t="s">
        <v>159</v>
      </c>
      <c r="S193" s="264" t="s">
        <v>39</v>
      </c>
      <c r="T193" s="269" t="s">
        <v>159</v>
      </c>
      <c r="U193" s="264" t="s">
        <v>39</v>
      </c>
      <c r="V193" s="269" t="s">
        <v>159</v>
      </c>
      <c r="W193" s="264" t="s">
        <v>39</v>
      </c>
      <c r="X193" s="269" t="s">
        <v>159</v>
      </c>
      <c r="Y193" s="264" t="s">
        <v>39</v>
      </c>
      <c r="Z193" s="269" t="s">
        <v>159</v>
      </c>
    </row>
    <row r="194" s="251" customFormat="1" customHeight="1" spans="1:26">
      <c r="A194" s="270">
        <v>1</v>
      </c>
      <c r="B194" s="271">
        <f>'人员人工-研发人员工资'!B194</f>
        <v>0</v>
      </c>
      <c r="C194" s="272"/>
      <c r="D194" s="272">
        <f>'人员人工-研发人员工资'!D194</f>
        <v>0</v>
      </c>
      <c r="E194" s="272">
        <f t="shared" ref="E194:E223" si="66">G194+I194+K194+M194+O194+Q194+S194+U194+W194+Y194</f>
        <v>0</v>
      </c>
      <c r="F194" s="272">
        <f t="shared" ref="F194:F223" si="67">H194+J194+L194+N194+P194+R194+T194+V194+X194+Z194</f>
        <v>0</v>
      </c>
      <c r="G194" s="273">
        <f>'人员人工-研发人员工资'!G194</f>
        <v>0</v>
      </c>
      <c r="H194" s="274">
        <f t="shared" ref="H194:H223" si="68">IF($D194=0,0,ROUND(G194/$D194*$C194,2))</f>
        <v>0</v>
      </c>
      <c r="I194" s="273">
        <f>'人员人工-研发人员工资'!I194</f>
        <v>0</v>
      </c>
      <c r="J194" s="274">
        <f t="shared" ref="J194:J223" si="69">IF($D194=0,0,ROUND(I194/$D194*$C194,2))</f>
        <v>0</v>
      </c>
      <c r="K194" s="275">
        <f>'人员人工-研发人员工资'!K194</f>
        <v>0</v>
      </c>
      <c r="L194" s="274">
        <f t="shared" ref="L194:L223" si="70">IF($D194=0,0,ROUND(K194/$D194*$C194,2))</f>
        <v>0</v>
      </c>
      <c r="M194" s="273">
        <f>'人员人工-研发人员工资'!M194</f>
        <v>0</v>
      </c>
      <c r="N194" s="274">
        <f t="shared" ref="N194:N223" si="71">IF($D194=0,0,ROUND(M194/$D194*$C194,2))</f>
        <v>0</v>
      </c>
      <c r="O194" s="273">
        <f>'人员人工-研发人员工资'!O194</f>
        <v>0</v>
      </c>
      <c r="P194" s="274">
        <f t="shared" ref="P194:P223" si="72">IF($D194=0,0,ROUND(O194/$D194*$C194,2))</f>
        <v>0</v>
      </c>
      <c r="Q194" s="273">
        <f>'人员人工-研发人员工资'!Q194</f>
        <v>0</v>
      </c>
      <c r="R194" s="274">
        <f t="shared" ref="R194:R223" si="73">IF($D194=0,0,ROUND(Q194/$D194*$C194,2))</f>
        <v>0</v>
      </c>
      <c r="S194" s="273">
        <f>'人员人工-研发人员工资'!S194</f>
        <v>0</v>
      </c>
      <c r="T194" s="274">
        <f t="shared" ref="T194:T223" si="74">IF($D194=0,0,ROUND(S194/$D194*$C194,2))</f>
        <v>0</v>
      </c>
      <c r="U194" s="273">
        <f>'人员人工-研发人员工资'!U194</f>
        <v>0</v>
      </c>
      <c r="V194" s="274">
        <f t="shared" ref="V194:V223" si="75">IF($D194=0,0,ROUND(U194/$D194*$C194,2))</f>
        <v>0</v>
      </c>
      <c r="W194" s="273">
        <f>'人员人工-研发人员工资'!W194</f>
        <v>0</v>
      </c>
      <c r="X194" s="274">
        <f t="shared" ref="X194:X223" si="76">IF($D194=0,0,ROUND(W194/$D194*$C194,2))</f>
        <v>0</v>
      </c>
      <c r="Y194" s="273">
        <f>'人员人工-研发人员工资'!Y194</f>
        <v>0</v>
      </c>
      <c r="Z194" s="274">
        <f t="shared" ref="Z194:Z223" si="77">IF($D194=0,0,ROUND(Y194/$D194*$C194,2))</f>
        <v>0</v>
      </c>
    </row>
    <row r="195" s="251" customFormat="1" customHeight="1" spans="1:26">
      <c r="A195" s="270">
        <v>2</v>
      </c>
      <c r="B195" s="271">
        <f>'人员人工-研发人员工资'!B195</f>
        <v>0</v>
      </c>
      <c r="C195" s="272"/>
      <c r="D195" s="272">
        <f>'人员人工-研发人员工资'!D195</f>
        <v>0</v>
      </c>
      <c r="E195" s="272">
        <f t="shared" si="66"/>
        <v>0</v>
      </c>
      <c r="F195" s="272">
        <f t="shared" si="67"/>
        <v>0</v>
      </c>
      <c r="G195" s="273">
        <f>'人员人工-研发人员工资'!G195</f>
        <v>0</v>
      </c>
      <c r="H195" s="274">
        <f t="shared" si="68"/>
        <v>0</v>
      </c>
      <c r="I195" s="273">
        <f>'人员人工-研发人员工资'!I195</f>
        <v>0</v>
      </c>
      <c r="J195" s="274">
        <f t="shared" si="69"/>
        <v>0</v>
      </c>
      <c r="K195" s="275">
        <f>'人员人工-研发人员工资'!K195</f>
        <v>0</v>
      </c>
      <c r="L195" s="274">
        <f t="shared" si="70"/>
        <v>0</v>
      </c>
      <c r="M195" s="273">
        <f>'人员人工-研发人员工资'!M195</f>
        <v>0</v>
      </c>
      <c r="N195" s="274">
        <f t="shared" si="71"/>
        <v>0</v>
      </c>
      <c r="O195" s="273">
        <f>'人员人工-研发人员工资'!O195</f>
        <v>0</v>
      </c>
      <c r="P195" s="274">
        <f t="shared" si="72"/>
        <v>0</v>
      </c>
      <c r="Q195" s="273">
        <f>'人员人工-研发人员工资'!Q195</f>
        <v>0</v>
      </c>
      <c r="R195" s="274">
        <f t="shared" si="73"/>
        <v>0</v>
      </c>
      <c r="S195" s="273">
        <f>'人员人工-研发人员工资'!S195</f>
        <v>0</v>
      </c>
      <c r="T195" s="274">
        <f t="shared" si="74"/>
        <v>0</v>
      </c>
      <c r="U195" s="273">
        <f>'人员人工-研发人员工资'!U195</f>
        <v>0</v>
      </c>
      <c r="V195" s="274">
        <f t="shared" si="75"/>
        <v>0</v>
      </c>
      <c r="W195" s="273">
        <f>'人员人工-研发人员工资'!W195</f>
        <v>0</v>
      </c>
      <c r="X195" s="274">
        <f t="shared" si="76"/>
        <v>0</v>
      </c>
      <c r="Y195" s="273">
        <f>'人员人工-研发人员工资'!Y195</f>
        <v>0</v>
      </c>
      <c r="Z195" s="274">
        <f t="shared" si="77"/>
        <v>0</v>
      </c>
    </row>
    <row r="196" s="251" customFormat="1" customHeight="1" spans="1:26">
      <c r="A196" s="270">
        <v>3</v>
      </c>
      <c r="B196" s="271">
        <f>'人员人工-研发人员工资'!B196</f>
        <v>0</v>
      </c>
      <c r="C196" s="272"/>
      <c r="D196" s="272">
        <f>'人员人工-研发人员工资'!D196</f>
        <v>0</v>
      </c>
      <c r="E196" s="272">
        <f t="shared" si="66"/>
        <v>0</v>
      </c>
      <c r="F196" s="272">
        <f t="shared" si="67"/>
        <v>0</v>
      </c>
      <c r="G196" s="273">
        <f>'人员人工-研发人员工资'!G196</f>
        <v>0</v>
      </c>
      <c r="H196" s="274">
        <f t="shared" si="68"/>
        <v>0</v>
      </c>
      <c r="I196" s="273">
        <f>'人员人工-研发人员工资'!I196</f>
        <v>0</v>
      </c>
      <c r="J196" s="274">
        <f t="shared" si="69"/>
        <v>0</v>
      </c>
      <c r="K196" s="275">
        <f>'人员人工-研发人员工资'!K196</f>
        <v>0</v>
      </c>
      <c r="L196" s="274">
        <f t="shared" si="70"/>
        <v>0</v>
      </c>
      <c r="M196" s="273">
        <f>'人员人工-研发人员工资'!M196</f>
        <v>0</v>
      </c>
      <c r="N196" s="274">
        <f t="shared" si="71"/>
        <v>0</v>
      </c>
      <c r="O196" s="273">
        <f>'人员人工-研发人员工资'!O196</f>
        <v>0</v>
      </c>
      <c r="P196" s="274">
        <f t="shared" si="72"/>
        <v>0</v>
      </c>
      <c r="Q196" s="273">
        <f>'人员人工-研发人员工资'!Q196</f>
        <v>0</v>
      </c>
      <c r="R196" s="274">
        <f t="shared" si="73"/>
        <v>0</v>
      </c>
      <c r="S196" s="273">
        <f>'人员人工-研发人员工资'!S196</f>
        <v>0</v>
      </c>
      <c r="T196" s="274">
        <f t="shared" si="74"/>
        <v>0</v>
      </c>
      <c r="U196" s="273">
        <f>'人员人工-研发人员工资'!U196</f>
        <v>0</v>
      </c>
      <c r="V196" s="274">
        <f t="shared" si="75"/>
        <v>0</v>
      </c>
      <c r="W196" s="273">
        <f>'人员人工-研发人员工资'!W196</f>
        <v>0</v>
      </c>
      <c r="X196" s="274">
        <f t="shared" si="76"/>
        <v>0</v>
      </c>
      <c r="Y196" s="273">
        <f>'人员人工-研发人员工资'!Y196</f>
        <v>0</v>
      </c>
      <c r="Z196" s="274">
        <f t="shared" si="77"/>
        <v>0</v>
      </c>
    </row>
    <row r="197" s="251" customFormat="1" customHeight="1" spans="1:26">
      <c r="A197" s="270">
        <v>4</v>
      </c>
      <c r="B197" s="271">
        <f>'人员人工-研发人员工资'!B197</f>
        <v>0</v>
      </c>
      <c r="C197" s="272"/>
      <c r="D197" s="272">
        <f>'人员人工-研发人员工资'!D197</f>
        <v>0</v>
      </c>
      <c r="E197" s="272">
        <f t="shared" si="66"/>
        <v>0</v>
      </c>
      <c r="F197" s="272">
        <f t="shared" si="67"/>
        <v>0</v>
      </c>
      <c r="G197" s="273">
        <f>'人员人工-研发人员工资'!G197</f>
        <v>0</v>
      </c>
      <c r="H197" s="274">
        <f t="shared" si="68"/>
        <v>0</v>
      </c>
      <c r="I197" s="273">
        <f>'人员人工-研发人员工资'!I197</f>
        <v>0</v>
      </c>
      <c r="J197" s="274">
        <f t="shared" si="69"/>
        <v>0</v>
      </c>
      <c r="K197" s="275">
        <f>'人员人工-研发人员工资'!K197</f>
        <v>0</v>
      </c>
      <c r="L197" s="274">
        <f t="shared" si="70"/>
        <v>0</v>
      </c>
      <c r="M197" s="273">
        <f>'人员人工-研发人员工资'!M197</f>
        <v>0</v>
      </c>
      <c r="N197" s="274">
        <f t="shared" si="71"/>
        <v>0</v>
      </c>
      <c r="O197" s="273">
        <f>'人员人工-研发人员工资'!O197</f>
        <v>0</v>
      </c>
      <c r="P197" s="274">
        <f t="shared" si="72"/>
        <v>0</v>
      </c>
      <c r="Q197" s="273">
        <f>'人员人工-研发人员工资'!Q197</f>
        <v>0</v>
      </c>
      <c r="R197" s="274">
        <f t="shared" si="73"/>
        <v>0</v>
      </c>
      <c r="S197" s="273">
        <f>'人员人工-研发人员工资'!S197</f>
        <v>0</v>
      </c>
      <c r="T197" s="274">
        <f t="shared" si="74"/>
        <v>0</v>
      </c>
      <c r="U197" s="273">
        <f>'人员人工-研发人员工资'!U197</f>
        <v>0</v>
      </c>
      <c r="V197" s="274">
        <f t="shared" si="75"/>
        <v>0</v>
      </c>
      <c r="W197" s="273">
        <f>'人员人工-研发人员工资'!W197</f>
        <v>0</v>
      </c>
      <c r="X197" s="274">
        <f t="shared" si="76"/>
        <v>0</v>
      </c>
      <c r="Y197" s="273">
        <f>'人员人工-研发人员工资'!Y197</f>
        <v>0</v>
      </c>
      <c r="Z197" s="274">
        <f t="shared" si="77"/>
        <v>0</v>
      </c>
    </row>
    <row r="198" s="251" customFormat="1" customHeight="1" spans="1:26">
      <c r="A198" s="270">
        <v>5</v>
      </c>
      <c r="B198" s="271">
        <f>'人员人工-研发人员工资'!B198</f>
        <v>0</v>
      </c>
      <c r="C198" s="272"/>
      <c r="D198" s="272">
        <f>'人员人工-研发人员工资'!D198</f>
        <v>0</v>
      </c>
      <c r="E198" s="272">
        <f t="shared" si="66"/>
        <v>0</v>
      </c>
      <c r="F198" s="272">
        <f t="shared" si="67"/>
        <v>0</v>
      </c>
      <c r="G198" s="273">
        <f>'人员人工-研发人员工资'!G198</f>
        <v>0</v>
      </c>
      <c r="H198" s="274">
        <f t="shared" si="68"/>
        <v>0</v>
      </c>
      <c r="I198" s="273">
        <f>'人员人工-研发人员工资'!I198</f>
        <v>0</v>
      </c>
      <c r="J198" s="274">
        <f t="shared" si="69"/>
        <v>0</v>
      </c>
      <c r="K198" s="275">
        <f>'人员人工-研发人员工资'!K198</f>
        <v>0</v>
      </c>
      <c r="L198" s="274">
        <f t="shared" si="70"/>
        <v>0</v>
      </c>
      <c r="M198" s="273">
        <f>'人员人工-研发人员工资'!M198</f>
        <v>0</v>
      </c>
      <c r="N198" s="274">
        <f t="shared" si="71"/>
        <v>0</v>
      </c>
      <c r="O198" s="273">
        <f>'人员人工-研发人员工资'!O198</f>
        <v>0</v>
      </c>
      <c r="P198" s="274">
        <f t="shared" si="72"/>
        <v>0</v>
      </c>
      <c r="Q198" s="273">
        <f>'人员人工-研发人员工资'!Q198</f>
        <v>0</v>
      </c>
      <c r="R198" s="274">
        <f t="shared" si="73"/>
        <v>0</v>
      </c>
      <c r="S198" s="273">
        <f>'人员人工-研发人员工资'!S198</f>
        <v>0</v>
      </c>
      <c r="T198" s="274">
        <f t="shared" si="74"/>
        <v>0</v>
      </c>
      <c r="U198" s="273">
        <f>'人员人工-研发人员工资'!U198</f>
        <v>0</v>
      </c>
      <c r="V198" s="274">
        <f t="shared" si="75"/>
        <v>0</v>
      </c>
      <c r="W198" s="273">
        <f>'人员人工-研发人员工资'!W198</f>
        <v>0</v>
      </c>
      <c r="X198" s="274">
        <f t="shared" si="76"/>
        <v>0</v>
      </c>
      <c r="Y198" s="273">
        <f>'人员人工-研发人员工资'!Y198</f>
        <v>0</v>
      </c>
      <c r="Z198" s="274">
        <f t="shared" si="77"/>
        <v>0</v>
      </c>
    </row>
    <row r="199" s="251" customFormat="1" customHeight="1" spans="1:26">
      <c r="A199" s="270">
        <v>6</v>
      </c>
      <c r="B199" s="271">
        <f>'人员人工-研发人员工资'!B199</f>
        <v>0</v>
      </c>
      <c r="C199" s="274"/>
      <c r="D199" s="272">
        <f>'人员人工-研发人员工资'!D199</f>
        <v>0</v>
      </c>
      <c r="E199" s="272">
        <f t="shared" si="66"/>
        <v>0</v>
      </c>
      <c r="F199" s="272">
        <f t="shared" si="67"/>
        <v>0</v>
      </c>
      <c r="G199" s="273">
        <f>'人员人工-研发人员工资'!G199</f>
        <v>0</v>
      </c>
      <c r="H199" s="274">
        <f t="shared" si="68"/>
        <v>0</v>
      </c>
      <c r="I199" s="273">
        <f>'人员人工-研发人员工资'!I199</f>
        <v>0</v>
      </c>
      <c r="J199" s="274">
        <f t="shared" si="69"/>
        <v>0</v>
      </c>
      <c r="K199" s="275">
        <f>'人员人工-研发人员工资'!K199</f>
        <v>0</v>
      </c>
      <c r="L199" s="274">
        <f t="shared" si="70"/>
        <v>0</v>
      </c>
      <c r="M199" s="273">
        <f>'人员人工-研发人员工资'!M199</f>
        <v>0</v>
      </c>
      <c r="N199" s="274">
        <f t="shared" si="71"/>
        <v>0</v>
      </c>
      <c r="O199" s="273">
        <f>'人员人工-研发人员工资'!O199</f>
        <v>0</v>
      </c>
      <c r="P199" s="274">
        <f t="shared" si="72"/>
        <v>0</v>
      </c>
      <c r="Q199" s="273">
        <f>'人员人工-研发人员工资'!Q199</f>
        <v>0</v>
      </c>
      <c r="R199" s="274">
        <f t="shared" si="73"/>
        <v>0</v>
      </c>
      <c r="S199" s="273">
        <f>'人员人工-研发人员工资'!S199</f>
        <v>0</v>
      </c>
      <c r="T199" s="274">
        <f t="shared" si="74"/>
        <v>0</v>
      </c>
      <c r="U199" s="273">
        <f>'人员人工-研发人员工资'!U199</f>
        <v>0</v>
      </c>
      <c r="V199" s="274">
        <f t="shared" si="75"/>
        <v>0</v>
      </c>
      <c r="W199" s="273">
        <f>'人员人工-研发人员工资'!W199</f>
        <v>0</v>
      </c>
      <c r="X199" s="274">
        <f t="shared" si="76"/>
        <v>0</v>
      </c>
      <c r="Y199" s="273">
        <f>'人员人工-研发人员工资'!Y199</f>
        <v>0</v>
      </c>
      <c r="Z199" s="274">
        <f t="shared" si="77"/>
        <v>0</v>
      </c>
    </row>
    <row r="200" s="251" customFormat="1" customHeight="1" spans="1:26">
      <c r="A200" s="270">
        <v>7</v>
      </c>
      <c r="B200" s="271">
        <f>'人员人工-研发人员工资'!B200</f>
        <v>0</v>
      </c>
      <c r="C200" s="274"/>
      <c r="D200" s="272">
        <f>'人员人工-研发人员工资'!D200</f>
        <v>0</v>
      </c>
      <c r="E200" s="272">
        <f t="shared" si="66"/>
        <v>0</v>
      </c>
      <c r="F200" s="272">
        <f t="shared" si="67"/>
        <v>0</v>
      </c>
      <c r="G200" s="273">
        <f>'人员人工-研发人员工资'!G200</f>
        <v>0</v>
      </c>
      <c r="H200" s="274">
        <f t="shared" si="68"/>
        <v>0</v>
      </c>
      <c r="I200" s="273">
        <f>'人员人工-研发人员工资'!I200</f>
        <v>0</v>
      </c>
      <c r="J200" s="274">
        <f t="shared" si="69"/>
        <v>0</v>
      </c>
      <c r="K200" s="275">
        <f>'人员人工-研发人员工资'!K200</f>
        <v>0</v>
      </c>
      <c r="L200" s="274">
        <f t="shared" si="70"/>
        <v>0</v>
      </c>
      <c r="M200" s="273">
        <f>'人员人工-研发人员工资'!M200</f>
        <v>0</v>
      </c>
      <c r="N200" s="274">
        <f t="shared" si="71"/>
        <v>0</v>
      </c>
      <c r="O200" s="273">
        <f>'人员人工-研发人员工资'!O200</f>
        <v>0</v>
      </c>
      <c r="P200" s="274">
        <f t="shared" si="72"/>
        <v>0</v>
      </c>
      <c r="Q200" s="273">
        <f>'人员人工-研发人员工资'!Q200</f>
        <v>0</v>
      </c>
      <c r="R200" s="274">
        <f t="shared" si="73"/>
        <v>0</v>
      </c>
      <c r="S200" s="273">
        <f>'人员人工-研发人员工资'!S200</f>
        <v>0</v>
      </c>
      <c r="T200" s="274">
        <f t="shared" si="74"/>
        <v>0</v>
      </c>
      <c r="U200" s="273">
        <f>'人员人工-研发人员工资'!U200</f>
        <v>0</v>
      </c>
      <c r="V200" s="274">
        <f t="shared" si="75"/>
        <v>0</v>
      </c>
      <c r="W200" s="273">
        <f>'人员人工-研发人员工资'!W200</f>
        <v>0</v>
      </c>
      <c r="X200" s="274">
        <f t="shared" si="76"/>
        <v>0</v>
      </c>
      <c r="Y200" s="273">
        <f>'人员人工-研发人员工资'!Y200</f>
        <v>0</v>
      </c>
      <c r="Z200" s="274">
        <f t="shared" si="77"/>
        <v>0</v>
      </c>
    </row>
    <row r="201" s="251" customFormat="1" customHeight="1" spans="1:26">
      <c r="A201" s="270">
        <v>8</v>
      </c>
      <c r="B201" s="271">
        <f>'人员人工-研发人员工资'!B201</f>
        <v>0</v>
      </c>
      <c r="C201" s="274"/>
      <c r="D201" s="272">
        <f>'人员人工-研发人员工资'!D201</f>
        <v>0</v>
      </c>
      <c r="E201" s="272">
        <f t="shared" si="66"/>
        <v>0</v>
      </c>
      <c r="F201" s="272">
        <f t="shared" si="67"/>
        <v>0</v>
      </c>
      <c r="G201" s="273">
        <f>'人员人工-研发人员工资'!G201</f>
        <v>0</v>
      </c>
      <c r="H201" s="274">
        <f t="shared" si="68"/>
        <v>0</v>
      </c>
      <c r="I201" s="273">
        <f>'人员人工-研发人员工资'!I201</f>
        <v>0</v>
      </c>
      <c r="J201" s="274">
        <f t="shared" si="69"/>
        <v>0</v>
      </c>
      <c r="K201" s="275">
        <f>'人员人工-研发人员工资'!K201</f>
        <v>0</v>
      </c>
      <c r="L201" s="274">
        <f t="shared" si="70"/>
        <v>0</v>
      </c>
      <c r="M201" s="273">
        <f>'人员人工-研发人员工资'!M201</f>
        <v>0</v>
      </c>
      <c r="N201" s="274">
        <f t="shared" si="71"/>
        <v>0</v>
      </c>
      <c r="O201" s="273">
        <f>'人员人工-研发人员工资'!O201</f>
        <v>0</v>
      </c>
      <c r="P201" s="274">
        <f t="shared" si="72"/>
        <v>0</v>
      </c>
      <c r="Q201" s="273">
        <f>'人员人工-研发人员工资'!Q201</f>
        <v>0</v>
      </c>
      <c r="R201" s="274">
        <f t="shared" si="73"/>
        <v>0</v>
      </c>
      <c r="S201" s="273">
        <f>'人员人工-研发人员工资'!S201</f>
        <v>0</v>
      </c>
      <c r="T201" s="274">
        <f t="shared" si="74"/>
        <v>0</v>
      </c>
      <c r="U201" s="273">
        <f>'人员人工-研发人员工资'!U201</f>
        <v>0</v>
      </c>
      <c r="V201" s="274">
        <f t="shared" si="75"/>
        <v>0</v>
      </c>
      <c r="W201" s="273">
        <f>'人员人工-研发人员工资'!W201</f>
        <v>0</v>
      </c>
      <c r="X201" s="274">
        <f t="shared" si="76"/>
        <v>0</v>
      </c>
      <c r="Y201" s="273">
        <f>'人员人工-研发人员工资'!Y201</f>
        <v>0</v>
      </c>
      <c r="Z201" s="274">
        <f t="shared" si="77"/>
        <v>0</v>
      </c>
    </row>
    <row r="202" s="251" customFormat="1" customHeight="1" spans="1:26">
      <c r="A202" s="270">
        <v>9</v>
      </c>
      <c r="B202" s="271">
        <f>'人员人工-研发人员工资'!B202</f>
        <v>0</v>
      </c>
      <c r="C202" s="274"/>
      <c r="D202" s="272">
        <f>'人员人工-研发人员工资'!D202</f>
        <v>0</v>
      </c>
      <c r="E202" s="272">
        <f t="shared" si="66"/>
        <v>0</v>
      </c>
      <c r="F202" s="272">
        <f t="shared" si="67"/>
        <v>0</v>
      </c>
      <c r="G202" s="273">
        <f>'人员人工-研发人员工资'!G202</f>
        <v>0</v>
      </c>
      <c r="H202" s="274">
        <f t="shared" si="68"/>
        <v>0</v>
      </c>
      <c r="I202" s="273">
        <f>'人员人工-研发人员工资'!I202</f>
        <v>0</v>
      </c>
      <c r="J202" s="274">
        <f t="shared" si="69"/>
        <v>0</v>
      </c>
      <c r="K202" s="275">
        <f>'人员人工-研发人员工资'!K202</f>
        <v>0</v>
      </c>
      <c r="L202" s="274">
        <f t="shared" si="70"/>
        <v>0</v>
      </c>
      <c r="M202" s="273">
        <f>'人员人工-研发人员工资'!M202</f>
        <v>0</v>
      </c>
      <c r="N202" s="274">
        <f t="shared" si="71"/>
        <v>0</v>
      </c>
      <c r="O202" s="273">
        <f>'人员人工-研发人员工资'!O202</f>
        <v>0</v>
      </c>
      <c r="P202" s="274">
        <f t="shared" si="72"/>
        <v>0</v>
      </c>
      <c r="Q202" s="273">
        <f>'人员人工-研发人员工资'!Q202</f>
        <v>0</v>
      </c>
      <c r="R202" s="274">
        <f t="shared" si="73"/>
        <v>0</v>
      </c>
      <c r="S202" s="273">
        <f>'人员人工-研发人员工资'!S202</f>
        <v>0</v>
      </c>
      <c r="T202" s="274">
        <f t="shared" si="74"/>
        <v>0</v>
      </c>
      <c r="U202" s="273">
        <f>'人员人工-研发人员工资'!U202</f>
        <v>0</v>
      </c>
      <c r="V202" s="274">
        <f t="shared" si="75"/>
        <v>0</v>
      </c>
      <c r="W202" s="273">
        <f>'人员人工-研发人员工资'!W202</f>
        <v>0</v>
      </c>
      <c r="X202" s="274">
        <f t="shared" si="76"/>
        <v>0</v>
      </c>
      <c r="Y202" s="273">
        <f>'人员人工-研发人员工资'!Y202</f>
        <v>0</v>
      </c>
      <c r="Z202" s="274">
        <f t="shared" si="77"/>
        <v>0</v>
      </c>
    </row>
    <row r="203" s="251" customFormat="1" customHeight="1" spans="1:26">
      <c r="A203" s="270">
        <v>10</v>
      </c>
      <c r="B203" s="271">
        <f>'人员人工-研发人员工资'!B203</f>
        <v>0</v>
      </c>
      <c r="C203" s="274"/>
      <c r="D203" s="272">
        <f>'人员人工-研发人员工资'!D203</f>
        <v>0</v>
      </c>
      <c r="E203" s="272">
        <f t="shared" si="66"/>
        <v>0</v>
      </c>
      <c r="F203" s="272">
        <f t="shared" si="67"/>
        <v>0</v>
      </c>
      <c r="G203" s="273">
        <f>'人员人工-研发人员工资'!G203</f>
        <v>0</v>
      </c>
      <c r="H203" s="274">
        <f t="shared" si="68"/>
        <v>0</v>
      </c>
      <c r="I203" s="273">
        <f>'人员人工-研发人员工资'!I203</f>
        <v>0</v>
      </c>
      <c r="J203" s="274">
        <f t="shared" si="69"/>
        <v>0</v>
      </c>
      <c r="K203" s="275">
        <f>'人员人工-研发人员工资'!K203</f>
        <v>0</v>
      </c>
      <c r="L203" s="274">
        <f t="shared" si="70"/>
        <v>0</v>
      </c>
      <c r="M203" s="273">
        <f>'人员人工-研发人员工资'!M203</f>
        <v>0</v>
      </c>
      <c r="N203" s="274">
        <f t="shared" si="71"/>
        <v>0</v>
      </c>
      <c r="O203" s="273">
        <f>'人员人工-研发人员工资'!O203</f>
        <v>0</v>
      </c>
      <c r="P203" s="274">
        <f t="shared" si="72"/>
        <v>0</v>
      </c>
      <c r="Q203" s="273">
        <f>'人员人工-研发人员工资'!Q203</f>
        <v>0</v>
      </c>
      <c r="R203" s="274">
        <f t="shared" si="73"/>
        <v>0</v>
      </c>
      <c r="S203" s="273">
        <f>'人员人工-研发人员工资'!S203</f>
        <v>0</v>
      </c>
      <c r="T203" s="274">
        <f t="shared" si="74"/>
        <v>0</v>
      </c>
      <c r="U203" s="273">
        <f>'人员人工-研发人员工资'!U203</f>
        <v>0</v>
      </c>
      <c r="V203" s="274">
        <f t="shared" si="75"/>
        <v>0</v>
      </c>
      <c r="W203" s="273">
        <f>'人员人工-研发人员工资'!W203</f>
        <v>0</v>
      </c>
      <c r="X203" s="274">
        <f t="shared" si="76"/>
        <v>0</v>
      </c>
      <c r="Y203" s="273">
        <f>'人员人工-研发人员工资'!Y203</f>
        <v>0</v>
      </c>
      <c r="Z203" s="274">
        <f t="shared" si="77"/>
        <v>0</v>
      </c>
    </row>
    <row r="204" s="251" customFormat="1" customHeight="1" spans="1:26">
      <c r="A204" s="270">
        <v>11</v>
      </c>
      <c r="B204" s="271">
        <f>'人员人工-研发人员工资'!B204</f>
        <v>0</v>
      </c>
      <c r="C204" s="274"/>
      <c r="D204" s="272">
        <f>'人员人工-研发人员工资'!D204</f>
        <v>0</v>
      </c>
      <c r="E204" s="272">
        <f t="shared" si="66"/>
        <v>0</v>
      </c>
      <c r="F204" s="272">
        <f t="shared" si="67"/>
        <v>0</v>
      </c>
      <c r="G204" s="273">
        <f>'人员人工-研发人员工资'!G204</f>
        <v>0</v>
      </c>
      <c r="H204" s="274">
        <f t="shared" si="68"/>
        <v>0</v>
      </c>
      <c r="I204" s="273">
        <f>'人员人工-研发人员工资'!I204</f>
        <v>0</v>
      </c>
      <c r="J204" s="274">
        <f t="shared" si="69"/>
        <v>0</v>
      </c>
      <c r="K204" s="275">
        <f>'人员人工-研发人员工资'!K204</f>
        <v>0</v>
      </c>
      <c r="L204" s="274">
        <f t="shared" si="70"/>
        <v>0</v>
      </c>
      <c r="M204" s="273">
        <f>'人员人工-研发人员工资'!M204</f>
        <v>0</v>
      </c>
      <c r="N204" s="274">
        <f t="shared" si="71"/>
        <v>0</v>
      </c>
      <c r="O204" s="273">
        <f>'人员人工-研发人员工资'!O204</f>
        <v>0</v>
      </c>
      <c r="P204" s="274">
        <f t="shared" si="72"/>
        <v>0</v>
      </c>
      <c r="Q204" s="273">
        <f>'人员人工-研发人员工资'!Q204</f>
        <v>0</v>
      </c>
      <c r="R204" s="274">
        <f t="shared" si="73"/>
        <v>0</v>
      </c>
      <c r="S204" s="273">
        <f>'人员人工-研发人员工资'!S204</f>
        <v>0</v>
      </c>
      <c r="T204" s="274">
        <f t="shared" si="74"/>
        <v>0</v>
      </c>
      <c r="U204" s="273">
        <f>'人员人工-研发人员工资'!U204</f>
        <v>0</v>
      </c>
      <c r="V204" s="274">
        <f t="shared" si="75"/>
        <v>0</v>
      </c>
      <c r="W204" s="273">
        <f>'人员人工-研发人员工资'!W204</f>
        <v>0</v>
      </c>
      <c r="X204" s="274">
        <f t="shared" si="76"/>
        <v>0</v>
      </c>
      <c r="Y204" s="273">
        <f>'人员人工-研发人员工资'!Y204</f>
        <v>0</v>
      </c>
      <c r="Z204" s="274">
        <f t="shared" si="77"/>
        <v>0</v>
      </c>
    </row>
    <row r="205" s="251" customFormat="1" customHeight="1" spans="1:26">
      <c r="A205" s="270">
        <v>12</v>
      </c>
      <c r="B205" s="271">
        <f>'人员人工-研发人员工资'!B205</f>
        <v>0</v>
      </c>
      <c r="C205" s="274"/>
      <c r="D205" s="272">
        <f>'人员人工-研发人员工资'!D205</f>
        <v>0</v>
      </c>
      <c r="E205" s="272">
        <f t="shared" si="66"/>
        <v>0</v>
      </c>
      <c r="F205" s="272">
        <f t="shared" si="67"/>
        <v>0</v>
      </c>
      <c r="G205" s="273">
        <f>'人员人工-研发人员工资'!G205</f>
        <v>0</v>
      </c>
      <c r="H205" s="274">
        <f t="shared" si="68"/>
        <v>0</v>
      </c>
      <c r="I205" s="273">
        <f>'人员人工-研发人员工资'!I205</f>
        <v>0</v>
      </c>
      <c r="J205" s="274">
        <f t="shared" si="69"/>
        <v>0</v>
      </c>
      <c r="K205" s="275">
        <f>'人员人工-研发人员工资'!K205</f>
        <v>0</v>
      </c>
      <c r="L205" s="274">
        <f t="shared" si="70"/>
        <v>0</v>
      </c>
      <c r="M205" s="273">
        <f>'人员人工-研发人员工资'!M205</f>
        <v>0</v>
      </c>
      <c r="N205" s="274">
        <f t="shared" si="71"/>
        <v>0</v>
      </c>
      <c r="O205" s="273">
        <f>'人员人工-研发人员工资'!O205</f>
        <v>0</v>
      </c>
      <c r="P205" s="274">
        <f t="shared" si="72"/>
        <v>0</v>
      </c>
      <c r="Q205" s="273">
        <f>'人员人工-研发人员工资'!Q205</f>
        <v>0</v>
      </c>
      <c r="R205" s="274">
        <f t="shared" si="73"/>
        <v>0</v>
      </c>
      <c r="S205" s="273">
        <f>'人员人工-研发人员工资'!S205</f>
        <v>0</v>
      </c>
      <c r="T205" s="274">
        <f t="shared" si="74"/>
        <v>0</v>
      </c>
      <c r="U205" s="273">
        <f>'人员人工-研发人员工资'!U205</f>
        <v>0</v>
      </c>
      <c r="V205" s="274">
        <f t="shared" si="75"/>
        <v>0</v>
      </c>
      <c r="W205" s="273">
        <f>'人员人工-研发人员工资'!W205</f>
        <v>0</v>
      </c>
      <c r="X205" s="274">
        <f t="shared" si="76"/>
        <v>0</v>
      </c>
      <c r="Y205" s="273">
        <f>'人员人工-研发人员工资'!Y205</f>
        <v>0</v>
      </c>
      <c r="Z205" s="274">
        <f t="shared" si="77"/>
        <v>0</v>
      </c>
    </row>
    <row r="206" s="251" customFormat="1" customHeight="1" spans="1:26">
      <c r="A206" s="270">
        <v>13</v>
      </c>
      <c r="B206" s="271">
        <f>'人员人工-研发人员工资'!B206</f>
        <v>0</v>
      </c>
      <c r="C206" s="274"/>
      <c r="D206" s="272">
        <f>'人员人工-研发人员工资'!D206</f>
        <v>0</v>
      </c>
      <c r="E206" s="272">
        <f t="shared" si="66"/>
        <v>0</v>
      </c>
      <c r="F206" s="272">
        <f t="shared" si="67"/>
        <v>0</v>
      </c>
      <c r="G206" s="273">
        <f>'人员人工-研发人员工资'!G206</f>
        <v>0</v>
      </c>
      <c r="H206" s="274">
        <f t="shared" si="68"/>
        <v>0</v>
      </c>
      <c r="I206" s="273">
        <f>'人员人工-研发人员工资'!I206</f>
        <v>0</v>
      </c>
      <c r="J206" s="274">
        <f t="shared" si="69"/>
        <v>0</v>
      </c>
      <c r="K206" s="275">
        <f>'人员人工-研发人员工资'!K206</f>
        <v>0</v>
      </c>
      <c r="L206" s="274">
        <f t="shared" si="70"/>
        <v>0</v>
      </c>
      <c r="M206" s="273">
        <f>'人员人工-研发人员工资'!M206</f>
        <v>0</v>
      </c>
      <c r="N206" s="274">
        <f t="shared" si="71"/>
        <v>0</v>
      </c>
      <c r="O206" s="273">
        <f>'人员人工-研发人员工资'!O206</f>
        <v>0</v>
      </c>
      <c r="P206" s="274">
        <f t="shared" si="72"/>
        <v>0</v>
      </c>
      <c r="Q206" s="273">
        <f>'人员人工-研发人员工资'!Q206</f>
        <v>0</v>
      </c>
      <c r="R206" s="274">
        <f t="shared" si="73"/>
        <v>0</v>
      </c>
      <c r="S206" s="273">
        <f>'人员人工-研发人员工资'!S206</f>
        <v>0</v>
      </c>
      <c r="T206" s="274">
        <f t="shared" si="74"/>
        <v>0</v>
      </c>
      <c r="U206" s="273">
        <f>'人员人工-研发人员工资'!U206</f>
        <v>0</v>
      </c>
      <c r="V206" s="274">
        <f t="shared" si="75"/>
        <v>0</v>
      </c>
      <c r="W206" s="273">
        <f>'人员人工-研发人员工资'!W206</f>
        <v>0</v>
      </c>
      <c r="X206" s="274">
        <f t="shared" si="76"/>
        <v>0</v>
      </c>
      <c r="Y206" s="273">
        <f>'人员人工-研发人员工资'!Y206</f>
        <v>0</v>
      </c>
      <c r="Z206" s="274">
        <f t="shared" si="77"/>
        <v>0</v>
      </c>
    </row>
    <row r="207" s="251" customFormat="1" customHeight="1" spans="1:26">
      <c r="A207" s="270">
        <v>14</v>
      </c>
      <c r="B207" s="271">
        <f>'人员人工-研发人员工资'!B207</f>
        <v>0</v>
      </c>
      <c r="C207" s="274"/>
      <c r="D207" s="272">
        <f>'人员人工-研发人员工资'!D207</f>
        <v>0</v>
      </c>
      <c r="E207" s="272">
        <f t="shared" si="66"/>
        <v>0</v>
      </c>
      <c r="F207" s="272">
        <f t="shared" si="67"/>
        <v>0</v>
      </c>
      <c r="G207" s="273">
        <f>'人员人工-研发人员工资'!G207</f>
        <v>0</v>
      </c>
      <c r="H207" s="274">
        <f t="shared" si="68"/>
        <v>0</v>
      </c>
      <c r="I207" s="273">
        <f>'人员人工-研发人员工资'!I207</f>
        <v>0</v>
      </c>
      <c r="J207" s="274">
        <f t="shared" si="69"/>
        <v>0</v>
      </c>
      <c r="K207" s="275">
        <f>'人员人工-研发人员工资'!K207</f>
        <v>0</v>
      </c>
      <c r="L207" s="274">
        <f t="shared" si="70"/>
        <v>0</v>
      </c>
      <c r="M207" s="273">
        <f>'人员人工-研发人员工资'!M207</f>
        <v>0</v>
      </c>
      <c r="N207" s="274">
        <f t="shared" si="71"/>
        <v>0</v>
      </c>
      <c r="O207" s="273">
        <f>'人员人工-研发人员工资'!O207</f>
        <v>0</v>
      </c>
      <c r="P207" s="274">
        <f t="shared" si="72"/>
        <v>0</v>
      </c>
      <c r="Q207" s="273">
        <f>'人员人工-研发人员工资'!Q207</f>
        <v>0</v>
      </c>
      <c r="R207" s="274">
        <f t="shared" si="73"/>
        <v>0</v>
      </c>
      <c r="S207" s="273">
        <f>'人员人工-研发人员工资'!S207</f>
        <v>0</v>
      </c>
      <c r="T207" s="274">
        <f t="shared" si="74"/>
        <v>0</v>
      </c>
      <c r="U207" s="273">
        <f>'人员人工-研发人员工资'!U207</f>
        <v>0</v>
      </c>
      <c r="V207" s="274">
        <f t="shared" si="75"/>
        <v>0</v>
      </c>
      <c r="W207" s="273">
        <f>'人员人工-研发人员工资'!W207</f>
        <v>0</v>
      </c>
      <c r="X207" s="274">
        <f t="shared" si="76"/>
        <v>0</v>
      </c>
      <c r="Y207" s="273">
        <f>'人员人工-研发人员工资'!Y207</f>
        <v>0</v>
      </c>
      <c r="Z207" s="274">
        <f t="shared" si="77"/>
        <v>0</v>
      </c>
    </row>
    <row r="208" s="251" customFormat="1" customHeight="1" spans="1:26">
      <c r="A208" s="270">
        <v>15</v>
      </c>
      <c r="B208" s="271">
        <f>'人员人工-研发人员工资'!B208</f>
        <v>0</v>
      </c>
      <c r="C208" s="274"/>
      <c r="D208" s="272">
        <f>'人员人工-研发人员工资'!D208</f>
        <v>0</v>
      </c>
      <c r="E208" s="272">
        <f t="shared" si="66"/>
        <v>0</v>
      </c>
      <c r="F208" s="272">
        <f t="shared" si="67"/>
        <v>0</v>
      </c>
      <c r="G208" s="273">
        <f>'人员人工-研发人员工资'!G208</f>
        <v>0</v>
      </c>
      <c r="H208" s="274">
        <f t="shared" si="68"/>
        <v>0</v>
      </c>
      <c r="I208" s="273">
        <f>'人员人工-研发人员工资'!I208</f>
        <v>0</v>
      </c>
      <c r="J208" s="274">
        <f t="shared" si="69"/>
        <v>0</v>
      </c>
      <c r="K208" s="275">
        <f>'人员人工-研发人员工资'!K208</f>
        <v>0</v>
      </c>
      <c r="L208" s="274">
        <f t="shared" si="70"/>
        <v>0</v>
      </c>
      <c r="M208" s="273">
        <f>'人员人工-研发人员工资'!M208</f>
        <v>0</v>
      </c>
      <c r="N208" s="274">
        <f t="shared" si="71"/>
        <v>0</v>
      </c>
      <c r="O208" s="273">
        <f>'人员人工-研发人员工资'!O208</f>
        <v>0</v>
      </c>
      <c r="P208" s="274">
        <f t="shared" si="72"/>
        <v>0</v>
      </c>
      <c r="Q208" s="273">
        <f>'人员人工-研发人员工资'!Q208</f>
        <v>0</v>
      </c>
      <c r="R208" s="274">
        <f t="shared" si="73"/>
        <v>0</v>
      </c>
      <c r="S208" s="273">
        <f>'人员人工-研发人员工资'!S208</f>
        <v>0</v>
      </c>
      <c r="T208" s="274">
        <f t="shared" si="74"/>
        <v>0</v>
      </c>
      <c r="U208" s="273">
        <f>'人员人工-研发人员工资'!U208</f>
        <v>0</v>
      </c>
      <c r="V208" s="274">
        <f t="shared" si="75"/>
        <v>0</v>
      </c>
      <c r="W208" s="273">
        <f>'人员人工-研发人员工资'!W208</f>
        <v>0</v>
      </c>
      <c r="X208" s="274">
        <f t="shared" si="76"/>
        <v>0</v>
      </c>
      <c r="Y208" s="273">
        <f>'人员人工-研发人员工资'!Y208</f>
        <v>0</v>
      </c>
      <c r="Z208" s="274">
        <f t="shared" si="77"/>
        <v>0</v>
      </c>
    </row>
    <row r="209" s="251" customFormat="1" customHeight="1" spans="1:26">
      <c r="A209" s="270">
        <v>16</v>
      </c>
      <c r="B209" s="271">
        <f>'人员人工-研发人员工资'!B209</f>
        <v>0</v>
      </c>
      <c r="C209" s="274"/>
      <c r="D209" s="272">
        <f>'人员人工-研发人员工资'!D209</f>
        <v>0</v>
      </c>
      <c r="E209" s="272">
        <f t="shared" si="66"/>
        <v>0</v>
      </c>
      <c r="F209" s="272">
        <f t="shared" si="67"/>
        <v>0</v>
      </c>
      <c r="G209" s="273">
        <f>'人员人工-研发人员工资'!G209</f>
        <v>0</v>
      </c>
      <c r="H209" s="274">
        <f t="shared" si="68"/>
        <v>0</v>
      </c>
      <c r="I209" s="273">
        <f>'人员人工-研发人员工资'!I209</f>
        <v>0</v>
      </c>
      <c r="J209" s="274">
        <f t="shared" si="69"/>
        <v>0</v>
      </c>
      <c r="K209" s="275">
        <f>'人员人工-研发人员工资'!K209</f>
        <v>0</v>
      </c>
      <c r="L209" s="274">
        <f t="shared" si="70"/>
        <v>0</v>
      </c>
      <c r="M209" s="273">
        <f>'人员人工-研发人员工资'!M209</f>
        <v>0</v>
      </c>
      <c r="N209" s="274">
        <f t="shared" si="71"/>
        <v>0</v>
      </c>
      <c r="O209" s="273">
        <f>'人员人工-研发人员工资'!O209</f>
        <v>0</v>
      </c>
      <c r="P209" s="274">
        <f t="shared" si="72"/>
        <v>0</v>
      </c>
      <c r="Q209" s="273">
        <f>'人员人工-研发人员工资'!Q209</f>
        <v>0</v>
      </c>
      <c r="R209" s="274">
        <f t="shared" si="73"/>
        <v>0</v>
      </c>
      <c r="S209" s="273">
        <f>'人员人工-研发人员工资'!S209</f>
        <v>0</v>
      </c>
      <c r="T209" s="274">
        <f t="shared" si="74"/>
        <v>0</v>
      </c>
      <c r="U209" s="273">
        <f>'人员人工-研发人员工资'!U209</f>
        <v>0</v>
      </c>
      <c r="V209" s="274">
        <f t="shared" si="75"/>
        <v>0</v>
      </c>
      <c r="W209" s="273">
        <f>'人员人工-研发人员工资'!W209</f>
        <v>0</v>
      </c>
      <c r="X209" s="274">
        <f t="shared" si="76"/>
        <v>0</v>
      </c>
      <c r="Y209" s="273">
        <f>'人员人工-研发人员工资'!Y209</f>
        <v>0</v>
      </c>
      <c r="Z209" s="274">
        <f t="shared" si="77"/>
        <v>0</v>
      </c>
    </row>
    <row r="210" s="251" customFormat="1" customHeight="1" spans="1:26">
      <c r="A210" s="270">
        <v>17</v>
      </c>
      <c r="B210" s="271">
        <f>'人员人工-研发人员工资'!B210</f>
        <v>0</v>
      </c>
      <c r="C210" s="274"/>
      <c r="D210" s="272">
        <f>'人员人工-研发人员工资'!D210</f>
        <v>0</v>
      </c>
      <c r="E210" s="272">
        <f t="shared" si="66"/>
        <v>0</v>
      </c>
      <c r="F210" s="272">
        <f t="shared" si="67"/>
        <v>0</v>
      </c>
      <c r="G210" s="273">
        <f>'人员人工-研发人员工资'!G210</f>
        <v>0</v>
      </c>
      <c r="H210" s="274">
        <f t="shared" si="68"/>
        <v>0</v>
      </c>
      <c r="I210" s="273">
        <f>'人员人工-研发人员工资'!I210</f>
        <v>0</v>
      </c>
      <c r="J210" s="274">
        <f t="shared" si="69"/>
        <v>0</v>
      </c>
      <c r="K210" s="275">
        <f>'人员人工-研发人员工资'!K210</f>
        <v>0</v>
      </c>
      <c r="L210" s="274">
        <f t="shared" si="70"/>
        <v>0</v>
      </c>
      <c r="M210" s="273">
        <f>'人员人工-研发人员工资'!M210</f>
        <v>0</v>
      </c>
      <c r="N210" s="274">
        <f t="shared" si="71"/>
        <v>0</v>
      </c>
      <c r="O210" s="273">
        <f>'人员人工-研发人员工资'!O210</f>
        <v>0</v>
      </c>
      <c r="P210" s="274">
        <f t="shared" si="72"/>
        <v>0</v>
      </c>
      <c r="Q210" s="273">
        <f>'人员人工-研发人员工资'!Q210</f>
        <v>0</v>
      </c>
      <c r="R210" s="274">
        <f t="shared" si="73"/>
        <v>0</v>
      </c>
      <c r="S210" s="273">
        <f>'人员人工-研发人员工资'!S210</f>
        <v>0</v>
      </c>
      <c r="T210" s="274">
        <f t="shared" si="74"/>
        <v>0</v>
      </c>
      <c r="U210" s="273">
        <f>'人员人工-研发人员工资'!U210</f>
        <v>0</v>
      </c>
      <c r="V210" s="274">
        <f t="shared" si="75"/>
        <v>0</v>
      </c>
      <c r="W210" s="273">
        <f>'人员人工-研发人员工资'!W210</f>
        <v>0</v>
      </c>
      <c r="X210" s="274">
        <f t="shared" si="76"/>
        <v>0</v>
      </c>
      <c r="Y210" s="273">
        <f>'人员人工-研发人员工资'!Y210</f>
        <v>0</v>
      </c>
      <c r="Z210" s="274">
        <f t="shared" si="77"/>
        <v>0</v>
      </c>
    </row>
    <row r="211" s="251" customFormat="1" customHeight="1" spans="1:26">
      <c r="A211" s="270">
        <v>18</v>
      </c>
      <c r="B211" s="271">
        <f>'人员人工-研发人员工资'!B211</f>
        <v>0</v>
      </c>
      <c r="C211" s="274"/>
      <c r="D211" s="272">
        <f>'人员人工-研发人员工资'!D211</f>
        <v>0</v>
      </c>
      <c r="E211" s="272">
        <f t="shared" si="66"/>
        <v>0</v>
      </c>
      <c r="F211" s="272">
        <f t="shared" si="67"/>
        <v>0</v>
      </c>
      <c r="G211" s="273">
        <f>'人员人工-研发人员工资'!G211</f>
        <v>0</v>
      </c>
      <c r="H211" s="274">
        <f t="shared" si="68"/>
        <v>0</v>
      </c>
      <c r="I211" s="273">
        <f>'人员人工-研发人员工资'!I211</f>
        <v>0</v>
      </c>
      <c r="J211" s="274">
        <f t="shared" si="69"/>
        <v>0</v>
      </c>
      <c r="K211" s="275">
        <f>'人员人工-研发人员工资'!K211</f>
        <v>0</v>
      </c>
      <c r="L211" s="274">
        <f t="shared" si="70"/>
        <v>0</v>
      </c>
      <c r="M211" s="273">
        <f>'人员人工-研发人员工资'!M211</f>
        <v>0</v>
      </c>
      <c r="N211" s="274">
        <f t="shared" si="71"/>
        <v>0</v>
      </c>
      <c r="O211" s="273">
        <f>'人员人工-研发人员工资'!O211</f>
        <v>0</v>
      </c>
      <c r="P211" s="274">
        <f t="shared" si="72"/>
        <v>0</v>
      </c>
      <c r="Q211" s="273">
        <f>'人员人工-研发人员工资'!Q211</f>
        <v>0</v>
      </c>
      <c r="R211" s="274">
        <f t="shared" si="73"/>
        <v>0</v>
      </c>
      <c r="S211" s="273">
        <f>'人员人工-研发人员工资'!S211</f>
        <v>0</v>
      </c>
      <c r="T211" s="274">
        <f t="shared" si="74"/>
        <v>0</v>
      </c>
      <c r="U211" s="273">
        <f>'人员人工-研发人员工资'!U211</f>
        <v>0</v>
      </c>
      <c r="V211" s="274">
        <f t="shared" si="75"/>
        <v>0</v>
      </c>
      <c r="W211" s="273">
        <f>'人员人工-研发人员工资'!W211</f>
        <v>0</v>
      </c>
      <c r="X211" s="274">
        <f t="shared" si="76"/>
        <v>0</v>
      </c>
      <c r="Y211" s="273">
        <f>'人员人工-研发人员工资'!Y211</f>
        <v>0</v>
      </c>
      <c r="Z211" s="274">
        <f t="shared" si="77"/>
        <v>0</v>
      </c>
    </row>
    <row r="212" s="251" customFormat="1" customHeight="1" spans="1:26">
      <c r="A212" s="270">
        <v>19</v>
      </c>
      <c r="B212" s="271">
        <f>'人员人工-研发人员工资'!B212</f>
        <v>0</v>
      </c>
      <c r="C212" s="274"/>
      <c r="D212" s="272">
        <f>'人员人工-研发人员工资'!D212</f>
        <v>0</v>
      </c>
      <c r="E212" s="272">
        <f t="shared" si="66"/>
        <v>0</v>
      </c>
      <c r="F212" s="272">
        <f t="shared" si="67"/>
        <v>0</v>
      </c>
      <c r="G212" s="273">
        <f>'人员人工-研发人员工资'!G212</f>
        <v>0</v>
      </c>
      <c r="H212" s="274">
        <f t="shared" si="68"/>
        <v>0</v>
      </c>
      <c r="I212" s="273">
        <f>'人员人工-研发人员工资'!I212</f>
        <v>0</v>
      </c>
      <c r="J212" s="274">
        <f t="shared" si="69"/>
        <v>0</v>
      </c>
      <c r="K212" s="275">
        <f>'人员人工-研发人员工资'!K212</f>
        <v>0</v>
      </c>
      <c r="L212" s="274">
        <f t="shared" si="70"/>
        <v>0</v>
      </c>
      <c r="M212" s="273">
        <f>'人员人工-研发人员工资'!M212</f>
        <v>0</v>
      </c>
      <c r="N212" s="274">
        <f t="shared" si="71"/>
        <v>0</v>
      </c>
      <c r="O212" s="273">
        <f>'人员人工-研发人员工资'!O212</f>
        <v>0</v>
      </c>
      <c r="P212" s="274">
        <f t="shared" si="72"/>
        <v>0</v>
      </c>
      <c r="Q212" s="273">
        <f>'人员人工-研发人员工资'!Q212</f>
        <v>0</v>
      </c>
      <c r="R212" s="274">
        <f t="shared" si="73"/>
        <v>0</v>
      </c>
      <c r="S212" s="273">
        <f>'人员人工-研发人员工资'!S212</f>
        <v>0</v>
      </c>
      <c r="T212" s="274">
        <f t="shared" si="74"/>
        <v>0</v>
      </c>
      <c r="U212" s="273">
        <f>'人员人工-研发人员工资'!U212</f>
        <v>0</v>
      </c>
      <c r="V212" s="274">
        <f t="shared" si="75"/>
        <v>0</v>
      </c>
      <c r="W212" s="273">
        <f>'人员人工-研发人员工资'!W212</f>
        <v>0</v>
      </c>
      <c r="X212" s="274">
        <f t="shared" si="76"/>
        <v>0</v>
      </c>
      <c r="Y212" s="273">
        <f>'人员人工-研发人员工资'!Y212</f>
        <v>0</v>
      </c>
      <c r="Z212" s="274">
        <f t="shared" si="77"/>
        <v>0</v>
      </c>
    </row>
    <row r="213" s="251" customFormat="1" customHeight="1" spans="1:26">
      <c r="A213" s="270">
        <v>20</v>
      </c>
      <c r="B213" s="271">
        <f>'人员人工-研发人员工资'!B213</f>
        <v>0</v>
      </c>
      <c r="C213" s="274"/>
      <c r="D213" s="272">
        <f>'人员人工-研发人员工资'!D213</f>
        <v>0</v>
      </c>
      <c r="E213" s="272">
        <f t="shared" si="66"/>
        <v>0</v>
      </c>
      <c r="F213" s="272">
        <f t="shared" si="67"/>
        <v>0</v>
      </c>
      <c r="G213" s="273">
        <f>'人员人工-研发人员工资'!G213</f>
        <v>0</v>
      </c>
      <c r="H213" s="274">
        <f t="shared" si="68"/>
        <v>0</v>
      </c>
      <c r="I213" s="273">
        <f>'人员人工-研发人员工资'!I213</f>
        <v>0</v>
      </c>
      <c r="J213" s="274">
        <f t="shared" si="69"/>
        <v>0</v>
      </c>
      <c r="K213" s="275">
        <f>'人员人工-研发人员工资'!K213</f>
        <v>0</v>
      </c>
      <c r="L213" s="274">
        <f t="shared" si="70"/>
        <v>0</v>
      </c>
      <c r="M213" s="273">
        <f>'人员人工-研发人员工资'!M213</f>
        <v>0</v>
      </c>
      <c r="N213" s="274">
        <f t="shared" si="71"/>
        <v>0</v>
      </c>
      <c r="O213" s="273">
        <f>'人员人工-研发人员工资'!O213</f>
        <v>0</v>
      </c>
      <c r="P213" s="274">
        <f t="shared" si="72"/>
        <v>0</v>
      </c>
      <c r="Q213" s="273">
        <f>'人员人工-研发人员工资'!Q213</f>
        <v>0</v>
      </c>
      <c r="R213" s="274">
        <f t="shared" si="73"/>
        <v>0</v>
      </c>
      <c r="S213" s="273">
        <f>'人员人工-研发人员工资'!S213</f>
        <v>0</v>
      </c>
      <c r="T213" s="274">
        <f t="shared" si="74"/>
        <v>0</v>
      </c>
      <c r="U213" s="273">
        <f>'人员人工-研发人员工资'!U213</f>
        <v>0</v>
      </c>
      <c r="V213" s="274">
        <f t="shared" si="75"/>
        <v>0</v>
      </c>
      <c r="W213" s="273">
        <f>'人员人工-研发人员工资'!W213</f>
        <v>0</v>
      </c>
      <c r="X213" s="274">
        <f t="shared" si="76"/>
        <v>0</v>
      </c>
      <c r="Y213" s="273">
        <f>'人员人工-研发人员工资'!Y213</f>
        <v>0</v>
      </c>
      <c r="Z213" s="274">
        <f t="shared" si="77"/>
        <v>0</v>
      </c>
    </row>
    <row r="214" s="251" customFormat="1" customHeight="1" spans="1:26">
      <c r="A214" s="270">
        <v>21</v>
      </c>
      <c r="B214" s="271">
        <f>'人员人工-研发人员工资'!B214</f>
        <v>0</v>
      </c>
      <c r="C214" s="274"/>
      <c r="D214" s="272">
        <f>'人员人工-研发人员工资'!D214</f>
        <v>0</v>
      </c>
      <c r="E214" s="272">
        <f t="shared" si="66"/>
        <v>0</v>
      </c>
      <c r="F214" s="272">
        <f t="shared" si="67"/>
        <v>0</v>
      </c>
      <c r="G214" s="273">
        <f>'人员人工-研发人员工资'!G214</f>
        <v>0</v>
      </c>
      <c r="H214" s="274">
        <f t="shared" si="68"/>
        <v>0</v>
      </c>
      <c r="I214" s="273">
        <f>'人员人工-研发人员工资'!I214</f>
        <v>0</v>
      </c>
      <c r="J214" s="274">
        <f t="shared" si="69"/>
        <v>0</v>
      </c>
      <c r="K214" s="275">
        <f>'人员人工-研发人员工资'!K214</f>
        <v>0</v>
      </c>
      <c r="L214" s="274">
        <f t="shared" si="70"/>
        <v>0</v>
      </c>
      <c r="M214" s="273">
        <f>'人员人工-研发人员工资'!M214</f>
        <v>0</v>
      </c>
      <c r="N214" s="274">
        <f t="shared" si="71"/>
        <v>0</v>
      </c>
      <c r="O214" s="273">
        <f>'人员人工-研发人员工资'!O214</f>
        <v>0</v>
      </c>
      <c r="P214" s="274">
        <f t="shared" si="72"/>
        <v>0</v>
      </c>
      <c r="Q214" s="273">
        <f>'人员人工-研发人员工资'!Q214</f>
        <v>0</v>
      </c>
      <c r="R214" s="274">
        <f t="shared" si="73"/>
        <v>0</v>
      </c>
      <c r="S214" s="273">
        <f>'人员人工-研发人员工资'!S214</f>
        <v>0</v>
      </c>
      <c r="T214" s="274">
        <f t="shared" si="74"/>
        <v>0</v>
      </c>
      <c r="U214" s="273">
        <f>'人员人工-研发人员工资'!U214</f>
        <v>0</v>
      </c>
      <c r="V214" s="274">
        <f t="shared" si="75"/>
        <v>0</v>
      </c>
      <c r="W214" s="273">
        <f>'人员人工-研发人员工资'!W214</f>
        <v>0</v>
      </c>
      <c r="X214" s="274">
        <f t="shared" si="76"/>
        <v>0</v>
      </c>
      <c r="Y214" s="273">
        <f>'人员人工-研发人员工资'!Y214</f>
        <v>0</v>
      </c>
      <c r="Z214" s="274">
        <f t="shared" si="77"/>
        <v>0</v>
      </c>
    </row>
    <row r="215" s="251" customFormat="1" customHeight="1" spans="1:26">
      <c r="A215" s="270">
        <v>22</v>
      </c>
      <c r="B215" s="271">
        <f>'人员人工-研发人员工资'!B215</f>
        <v>0</v>
      </c>
      <c r="C215" s="274"/>
      <c r="D215" s="272">
        <f>'人员人工-研发人员工资'!D215</f>
        <v>0</v>
      </c>
      <c r="E215" s="272">
        <f t="shared" si="66"/>
        <v>0</v>
      </c>
      <c r="F215" s="272">
        <f t="shared" si="67"/>
        <v>0</v>
      </c>
      <c r="G215" s="273">
        <f>'人员人工-研发人员工资'!G215</f>
        <v>0</v>
      </c>
      <c r="H215" s="274">
        <f t="shared" si="68"/>
        <v>0</v>
      </c>
      <c r="I215" s="273">
        <f>'人员人工-研发人员工资'!I215</f>
        <v>0</v>
      </c>
      <c r="J215" s="274">
        <f t="shared" si="69"/>
        <v>0</v>
      </c>
      <c r="K215" s="275">
        <f>'人员人工-研发人员工资'!K215</f>
        <v>0</v>
      </c>
      <c r="L215" s="274">
        <f t="shared" si="70"/>
        <v>0</v>
      </c>
      <c r="M215" s="273">
        <f>'人员人工-研发人员工资'!M215</f>
        <v>0</v>
      </c>
      <c r="N215" s="274">
        <f t="shared" si="71"/>
        <v>0</v>
      </c>
      <c r="O215" s="273">
        <f>'人员人工-研发人员工资'!O215</f>
        <v>0</v>
      </c>
      <c r="P215" s="274">
        <f t="shared" si="72"/>
        <v>0</v>
      </c>
      <c r="Q215" s="273">
        <f>'人员人工-研发人员工资'!Q215</f>
        <v>0</v>
      </c>
      <c r="R215" s="274">
        <f t="shared" si="73"/>
        <v>0</v>
      </c>
      <c r="S215" s="273">
        <f>'人员人工-研发人员工资'!S215</f>
        <v>0</v>
      </c>
      <c r="T215" s="274">
        <f t="shared" si="74"/>
        <v>0</v>
      </c>
      <c r="U215" s="273">
        <f>'人员人工-研发人员工资'!U215</f>
        <v>0</v>
      </c>
      <c r="V215" s="274">
        <f t="shared" si="75"/>
        <v>0</v>
      </c>
      <c r="W215" s="273">
        <f>'人员人工-研发人员工资'!W215</f>
        <v>0</v>
      </c>
      <c r="X215" s="274">
        <f t="shared" si="76"/>
        <v>0</v>
      </c>
      <c r="Y215" s="273">
        <f>'人员人工-研发人员工资'!Y215</f>
        <v>0</v>
      </c>
      <c r="Z215" s="274">
        <f t="shared" si="77"/>
        <v>0</v>
      </c>
    </row>
    <row r="216" s="251" customFormat="1" customHeight="1" spans="1:26">
      <c r="A216" s="270">
        <v>23</v>
      </c>
      <c r="B216" s="271">
        <f>'人员人工-研发人员工资'!B216</f>
        <v>0</v>
      </c>
      <c r="C216" s="274"/>
      <c r="D216" s="272">
        <f>'人员人工-研发人员工资'!D216</f>
        <v>0</v>
      </c>
      <c r="E216" s="272">
        <f t="shared" si="66"/>
        <v>0</v>
      </c>
      <c r="F216" s="272">
        <f t="shared" si="67"/>
        <v>0</v>
      </c>
      <c r="G216" s="273">
        <f>'人员人工-研发人员工资'!G216</f>
        <v>0</v>
      </c>
      <c r="H216" s="274">
        <f t="shared" si="68"/>
        <v>0</v>
      </c>
      <c r="I216" s="273">
        <f>'人员人工-研发人员工资'!I216</f>
        <v>0</v>
      </c>
      <c r="J216" s="274">
        <f t="shared" si="69"/>
        <v>0</v>
      </c>
      <c r="K216" s="275">
        <f>'人员人工-研发人员工资'!K216</f>
        <v>0</v>
      </c>
      <c r="L216" s="274">
        <f t="shared" si="70"/>
        <v>0</v>
      </c>
      <c r="M216" s="273">
        <f>'人员人工-研发人员工资'!M216</f>
        <v>0</v>
      </c>
      <c r="N216" s="274">
        <f t="shared" si="71"/>
        <v>0</v>
      </c>
      <c r="O216" s="273">
        <f>'人员人工-研发人员工资'!O216</f>
        <v>0</v>
      </c>
      <c r="P216" s="274">
        <f t="shared" si="72"/>
        <v>0</v>
      </c>
      <c r="Q216" s="273">
        <f>'人员人工-研发人员工资'!Q216</f>
        <v>0</v>
      </c>
      <c r="R216" s="274">
        <f t="shared" si="73"/>
        <v>0</v>
      </c>
      <c r="S216" s="273">
        <f>'人员人工-研发人员工资'!S216</f>
        <v>0</v>
      </c>
      <c r="T216" s="274">
        <f t="shared" si="74"/>
        <v>0</v>
      </c>
      <c r="U216" s="273">
        <f>'人员人工-研发人员工资'!U216</f>
        <v>0</v>
      </c>
      <c r="V216" s="274">
        <f t="shared" si="75"/>
        <v>0</v>
      </c>
      <c r="W216" s="273">
        <f>'人员人工-研发人员工资'!W216</f>
        <v>0</v>
      </c>
      <c r="X216" s="274">
        <f t="shared" si="76"/>
        <v>0</v>
      </c>
      <c r="Y216" s="273">
        <f>'人员人工-研发人员工资'!Y216</f>
        <v>0</v>
      </c>
      <c r="Z216" s="274">
        <f t="shared" si="77"/>
        <v>0</v>
      </c>
    </row>
    <row r="217" s="251" customFormat="1" customHeight="1" spans="1:26">
      <c r="A217" s="270">
        <v>25</v>
      </c>
      <c r="B217" s="271">
        <f>'人员人工-研发人员工资'!B217</f>
        <v>0</v>
      </c>
      <c r="C217" s="274"/>
      <c r="D217" s="272">
        <f>'人员人工-研发人员工资'!D217</f>
        <v>0</v>
      </c>
      <c r="E217" s="272">
        <f t="shared" si="66"/>
        <v>0</v>
      </c>
      <c r="F217" s="272">
        <f t="shared" si="67"/>
        <v>0</v>
      </c>
      <c r="G217" s="273">
        <f>'人员人工-研发人员工资'!G217</f>
        <v>0</v>
      </c>
      <c r="H217" s="274">
        <f t="shared" si="68"/>
        <v>0</v>
      </c>
      <c r="I217" s="273">
        <f>'人员人工-研发人员工资'!I217</f>
        <v>0</v>
      </c>
      <c r="J217" s="274">
        <f t="shared" si="69"/>
        <v>0</v>
      </c>
      <c r="K217" s="275">
        <f>'人员人工-研发人员工资'!K217</f>
        <v>0</v>
      </c>
      <c r="L217" s="274">
        <f t="shared" si="70"/>
        <v>0</v>
      </c>
      <c r="M217" s="273">
        <f>'人员人工-研发人员工资'!M217</f>
        <v>0</v>
      </c>
      <c r="N217" s="274">
        <f t="shared" si="71"/>
        <v>0</v>
      </c>
      <c r="O217" s="273">
        <f>'人员人工-研发人员工资'!O217</f>
        <v>0</v>
      </c>
      <c r="P217" s="274">
        <f t="shared" si="72"/>
        <v>0</v>
      </c>
      <c r="Q217" s="273">
        <f>'人员人工-研发人员工资'!Q217</f>
        <v>0</v>
      </c>
      <c r="R217" s="274">
        <f t="shared" si="73"/>
        <v>0</v>
      </c>
      <c r="S217" s="273">
        <f>'人员人工-研发人员工资'!S217</f>
        <v>0</v>
      </c>
      <c r="T217" s="274">
        <f t="shared" si="74"/>
        <v>0</v>
      </c>
      <c r="U217" s="273">
        <f>'人员人工-研发人员工资'!U217</f>
        <v>0</v>
      </c>
      <c r="V217" s="274">
        <f t="shared" si="75"/>
        <v>0</v>
      </c>
      <c r="W217" s="273">
        <f>'人员人工-研发人员工资'!W217</f>
        <v>0</v>
      </c>
      <c r="X217" s="274">
        <f t="shared" si="76"/>
        <v>0</v>
      </c>
      <c r="Y217" s="273">
        <f>'人员人工-研发人员工资'!Y217</f>
        <v>0</v>
      </c>
      <c r="Z217" s="274">
        <f t="shared" si="77"/>
        <v>0</v>
      </c>
    </row>
    <row r="218" s="251" customFormat="1" customHeight="1" spans="1:26">
      <c r="A218" s="270">
        <v>25</v>
      </c>
      <c r="B218" s="271">
        <f>'人员人工-研发人员工资'!B218</f>
        <v>0</v>
      </c>
      <c r="C218" s="274"/>
      <c r="D218" s="272">
        <f>'人员人工-研发人员工资'!D218</f>
        <v>0</v>
      </c>
      <c r="E218" s="272">
        <f t="shared" si="66"/>
        <v>0</v>
      </c>
      <c r="F218" s="272">
        <f t="shared" si="67"/>
        <v>0</v>
      </c>
      <c r="G218" s="273">
        <f>'人员人工-研发人员工资'!G218</f>
        <v>0</v>
      </c>
      <c r="H218" s="274">
        <f t="shared" si="68"/>
        <v>0</v>
      </c>
      <c r="I218" s="273">
        <f>'人员人工-研发人员工资'!I218</f>
        <v>0</v>
      </c>
      <c r="J218" s="274">
        <f t="shared" si="69"/>
        <v>0</v>
      </c>
      <c r="K218" s="275">
        <f>'人员人工-研发人员工资'!K218</f>
        <v>0</v>
      </c>
      <c r="L218" s="274">
        <f t="shared" si="70"/>
        <v>0</v>
      </c>
      <c r="M218" s="273">
        <f>'人员人工-研发人员工资'!M218</f>
        <v>0</v>
      </c>
      <c r="N218" s="274">
        <f t="shared" si="71"/>
        <v>0</v>
      </c>
      <c r="O218" s="273">
        <f>'人员人工-研发人员工资'!O218</f>
        <v>0</v>
      </c>
      <c r="P218" s="274">
        <f t="shared" si="72"/>
        <v>0</v>
      </c>
      <c r="Q218" s="273">
        <f>'人员人工-研发人员工资'!Q218</f>
        <v>0</v>
      </c>
      <c r="R218" s="274">
        <f t="shared" si="73"/>
        <v>0</v>
      </c>
      <c r="S218" s="273">
        <f>'人员人工-研发人员工资'!S218</f>
        <v>0</v>
      </c>
      <c r="T218" s="274">
        <f t="shared" si="74"/>
        <v>0</v>
      </c>
      <c r="U218" s="273">
        <f>'人员人工-研发人员工资'!U218</f>
        <v>0</v>
      </c>
      <c r="V218" s="274">
        <f t="shared" si="75"/>
        <v>0</v>
      </c>
      <c r="W218" s="273">
        <f>'人员人工-研发人员工资'!W218</f>
        <v>0</v>
      </c>
      <c r="X218" s="274">
        <f t="shared" si="76"/>
        <v>0</v>
      </c>
      <c r="Y218" s="273">
        <f>'人员人工-研发人员工资'!Y218</f>
        <v>0</v>
      </c>
      <c r="Z218" s="274">
        <f t="shared" si="77"/>
        <v>0</v>
      </c>
    </row>
    <row r="219" s="251" customFormat="1" customHeight="1" spans="1:26">
      <c r="A219" s="270">
        <v>26</v>
      </c>
      <c r="B219" s="271">
        <f>'人员人工-研发人员工资'!B219</f>
        <v>0</v>
      </c>
      <c r="C219" s="274"/>
      <c r="D219" s="272">
        <f>'人员人工-研发人员工资'!D219</f>
        <v>0</v>
      </c>
      <c r="E219" s="272">
        <f t="shared" si="66"/>
        <v>0</v>
      </c>
      <c r="F219" s="272">
        <f t="shared" si="67"/>
        <v>0</v>
      </c>
      <c r="G219" s="273">
        <f>'人员人工-研发人员工资'!G219</f>
        <v>0</v>
      </c>
      <c r="H219" s="274">
        <f t="shared" si="68"/>
        <v>0</v>
      </c>
      <c r="I219" s="273">
        <f>'人员人工-研发人员工资'!I219</f>
        <v>0</v>
      </c>
      <c r="J219" s="274">
        <f t="shared" si="69"/>
        <v>0</v>
      </c>
      <c r="K219" s="275">
        <f>'人员人工-研发人员工资'!K219</f>
        <v>0</v>
      </c>
      <c r="L219" s="274">
        <f t="shared" si="70"/>
        <v>0</v>
      </c>
      <c r="M219" s="273">
        <f>'人员人工-研发人员工资'!M219</f>
        <v>0</v>
      </c>
      <c r="N219" s="274">
        <f t="shared" si="71"/>
        <v>0</v>
      </c>
      <c r="O219" s="273">
        <f>'人员人工-研发人员工资'!O219</f>
        <v>0</v>
      </c>
      <c r="P219" s="274">
        <f t="shared" si="72"/>
        <v>0</v>
      </c>
      <c r="Q219" s="273">
        <f>'人员人工-研发人员工资'!Q219</f>
        <v>0</v>
      </c>
      <c r="R219" s="274">
        <f t="shared" si="73"/>
        <v>0</v>
      </c>
      <c r="S219" s="273">
        <f>'人员人工-研发人员工资'!S219</f>
        <v>0</v>
      </c>
      <c r="T219" s="274">
        <f t="shared" si="74"/>
        <v>0</v>
      </c>
      <c r="U219" s="273">
        <f>'人员人工-研发人员工资'!U219</f>
        <v>0</v>
      </c>
      <c r="V219" s="274">
        <f t="shared" si="75"/>
        <v>0</v>
      </c>
      <c r="W219" s="273">
        <f>'人员人工-研发人员工资'!W219</f>
        <v>0</v>
      </c>
      <c r="X219" s="274">
        <f t="shared" si="76"/>
        <v>0</v>
      </c>
      <c r="Y219" s="273">
        <f>'人员人工-研发人员工资'!Y219</f>
        <v>0</v>
      </c>
      <c r="Z219" s="274">
        <f t="shared" si="77"/>
        <v>0</v>
      </c>
    </row>
    <row r="220" s="251" customFormat="1" customHeight="1" spans="1:26">
      <c r="A220" s="270">
        <v>27</v>
      </c>
      <c r="B220" s="271">
        <f>'人员人工-研发人员工资'!B220</f>
        <v>0</v>
      </c>
      <c r="C220" s="274"/>
      <c r="D220" s="272">
        <f>'人员人工-研发人员工资'!D220</f>
        <v>0</v>
      </c>
      <c r="E220" s="272">
        <f t="shared" si="66"/>
        <v>0</v>
      </c>
      <c r="F220" s="272">
        <f t="shared" si="67"/>
        <v>0</v>
      </c>
      <c r="G220" s="273">
        <f>'人员人工-研发人员工资'!G220</f>
        <v>0</v>
      </c>
      <c r="H220" s="274">
        <f t="shared" si="68"/>
        <v>0</v>
      </c>
      <c r="I220" s="273">
        <f>'人员人工-研发人员工资'!I220</f>
        <v>0</v>
      </c>
      <c r="J220" s="274">
        <f t="shared" si="69"/>
        <v>0</v>
      </c>
      <c r="K220" s="275">
        <f>'人员人工-研发人员工资'!K220</f>
        <v>0</v>
      </c>
      <c r="L220" s="274">
        <f t="shared" si="70"/>
        <v>0</v>
      </c>
      <c r="M220" s="273">
        <f>'人员人工-研发人员工资'!M220</f>
        <v>0</v>
      </c>
      <c r="N220" s="274">
        <f t="shared" si="71"/>
        <v>0</v>
      </c>
      <c r="O220" s="273">
        <f>'人员人工-研发人员工资'!O220</f>
        <v>0</v>
      </c>
      <c r="P220" s="274">
        <f t="shared" si="72"/>
        <v>0</v>
      </c>
      <c r="Q220" s="273">
        <f>'人员人工-研发人员工资'!Q220</f>
        <v>0</v>
      </c>
      <c r="R220" s="274">
        <f t="shared" si="73"/>
        <v>0</v>
      </c>
      <c r="S220" s="273">
        <f>'人员人工-研发人员工资'!S220</f>
        <v>0</v>
      </c>
      <c r="T220" s="274">
        <f t="shared" si="74"/>
        <v>0</v>
      </c>
      <c r="U220" s="273">
        <f>'人员人工-研发人员工资'!U220</f>
        <v>0</v>
      </c>
      <c r="V220" s="274">
        <f t="shared" si="75"/>
        <v>0</v>
      </c>
      <c r="W220" s="273">
        <f>'人员人工-研发人员工资'!W220</f>
        <v>0</v>
      </c>
      <c r="X220" s="274">
        <f t="shared" si="76"/>
        <v>0</v>
      </c>
      <c r="Y220" s="273">
        <f>'人员人工-研发人员工资'!Y220</f>
        <v>0</v>
      </c>
      <c r="Z220" s="274">
        <f t="shared" si="77"/>
        <v>0</v>
      </c>
    </row>
    <row r="221" s="251" customFormat="1" customHeight="1" spans="1:26">
      <c r="A221" s="270">
        <v>28</v>
      </c>
      <c r="B221" s="271">
        <f>'人员人工-研发人员工资'!B221</f>
        <v>0</v>
      </c>
      <c r="C221" s="274"/>
      <c r="D221" s="272">
        <f>'人员人工-研发人员工资'!D221</f>
        <v>0</v>
      </c>
      <c r="E221" s="272">
        <f t="shared" si="66"/>
        <v>0</v>
      </c>
      <c r="F221" s="272">
        <f t="shared" si="67"/>
        <v>0</v>
      </c>
      <c r="G221" s="273">
        <f>'人员人工-研发人员工资'!G221</f>
        <v>0</v>
      </c>
      <c r="H221" s="274">
        <f t="shared" si="68"/>
        <v>0</v>
      </c>
      <c r="I221" s="273">
        <f>'人员人工-研发人员工资'!I221</f>
        <v>0</v>
      </c>
      <c r="J221" s="274">
        <f t="shared" si="69"/>
        <v>0</v>
      </c>
      <c r="K221" s="275">
        <f>'人员人工-研发人员工资'!K221</f>
        <v>0</v>
      </c>
      <c r="L221" s="274">
        <f t="shared" si="70"/>
        <v>0</v>
      </c>
      <c r="M221" s="273">
        <f>'人员人工-研发人员工资'!M221</f>
        <v>0</v>
      </c>
      <c r="N221" s="274">
        <f t="shared" si="71"/>
        <v>0</v>
      </c>
      <c r="O221" s="273">
        <f>'人员人工-研发人员工资'!O221</f>
        <v>0</v>
      </c>
      <c r="P221" s="274">
        <f t="shared" si="72"/>
        <v>0</v>
      </c>
      <c r="Q221" s="273">
        <f>'人员人工-研发人员工资'!Q221</f>
        <v>0</v>
      </c>
      <c r="R221" s="274">
        <f t="shared" si="73"/>
        <v>0</v>
      </c>
      <c r="S221" s="273">
        <f>'人员人工-研发人员工资'!S221</f>
        <v>0</v>
      </c>
      <c r="T221" s="274">
        <f t="shared" si="74"/>
        <v>0</v>
      </c>
      <c r="U221" s="273">
        <f>'人员人工-研发人员工资'!U221</f>
        <v>0</v>
      </c>
      <c r="V221" s="274">
        <f t="shared" si="75"/>
        <v>0</v>
      </c>
      <c r="W221" s="273">
        <f>'人员人工-研发人员工资'!W221</f>
        <v>0</v>
      </c>
      <c r="X221" s="274">
        <f t="shared" si="76"/>
        <v>0</v>
      </c>
      <c r="Y221" s="273">
        <f>'人员人工-研发人员工资'!Y221</f>
        <v>0</v>
      </c>
      <c r="Z221" s="274">
        <f t="shared" si="77"/>
        <v>0</v>
      </c>
    </row>
    <row r="222" s="251" customFormat="1" customHeight="1" spans="1:26">
      <c r="A222" s="270">
        <v>29</v>
      </c>
      <c r="B222" s="271">
        <f>'人员人工-研发人员工资'!B222</f>
        <v>0</v>
      </c>
      <c r="C222" s="274"/>
      <c r="D222" s="272">
        <f>'人员人工-研发人员工资'!D222</f>
        <v>0</v>
      </c>
      <c r="E222" s="272">
        <f t="shared" si="66"/>
        <v>0</v>
      </c>
      <c r="F222" s="272">
        <f t="shared" si="67"/>
        <v>0</v>
      </c>
      <c r="G222" s="273">
        <f>'人员人工-研发人员工资'!G222</f>
        <v>0</v>
      </c>
      <c r="H222" s="274">
        <f t="shared" si="68"/>
        <v>0</v>
      </c>
      <c r="I222" s="273">
        <f>'人员人工-研发人员工资'!I222</f>
        <v>0</v>
      </c>
      <c r="J222" s="274">
        <f t="shared" si="69"/>
        <v>0</v>
      </c>
      <c r="K222" s="275">
        <f>'人员人工-研发人员工资'!K222</f>
        <v>0</v>
      </c>
      <c r="L222" s="274">
        <f t="shared" si="70"/>
        <v>0</v>
      </c>
      <c r="M222" s="273">
        <f>'人员人工-研发人员工资'!M222</f>
        <v>0</v>
      </c>
      <c r="N222" s="274">
        <f t="shared" si="71"/>
        <v>0</v>
      </c>
      <c r="O222" s="273">
        <f>'人员人工-研发人员工资'!O222</f>
        <v>0</v>
      </c>
      <c r="P222" s="274">
        <f t="shared" si="72"/>
        <v>0</v>
      </c>
      <c r="Q222" s="273">
        <f>'人员人工-研发人员工资'!Q222</f>
        <v>0</v>
      </c>
      <c r="R222" s="274">
        <f t="shared" si="73"/>
        <v>0</v>
      </c>
      <c r="S222" s="273">
        <f>'人员人工-研发人员工资'!S222</f>
        <v>0</v>
      </c>
      <c r="T222" s="274">
        <f t="shared" si="74"/>
        <v>0</v>
      </c>
      <c r="U222" s="273">
        <f>'人员人工-研发人员工资'!U222</f>
        <v>0</v>
      </c>
      <c r="V222" s="274">
        <f t="shared" si="75"/>
        <v>0</v>
      </c>
      <c r="W222" s="273">
        <f>'人员人工-研发人员工资'!W222</f>
        <v>0</v>
      </c>
      <c r="X222" s="274">
        <f t="shared" si="76"/>
        <v>0</v>
      </c>
      <c r="Y222" s="273">
        <f>'人员人工-研发人员工资'!Y222</f>
        <v>0</v>
      </c>
      <c r="Z222" s="274">
        <f t="shared" si="77"/>
        <v>0</v>
      </c>
    </row>
    <row r="223" s="251" customFormat="1" customHeight="1" spans="1:26">
      <c r="A223" s="270">
        <v>30</v>
      </c>
      <c r="B223" s="271">
        <f>'人员人工-研发人员工资'!B223</f>
        <v>0</v>
      </c>
      <c r="C223" s="274"/>
      <c r="D223" s="272">
        <f>'人员人工-研发人员工资'!D223</f>
        <v>0</v>
      </c>
      <c r="E223" s="272">
        <f t="shared" si="66"/>
        <v>0</v>
      </c>
      <c r="F223" s="272">
        <f t="shared" si="67"/>
        <v>0</v>
      </c>
      <c r="G223" s="273">
        <f>'人员人工-研发人员工资'!G223</f>
        <v>0</v>
      </c>
      <c r="H223" s="274">
        <f t="shared" si="68"/>
        <v>0</v>
      </c>
      <c r="I223" s="273">
        <f>'人员人工-研发人员工资'!I223</f>
        <v>0</v>
      </c>
      <c r="J223" s="274">
        <f t="shared" si="69"/>
        <v>0</v>
      </c>
      <c r="K223" s="275">
        <f>'人员人工-研发人员工资'!K223</f>
        <v>0</v>
      </c>
      <c r="L223" s="274">
        <f t="shared" si="70"/>
        <v>0</v>
      </c>
      <c r="M223" s="273">
        <f>'人员人工-研发人员工资'!M223</f>
        <v>0</v>
      </c>
      <c r="N223" s="274">
        <f t="shared" si="71"/>
        <v>0</v>
      </c>
      <c r="O223" s="273">
        <f>'人员人工-研发人员工资'!O223</f>
        <v>0</v>
      </c>
      <c r="P223" s="274">
        <f t="shared" si="72"/>
        <v>0</v>
      </c>
      <c r="Q223" s="273">
        <f>'人员人工-研发人员工资'!Q223</f>
        <v>0</v>
      </c>
      <c r="R223" s="274">
        <f t="shared" si="73"/>
        <v>0</v>
      </c>
      <c r="S223" s="273">
        <f>'人员人工-研发人员工资'!S223</f>
        <v>0</v>
      </c>
      <c r="T223" s="274">
        <f t="shared" si="74"/>
        <v>0</v>
      </c>
      <c r="U223" s="273">
        <f>'人员人工-研发人员工资'!U223</f>
        <v>0</v>
      </c>
      <c r="V223" s="274">
        <f t="shared" si="75"/>
        <v>0</v>
      </c>
      <c r="W223" s="273">
        <f>'人员人工-研发人员工资'!W223</f>
        <v>0</v>
      </c>
      <c r="X223" s="274">
        <f t="shared" si="76"/>
        <v>0</v>
      </c>
      <c r="Y223" s="273">
        <f>'人员人工-研发人员工资'!Y223</f>
        <v>0</v>
      </c>
      <c r="Z223" s="274">
        <f t="shared" si="77"/>
        <v>0</v>
      </c>
    </row>
    <row r="224" s="251" customFormat="1" customHeight="1" spans="1:26">
      <c r="A224" s="276" t="s">
        <v>22</v>
      </c>
      <c r="B224" s="277"/>
      <c r="C224" s="261">
        <f t="shared" ref="C224:Z224" si="78">SUM(C194:C223)</f>
        <v>0</v>
      </c>
      <c r="D224" s="261">
        <f t="shared" si="78"/>
        <v>0</v>
      </c>
      <c r="E224" s="261">
        <f t="shared" si="78"/>
        <v>0</v>
      </c>
      <c r="F224" s="272">
        <f t="shared" si="78"/>
        <v>0</v>
      </c>
      <c r="G224" s="261">
        <f t="shared" si="78"/>
        <v>0</v>
      </c>
      <c r="H224" s="261">
        <f t="shared" si="78"/>
        <v>0</v>
      </c>
      <c r="I224" s="261">
        <f t="shared" si="78"/>
        <v>0</v>
      </c>
      <c r="J224" s="261">
        <f t="shared" si="78"/>
        <v>0</v>
      </c>
      <c r="K224" s="261">
        <f t="shared" si="78"/>
        <v>0</v>
      </c>
      <c r="L224" s="261">
        <f t="shared" si="78"/>
        <v>0</v>
      </c>
      <c r="M224" s="261">
        <f t="shared" si="78"/>
        <v>0</v>
      </c>
      <c r="N224" s="261">
        <f t="shared" si="78"/>
        <v>0</v>
      </c>
      <c r="O224" s="261">
        <f t="shared" si="78"/>
        <v>0</v>
      </c>
      <c r="P224" s="261">
        <f t="shared" si="78"/>
        <v>0</v>
      </c>
      <c r="Q224" s="261">
        <f t="shared" si="78"/>
        <v>0</v>
      </c>
      <c r="R224" s="261">
        <f t="shared" si="78"/>
        <v>0</v>
      </c>
      <c r="S224" s="261">
        <f t="shared" si="78"/>
        <v>0</v>
      </c>
      <c r="T224" s="261">
        <f t="shared" si="78"/>
        <v>0</v>
      </c>
      <c r="U224" s="261">
        <f t="shared" si="78"/>
        <v>0</v>
      </c>
      <c r="V224" s="261">
        <f t="shared" si="78"/>
        <v>0</v>
      </c>
      <c r="W224" s="261">
        <f t="shared" si="78"/>
        <v>0</v>
      </c>
      <c r="X224" s="261">
        <f t="shared" si="78"/>
        <v>0</v>
      </c>
      <c r="Y224" s="261">
        <f t="shared" si="78"/>
        <v>0</v>
      </c>
      <c r="Z224" s="261">
        <f t="shared" si="78"/>
        <v>0</v>
      </c>
    </row>
    <row r="225" s="251" customFormat="1" customHeight="1" spans="1:26">
      <c r="A225" s="252"/>
      <c r="B225" s="253"/>
      <c r="C225" s="254"/>
      <c r="D225" s="254"/>
      <c r="E225" s="255"/>
      <c r="F225" s="255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</row>
    <row r="226" s="251" customFormat="1" customHeight="1" spans="1:26">
      <c r="A226" s="252"/>
      <c r="B226" s="253"/>
      <c r="C226" s="254"/>
      <c r="D226" s="254"/>
      <c r="E226" s="255"/>
      <c r="F226" s="255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</row>
    <row r="227" s="251" customFormat="1" customHeight="1" spans="1:26">
      <c r="A227" s="252"/>
      <c r="B227" s="257" t="s">
        <v>165</v>
      </c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</row>
    <row r="228" s="251" customFormat="1" customHeight="1" spans="1:26">
      <c r="A228" s="252"/>
      <c r="B228" s="253"/>
      <c r="C228" s="254"/>
      <c r="D228" s="254"/>
      <c r="E228" s="255"/>
      <c r="F228" s="255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</row>
    <row r="229" s="251" customFormat="1" customHeight="1" spans="1:26">
      <c r="A229" s="259" t="s">
        <v>31</v>
      </c>
      <c r="B229" s="260" t="s">
        <v>32</v>
      </c>
      <c r="C229" s="261" t="s">
        <v>157</v>
      </c>
      <c r="D229" s="261" t="s">
        <v>34</v>
      </c>
      <c r="E229" s="262" t="s">
        <v>35</v>
      </c>
      <c r="F229" s="262" t="s">
        <v>158</v>
      </c>
      <c r="G229" s="263" t="str">
        <f>立项!$A$3</f>
        <v>RD01</v>
      </c>
      <c r="H229" s="264"/>
      <c r="I229" s="264" t="str">
        <f>立项!$A$4</f>
        <v>RD02</v>
      </c>
      <c r="J229" s="264"/>
      <c r="K229" s="264" t="str">
        <f>立项!$A$5</f>
        <v>RD03</v>
      </c>
      <c r="L229" s="264"/>
      <c r="M229" s="264" t="str">
        <f>立项!$A$6</f>
        <v>RD04</v>
      </c>
      <c r="N229" s="264"/>
      <c r="O229" s="264" t="str">
        <f>立项!$A$7</f>
        <v>RD05</v>
      </c>
      <c r="P229" s="264"/>
      <c r="Q229" s="264" t="str">
        <f>立项!$A$8</f>
        <v>RD06</v>
      </c>
      <c r="R229" s="264"/>
      <c r="S229" s="264" t="str">
        <f>立项!$A$9</f>
        <v>RD07</v>
      </c>
      <c r="T229" s="264"/>
      <c r="U229" s="264" t="str">
        <f>立项!$A$10</f>
        <v>RD08</v>
      </c>
      <c r="V229" s="264"/>
      <c r="W229" s="264" t="str">
        <f>立项!$A$11</f>
        <v>RD09</v>
      </c>
      <c r="X229" s="264"/>
      <c r="Y229" s="264" t="str">
        <f>立项!$A$12</f>
        <v>RD10</v>
      </c>
      <c r="Z229" s="264"/>
    </row>
    <row r="230" s="251" customFormat="1" customHeight="1" spans="1:26">
      <c r="A230" s="265"/>
      <c r="B230" s="260"/>
      <c r="C230" s="261"/>
      <c r="D230" s="261"/>
      <c r="E230" s="262"/>
      <c r="F230" s="262"/>
      <c r="G230" s="267">
        <f>立项!C3</f>
        <v>0</v>
      </c>
      <c r="H230" s="263"/>
      <c r="I230" s="267">
        <f>立项!C4</f>
        <v>0</v>
      </c>
      <c r="J230" s="263"/>
      <c r="K230" s="267">
        <f>立项!C5</f>
        <v>0</v>
      </c>
      <c r="L230" s="263"/>
      <c r="M230" s="267">
        <f>立项!C6</f>
        <v>0</v>
      </c>
      <c r="N230" s="263"/>
      <c r="O230" s="267">
        <f>立项!C7</f>
        <v>0</v>
      </c>
      <c r="P230" s="263"/>
      <c r="Q230" s="267">
        <f>立项!C8</f>
        <v>0</v>
      </c>
      <c r="R230" s="263"/>
      <c r="S230" s="267">
        <f>立项!C9</f>
        <v>0</v>
      </c>
      <c r="T230" s="263"/>
      <c r="U230" s="267">
        <f>立项!C10</f>
        <v>0</v>
      </c>
      <c r="V230" s="263"/>
      <c r="W230" s="267">
        <f>立项!C11</f>
        <v>0</v>
      </c>
      <c r="X230" s="263"/>
      <c r="Y230" s="264">
        <f>立项!C12</f>
        <v>0</v>
      </c>
      <c r="Z230" s="264"/>
    </row>
    <row r="231" s="251" customFormat="1" customHeight="1" spans="1:26">
      <c r="A231" s="268"/>
      <c r="B231" s="260"/>
      <c r="C231" s="261"/>
      <c r="D231" s="261"/>
      <c r="E231" s="262"/>
      <c r="F231" s="262"/>
      <c r="G231" s="264" t="s">
        <v>39</v>
      </c>
      <c r="H231" s="269" t="s">
        <v>159</v>
      </c>
      <c r="I231" s="264" t="s">
        <v>39</v>
      </c>
      <c r="J231" s="269" t="s">
        <v>159</v>
      </c>
      <c r="K231" s="264" t="s">
        <v>39</v>
      </c>
      <c r="L231" s="269" t="s">
        <v>159</v>
      </c>
      <c r="M231" s="264" t="s">
        <v>39</v>
      </c>
      <c r="N231" s="269" t="s">
        <v>159</v>
      </c>
      <c r="O231" s="264" t="s">
        <v>39</v>
      </c>
      <c r="P231" s="269" t="s">
        <v>159</v>
      </c>
      <c r="Q231" s="264" t="s">
        <v>39</v>
      </c>
      <c r="R231" s="269" t="s">
        <v>159</v>
      </c>
      <c r="S231" s="264" t="s">
        <v>39</v>
      </c>
      <c r="T231" s="269" t="s">
        <v>159</v>
      </c>
      <c r="U231" s="264" t="s">
        <v>39</v>
      </c>
      <c r="V231" s="269" t="s">
        <v>159</v>
      </c>
      <c r="W231" s="264" t="s">
        <v>39</v>
      </c>
      <c r="X231" s="269" t="s">
        <v>159</v>
      </c>
      <c r="Y231" s="264" t="s">
        <v>39</v>
      </c>
      <c r="Z231" s="269" t="s">
        <v>159</v>
      </c>
    </row>
    <row r="232" s="251" customFormat="1" customHeight="1" spans="1:26">
      <c r="A232" s="270">
        <v>1</v>
      </c>
      <c r="B232" s="271">
        <f>'人员人工-研发人员工资'!B232</f>
        <v>0</v>
      </c>
      <c r="C232" s="272"/>
      <c r="D232" s="272">
        <f>'人员人工-研发人员工资'!D232</f>
        <v>0</v>
      </c>
      <c r="E232" s="272">
        <f t="shared" ref="E232:E261" si="79">G232+I232+K232+M232+O232+Q232+S232+U232+W232+Y232</f>
        <v>0</v>
      </c>
      <c r="F232" s="272">
        <f t="shared" ref="F232:F261" si="80">H232+J232+L232+N232+P232+R232+T232+V232+X232+Z232</f>
        <v>0</v>
      </c>
      <c r="G232" s="273">
        <f>'人员人工-研发人员工资'!G232</f>
        <v>0</v>
      </c>
      <c r="H232" s="274">
        <f t="shared" ref="H232:H261" si="81">IF($D232=0,0,ROUND(G232/$D232*$C232,2))</f>
        <v>0</v>
      </c>
      <c r="I232" s="273">
        <f>'人员人工-研发人员工资'!I232</f>
        <v>0</v>
      </c>
      <c r="J232" s="274">
        <f t="shared" ref="J232:J261" si="82">IF($D232=0,0,ROUND(I232/$D232*$C232,2))</f>
        <v>0</v>
      </c>
      <c r="K232" s="275">
        <f>'人员人工-研发人员工资'!K232</f>
        <v>0</v>
      </c>
      <c r="L232" s="274">
        <f t="shared" ref="L232:L261" si="83">IF($D232=0,0,ROUND(K232/$D232*$C232,2))</f>
        <v>0</v>
      </c>
      <c r="M232" s="273">
        <f>'人员人工-研发人员工资'!M232</f>
        <v>0</v>
      </c>
      <c r="N232" s="274">
        <f t="shared" ref="N232:N261" si="84">IF($D232=0,0,ROUND(M232/$D232*$C232,2))</f>
        <v>0</v>
      </c>
      <c r="O232" s="273">
        <f>'人员人工-研发人员工资'!O232</f>
        <v>0</v>
      </c>
      <c r="P232" s="274">
        <f t="shared" ref="P232:P261" si="85">IF($D232=0,0,ROUND(O232/$D232*$C232,2))</f>
        <v>0</v>
      </c>
      <c r="Q232" s="273">
        <f>'人员人工-研发人员工资'!Q232</f>
        <v>0</v>
      </c>
      <c r="R232" s="274">
        <f t="shared" ref="R232:R261" si="86">IF($D232=0,0,ROUND(Q232/$D232*$C232,2))</f>
        <v>0</v>
      </c>
      <c r="S232" s="273">
        <f>'人员人工-研发人员工资'!S232</f>
        <v>0</v>
      </c>
      <c r="T232" s="274">
        <f t="shared" ref="T232:T261" si="87">IF($D232=0,0,ROUND(S232/$D232*$C232,2))</f>
        <v>0</v>
      </c>
      <c r="U232" s="273">
        <f>'人员人工-研发人员工资'!U232</f>
        <v>0</v>
      </c>
      <c r="V232" s="274">
        <f t="shared" ref="V232:V261" si="88">IF($D232=0,0,ROUND(U232/$D232*$C232,2))</f>
        <v>0</v>
      </c>
      <c r="W232" s="273">
        <f>'人员人工-研发人员工资'!W232</f>
        <v>0</v>
      </c>
      <c r="X232" s="274">
        <f t="shared" ref="X232:X261" si="89">IF($D232=0,0,ROUND(W232/$D232*$C232,2))</f>
        <v>0</v>
      </c>
      <c r="Y232" s="273">
        <f>'人员人工-研发人员工资'!Y232</f>
        <v>0</v>
      </c>
      <c r="Z232" s="274">
        <f t="shared" ref="Z232:Z261" si="90">IF($D232=0,0,ROUND(Y232/$D232*$C232,2))</f>
        <v>0</v>
      </c>
    </row>
    <row r="233" s="251" customFormat="1" customHeight="1" spans="1:26">
      <c r="A233" s="270">
        <v>2</v>
      </c>
      <c r="B233" s="271">
        <f>'人员人工-研发人员工资'!B233</f>
        <v>0</v>
      </c>
      <c r="C233" s="272"/>
      <c r="D233" s="272">
        <f>'人员人工-研发人员工资'!D233</f>
        <v>0</v>
      </c>
      <c r="E233" s="272">
        <f t="shared" si="79"/>
        <v>0</v>
      </c>
      <c r="F233" s="272">
        <f t="shared" si="80"/>
        <v>0</v>
      </c>
      <c r="G233" s="273">
        <f>'人员人工-研发人员工资'!G233</f>
        <v>0</v>
      </c>
      <c r="H233" s="274">
        <f t="shared" si="81"/>
        <v>0</v>
      </c>
      <c r="I233" s="273">
        <f>'人员人工-研发人员工资'!I233</f>
        <v>0</v>
      </c>
      <c r="J233" s="274">
        <f t="shared" si="82"/>
        <v>0</v>
      </c>
      <c r="K233" s="275">
        <f>'人员人工-研发人员工资'!K233</f>
        <v>0</v>
      </c>
      <c r="L233" s="274">
        <f t="shared" si="83"/>
        <v>0</v>
      </c>
      <c r="M233" s="273">
        <f>'人员人工-研发人员工资'!M233</f>
        <v>0</v>
      </c>
      <c r="N233" s="274">
        <f t="shared" si="84"/>
        <v>0</v>
      </c>
      <c r="O233" s="273">
        <f>'人员人工-研发人员工资'!O233</f>
        <v>0</v>
      </c>
      <c r="P233" s="274">
        <f t="shared" si="85"/>
        <v>0</v>
      </c>
      <c r="Q233" s="273">
        <f>'人员人工-研发人员工资'!Q233</f>
        <v>0</v>
      </c>
      <c r="R233" s="274">
        <f t="shared" si="86"/>
        <v>0</v>
      </c>
      <c r="S233" s="273">
        <f>'人员人工-研发人员工资'!S233</f>
        <v>0</v>
      </c>
      <c r="T233" s="274">
        <f t="shared" si="87"/>
        <v>0</v>
      </c>
      <c r="U233" s="273">
        <f>'人员人工-研发人员工资'!U233</f>
        <v>0</v>
      </c>
      <c r="V233" s="274">
        <f t="shared" si="88"/>
        <v>0</v>
      </c>
      <c r="W233" s="273">
        <f>'人员人工-研发人员工资'!W233</f>
        <v>0</v>
      </c>
      <c r="X233" s="274">
        <f t="shared" si="89"/>
        <v>0</v>
      </c>
      <c r="Y233" s="273">
        <f>'人员人工-研发人员工资'!Y233</f>
        <v>0</v>
      </c>
      <c r="Z233" s="274">
        <f t="shared" si="90"/>
        <v>0</v>
      </c>
    </row>
    <row r="234" s="251" customFormat="1" customHeight="1" spans="1:26">
      <c r="A234" s="270">
        <v>3</v>
      </c>
      <c r="B234" s="271">
        <f>'人员人工-研发人员工资'!B234</f>
        <v>0</v>
      </c>
      <c r="C234" s="272"/>
      <c r="D234" s="272">
        <f>'人员人工-研发人员工资'!D234</f>
        <v>0</v>
      </c>
      <c r="E234" s="272">
        <f t="shared" si="79"/>
        <v>0</v>
      </c>
      <c r="F234" s="272">
        <f t="shared" si="80"/>
        <v>0</v>
      </c>
      <c r="G234" s="273">
        <f>'人员人工-研发人员工资'!G234</f>
        <v>0</v>
      </c>
      <c r="H234" s="274">
        <f t="shared" si="81"/>
        <v>0</v>
      </c>
      <c r="I234" s="273">
        <f>'人员人工-研发人员工资'!I234</f>
        <v>0</v>
      </c>
      <c r="J234" s="274">
        <f t="shared" si="82"/>
        <v>0</v>
      </c>
      <c r="K234" s="275">
        <f>'人员人工-研发人员工资'!K234</f>
        <v>0</v>
      </c>
      <c r="L234" s="274">
        <f t="shared" si="83"/>
        <v>0</v>
      </c>
      <c r="M234" s="273">
        <f>'人员人工-研发人员工资'!M234</f>
        <v>0</v>
      </c>
      <c r="N234" s="274">
        <f t="shared" si="84"/>
        <v>0</v>
      </c>
      <c r="O234" s="273">
        <f>'人员人工-研发人员工资'!O234</f>
        <v>0</v>
      </c>
      <c r="P234" s="274">
        <f t="shared" si="85"/>
        <v>0</v>
      </c>
      <c r="Q234" s="273">
        <f>'人员人工-研发人员工资'!Q234</f>
        <v>0</v>
      </c>
      <c r="R234" s="274">
        <f t="shared" si="86"/>
        <v>0</v>
      </c>
      <c r="S234" s="273">
        <f>'人员人工-研发人员工资'!S234</f>
        <v>0</v>
      </c>
      <c r="T234" s="274">
        <f t="shared" si="87"/>
        <v>0</v>
      </c>
      <c r="U234" s="273">
        <f>'人员人工-研发人员工资'!U234</f>
        <v>0</v>
      </c>
      <c r="V234" s="274">
        <f t="shared" si="88"/>
        <v>0</v>
      </c>
      <c r="W234" s="273">
        <f>'人员人工-研发人员工资'!W234</f>
        <v>0</v>
      </c>
      <c r="X234" s="274">
        <f t="shared" si="89"/>
        <v>0</v>
      </c>
      <c r="Y234" s="273">
        <f>'人员人工-研发人员工资'!Y234</f>
        <v>0</v>
      </c>
      <c r="Z234" s="274">
        <f t="shared" si="90"/>
        <v>0</v>
      </c>
    </row>
    <row r="235" s="251" customFormat="1" customHeight="1" spans="1:26">
      <c r="A235" s="270">
        <v>4</v>
      </c>
      <c r="B235" s="271">
        <f>'人员人工-研发人员工资'!B235</f>
        <v>0</v>
      </c>
      <c r="C235" s="272"/>
      <c r="D235" s="272">
        <f>'人员人工-研发人员工资'!D235</f>
        <v>0</v>
      </c>
      <c r="E235" s="272">
        <f t="shared" si="79"/>
        <v>0</v>
      </c>
      <c r="F235" s="272">
        <f t="shared" si="80"/>
        <v>0</v>
      </c>
      <c r="G235" s="273">
        <f>'人员人工-研发人员工资'!G235</f>
        <v>0</v>
      </c>
      <c r="H235" s="274">
        <f t="shared" si="81"/>
        <v>0</v>
      </c>
      <c r="I235" s="273">
        <f>'人员人工-研发人员工资'!I235</f>
        <v>0</v>
      </c>
      <c r="J235" s="274">
        <f t="shared" si="82"/>
        <v>0</v>
      </c>
      <c r="K235" s="275">
        <f>'人员人工-研发人员工资'!K235</f>
        <v>0</v>
      </c>
      <c r="L235" s="274">
        <f t="shared" si="83"/>
        <v>0</v>
      </c>
      <c r="M235" s="273">
        <f>'人员人工-研发人员工资'!M235</f>
        <v>0</v>
      </c>
      <c r="N235" s="274">
        <f t="shared" si="84"/>
        <v>0</v>
      </c>
      <c r="O235" s="273">
        <f>'人员人工-研发人员工资'!O235</f>
        <v>0</v>
      </c>
      <c r="P235" s="274">
        <f t="shared" si="85"/>
        <v>0</v>
      </c>
      <c r="Q235" s="273">
        <f>'人员人工-研发人员工资'!Q235</f>
        <v>0</v>
      </c>
      <c r="R235" s="274">
        <f t="shared" si="86"/>
        <v>0</v>
      </c>
      <c r="S235" s="273">
        <f>'人员人工-研发人员工资'!S235</f>
        <v>0</v>
      </c>
      <c r="T235" s="274">
        <f t="shared" si="87"/>
        <v>0</v>
      </c>
      <c r="U235" s="273">
        <f>'人员人工-研发人员工资'!U235</f>
        <v>0</v>
      </c>
      <c r="V235" s="274">
        <f t="shared" si="88"/>
        <v>0</v>
      </c>
      <c r="W235" s="273">
        <f>'人员人工-研发人员工资'!W235</f>
        <v>0</v>
      </c>
      <c r="X235" s="274">
        <f t="shared" si="89"/>
        <v>0</v>
      </c>
      <c r="Y235" s="273">
        <f>'人员人工-研发人员工资'!Y235</f>
        <v>0</v>
      </c>
      <c r="Z235" s="274">
        <f t="shared" si="90"/>
        <v>0</v>
      </c>
    </row>
    <row r="236" s="251" customFormat="1" customHeight="1" spans="1:26">
      <c r="A236" s="270">
        <v>5</v>
      </c>
      <c r="B236" s="271">
        <f>'人员人工-研发人员工资'!B236</f>
        <v>0</v>
      </c>
      <c r="C236" s="272"/>
      <c r="D236" s="272">
        <f>'人员人工-研发人员工资'!D236</f>
        <v>0</v>
      </c>
      <c r="E236" s="272">
        <f t="shared" si="79"/>
        <v>0</v>
      </c>
      <c r="F236" s="272">
        <f t="shared" si="80"/>
        <v>0</v>
      </c>
      <c r="G236" s="273">
        <f>'人员人工-研发人员工资'!G236</f>
        <v>0</v>
      </c>
      <c r="H236" s="274">
        <f t="shared" si="81"/>
        <v>0</v>
      </c>
      <c r="I236" s="273">
        <f>'人员人工-研发人员工资'!I236</f>
        <v>0</v>
      </c>
      <c r="J236" s="274">
        <f t="shared" si="82"/>
        <v>0</v>
      </c>
      <c r="K236" s="275">
        <f>'人员人工-研发人员工资'!K236</f>
        <v>0</v>
      </c>
      <c r="L236" s="274">
        <f t="shared" si="83"/>
        <v>0</v>
      </c>
      <c r="M236" s="273">
        <f>'人员人工-研发人员工资'!M236</f>
        <v>0</v>
      </c>
      <c r="N236" s="274">
        <f t="shared" si="84"/>
        <v>0</v>
      </c>
      <c r="O236" s="273">
        <f>'人员人工-研发人员工资'!O236</f>
        <v>0</v>
      </c>
      <c r="P236" s="274">
        <f t="shared" si="85"/>
        <v>0</v>
      </c>
      <c r="Q236" s="273">
        <f>'人员人工-研发人员工资'!Q236</f>
        <v>0</v>
      </c>
      <c r="R236" s="274">
        <f t="shared" si="86"/>
        <v>0</v>
      </c>
      <c r="S236" s="273">
        <f>'人员人工-研发人员工资'!S236</f>
        <v>0</v>
      </c>
      <c r="T236" s="274">
        <f t="shared" si="87"/>
        <v>0</v>
      </c>
      <c r="U236" s="273">
        <f>'人员人工-研发人员工资'!U236</f>
        <v>0</v>
      </c>
      <c r="V236" s="274">
        <f t="shared" si="88"/>
        <v>0</v>
      </c>
      <c r="W236" s="273">
        <f>'人员人工-研发人员工资'!W236</f>
        <v>0</v>
      </c>
      <c r="X236" s="274">
        <f t="shared" si="89"/>
        <v>0</v>
      </c>
      <c r="Y236" s="273">
        <f>'人员人工-研发人员工资'!Y236</f>
        <v>0</v>
      </c>
      <c r="Z236" s="274">
        <f t="shared" si="90"/>
        <v>0</v>
      </c>
    </row>
    <row r="237" s="251" customFormat="1" customHeight="1" spans="1:26">
      <c r="A237" s="270">
        <v>6</v>
      </c>
      <c r="B237" s="271">
        <f>'人员人工-研发人员工资'!B237</f>
        <v>0</v>
      </c>
      <c r="C237" s="274"/>
      <c r="D237" s="272">
        <f>'人员人工-研发人员工资'!D237</f>
        <v>0</v>
      </c>
      <c r="E237" s="272">
        <f t="shared" si="79"/>
        <v>0</v>
      </c>
      <c r="F237" s="272">
        <f t="shared" si="80"/>
        <v>0</v>
      </c>
      <c r="G237" s="273">
        <f>'人员人工-研发人员工资'!G237</f>
        <v>0</v>
      </c>
      <c r="H237" s="274">
        <f t="shared" si="81"/>
        <v>0</v>
      </c>
      <c r="I237" s="273">
        <f>'人员人工-研发人员工资'!I237</f>
        <v>0</v>
      </c>
      <c r="J237" s="274">
        <f t="shared" si="82"/>
        <v>0</v>
      </c>
      <c r="K237" s="275">
        <f>'人员人工-研发人员工资'!K237</f>
        <v>0</v>
      </c>
      <c r="L237" s="274">
        <f t="shared" si="83"/>
        <v>0</v>
      </c>
      <c r="M237" s="273">
        <f>'人员人工-研发人员工资'!M237</f>
        <v>0</v>
      </c>
      <c r="N237" s="274">
        <f t="shared" si="84"/>
        <v>0</v>
      </c>
      <c r="O237" s="273">
        <f>'人员人工-研发人员工资'!O237</f>
        <v>0</v>
      </c>
      <c r="P237" s="274">
        <f t="shared" si="85"/>
        <v>0</v>
      </c>
      <c r="Q237" s="273">
        <f>'人员人工-研发人员工资'!Q237</f>
        <v>0</v>
      </c>
      <c r="R237" s="274">
        <f t="shared" si="86"/>
        <v>0</v>
      </c>
      <c r="S237" s="273">
        <f>'人员人工-研发人员工资'!S237</f>
        <v>0</v>
      </c>
      <c r="T237" s="274">
        <f t="shared" si="87"/>
        <v>0</v>
      </c>
      <c r="U237" s="273">
        <f>'人员人工-研发人员工资'!U237</f>
        <v>0</v>
      </c>
      <c r="V237" s="274">
        <f t="shared" si="88"/>
        <v>0</v>
      </c>
      <c r="W237" s="273">
        <f>'人员人工-研发人员工资'!W237</f>
        <v>0</v>
      </c>
      <c r="X237" s="274">
        <f t="shared" si="89"/>
        <v>0</v>
      </c>
      <c r="Y237" s="273">
        <f>'人员人工-研发人员工资'!Y237</f>
        <v>0</v>
      </c>
      <c r="Z237" s="274">
        <f t="shared" si="90"/>
        <v>0</v>
      </c>
    </row>
    <row r="238" s="251" customFormat="1" customHeight="1" spans="1:26">
      <c r="A238" s="270">
        <v>7</v>
      </c>
      <c r="B238" s="271">
        <f>'人员人工-研发人员工资'!B238</f>
        <v>0</v>
      </c>
      <c r="C238" s="274"/>
      <c r="D238" s="272">
        <f>'人员人工-研发人员工资'!D238</f>
        <v>0</v>
      </c>
      <c r="E238" s="272">
        <f t="shared" si="79"/>
        <v>0</v>
      </c>
      <c r="F238" s="272">
        <f t="shared" si="80"/>
        <v>0</v>
      </c>
      <c r="G238" s="273">
        <f>'人员人工-研发人员工资'!G238</f>
        <v>0</v>
      </c>
      <c r="H238" s="274">
        <f t="shared" si="81"/>
        <v>0</v>
      </c>
      <c r="I238" s="273">
        <f>'人员人工-研发人员工资'!I238</f>
        <v>0</v>
      </c>
      <c r="J238" s="274">
        <f t="shared" si="82"/>
        <v>0</v>
      </c>
      <c r="K238" s="275">
        <f>'人员人工-研发人员工资'!K238</f>
        <v>0</v>
      </c>
      <c r="L238" s="274">
        <f t="shared" si="83"/>
        <v>0</v>
      </c>
      <c r="M238" s="273">
        <f>'人员人工-研发人员工资'!M238</f>
        <v>0</v>
      </c>
      <c r="N238" s="274">
        <f t="shared" si="84"/>
        <v>0</v>
      </c>
      <c r="O238" s="273">
        <f>'人员人工-研发人员工资'!O238</f>
        <v>0</v>
      </c>
      <c r="P238" s="274">
        <f t="shared" si="85"/>
        <v>0</v>
      </c>
      <c r="Q238" s="273">
        <f>'人员人工-研发人员工资'!Q238</f>
        <v>0</v>
      </c>
      <c r="R238" s="274">
        <f t="shared" si="86"/>
        <v>0</v>
      </c>
      <c r="S238" s="273">
        <f>'人员人工-研发人员工资'!S238</f>
        <v>0</v>
      </c>
      <c r="T238" s="274">
        <f t="shared" si="87"/>
        <v>0</v>
      </c>
      <c r="U238" s="273">
        <f>'人员人工-研发人员工资'!U238</f>
        <v>0</v>
      </c>
      <c r="V238" s="274">
        <f t="shared" si="88"/>
        <v>0</v>
      </c>
      <c r="W238" s="273">
        <f>'人员人工-研发人员工资'!W238</f>
        <v>0</v>
      </c>
      <c r="X238" s="274">
        <f t="shared" si="89"/>
        <v>0</v>
      </c>
      <c r="Y238" s="273">
        <f>'人员人工-研发人员工资'!Y238</f>
        <v>0</v>
      </c>
      <c r="Z238" s="274">
        <f t="shared" si="90"/>
        <v>0</v>
      </c>
    </row>
    <row r="239" s="251" customFormat="1" customHeight="1" spans="1:26">
      <c r="A239" s="270">
        <v>8</v>
      </c>
      <c r="B239" s="271">
        <f>'人员人工-研发人员工资'!B239</f>
        <v>0</v>
      </c>
      <c r="C239" s="274"/>
      <c r="D239" s="272">
        <f>'人员人工-研发人员工资'!D239</f>
        <v>0</v>
      </c>
      <c r="E239" s="272">
        <f t="shared" si="79"/>
        <v>0</v>
      </c>
      <c r="F239" s="272">
        <f t="shared" si="80"/>
        <v>0</v>
      </c>
      <c r="G239" s="273">
        <f>'人员人工-研发人员工资'!G239</f>
        <v>0</v>
      </c>
      <c r="H239" s="274">
        <f t="shared" si="81"/>
        <v>0</v>
      </c>
      <c r="I239" s="273">
        <f>'人员人工-研发人员工资'!I239</f>
        <v>0</v>
      </c>
      <c r="J239" s="274">
        <f t="shared" si="82"/>
        <v>0</v>
      </c>
      <c r="K239" s="275">
        <f>'人员人工-研发人员工资'!K239</f>
        <v>0</v>
      </c>
      <c r="L239" s="274">
        <f t="shared" si="83"/>
        <v>0</v>
      </c>
      <c r="M239" s="273">
        <f>'人员人工-研发人员工资'!M239</f>
        <v>0</v>
      </c>
      <c r="N239" s="274">
        <f t="shared" si="84"/>
        <v>0</v>
      </c>
      <c r="O239" s="273">
        <f>'人员人工-研发人员工资'!O239</f>
        <v>0</v>
      </c>
      <c r="P239" s="274">
        <f t="shared" si="85"/>
        <v>0</v>
      </c>
      <c r="Q239" s="273">
        <f>'人员人工-研发人员工资'!Q239</f>
        <v>0</v>
      </c>
      <c r="R239" s="274">
        <f t="shared" si="86"/>
        <v>0</v>
      </c>
      <c r="S239" s="273">
        <f>'人员人工-研发人员工资'!S239</f>
        <v>0</v>
      </c>
      <c r="T239" s="274">
        <f t="shared" si="87"/>
        <v>0</v>
      </c>
      <c r="U239" s="273">
        <f>'人员人工-研发人员工资'!U239</f>
        <v>0</v>
      </c>
      <c r="V239" s="274">
        <f t="shared" si="88"/>
        <v>0</v>
      </c>
      <c r="W239" s="273">
        <f>'人员人工-研发人员工资'!W239</f>
        <v>0</v>
      </c>
      <c r="X239" s="274">
        <f t="shared" si="89"/>
        <v>0</v>
      </c>
      <c r="Y239" s="273">
        <f>'人员人工-研发人员工资'!Y239</f>
        <v>0</v>
      </c>
      <c r="Z239" s="274">
        <f t="shared" si="90"/>
        <v>0</v>
      </c>
    </row>
    <row r="240" s="251" customFormat="1" customHeight="1" spans="1:26">
      <c r="A240" s="270">
        <v>9</v>
      </c>
      <c r="B240" s="271">
        <f>'人员人工-研发人员工资'!B250</f>
        <v>0</v>
      </c>
      <c r="C240" s="274"/>
      <c r="D240" s="272">
        <f>'人员人工-研发人员工资'!D250</f>
        <v>0</v>
      </c>
      <c r="E240" s="272">
        <f t="shared" ref="E240:E249" si="91">G250+I250+K250+M250+O250+Q250+S250+U250+W250+Y250</f>
        <v>0</v>
      </c>
      <c r="F240" s="272">
        <f t="shared" ref="F240:F249" si="92">H250+J250+L250+N250+P250+R250+T250+V250+X250+Z250</f>
        <v>0</v>
      </c>
      <c r="G240" s="273">
        <f>'人员人工-研发人员工资'!G250</f>
        <v>0</v>
      </c>
      <c r="H240" s="274">
        <f t="shared" ref="H240:H249" si="93">IF($D250=0,0,ROUND(G250/$D250*$C250,2))</f>
        <v>0</v>
      </c>
      <c r="I240" s="273">
        <f>'人员人工-研发人员工资'!I250</f>
        <v>0</v>
      </c>
      <c r="J240" s="274">
        <f t="shared" ref="J240:J249" si="94">IF($D250=0,0,ROUND(I250/$D250*$C250,2))</f>
        <v>0</v>
      </c>
      <c r="K240" s="275">
        <f>'人员人工-研发人员工资'!K250</f>
        <v>0</v>
      </c>
      <c r="L240" s="274">
        <f t="shared" ref="L240:L249" si="95">IF($D250=0,0,ROUND(K250/$D250*$C250,2))</f>
        <v>0</v>
      </c>
      <c r="M240" s="273">
        <f>'人员人工-研发人员工资'!M250</f>
        <v>0</v>
      </c>
      <c r="N240" s="274">
        <f t="shared" ref="N240:N249" si="96">IF($D250=0,0,ROUND(M250/$D250*$C250,2))</f>
        <v>0</v>
      </c>
      <c r="O240" s="273">
        <f>'人员人工-研发人员工资'!O250</f>
        <v>0</v>
      </c>
      <c r="P240" s="274">
        <f t="shared" ref="P240:P249" si="97">IF($D250=0,0,ROUND(O250/$D250*$C250,2))</f>
        <v>0</v>
      </c>
      <c r="Q240" s="273">
        <f>'人员人工-研发人员工资'!Q250</f>
        <v>0</v>
      </c>
      <c r="R240" s="274">
        <f t="shared" ref="R240:R249" si="98">IF($D250=0,0,ROUND(Q250/$D250*$C250,2))</f>
        <v>0</v>
      </c>
      <c r="S240" s="273">
        <f>'人员人工-研发人员工资'!S250</f>
        <v>0</v>
      </c>
      <c r="T240" s="274">
        <f t="shared" ref="T240:T249" si="99">IF($D250=0,0,ROUND(S250/$D250*$C250,2))</f>
        <v>0</v>
      </c>
      <c r="U240" s="273">
        <f>'人员人工-研发人员工资'!U250</f>
        <v>0</v>
      </c>
      <c r="V240" s="274">
        <f t="shared" ref="V240:V249" si="100">IF($D250=0,0,ROUND(U250/$D250*$C250,2))</f>
        <v>0</v>
      </c>
      <c r="W240" s="273">
        <f>'人员人工-研发人员工资'!W250</f>
        <v>0</v>
      </c>
      <c r="X240" s="274">
        <f t="shared" ref="X240:X249" si="101">IF($D250=0,0,ROUND(W250/$D250*$C250,2))</f>
        <v>0</v>
      </c>
      <c r="Y240" s="273">
        <f>'人员人工-研发人员工资'!Y250</f>
        <v>0</v>
      </c>
      <c r="Z240" s="274">
        <f t="shared" ref="Z240:Z249" si="102">IF($D250=0,0,ROUND(Y250/$D250*$C250,2))</f>
        <v>0</v>
      </c>
    </row>
    <row r="241" s="251" customFormat="1" customHeight="1" spans="1:26">
      <c r="A241" s="270">
        <v>10</v>
      </c>
      <c r="B241" s="271">
        <f>'人员人工-研发人员工资'!B251</f>
        <v>0</v>
      </c>
      <c r="C241" s="274"/>
      <c r="D241" s="272">
        <f>'人员人工-研发人员工资'!D251</f>
        <v>0</v>
      </c>
      <c r="E241" s="272">
        <f t="shared" si="91"/>
        <v>0</v>
      </c>
      <c r="F241" s="272">
        <f t="shared" si="92"/>
        <v>0</v>
      </c>
      <c r="G241" s="273">
        <f>'人员人工-研发人员工资'!G251</f>
        <v>0</v>
      </c>
      <c r="H241" s="274">
        <f t="shared" si="93"/>
        <v>0</v>
      </c>
      <c r="I241" s="273">
        <f>'人员人工-研发人员工资'!I251</f>
        <v>0</v>
      </c>
      <c r="J241" s="274">
        <f t="shared" si="94"/>
        <v>0</v>
      </c>
      <c r="K241" s="275">
        <f>'人员人工-研发人员工资'!K251</f>
        <v>0</v>
      </c>
      <c r="L241" s="274">
        <f t="shared" si="95"/>
        <v>0</v>
      </c>
      <c r="M241" s="273">
        <f>'人员人工-研发人员工资'!M251</f>
        <v>0</v>
      </c>
      <c r="N241" s="274">
        <f t="shared" si="96"/>
        <v>0</v>
      </c>
      <c r="O241" s="273">
        <f>'人员人工-研发人员工资'!O251</f>
        <v>0</v>
      </c>
      <c r="P241" s="274">
        <f t="shared" si="97"/>
        <v>0</v>
      </c>
      <c r="Q241" s="273">
        <f>'人员人工-研发人员工资'!Q251</f>
        <v>0</v>
      </c>
      <c r="R241" s="274">
        <f t="shared" si="98"/>
        <v>0</v>
      </c>
      <c r="S241" s="273">
        <f>'人员人工-研发人员工资'!S251</f>
        <v>0</v>
      </c>
      <c r="T241" s="274">
        <f t="shared" si="99"/>
        <v>0</v>
      </c>
      <c r="U241" s="273">
        <f>'人员人工-研发人员工资'!U251</f>
        <v>0</v>
      </c>
      <c r="V241" s="274">
        <f t="shared" si="100"/>
        <v>0</v>
      </c>
      <c r="W241" s="273">
        <f>'人员人工-研发人员工资'!W251</f>
        <v>0</v>
      </c>
      <c r="X241" s="274">
        <f t="shared" si="101"/>
        <v>0</v>
      </c>
      <c r="Y241" s="273">
        <f>'人员人工-研发人员工资'!Y251</f>
        <v>0</v>
      </c>
      <c r="Z241" s="274">
        <f t="shared" si="102"/>
        <v>0</v>
      </c>
    </row>
    <row r="242" s="251" customFormat="1" customHeight="1" spans="1:26">
      <c r="A242" s="270">
        <v>11</v>
      </c>
      <c r="B242" s="271">
        <f>'人员人工-研发人员工资'!B252</f>
        <v>0</v>
      </c>
      <c r="C242" s="274"/>
      <c r="D242" s="272">
        <f>'人员人工-研发人员工资'!D252</f>
        <v>0</v>
      </c>
      <c r="E242" s="272">
        <f t="shared" si="91"/>
        <v>0</v>
      </c>
      <c r="F242" s="272">
        <f t="shared" si="92"/>
        <v>0</v>
      </c>
      <c r="G242" s="273">
        <f>'人员人工-研发人员工资'!G252</f>
        <v>0</v>
      </c>
      <c r="H242" s="274">
        <f t="shared" si="93"/>
        <v>0</v>
      </c>
      <c r="I242" s="273">
        <f>'人员人工-研发人员工资'!I252</f>
        <v>0</v>
      </c>
      <c r="J242" s="274">
        <f t="shared" si="94"/>
        <v>0</v>
      </c>
      <c r="K242" s="275">
        <f>'人员人工-研发人员工资'!K252</f>
        <v>0</v>
      </c>
      <c r="L242" s="274">
        <f t="shared" si="95"/>
        <v>0</v>
      </c>
      <c r="M242" s="273">
        <f>'人员人工-研发人员工资'!M252</f>
        <v>0</v>
      </c>
      <c r="N242" s="274">
        <f t="shared" si="96"/>
        <v>0</v>
      </c>
      <c r="O242" s="273">
        <f>'人员人工-研发人员工资'!O252</f>
        <v>0</v>
      </c>
      <c r="P242" s="274">
        <f t="shared" si="97"/>
        <v>0</v>
      </c>
      <c r="Q242" s="273">
        <f>'人员人工-研发人员工资'!Q252</f>
        <v>0</v>
      </c>
      <c r="R242" s="274">
        <f t="shared" si="98"/>
        <v>0</v>
      </c>
      <c r="S242" s="273">
        <f>'人员人工-研发人员工资'!S252</f>
        <v>0</v>
      </c>
      <c r="T242" s="274">
        <f t="shared" si="99"/>
        <v>0</v>
      </c>
      <c r="U242" s="273">
        <f>'人员人工-研发人员工资'!U252</f>
        <v>0</v>
      </c>
      <c r="V242" s="274">
        <f t="shared" si="100"/>
        <v>0</v>
      </c>
      <c r="W242" s="273">
        <f>'人员人工-研发人员工资'!W252</f>
        <v>0</v>
      </c>
      <c r="X242" s="274">
        <f t="shared" si="101"/>
        <v>0</v>
      </c>
      <c r="Y242" s="273">
        <f>'人员人工-研发人员工资'!Y252</f>
        <v>0</v>
      </c>
      <c r="Z242" s="274">
        <f t="shared" si="102"/>
        <v>0</v>
      </c>
    </row>
    <row r="243" s="251" customFormat="1" customHeight="1" spans="1:26">
      <c r="A243" s="270">
        <v>12</v>
      </c>
      <c r="B243" s="271">
        <f>'人员人工-研发人员工资'!B253</f>
        <v>0</v>
      </c>
      <c r="C243" s="274"/>
      <c r="D243" s="272">
        <f>'人员人工-研发人员工资'!D253</f>
        <v>0</v>
      </c>
      <c r="E243" s="272">
        <f t="shared" si="91"/>
        <v>0</v>
      </c>
      <c r="F243" s="272">
        <f t="shared" si="92"/>
        <v>0</v>
      </c>
      <c r="G243" s="273">
        <f>'人员人工-研发人员工资'!G253</f>
        <v>0</v>
      </c>
      <c r="H243" s="274">
        <f t="shared" si="93"/>
        <v>0</v>
      </c>
      <c r="I243" s="273">
        <f>'人员人工-研发人员工资'!I253</f>
        <v>0</v>
      </c>
      <c r="J243" s="274">
        <f t="shared" si="94"/>
        <v>0</v>
      </c>
      <c r="K243" s="275">
        <f>'人员人工-研发人员工资'!K253</f>
        <v>0</v>
      </c>
      <c r="L243" s="274">
        <f t="shared" si="95"/>
        <v>0</v>
      </c>
      <c r="M243" s="273">
        <f>'人员人工-研发人员工资'!M253</f>
        <v>0</v>
      </c>
      <c r="N243" s="274">
        <f t="shared" si="96"/>
        <v>0</v>
      </c>
      <c r="O243" s="273">
        <f>'人员人工-研发人员工资'!O253</f>
        <v>0</v>
      </c>
      <c r="P243" s="274">
        <f t="shared" si="97"/>
        <v>0</v>
      </c>
      <c r="Q243" s="273">
        <f>'人员人工-研发人员工资'!Q253</f>
        <v>0</v>
      </c>
      <c r="R243" s="274">
        <f t="shared" si="98"/>
        <v>0</v>
      </c>
      <c r="S243" s="273">
        <f>'人员人工-研发人员工资'!S253</f>
        <v>0</v>
      </c>
      <c r="T243" s="274">
        <f t="shared" si="99"/>
        <v>0</v>
      </c>
      <c r="U243" s="273">
        <f>'人员人工-研发人员工资'!U253</f>
        <v>0</v>
      </c>
      <c r="V243" s="274">
        <f t="shared" si="100"/>
        <v>0</v>
      </c>
      <c r="W243" s="273">
        <f>'人员人工-研发人员工资'!W253</f>
        <v>0</v>
      </c>
      <c r="X243" s="274">
        <f t="shared" si="101"/>
        <v>0</v>
      </c>
      <c r="Y243" s="273">
        <f>'人员人工-研发人员工资'!Y253</f>
        <v>0</v>
      </c>
      <c r="Z243" s="274">
        <f t="shared" si="102"/>
        <v>0</v>
      </c>
    </row>
    <row r="244" s="251" customFormat="1" customHeight="1" spans="1:26">
      <c r="A244" s="270">
        <v>13</v>
      </c>
      <c r="B244" s="271">
        <f>'人员人工-研发人员工资'!B254</f>
        <v>0</v>
      </c>
      <c r="C244" s="274"/>
      <c r="D244" s="272">
        <f>'人员人工-研发人员工资'!D254</f>
        <v>0</v>
      </c>
      <c r="E244" s="272">
        <f t="shared" si="91"/>
        <v>0</v>
      </c>
      <c r="F244" s="272">
        <f t="shared" si="92"/>
        <v>0</v>
      </c>
      <c r="G244" s="273">
        <f>'人员人工-研发人员工资'!G254</f>
        <v>0</v>
      </c>
      <c r="H244" s="274">
        <f t="shared" si="93"/>
        <v>0</v>
      </c>
      <c r="I244" s="273">
        <f>'人员人工-研发人员工资'!I254</f>
        <v>0</v>
      </c>
      <c r="J244" s="274">
        <f t="shared" si="94"/>
        <v>0</v>
      </c>
      <c r="K244" s="275">
        <f>'人员人工-研发人员工资'!K254</f>
        <v>0</v>
      </c>
      <c r="L244" s="274">
        <f t="shared" si="95"/>
        <v>0</v>
      </c>
      <c r="M244" s="273">
        <f>'人员人工-研发人员工资'!M254</f>
        <v>0</v>
      </c>
      <c r="N244" s="274">
        <f t="shared" si="96"/>
        <v>0</v>
      </c>
      <c r="O244" s="273">
        <f>'人员人工-研发人员工资'!O254</f>
        <v>0</v>
      </c>
      <c r="P244" s="274">
        <f t="shared" si="97"/>
        <v>0</v>
      </c>
      <c r="Q244" s="273">
        <f>'人员人工-研发人员工资'!Q254</f>
        <v>0</v>
      </c>
      <c r="R244" s="274">
        <f t="shared" si="98"/>
        <v>0</v>
      </c>
      <c r="S244" s="273">
        <f>'人员人工-研发人员工资'!S254</f>
        <v>0</v>
      </c>
      <c r="T244" s="274">
        <f t="shared" si="99"/>
        <v>0</v>
      </c>
      <c r="U244" s="273">
        <f>'人员人工-研发人员工资'!U254</f>
        <v>0</v>
      </c>
      <c r="V244" s="274">
        <f t="shared" si="100"/>
        <v>0</v>
      </c>
      <c r="W244" s="273">
        <f>'人员人工-研发人员工资'!W254</f>
        <v>0</v>
      </c>
      <c r="X244" s="274">
        <f t="shared" si="101"/>
        <v>0</v>
      </c>
      <c r="Y244" s="273">
        <f>'人员人工-研发人员工资'!Y254</f>
        <v>0</v>
      </c>
      <c r="Z244" s="274">
        <f t="shared" si="102"/>
        <v>0</v>
      </c>
    </row>
    <row r="245" s="251" customFormat="1" customHeight="1" spans="1:26">
      <c r="A245" s="270">
        <v>14</v>
      </c>
      <c r="B245" s="271">
        <f>'人员人工-研发人员工资'!B255</f>
        <v>0</v>
      </c>
      <c r="C245" s="274"/>
      <c r="D245" s="272">
        <f>'人员人工-研发人员工资'!D255</f>
        <v>0</v>
      </c>
      <c r="E245" s="272">
        <f t="shared" si="91"/>
        <v>0</v>
      </c>
      <c r="F245" s="272">
        <f t="shared" si="92"/>
        <v>0</v>
      </c>
      <c r="G245" s="273">
        <f>'人员人工-研发人员工资'!G255</f>
        <v>0</v>
      </c>
      <c r="H245" s="274">
        <f t="shared" si="93"/>
        <v>0</v>
      </c>
      <c r="I245" s="273">
        <f>'人员人工-研发人员工资'!I255</f>
        <v>0</v>
      </c>
      <c r="J245" s="274">
        <f t="shared" si="94"/>
        <v>0</v>
      </c>
      <c r="K245" s="275">
        <f>'人员人工-研发人员工资'!K255</f>
        <v>0</v>
      </c>
      <c r="L245" s="274">
        <f t="shared" si="95"/>
        <v>0</v>
      </c>
      <c r="M245" s="273">
        <f>'人员人工-研发人员工资'!M255</f>
        <v>0</v>
      </c>
      <c r="N245" s="274">
        <f t="shared" si="96"/>
        <v>0</v>
      </c>
      <c r="O245" s="273">
        <f>'人员人工-研发人员工资'!O255</f>
        <v>0</v>
      </c>
      <c r="P245" s="274">
        <f t="shared" si="97"/>
        <v>0</v>
      </c>
      <c r="Q245" s="273">
        <f>'人员人工-研发人员工资'!Q255</f>
        <v>0</v>
      </c>
      <c r="R245" s="274">
        <f t="shared" si="98"/>
        <v>0</v>
      </c>
      <c r="S245" s="273">
        <f>'人员人工-研发人员工资'!S255</f>
        <v>0</v>
      </c>
      <c r="T245" s="274">
        <f t="shared" si="99"/>
        <v>0</v>
      </c>
      <c r="U245" s="273">
        <f>'人员人工-研发人员工资'!U255</f>
        <v>0</v>
      </c>
      <c r="V245" s="274">
        <f t="shared" si="100"/>
        <v>0</v>
      </c>
      <c r="W245" s="273">
        <f>'人员人工-研发人员工资'!W255</f>
        <v>0</v>
      </c>
      <c r="X245" s="274">
        <f t="shared" si="101"/>
        <v>0</v>
      </c>
      <c r="Y245" s="273">
        <f>'人员人工-研发人员工资'!Y255</f>
        <v>0</v>
      </c>
      <c r="Z245" s="274">
        <f t="shared" si="102"/>
        <v>0</v>
      </c>
    </row>
    <row r="246" s="251" customFormat="1" customHeight="1" spans="1:26">
      <c r="A246" s="270">
        <v>15</v>
      </c>
      <c r="B246" s="271">
        <f>'人员人工-研发人员工资'!B256</f>
        <v>0</v>
      </c>
      <c r="C246" s="274"/>
      <c r="D246" s="272">
        <f>'人员人工-研发人员工资'!D256</f>
        <v>0</v>
      </c>
      <c r="E246" s="272">
        <f t="shared" si="91"/>
        <v>0</v>
      </c>
      <c r="F246" s="272">
        <f t="shared" si="92"/>
        <v>0</v>
      </c>
      <c r="G246" s="273">
        <f>'人员人工-研发人员工资'!G256</f>
        <v>0</v>
      </c>
      <c r="H246" s="274">
        <f t="shared" si="93"/>
        <v>0</v>
      </c>
      <c r="I246" s="273">
        <f>'人员人工-研发人员工资'!I256</f>
        <v>0</v>
      </c>
      <c r="J246" s="274">
        <f t="shared" si="94"/>
        <v>0</v>
      </c>
      <c r="K246" s="275">
        <f>'人员人工-研发人员工资'!K256</f>
        <v>0</v>
      </c>
      <c r="L246" s="274">
        <f t="shared" si="95"/>
        <v>0</v>
      </c>
      <c r="M246" s="273">
        <f>'人员人工-研发人员工资'!M256</f>
        <v>0</v>
      </c>
      <c r="N246" s="274">
        <f t="shared" si="96"/>
        <v>0</v>
      </c>
      <c r="O246" s="273">
        <f>'人员人工-研发人员工资'!O256</f>
        <v>0</v>
      </c>
      <c r="P246" s="274">
        <f t="shared" si="97"/>
        <v>0</v>
      </c>
      <c r="Q246" s="273">
        <f>'人员人工-研发人员工资'!Q256</f>
        <v>0</v>
      </c>
      <c r="R246" s="274">
        <f t="shared" si="98"/>
        <v>0</v>
      </c>
      <c r="S246" s="273">
        <f>'人员人工-研发人员工资'!S256</f>
        <v>0</v>
      </c>
      <c r="T246" s="274">
        <f t="shared" si="99"/>
        <v>0</v>
      </c>
      <c r="U246" s="273">
        <f>'人员人工-研发人员工资'!U256</f>
        <v>0</v>
      </c>
      <c r="V246" s="274">
        <f t="shared" si="100"/>
        <v>0</v>
      </c>
      <c r="W246" s="273">
        <f>'人员人工-研发人员工资'!W256</f>
        <v>0</v>
      </c>
      <c r="X246" s="274">
        <f t="shared" si="101"/>
        <v>0</v>
      </c>
      <c r="Y246" s="273">
        <f>'人员人工-研发人员工资'!Y256</f>
        <v>0</v>
      </c>
      <c r="Z246" s="274">
        <f t="shared" si="102"/>
        <v>0</v>
      </c>
    </row>
    <row r="247" s="251" customFormat="1" customHeight="1" spans="1:26">
      <c r="A247" s="270">
        <v>16</v>
      </c>
      <c r="B247" s="271">
        <f>'人员人工-研发人员工资'!B257</f>
        <v>0</v>
      </c>
      <c r="C247" s="274"/>
      <c r="D247" s="272">
        <f>'人员人工-研发人员工资'!D257</f>
        <v>0</v>
      </c>
      <c r="E247" s="272">
        <f t="shared" si="91"/>
        <v>0</v>
      </c>
      <c r="F247" s="272">
        <f t="shared" si="92"/>
        <v>0</v>
      </c>
      <c r="G247" s="273">
        <f>'人员人工-研发人员工资'!G257</f>
        <v>0</v>
      </c>
      <c r="H247" s="274">
        <f t="shared" si="93"/>
        <v>0</v>
      </c>
      <c r="I247" s="273">
        <f>'人员人工-研发人员工资'!I257</f>
        <v>0</v>
      </c>
      <c r="J247" s="274">
        <f t="shared" si="94"/>
        <v>0</v>
      </c>
      <c r="K247" s="275">
        <f>'人员人工-研发人员工资'!K257</f>
        <v>0</v>
      </c>
      <c r="L247" s="274">
        <f t="shared" si="95"/>
        <v>0</v>
      </c>
      <c r="M247" s="273">
        <f>'人员人工-研发人员工资'!M257</f>
        <v>0</v>
      </c>
      <c r="N247" s="274">
        <f t="shared" si="96"/>
        <v>0</v>
      </c>
      <c r="O247" s="273">
        <f>'人员人工-研发人员工资'!O257</f>
        <v>0</v>
      </c>
      <c r="P247" s="274">
        <f t="shared" si="97"/>
        <v>0</v>
      </c>
      <c r="Q247" s="273">
        <f>'人员人工-研发人员工资'!Q257</f>
        <v>0</v>
      </c>
      <c r="R247" s="274">
        <f t="shared" si="98"/>
        <v>0</v>
      </c>
      <c r="S247" s="273">
        <f>'人员人工-研发人员工资'!S257</f>
        <v>0</v>
      </c>
      <c r="T247" s="274">
        <f t="shared" si="99"/>
        <v>0</v>
      </c>
      <c r="U247" s="273">
        <f>'人员人工-研发人员工资'!U257</f>
        <v>0</v>
      </c>
      <c r="V247" s="274">
        <f t="shared" si="100"/>
        <v>0</v>
      </c>
      <c r="W247" s="273">
        <f>'人员人工-研发人员工资'!W257</f>
        <v>0</v>
      </c>
      <c r="X247" s="274">
        <f t="shared" si="101"/>
        <v>0</v>
      </c>
      <c r="Y247" s="273">
        <f>'人员人工-研发人员工资'!Y257</f>
        <v>0</v>
      </c>
      <c r="Z247" s="274">
        <f t="shared" si="102"/>
        <v>0</v>
      </c>
    </row>
    <row r="248" s="251" customFormat="1" customHeight="1" spans="1:26">
      <c r="A248" s="270">
        <v>17</v>
      </c>
      <c r="B248" s="271">
        <f>'人员人工-研发人员工资'!B258</f>
        <v>0</v>
      </c>
      <c r="C248" s="274"/>
      <c r="D248" s="272">
        <f>'人员人工-研发人员工资'!D258</f>
        <v>0</v>
      </c>
      <c r="E248" s="272">
        <f t="shared" si="91"/>
        <v>0</v>
      </c>
      <c r="F248" s="272">
        <f t="shared" si="92"/>
        <v>0</v>
      </c>
      <c r="G248" s="273">
        <f>'人员人工-研发人员工资'!G258</f>
        <v>0</v>
      </c>
      <c r="H248" s="274">
        <f t="shared" si="93"/>
        <v>0</v>
      </c>
      <c r="I248" s="273">
        <f>'人员人工-研发人员工资'!I258</f>
        <v>0</v>
      </c>
      <c r="J248" s="274">
        <f t="shared" si="94"/>
        <v>0</v>
      </c>
      <c r="K248" s="275">
        <f>'人员人工-研发人员工资'!K258</f>
        <v>0</v>
      </c>
      <c r="L248" s="274">
        <f t="shared" si="95"/>
        <v>0</v>
      </c>
      <c r="M248" s="273">
        <f>'人员人工-研发人员工资'!M258</f>
        <v>0</v>
      </c>
      <c r="N248" s="274">
        <f t="shared" si="96"/>
        <v>0</v>
      </c>
      <c r="O248" s="273">
        <f>'人员人工-研发人员工资'!O258</f>
        <v>0</v>
      </c>
      <c r="P248" s="274">
        <f t="shared" si="97"/>
        <v>0</v>
      </c>
      <c r="Q248" s="273">
        <f>'人员人工-研发人员工资'!Q258</f>
        <v>0</v>
      </c>
      <c r="R248" s="274">
        <f t="shared" si="98"/>
        <v>0</v>
      </c>
      <c r="S248" s="273">
        <f>'人员人工-研发人员工资'!S258</f>
        <v>0</v>
      </c>
      <c r="T248" s="274">
        <f t="shared" si="99"/>
        <v>0</v>
      </c>
      <c r="U248" s="273">
        <f>'人员人工-研发人员工资'!U258</f>
        <v>0</v>
      </c>
      <c r="V248" s="274">
        <f t="shared" si="100"/>
        <v>0</v>
      </c>
      <c r="W248" s="273">
        <f>'人员人工-研发人员工资'!W258</f>
        <v>0</v>
      </c>
      <c r="X248" s="274">
        <f t="shared" si="101"/>
        <v>0</v>
      </c>
      <c r="Y248" s="273">
        <f>'人员人工-研发人员工资'!Y258</f>
        <v>0</v>
      </c>
      <c r="Z248" s="274">
        <f t="shared" si="102"/>
        <v>0</v>
      </c>
    </row>
    <row r="249" s="251" customFormat="1" customHeight="1" spans="1:26">
      <c r="A249" s="270">
        <v>18</v>
      </c>
      <c r="B249" s="271">
        <f>'人员人工-研发人员工资'!B259</f>
        <v>0</v>
      </c>
      <c r="C249" s="274"/>
      <c r="D249" s="272">
        <f>'人员人工-研发人员工资'!D259</f>
        <v>0</v>
      </c>
      <c r="E249" s="272">
        <f t="shared" si="91"/>
        <v>0</v>
      </c>
      <c r="F249" s="272">
        <f t="shared" si="92"/>
        <v>0</v>
      </c>
      <c r="G249" s="273">
        <f>'人员人工-研发人员工资'!G259</f>
        <v>0</v>
      </c>
      <c r="H249" s="274">
        <f t="shared" si="93"/>
        <v>0</v>
      </c>
      <c r="I249" s="273">
        <f>'人员人工-研发人员工资'!I259</f>
        <v>0</v>
      </c>
      <c r="J249" s="274">
        <f t="shared" si="94"/>
        <v>0</v>
      </c>
      <c r="K249" s="275">
        <f>'人员人工-研发人员工资'!K259</f>
        <v>0</v>
      </c>
      <c r="L249" s="274">
        <f t="shared" si="95"/>
        <v>0</v>
      </c>
      <c r="M249" s="273">
        <f>'人员人工-研发人员工资'!M259</f>
        <v>0</v>
      </c>
      <c r="N249" s="274">
        <f t="shared" si="96"/>
        <v>0</v>
      </c>
      <c r="O249" s="273">
        <f>'人员人工-研发人员工资'!O259</f>
        <v>0</v>
      </c>
      <c r="P249" s="274">
        <f t="shared" si="97"/>
        <v>0</v>
      </c>
      <c r="Q249" s="273">
        <f>'人员人工-研发人员工资'!Q259</f>
        <v>0</v>
      </c>
      <c r="R249" s="274">
        <f t="shared" si="98"/>
        <v>0</v>
      </c>
      <c r="S249" s="273">
        <f>'人员人工-研发人员工资'!S259</f>
        <v>0</v>
      </c>
      <c r="T249" s="274">
        <f t="shared" si="99"/>
        <v>0</v>
      </c>
      <c r="U249" s="273">
        <f>'人员人工-研发人员工资'!U259</f>
        <v>0</v>
      </c>
      <c r="V249" s="274">
        <f t="shared" si="100"/>
        <v>0</v>
      </c>
      <c r="W249" s="273">
        <f>'人员人工-研发人员工资'!W259</f>
        <v>0</v>
      </c>
      <c r="X249" s="274">
        <f t="shared" si="101"/>
        <v>0</v>
      </c>
      <c r="Y249" s="273">
        <f>'人员人工-研发人员工资'!Y259</f>
        <v>0</v>
      </c>
      <c r="Z249" s="274">
        <f t="shared" si="102"/>
        <v>0</v>
      </c>
    </row>
    <row r="250" s="251" customFormat="1" customHeight="1" spans="1:26">
      <c r="A250" s="270">
        <v>19</v>
      </c>
      <c r="B250" s="271">
        <f>'人员人工-研发人员工资'!B250</f>
        <v>0</v>
      </c>
      <c r="C250" s="274"/>
      <c r="D250" s="272">
        <f>'人员人工-研发人员工资'!D250</f>
        <v>0</v>
      </c>
      <c r="E250" s="272">
        <f t="shared" si="79"/>
        <v>0</v>
      </c>
      <c r="F250" s="272">
        <f t="shared" si="80"/>
        <v>0</v>
      </c>
      <c r="G250" s="273">
        <f>'人员人工-研发人员工资'!G250</f>
        <v>0</v>
      </c>
      <c r="H250" s="274">
        <f t="shared" si="81"/>
        <v>0</v>
      </c>
      <c r="I250" s="273">
        <f>'人员人工-研发人员工资'!I250</f>
        <v>0</v>
      </c>
      <c r="J250" s="274">
        <f t="shared" si="82"/>
        <v>0</v>
      </c>
      <c r="K250" s="275">
        <f>'人员人工-研发人员工资'!K250</f>
        <v>0</v>
      </c>
      <c r="L250" s="274">
        <f t="shared" si="83"/>
        <v>0</v>
      </c>
      <c r="M250" s="273">
        <f>'人员人工-研发人员工资'!M250</f>
        <v>0</v>
      </c>
      <c r="N250" s="274">
        <f t="shared" si="84"/>
        <v>0</v>
      </c>
      <c r="O250" s="273">
        <f>'人员人工-研发人员工资'!O250</f>
        <v>0</v>
      </c>
      <c r="P250" s="274">
        <f t="shared" si="85"/>
        <v>0</v>
      </c>
      <c r="Q250" s="273">
        <f>'人员人工-研发人员工资'!Q250</f>
        <v>0</v>
      </c>
      <c r="R250" s="274">
        <f t="shared" si="86"/>
        <v>0</v>
      </c>
      <c r="S250" s="273">
        <f>'人员人工-研发人员工资'!S250</f>
        <v>0</v>
      </c>
      <c r="T250" s="274">
        <f t="shared" si="87"/>
        <v>0</v>
      </c>
      <c r="U250" s="273">
        <f>'人员人工-研发人员工资'!U250</f>
        <v>0</v>
      </c>
      <c r="V250" s="274">
        <f t="shared" si="88"/>
        <v>0</v>
      </c>
      <c r="W250" s="273">
        <f>'人员人工-研发人员工资'!W250</f>
        <v>0</v>
      </c>
      <c r="X250" s="274">
        <f t="shared" si="89"/>
        <v>0</v>
      </c>
      <c r="Y250" s="273">
        <f>'人员人工-研发人员工资'!Y250</f>
        <v>0</v>
      </c>
      <c r="Z250" s="274">
        <f t="shared" si="90"/>
        <v>0</v>
      </c>
    </row>
    <row r="251" s="251" customFormat="1" customHeight="1" spans="1:26">
      <c r="A251" s="270">
        <v>20</v>
      </c>
      <c r="B251" s="271">
        <f>'人员人工-研发人员工资'!B251</f>
        <v>0</v>
      </c>
      <c r="C251" s="274"/>
      <c r="D251" s="272">
        <f>'人员人工-研发人员工资'!D251</f>
        <v>0</v>
      </c>
      <c r="E251" s="272">
        <f t="shared" si="79"/>
        <v>0</v>
      </c>
      <c r="F251" s="272">
        <f t="shared" si="80"/>
        <v>0</v>
      </c>
      <c r="G251" s="273">
        <f>'人员人工-研发人员工资'!G251</f>
        <v>0</v>
      </c>
      <c r="H251" s="274">
        <f t="shared" si="81"/>
        <v>0</v>
      </c>
      <c r="I251" s="273">
        <f>'人员人工-研发人员工资'!I251</f>
        <v>0</v>
      </c>
      <c r="J251" s="274">
        <f t="shared" si="82"/>
        <v>0</v>
      </c>
      <c r="K251" s="275">
        <f>'人员人工-研发人员工资'!K251</f>
        <v>0</v>
      </c>
      <c r="L251" s="274">
        <f t="shared" si="83"/>
        <v>0</v>
      </c>
      <c r="M251" s="273">
        <f>'人员人工-研发人员工资'!M251</f>
        <v>0</v>
      </c>
      <c r="N251" s="274">
        <f t="shared" si="84"/>
        <v>0</v>
      </c>
      <c r="O251" s="273">
        <f>'人员人工-研发人员工资'!O251</f>
        <v>0</v>
      </c>
      <c r="P251" s="274">
        <f t="shared" si="85"/>
        <v>0</v>
      </c>
      <c r="Q251" s="273">
        <f>'人员人工-研发人员工资'!Q251</f>
        <v>0</v>
      </c>
      <c r="R251" s="274">
        <f t="shared" si="86"/>
        <v>0</v>
      </c>
      <c r="S251" s="273">
        <f>'人员人工-研发人员工资'!S251</f>
        <v>0</v>
      </c>
      <c r="T251" s="274">
        <f t="shared" si="87"/>
        <v>0</v>
      </c>
      <c r="U251" s="273">
        <f>'人员人工-研发人员工资'!U251</f>
        <v>0</v>
      </c>
      <c r="V251" s="274">
        <f t="shared" si="88"/>
        <v>0</v>
      </c>
      <c r="W251" s="273">
        <f>'人员人工-研发人员工资'!W251</f>
        <v>0</v>
      </c>
      <c r="X251" s="274">
        <f t="shared" si="89"/>
        <v>0</v>
      </c>
      <c r="Y251" s="273">
        <f>'人员人工-研发人员工资'!Y251</f>
        <v>0</v>
      </c>
      <c r="Z251" s="274">
        <f t="shared" si="90"/>
        <v>0</v>
      </c>
    </row>
    <row r="252" s="251" customFormat="1" customHeight="1" spans="1:26">
      <c r="A252" s="270">
        <v>21</v>
      </c>
      <c r="B252" s="271">
        <f>'人员人工-研发人员工资'!B252</f>
        <v>0</v>
      </c>
      <c r="C252" s="274"/>
      <c r="D252" s="272">
        <f>'人员人工-研发人员工资'!D252</f>
        <v>0</v>
      </c>
      <c r="E252" s="272">
        <f t="shared" si="79"/>
        <v>0</v>
      </c>
      <c r="F252" s="272">
        <f t="shared" si="80"/>
        <v>0</v>
      </c>
      <c r="G252" s="273">
        <f>'人员人工-研发人员工资'!G252</f>
        <v>0</v>
      </c>
      <c r="H252" s="274">
        <f t="shared" si="81"/>
        <v>0</v>
      </c>
      <c r="I252" s="273">
        <f>'人员人工-研发人员工资'!I252</f>
        <v>0</v>
      </c>
      <c r="J252" s="274">
        <f t="shared" si="82"/>
        <v>0</v>
      </c>
      <c r="K252" s="275">
        <f>'人员人工-研发人员工资'!K252</f>
        <v>0</v>
      </c>
      <c r="L252" s="274">
        <f t="shared" si="83"/>
        <v>0</v>
      </c>
      <c r="M252" s="273">
        <f>'人员人工-研发人员工资'!M252</f>
        <v>0</v>
      </c>
      <c r="N252" s="274">
        <f t="shared" si="84"/>
        <v>0</v>
      </c>
      <c r="O252" s="273">
        <f>'人员人工-研发人员工资'!O252</f>
        <v>0</v>
      </c>
      <c r="P252" s="274">
        <f t="shared" si="85"/>
        <v>0</v>
      </c>
      <c r="Q252" s="273">
        <f>'人员人工-研发人员工资'!Q252</f>
        <v>0</v>
      </c>
      <c r="R252" s="274">
        <f t="shared" si="86"/>
        <v>0</v>
      </c>
      <c r="S252" s="273">
        <f>'人员人工-研发人员工资'!S252</f>
        <v>0</v>
      </c>
      <c r="T252" s="274">
        <f t="shared" si="87"/>
        <v>0</v>
      </c>
      <c r="U252" s="273">
        <f>'人员人工-研发人员工资'!U252</f>
        <v>0</v>
      </c>
      <c r="V252" s="274">
        <f t="shared" si="88"/>
        <v>0</v>
      </c>
      <c r="W252" s="273">
        <f>'人员人工-研发人员工资'!W252</f>
        <v>0</v>
      </c>
      <c r="X252" s="274">
        <f t="shared" si="89"/>
        <v>0</v>
      </c>
      <c r="Y252" s="273">
        <f>'人员人工-研发人员工资'!Y252</f>
        <v>0</v>
      </c>
      <c r="Z252" s="274">
        <f t="shared" si="90"/>
        <v>0</v>
      </c>
    </row>
    <row r="253" s="251" customFormat="1" customHeight="1" spans="1:26">
      <c r="A253" s="270">
        <v>22</v>
      </c>
      <c r="B253" s="271">
        <f>'人员人工-研发人员工资'!B253</f>
        <v>0</v>
      </c>
      <c r="C253" s="274"/>
      <c r="D253" s="272">
        <f>'人员人工-研发人员工资'!D253</f>
        <v>0</v>
      </c>
      <c r="E253" s="272">
        <f t="shared" si="79"/>
        <v>0</v>
      </c>
      <c r="F253" s="272">
        <f t="shared" si="80"/>
        <v>0</v>
      </c>
      <c r="G253" s="273">
        <f>'人员人工-研发人员工资'!G253</f>
        <v>0</v>
      </c>
      <c r="H253" s="274">
        <f t="shared" si="81"/>
        <v>0</v>
      </c>
      <c r="I253" s="273">
        <f>'人员人工-研发人员工资'!I253</f>
        <v>0</v>
      </c>
      <c r="J253" s="274">
        <f t="shared" si="82"/>
        <v>0</v>
      </c>
      <c r="K253" s="275">
        <f>'人员人工-研发人员工资'!K253</f>
        <v>0</v>
      </c>
      <c r="L253" s="274">
        <f t="shared" si="83"/>
        <v>0</v>
      </c>
      <c r="M253" s="273">
        <f>'人员人工-研发人员工资'!M253</f>
        <v>0</v>
      </c>
      <c r="N253" s="274">
        <f t="shared" si="84"/>
        <v>0</v>
      </c>
      <c r="O253" s="273">
        <f>'人员人工-研发人员工资'!O253</f>
        <v>0</v>
      </c>
      <c r="P253" s="274">
        <f t="shared" si="85"/>
        <v>0</v>
      </c>
      <c r="Q253" s="273">
        <f>'人员人工-研发人员工资'!Q253</f>
        <v>0</v>
      </c>
      <c r="R253" s="274">
        <f t="shared" si="86"/>
        <v>0</v>
      </c>
      <c r="S253" s="273">
        <f>'人员人工-研发人员工资'!S253</f>
        <v>0</v>
      </c>
      <c r="T253" s="274">
        <f t="shared" si="87"/>
        <v>0</v>
      </c>
      <c r="U253" s="273">
        <f>'人员人工-研发人员工资'!U253</f>
        <v>0</v>
      </c>
      <c r="V253" s="274">
        <f t="shared" si="88"/>
        <v>0</v>
      </c>
      <c r="W253" s="273">
        <f>'人员人工-研发人员工资'!W253</f>
        <v>0</v>
      </c>
      <c r="X253" s="274">
        <f t="shared" si="89"/>
        <v>0</v>
      </c>
      <c r="Y253" s="273">
        <f>'人员人工-研发人员工资'!Y253</f>
        <v>0</v>
      </c>
      <c r="Z253" s="274">
        <f t="shared" si="90"/>
        <v>0</v>
      </c>
    </row>
    <row r="254" s="251" customFormat="1" customHeight="1" spans="1:26">
      <c r="A254" s="270">
        <v>23</v>
      </c>
      <c r="B254" s="271">
        <f>'人员人工-研发人员工资'!B254</f>
        <v>0</v>
      </c>
      <c r="C254" s="274"/>
      <c r="D254" s="272">
        <f>'人员人工-研发人员工资'!D254</f>
        <v>0</v>
      </c>
      <c r="E254" s="272">
        <f t="shared" si="79"/>
        <v>0</v>
      </c>
      <c r="F254" s="272">
        <f t="shared" si="80"/>
        <v>0</v>
      </c>
      <c r="G254" s="273">
        <f>'人员人工-研发人员工资'!G254</f>
        <v>0</v>
      </c>
      <c r="H254" s="274">
        <f t="shared" si="81"/>
        <v>0</v>
      </c>
      <c r="I254" s="273">
        <f>'人员人工-研发人员工资'!I254</f>
        <v>0</v>
      </c>
      <c r="J254" s="274">
        <f t="shared" si="82"/>
        <v>0</v>
      </c>
      <c r="K254" s="275">
        <f>'人员人工-研发人员工资'!K254</f>
        <v>0</v>
      </c>
      <c r="L254" s="274">
        <f t="shared" si="83"/>
        <v>0</v>
      </c>
      <c r="M254" s="273">
        <f>'人员人工-研发人员工资'!M254</f>
        <v>0</v>
      </c>
      <c r="N254" s="274">
        <f t="shared" si="84"/>
        <v>0</v>
      </c>
      <c r="O254" s="273">
        <f>'人员人工-研发人员工资'!O254</f>
        <v>0</v>
      </c>
      <c r="P254" s="274">
        <f t="shared" si="85"/>
        <v>0</v>
      </c>
      <c r="Q254" s="273">
        <f>'人员人工-研发人员工资'!Q254</f>
        <v>0</v>
      </c>
      <c r="R254" s="274">
        <f t="shared" si="86"/>
        <v>0</v>
      </c>
      <c r="S254" s="273">
        <f>'人员人工-研发人员工资'!S254</f>
        <v>0</v>
      </c>
      <c r="T254" s="274">
        <f t="shared" si="87"/>
        <v>0</v>
      </c>
      <c r="U254" s="273">
        <f>'人员人工-研发人员工资'!U254</f>
        <v>0</v>
      </c>
      <c r="V254" s="274">
        <f t="shared" si="88"/>
        <v>0</v>
      </c>
      <c r="W254" s="273">
        <f>'人员人工-研发人员工资'!W254</f>
        <v>0</v>
      </c>
      <c r="X254" s="274">
        <f t="shared" si="89"/>
        <v>0</v>
      </c>
      <c r="Y254" s="273">
        <f>'人员人工-研发人员工资'!Y254</f>
        <v>0</v>
      </c>
      <c r="Z254" s="274">
        <f t="shared" si="90"/>
        <v>0</v>
      </c>
    </row>
    <row r="255" s="251" customFormat="1" customHeight="1" spans="1:26">
      <c r="A255" s="270">
        <v>25</v>
      </c>
      <c r="B255" s="271">
        <f>'人员人工-研发人员工资'!B255</f>
        <v>0</v>
      </c>
      <c r="C255" s="274"/>
      <c r="D255" s="272">
        <f>'人员人工-研发人员工资'!D255</f>
        <v>0</v>
      </c>
      <c r="E255" s="272">
        <f t="shared" si="79"/>
        <v>0</v>
      </c>
      <c r="F255" s="272">
        <f t="shared" si="80"/>
        <v>0</v>
      </c>
      <c r="G255" s="273">
        <f>'人员人工-研发人员工资'!G255</f>
        <v>0</v>
      </c>
      <c r="H255" s="274">
        <f t="shared" si="81"/>
        <v>0</v>
      </c>
      <c r="I255" s="273">
        <f>'人员人工-研发人员工资'!I255</f>
        <v>0</v>
      </c>
      <c r="J255" s="274">
        <f t="shared" si="82"/>
        <v>0</v>
      </c>
      <c r="K255" s="275">
        <f>'人员人工-研发人员工资'!K255</f>
        <v>0</v>
      </c>
      <c r="L255" s="274">
        <f t="shared" si="83"/>
        <v>0</v>
      </c>
      <c r="M255" s="273">
        <f>'人员人工-研发人员工资'!M255</f>
        <v>0</v>
      </c>
      <c r="N255" s="274">
        <f t="shared" si="84"/>
        <v>0</v>
      </c>
      <c r="O255" s="273">
        <f>'人员人工-研发人员工资'!O255</f>
        <v>0</v>
      </c>
      <c r="P255" s="274">
        <f t="shared" si="85"/>
        <v>0</v>
      </c>
      <c r="Q255" s="273">
        <f>'人员人工-研发人员工资'!Q255</f>
        <v>0</v>
      </c>
      <c r="R255" s="274">
        <f t="shared" si="86"/>
        <v>0</v>
      </c>
      <c r="S255" s="273">
        <f>'人员人工-研发人员工资'!S255</f>
        <v>0</v>
      </c>
      <c r="T255" s="274">
        <f t="shared" si="87"/>
        <v>0</v>
      </c>
      <c r="U255" s="273">
        <f>'人员人工-研发人员工资'!U255</f>
        <v>0</v>
      </c>
      <c r="V255" s="274">
        <f t="shared" si="88"/>
        <v>0</v>
      </c>
      <c r="W255" s="273">
        <f>'人员人工-研发人员工资'!W255</f>
        <v>0</v>
      </c>
      <c r="X255" s="274">
        <f t="shared" si="89"/>
        <v>0</v>
      </c>
      <c r="Y255" s="273">
        <f>'人员人工-研发人员工资'!Y255</f>
        <v>0</v>
      </c>
      <c r="Z255" s="274">
        <f t="shared" si="90"/>
        <v>0</v>
      </c>
    </row>
    <row r="256" s="251" customFormat="1" customHeight="1" spans="1:26">
      <c r="A256" s="270">
        <v>25</v>
      </c>
      <c r="B256" s="271">
        <f>'人员人工-研发人员工资'!B256</f>
        <v>0</v>
      </c>
      <c r="C256" s="274"/>
      <c r="D256" s="272">
        <f>'人员人工-研发人员工资'!D256</f>
        <v>0</v>
      </c>
      <c r="E256" s="272">
        <f t="shared" si="79"/>
        <v>0</v>
      </c>
      <c r="F256" s="272">
        <f t="shared" si="80"/>
        <v>0</v>
      </c>
      <c r="G256" s="273">
        <f>'人员人工-研发人员工资'!G256</f>
        <v>0</v>
      </c>
      <c r="H256" s="274">
        <f t="shared" si="81"/>
        <v>0</v>
      </c>
      <c r="I256" s="273">
        <f>'人员人工-研发人员工资'!I256</f>
        <v>0</v>
      </c>
      <c r="J256" s="274">
        <f t="shared" si="82"/>
        <v>0</v>
      </c>
      <c r="K256" s="275">
        <f>'人员人工-研发人员工资'!K256</f>
        <v>0</v>
      </c>
      <c r="L256" s="274">
        <f t="shared" si="83"/>
        <v>0</v>
      </c>
      <c r="M256" s="273">
        <f>'人员人工-研发人员工资'!M256</f>
        <v>0</v>
      </c>
      <c r="N256" s="274">
        <f t="shared" si="84"/>
        <v>0</v>
      </c>
      <c r="O256" s="273">
        <f>'人员人工-研发人员工资'!O256</f>
        <v>0</v>
      </c>
      <c r="P256" s="274">
        <f t="shared" si="85"/>
        <v>0</v>
      </c>
      <c r="Q256" s="273">
        <f>'人员人工-研发人员工资'!Q256</f>
        <v>0</v>
      </c>
      <c r="R256" s="274">
        <f t="shared" si="86"/>
        <v>0</v>
      </c>
      <c r="S256" s="273">
        <f>'人员人工-研发人员工资'!S256</f>
        <v>0</v>
      </c>
      <c r="T256" s="274">
        <f t="shared" si="87"/>
        <v>0</v>
      </c>
      <c r="U256" s="273">
        <f>'人员人工-研发人员工资'!U256</f>
        <v>0</v>
      </c>
      <c r="V256" s="274">
        <f t="shared" si="88"/>
        <v>0</v>
      </c>
      <c r="W256" s="273">
        <f>'人员人工-研发人员工资'!W256</f>
        <v>0</v>
      </c>
      <c r="X256" s="274">
        <f t="shared" si="89"/>
        <v>0</v>
      </c>
      <c r="Y256" s="273">
        <f>'人员人工-研发人员工资'!Y256</f>
        <v>0</v>
      </c>
      <c r="Z256" s="274">
        <f t="shared" si="90"/>
        <v>0</v>
      </c>
    </row>
    <row r="257" s="251" customFormat="1" customHeight="1" spans="1:26">
      <c r="A257" s="270">
        <v>26</v>
      </c>
      <c r="B257" s="271">
        <f>'人员人工-研发人员工资'!B257</f>
        <v>0</v>
      </c>
      <c r="C257" s="274"/>
      <c r="D257" s="272">
        <f>'人员人工-研发人员工资'!D257</f>
        <v>0</v>
      </c>
      <c r="E257" s="272">
        <f t="shared" si="79"/>
        <v>0</v>
      </c>
      <c r="F257" s="272">
        <f t="shared" si="80"/>
        <v>0</v>
      </c>
      <c r="G257" s="273">
        <f>'人员人工-研发人员工资'!G257</f>
        <v>0</v>
      </c>
      <c r="H257" s="274">
        <f t="shared" si="81"/>
        <v>0</v>
      </c>
      <c r="I257" s="273">
        <f>'人员人工-研发人员工资'!I257</f>
        <v>0</v>
      </c>
      <c r="J257" s="274">
        <f t="shared" si="82"/>
        <v>0</v>
      </c>
      <c r="K257" s="275">
        <f>'人员人工-研发人员工资'!K257</f>
        <v>0</v>
      </c>
      <c r="L257" s="274">
        <f t="shared" si="83"/>
        <v>0</v>
      </c>
      <c r="M257" s="273">
        <f>'人员人工-研发人员工资'!M257</f>
        <v>0</v>
      </c>
      <c r="N257" s="274">
        <f t="shared" si="84"/>
        <v>0</v>
      </c>
      <c r="O257" s="273">
        <f>'人员人工-研发人员工资'!O257</f>
        <v>0</v>
      </c>
      <c r="P257" s="274">
        <f t="shared" si="85"/>
        <v>0</v>
      </c>
      <c r="Q257" s="273">
        <f>'人员人工-研发人员工资'!Q257</f>
        <v>0</v>
      </c>
      <c r="R257" s="274">
        <f t="shared" si="86"/>
        <v>0</v>
      </c>
      <c r="S257" s="273">
        <f>'人员人工-研发人员工资'!S257</f>
        <v>0</v>
      </c>
      <c r="T257" s="274">
        <f t="shared" si="87"/>
        <v>0</v>
      </c>
      <c r="U257" s="273">
        <f>'人员人工-研发人员工资'!U257</f>
        <v>0</v>
      </c>
      <c r="V257" s="274">
        <f t="shared" si="88"/>
        <v>0</v>
      </c>
      <c r="W257" s="273">
        <f>'人员人工-研发人员工资'!W257</f>
        <v>0</v>
      </c>
      <c r="X257" s="274">
        <f t="shared" si="89"/>
        <v>0</v>
      </c>
      <c r="Y257" s="273">
        <f>'人员人工-研发人员工资'!Y257</f>
        <v>0</v>
      </c>
      <c r="Z257" s="274">
        <f t="shared" si="90"/>
        <v>0</v>
      </c>
    </row>
    <row r="258" s="251" customFormat="1" customHeight="1" spans="1:26">
      <c r="A258" s="270">
        <v>27</v>
      </c>
      <c r="B258" s="271">
        <f>'人员人工-研发人员工资'!B258</f>
        <v>0</v>
      </c>
      <c r="C258" s="274"/>
      <c r="D258" s="272">
        <f>'人员人工-研发人员工资'!D258</f>
        <v>0</v>
      </c>
      <c r="E258" s="272">
        <f t="shared" si="79"/>
        <v>0</v>
      </c>
      <c r="F258" s="272">
        <f t="shared" si="80"/>
        <v>0</v>
      </c>
      <c r="G258" s="273">
        <f>'人员人工-研发人员工资'!G258</f>
        <v>0</v>
      </c>
      <c r="H258" s="274">
        <f t="shared" si="81"/>
        <v>0</v>
      </c>
      <c r="I258" s="273">
        <f>'人员人工-研发人员工资'!I258</f>
        <v>0</v>
      </c>
      <c r="J258" s="274">
        <f t="shared" si="82"/>
        <v>0</v>
      </c>
      <c r="K258" s="275">
        <f>'人员人工-研发人员工资'!K258</f>
        <v>0</v>
      </c>
      <c r="L258" s="274">
        <f t="shared" si="83"/>
        <v>0</v>
      </c>
      <c r="M258" s="273">
        <f>'人员人工-研发人员工资'!M258</f>
        <v>0</v>
      </c>
      <c r="N258" s="274">
        <f t="shared" si="84"/>
        <v>0</v>
      </c>
      <c r="O258" s="273">
        <f>'人员人工-研发人员工资'!O258</f>
        <v>0</v>
      </c>
      <c r="P258" s="274">
        <f t="shared" si="85"/>
        <v>0</v>
      </c>
      <c r="Q258" s="273">
        <f>'人员人工-研发人员工资'!Q258</f>
        <v>0</v>
      </c>
      <c r="R258" s="274">
        <f t="shared" si="86"/>
        <v>0</v>
      </c>
      <c r="S258" s="273">
        <f>'人员人工-研发人员工资'!S258</f>
        <v>0</v>
      </c>
      <c r="T258" s="274">
        <f t="shared" si="87"/>
        <v>0</v>
      </c>
      <c r="U258" s="273">
        <f>'人员人工-研发人员工资'!U258</f>
        <v>0</v>
      </c>
      <c r="V258" s="274">
        <f t="shared" si="88"/>
        <v>0</v>
      </c>
      <c r="W258" s="273">
        <f>'人员人工-研发人员工资'!W258</f>
        <v>0</v>
      </c>
      <c r="X258" s="274">
        <f t="shared" si="89"/>
        <v>0</v>
      </c>
      <c r="Y258" s="273">
        <f>'人员人工-研发人员工资'!Y258</f>
        <v>0</v>
      </c>
      <c r="Z258" s="274">
        <f t="shared" si="90"/>
        <v>0</v>
      </c>
    </row>
    <row r="259" s="251" customFormat="1" customHeight="1" spans="1:26">
      <c r="A259" s="270">
        <v>28</v>
      </c>
      <c r="B259" s="271">
        <f>'人员人工-研发人员工资'!B259</f>
        <v>0</v>
      </c>
      <c r="C259" s="274"/>
      <c r="D259" s="272">
        <f>'人员人工-研发人员工资'!D259</f>
        <v>0</v>
      </c>
      <c r="E259" s="272">
        <f t="shared" si="79"/>
        <v>0</v>
      </c>
      <c r="F259" s="272">
        <f t="shared" si="80"/>
        <v>0</v>
      </c>
      <c r="G259" s="273">
        <f>'人员人工-研发人员工资'!G259</f>
        <v>0</v>
      </c>
      <c r="H259" s="274">
        <f t="shared" si="81"/>
        <v>0</v>
      </c>
      <c r="I259" s="273">
        <f>'人员人工-研发人员工资'!I259</f>
        <v>0</v>
      </c>
      <c r="J259" s="274">
        <f t="shared" si="82"/>
        <v>0</v>
      </c>
      <c r="K259" s="275">
        <f>'人员人工-研发人员工资'!K259</f>
        <v>0</v>
      </c>
      <c r="L259" s="274">
        <f t="shared" si="83"/>
        <v>0</v>
      </c>
      <c r="M259" s="273">
        <f>'人员人工-研发人员工资'!M259</f>
        <v>0</v>
      </c>
      <c r="N259" s="274">
        <f t="shared" si="84"/>
        <v>0</v>
      </c>
      <c r="O259" s="273">
        <f>'人员人工-研发人员工资'!O259</f>
        <v>0</v>
      </c>
      <c r="P259" s="274">
        <f t="shared" si="85"/>
        <v>0</v>
      </c>
      <c r="Q259" s="273">
        <f>'人员人工-研发人员工资'!Q259</f>
        <v>0</v>
      </c>
      <c r="R259" s="274">
        <f t="shared" si="86"/>
        <v>0</v>
      </c>
      <c r="S259" s="273">
        <f>'人员人工-研发人员工资'!S259</f>
        <v>0</v>
      </c>
      <c r="T259" s="274">
        <f t="shared" si="87"/>
        <v>0</v>
      </c>
      <c r="U259" s="273">
        <f>'人员人工-研发人员工资'!U259</f>
        <v>0</v>
      </c>
      <c r="V259" s="274">
        <f t="shared" si="88"/>
        <v>0</v>
      </c>
      <c r="W259" s="273">
        <f>'人员人工-研发人员工资'!W259</f>
        <v>0</v>
      </c>
      <c r="X259" s="274">
        <f t="shared" si="89"/>
        <v>0</v>
      </c>
      <c r="Y259" s="273">
        <f>'人员人工-研发人员工资'!Y259</f>
        <v>0</v>
      </c>
      <c r="Z259" s="274">
        <f t="shared" si="90"/>
        <v>0</v>
      </c>
    </row>
    <row r="260" s="251" customFormat="1" customHeight="1" spans="1:26">
      <c r="A260" s="270">
        <v>29</v>
      </c>
      <c r="B260" s="271">
        <f>'人员人工-研发人员工资'!B260</f>
        <v>0</v>
      </c>
      <c r="C260" s="274"/>
      <c r="D260" s="272">
        <f>'人员人工-研发人员工资'!D260</f>
        <v>0</v>
      </c>
      <c r="E260" s="272">
        <f t="shared" si="79"/>
        <v>0</v>
      </c>
      <c r="F260" s="272">
        <f t="shared" si="80"/>
        <v>0</v>
      </c>
      <c r="G260" s="273">
        <f>'人员人工-研发人员工资'!G260</f>
        <v>0</v>
      </c>
      <c r="H260" s="274">
        <f t="shared" si="81"/>
        <v>0</v>
      </c>
      <c r="I260" s="273">
        <f>'人员人工-研发人员工资'!I260</f>
        <v>0</v>
      </c>
      <c r="J260" s="274">
        <f t="shared" si="82"/>
        <v>0</v>
      </c>
      <c r="K260" s="275">
        <f>'人员人工-研发人员工资'!K260</f>
        <v>0</v>
      </c>
      <c r="L260" s="274">
        <f t="shared" si="83"/>
        <v>0</v>
      </c>
      <c r="M260" s="273">
        <f>'人员人工-研发人员工资'!M260</f>
        <v>0</v>
      </c>
      <c r="N260" s="274">
        <f t="shared" si="84"/>
        <v>0</v>
      </c>
      <c r="O260" s="273">
        <f>'人员人工-研发人员工资'!O260</f>
        <v>0</v>
      </c>
      <c r="P260" s="274">
        <f t="shared" si="85"/>
        <v>0</v>
      </c>
      <c r="Q260" s="273">
        <f>'人员人工-研发人员工资'!Q260</f>
        <v>0</v>
      </c>
      <c r="R260" s="274">
        <f t="shared" si="86"/>
        <v>0</v>
      </c>
      <c r="S260" s="273">
        <f>'人员人工-研发人员工资'!S260</f>
        <v>0</v>
      </c>
      <c r="T260" s="274">
        <f t="shared" si="87"/>
        <v>0</v>
      </c>
      <c r="U260" s="273">
        <f>'人员人工-研发人员工资'!U260</f>
        <v>0</v>
      </c>
      <c r="V260" s="274">
        <f t="shared" si="88"/>
        <v>0</v>
      </c>
      <c r="W260" s="273">
        <f>'人员人工-研发人员工资'!W260</f>
        <v>0</v>
      </c>
      <c r="X260" s="274">
        <f t="shared" si="89"/>
        <v>0</v>
      </c>
      <c r="Y260" s="273">
        <f>'人员人工-研发人员工资'!Y260</f>
        <v>0</v>
      </c>
      <c r="Z260" s="274">
        <f t="shared" si="90"/>
        <v>0</v>
      </c>
    </row>
    <row r="261" s="251" customFormat="1" customHeight="1" spans="1:26">
      <c r="A261" s="270">
        <v>30</v>
      </c>
      <c r="B261" s="271">
        <f>'人员人工-研发人员工资'!B261</f>
        <v>0</v>
      </c>
      <c r="C261" s="274"/>
      <c r="D261" s="272">
        <f>'人员人工-研发人员工资'!D261</f>
        <v>0</v>
      </c>
      <c r="E261" s="272">
        <f t="shared" si="79"/>
        <v>0</v>
      </c>
      <c r="F261" s="272">
        <f t="shared" si="80"/>
        <v>0</v>
      </c>
      <c r="G261" s="273">
        <f>'人员人工-研发人员工资'!G261</f>
        <v>0</v>
      </c>
      <c r="H261" s="274">
        <f t="shared" si="81"/>
        <v>0</v>
      </c>
      <c r="I261" s="273">
        <f>'人员人工-研发人员工资'!I261</f>
        <v>0</v>
      </c>
      <c r="J261" s="274">
        <f t="shared" si="82"/>
        <v>0</v>
      </c>
      <c r="K261" s="275">
        <f>'人员人工-研发人员工资'!K261</f>
        <v>0</v>
      </c>
      <c r="L261" s="274">
        <f t="shared" si="83"/>
        <v>0</v>
      </c>
      <c r="M261" s="273">
        <f>'人员人工-研发人员工资'!M261</f>
        <v>0</v>
      </c>
      <c r="N261" s="274">
        <f t="shared" si="84"/>
        <v>0</v>
      </c>
      <c r="O261" s="273">
        <f>'人员人工-研发人员工资'!O261</f>
        <v>0</v>
      </c>
      <c r="P261" s="274">
        <f t="shared" si="85"/>
        <v>0</v>
      </c>
      <c r="Q261" s="273">
        <f>'人员人工-研发人员工资'!Q261</f>
        <v>0</v>
      </c>
      <c r="R261" s="274">
        <f t="shared" si="86"/>
        <v>0</v>
      </c>
      <c r="S261" s="273">
        <f>'人员人工-研发人员工资'!S261</f>
        <v>0</v>
      </c>
      <c r="T261" s="274">
        <f t="shared" si="87"/>
        <v>0</v>
      </c>
      <c r="U261" s="273">
        <f>'人员人工-研发人员工资'!U261</f>
        <v>0</v>
      </c>
      <c r="V261" s="274">
        <f t="shared" si="88"/>
        <v>0</v>
      </c>
      <c r="W261" s="273">
        <f>'人员人工-研发人员工资'!W261</f>
        <v>0</v>
      </c>
      <c r="X261" s="274">
        <f t="shared" si="89"/>
        <v>0</v>
      </c>
      <c r="Y261" s="273">
        <f>'人员人工-研发人员工资'!Y261</f>
        <v>0</v>
      </c>
      <c r="Z261" s="274">
        <f t="shared" si="90"/>
        <v>0</v>
      </c>
    </row>
    <row r="262" s="251" customFormat="1" customHeight="1" spans="1:26">
      <c r="A262" s="276" t="s">
        <v>22</v>
      </c>
      <c r="B262" s="277"/>
      <c r="C262" s="261">
        <f t="shared" ref="C262:Z262" si="103">SUM(C232:C261)</f>
        <v>0</v>
      </c>
      <c r="D262" s="261">
        <f t="shared" si="103"/>
        <v>0</v>
      </c>
      <c r="E262" s="261">
        <f t="shared" si="103"/>
        <v>0</v>
      </c>
      <c r="F262" s="272">
        <f t="shared" si="103"/>
        <v>0</v>
      </c>
      <c r="G262" s="261">
        <f t="shared" si="103"/>
        <v>0</v>
      </c>
      <c r="H262" s="261">
        <f t="shared" si="103"/>
        <v>0</v>
      </c>
      <c r="I262" s="261">
        <f t="shared" si="103"/>
        <v>0</v>
      </c>
      <c r="J262" s="261">
        <f t="shared" si="103"/>
        <v>0</v>
      </c>
      <c r="K262" s="261">
        <f t="shared" si="103"/>
        <v>0</v>
      </c>
      <c r="L262" s="261">
        <f t="shared" si="103"/>
        <v>0</v>
      </c>
      <c r="M262" s="261">
        <f t="shared" si="103"/>
        <v>0</v>
      </c>
      <c r="N262" s="261">
        <f t="shared" si="103"/>
        <v>0</v>
      </c>
      <c r="O262" s="261">
        <f t="shared" si="103"/>
        <v>0</v>
      </c>
      <c r="P262" s="261">
        <f t="shared" si="103"/>
        <v>0</v>
      </c>
      <c r="Q262" s="261">
        <f t="shared" si="103"/>
        <v>0</v>
      </c>
      <c r="R262" s="261">
        <f t="shared" si="103"/>
        <v>0</v>
      </c>
      <c r="S262" s="261">
        <f t="shared" si="103"/>
        <v>0</v>
      </c>
      <c r="T262" s="261">
        <f t="shared" si="103"/>
        <v>0</v>
      </c>
      <c r="U262" s="261">
        <f t="shared" si="103"/>
        <v>0</v>
      </c>
      <c r="V262" s="261">
        <f t="shared" si="103"/>
        <v>0</v>
      </c>
      <c r="W262" s="261">
        <f t="shared" si="103"/>
        <v>0</v>
      </c>
      <c r="X262" s="261">
        <f t="shared" si="103"/>
        <v>0</v>
      </c>
      <c r="Y262" s="261">
        <f t="shared" si="103"/>
        <v>0</v>
      </c>
      <c r="Z262" s="261">
        <f t="shared" si="103"/>
        <v>0</v>
      </c>
    </row>
    <row r="263" s="251" customFormat="1" customHeight="1" spans="1:26">
      <c r="A263" s="252"/>
      <c r="B263" s="253"/>
      <c r="C263" s="254"/>
      <c r="D263" s="254"/>
      <c r="E263" s="255"/>
      <c r="F263" s="255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</row>
    <row r="264" s="251" customFormat="1" customHeight="1" spans="1:26">
      <c r="A264" s="252"/>
      <c r="B264" s="253"/>
      <c r="C264" s="254"/>
      <c r="D264" s="254"/>
      <c r="E264" s="255"/>
      <c r="F264" s="255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</row>
    <row r="265" s="251" customFormat="1" customHeight="1" spans="1:26">
      <c r="A265" s="252"/>
      <c r="B265" s="257" t="s">
        <v>166</v>
      </c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  <c r="Z265" s="258"/>
    </row>
    <row r="266" s="251" customFormat="1" customHeight="1" spans="1:26">
      <c r="A266" s="252"/>
      <c r="B266" s="253"/>
      <c r="C266" s="254"/>
      <c r="D266" s="254"/>
      <c r="E266" s="255"/>
      <c r="F266" s="255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</row>
    <row r="267" s="251" customFormat="1" customHeight="1" spans="1:26">
      <c r="A267" s="259" t="s">
        <v>31</v>
      </c>
      <c r="B267" s="260" t="s">
        <v>32</v>
      </c>
      <c r="C267" s="261" t="s">
        <v>157</v>
      </c>
      <c r="D267" s="261" t="s">
        <v>34</v>
      </c>
      <c r="E267" s="262" t="s">
        <v>35</v>
      </c>
      <c r="F267" s="262" t="s">
        <v>158</v>
      </c>
      <c r="G267" s="263" t="str">
        <f>立项!$A$3</f>
        <v>RD01</v>
      </c>
      <c r="H267" s="264"/>
      <c r="I267" s="264" t="str">
        <f>立项!$A$4</f>
        <v>RD02</v>
      </c>
      <c r="J267" s="264"/>
      <c r="K267" s="264" t="str">
        <f>立项!$A$5</f>
        <v>RD03</v>
      </c>
      <c r="L267" s="264"/>
      <c r="M267" s="264" t="str">
        <f>立项!$A$6</f>
        <v>RD04</v>
      </c>
      <c r="N267" s="264"/>
      <c r="O267" s="264" t="str">
        <f>立项!$A$7</f>
        <v>RD05</v>
      </c>
      <c r="P267" s="264"/>
      <c r="Q267" s="264" t="str">
        <f>立项!$A$8</f>
        <v>RD06</v>
      </c>
      <c r="R267" s="264"/>
      <c r="S267" s="264" t="str">
        <f>立项!$A$9</f>
        <v>RD07</v>
      </c>
      <c r="T267" s="264"/>
      <c r="U267" s="264" t="str">
        <f>立项!$A$10</f>
        <v>RD08</v>
      </c>
      <c r="V267" s="264"/>
      <c r="W267" s="264" t="str">
        <f>立项!$A$11</f>
        <v>RD09</v>
      </c>
      <c r="X267" s="264"/>
      <c r="Y267" s="264" t="str">
        <f>立项!$A$12</f>
        <v>RD10</v>
      </c>
      <c r="Z267" s="264"/>
    </row>
    <row r="268" s="251" customFormat="1" customHeight="1" spans="1:26">
      <c r="A268" s="265"/>
      <c r="B268" s="260"/>
      <c r="C268" s="261"/>
      <c r="D268" s="261"/>
      <c r="E268" s="262"/>
      <c r="F268" s="262"/>
      <c r="G268" s="267">
        <f>立项!C3</f>
        <v>0</v>
      </c>
      <c r="H268" s="263"/>
      <c r="I268" s="267">
        <f>立项!C4</f>
        <v>0</v>
      </c>
      <c r="J268" s="263"/>
      <c r="K268" s="267">
        <f>立项!C5</f>
        <v>0</v>
      </c>
      <c r="L268" s="263"/>
      <c r="M268" s="267">
        <f>立项!C6</f>
        <v>0</v>
      </c>
      <c r="N268" s="263"/>
      <c r="O268" s="267">
        <f>立项!C7</f>
        <v>0</v>
      </c>
      <c r="P268" s="263"/>
      <c r="Q268" s="267">
        <f>立项!C8</f>
        <v>0</v>
      </c>
      <c r="R268" s="263"/>
      <c r="S268" s="267">
        <f>立项!C9</f>
        <v>0</v>
      </c>
      <c r="T268" s="263"/>
      <c r="U268" s="267">
        <f>立项!C10</f>
        <v>0</v>
      </c>
      <c r="V268" s="263"/>
      <c r="W268" s="267">
        <f>立项!C11</f>
        <v>0</v>
      </c>
      <c r="X268" s="263"/>
      <c r="Y268" s="264">
        <f>立项!C12</f>
        <v>0</v>
      </c>
      <c r="Z268" s="264"/>
    </row>
    <row r="269" s="251" customFormat="1" customHeight="1" spans="1:26">
      <c r="A269" s="268"/>
      <c r="B269" s="260"/>
      <c r="C269" s="261"/>
      <c r="D269" s="261"/>
      <c r="E269" s="262"/>
      <c r="F269" s="262"/>
      <c r="G269" s="264" t="s">
        <v>39</v>
      </c>
      <c r="H269" s="269" t="s">
        <v>159</v>
      </c>
      <c r="I269" s="264" t="s">
        <v>39</v>
      </c>
      <c r="J269" s="269" t="s">
        <v>159</v>
      </c>
      <c r="K269" s="264" t="s">
        <v>39</v>
      </c>
      <c r="L269" s="269" t="s">
        <v>159</v>
      </c>
      <c r="M269" s="264" t="s">
        <v>39</v>
      </c>
      <c r="N269" s="269" t="s">
        <v>159</v>
      </c>
      <c r="O269" s="264" t="s">
        <v>39</v>
      </c>
      <c r="P269" s="269" t="s">
        <v>159</v>
      </c>
      <c r="Q269" s="264" t="s">
        <v>39</v>
      </c>
      <c r="R269" s="269" t="s">
        <v>159</v>
      </c>
      <c r="S269" s="264" t="s">
        <v>39</v>
      </c>
      <c r="T269" s="269" t="s">
        <v>159</v>
      </c>
      <c r="U269" s="264" t="s">
        <v>39</v>
      </c>
      <c r="V269" s="269" t="s">
        <v>159</v>
      </c>
      <c r="W269" s="264" t="s">
        <v>39</v>
      </c>
      <c r="X269" s="269" t="s">
        <v>159</v>
      </c>
      <c r="Y269" s="264" t="s">
        <v>39</v>
      </c>
      <c r="Z269" s="269" t="s">
        <v>159</v>
      </c>
    </row>
    <row r="270" s="251" customFormat="1" customHeight="1" spans="1:26">
      <c r="A270" s="270">
        <v>1</v>
      </c>
      <c r="B270" s="271">
        <f>'人员人工-研发人员工资'!B270</f>
        <v>0</v>
      </c>
      <c r="C270" s="272"/>
      <c r="D270" s="272">
        <f>'人员人工-研发人员工资'!D270</f>
        <v>0</v>
      </c>
      <c r="E270" s="272">
        <f t="shared" ref="E270:E299" si="104">G270+I270+K270+M270+O270+Q270+S270+U270+W270+Y270</f>
        <v>0</v>
      </c>
      <c r="F270" s="272">
        <f t="shared" ref="F270:F299" si="105">H270+J270+L270+N270+P270+R270+T270+V270+X270+Z270</f>
        <v>0</v>
      </c>
      <c r="G270" s="273">
        <f>'人员人工-研发人员工资'!G270</f>
        <v>0</v>
      </c>
      <c r="H270" s="274">
        <f t="shared" ref="H270:H299" si="106">IF($D270=0,0,ROUND(G270/$D270*$C270,2))</f>
        <v>0</v>
      </c>
      <c r="I270" s="273">
        <f>'人员人工-研发人员工资'!I270</f>
        <v>0</v>
      </c>
      <c r="J270" s="274">
        <f t="shared" ref="J270:J299" si="107">IF($D270=0,0,ROUND(I270/$D270*$C270,2))</f>
        <v>0</v>
      </c>
      <c r="K270" s="275">
        <f>'人员人工-研发人员工资'!K270</f>
        <v>0</v>
      </c>
      <c r="L270" s="274">
        <f t="shared" ref="L270:L299" si="108">IF($D270=0,0,ROUND(K270/$D270*$C270,2))</f>
        <v>0</v>
      </c>
      <c r="M270" s="273">
        <f>'人员人工-研发人员工资'!M270</f>
        <v>0</v>
      </c>
      <c r="N270" s="274">
        <f t="shared" ref="N270:N299" si="109">IF($D270=0,0,ROUND(M270/$D270*$C270,2))</f>
        <v>0</v>
      </c>
      <c r="O270" s="273">
        <f>'人员人工-研发人员工资'!O270</f>
        <v>0</v>
      </c>
      <c r="P270" s="274">
        <f t="shared" ref="P270:P299" si="110">IF($D270=0,0,ROUND(O270/$D270*$C270,2))</f>
        <v>0</v>
      </c>
      <c r="Q270" s="273">
        <f>'人员人工-研发人员工资'!Q270</f>
        <v>0</v>
      </c>
      <c r="R270" s="274">
        <f t="shared" ref="R270:R299" si="111">IF($D270=0,0,ROUND(Q270/$D270*$C270,2))</f>
        <v>0</v>
      </c>
      <c r="S270" s="273">
        <f>'人员人工-研发人员工资'!S270</f>
        <v>0</v>
      </c>
      <c r="T270" s="274">
        <f t="shared" ref="T270:T299" si="112">IF($D270=0,0,ROUND(S270/$D270*$C270,2))</f>
        <v>0</v>
      </c>
      <c r="U270" s="273">
        <f>'人员人工-研发人员工资'!U270</f>
        <v>0</v>
      </c>
      <c r="V270" s="274">
        <f t="shared" ref="V270:V299" si="113">IF($D270=0,0,ROUND(U270/$D270*$C270,2))</f>
        <v>0</v>
      </c>
      <c r="W270" s="273">
        <f>'人员人工-研发人员工资'!W270</f>
        <v>0</v>
      </c>
      <c r="X270" s="274">
        <f t="shared" ref="X270:X299" si="114">IF($D270=0,0,ROUND(W270/$D270*$C270,2))</f>
        <v>0</v>
      </c>
      <c r="Y270" s="273">
        <f>'人员人工-研发人员工资'!Y270</f>
        <v>0</v>
      </c>
      <c r="Z270" s="274">
        <f t="shared" ref="Z270:Z299" si="115">IF($D270=0,0,ROUND(Y270/$D270*$C270,2))</f>
        <v>0</v>
      </c>
    </row>
    <row r="271" s="251" customFormat="1" customHeight="1" spans="1:26">
      <c r="A271" s="270">
        <v>2</v>
      </c>
      <c r="B271" s="271">
        <f>'人员人工-研发人员工资'!B271</f>
        <v>0</v>
      </c>
      <c r="C271" s="272"/>
      <c r="D271" s="272">
        <f>'人员人工-研发人员工资'!D271</f>
        <v>0</v>
      </c>
      <c r="E271" s="272">
        <f t="shared" si="104"/>
        <v>0</v>
      </c>
      <c r="F271" s="272">
        <f t="shared" si="105"/>
        <v>0</v>
      </c>
      <c r="G271" s="273">
        <f>'人员人工-研发人员工资'!G271</f>
        <v>0</v>
      </c>
      <c r="H271" s="274">
        <f t="shared" si="106"/>
        <v>0</v>
      </c>
      <c r="I271" s="273">
        <f>'人员人工-研发人员工资'!I271</f>
        <v>0</v>
      </c>
      <c r="J271" s="274">
        <f t="shared" si="107"/>
        <v>0</v>
      </c>
      <c r="K271" s="275">
        <f>'人员人工-研发人员工资'!K271</f>
        <v>0</v>
      </c>
      <c r="L271" s="274">
        <f t="shared" si="108"/>
        <v>0</v>
      </c>
      <c r="M271" s="273">
        <f>'人员人工-研发人员工资'!M271</f>
        <v>0</v>
      </c>
      <c r="N271" s="274">
        <f t="shared" si="109"/>
        <v>0</v>
      </c>
      <c r="O271" s="273">
        <f>'人员人工-研发人员工资'!O271</f>
        <v>0</v>
      </c>
      <c r="P271" s="274">
        <f t="shared" si="110"/>
        <v>0</v>
      </c>
      <c r="Q271" s="273">
        <f>'人员人工-研发人员工资'!Q271</f>
        <v>0</v>
      </c>
      <c r="R271" s="274">
        <f t="shared" si="111"/>
        <v>0</v>
      </c>
      <c r="S271" s="273">
        <f>'人员人工-研发人员工资'!S271</f>
        <v>0</v>
      </c>
      <c r="T271" s="274">
        <f t="shared" si="112"/>
        <v>0</v>
      </c>
      <c r="U271" s="273">
        <f>'人员人工-研发人员工资'!U271</f>
        <v>0</v>
      </c>
      <c r="V271" s="274">
        <f t="shared" si="113"/>
        <v>0</v>
      </c>
      <c r="W271" s="273">
        <f>'人员人工-研发人员工资'!W271</f>
        <v>0</v>
      </c>
      <c r="X271" s="274">
        <f t="shared" si="114"/>
        <v>0</v>
      </c>
      <c r="Y271" s="273">
        <f>'人员人工-研发人员工资'!Y271</f>
        <v>0</v>
      </c>
      <c r="Z271" s="274">
        <f t="shared" si="115"/>
        <v>0</v>
      </c>
    </row>
    <row r="272" s="251" customFormat="1" customHeight="1" spans="1:26">
      <c r="A272" s="270">
        <v>3</v>
      </c>
      <c r="B272" s="271">
        <f>'人员人工-研发人员工资'!B272</f>
        <v>0</v>
      </c>
      <c r="C272" s="272"/>
      <c r="D272" s="272">
        <f>'人员人工-研发人员工资'!D272</f>
        <v>0</v>
      </c>
      <c r="E272" s="272">
        <f t="shared" si="104"/>
        <v>0</v>
      </c>
      <c r="F272" s="272">
        <f t="shared" si="105"/>
        <v>0</v>
      </c>
      <c r="G272" s="273">
        <f>'人员人工-研发人员工资'!G272</f>
        <v>0</v>
      </c>
      <c r="H272" s="274">
        <f t="shared" si="106"/>
        <v>0</v>
      </c>
      <c r="I272" s="273">
        <f>'人员人工-研发人员工资'!I272</f>
        <v>0</v>
      </c>
      <c r="J272" s="274">
        <f t="shared" si="107"/>
        <v>0</v>
      </c>
      <c r="K272" s="275">
        <f>'人员人工-研发人员工资'!K272</f>
        <v>0</v>
      </c>
      <c r="L272" s="274">
        <f t="shared" si="108"/>
        <v>0</v>
      </c>
      <c r="M272" s="273">
        <f>'人员人工-研发人员工资'!M272</f>
        <v>0</v>
      </c>
      <c r="N272" s="274">
        <f t="shared" si="109"/>
        <v>0</v>
      </c>
      <c r="O272" s="273">
        <f>'人员人工-研发人员工资'!O272</f>
        <v>0</v>
      </c>
      <c r="P272" s="274">
        <f t="shared" si="110"/>
        <v>0</v>
      </c>
      <c r="Q272" s="273">
        <f>'人员人工-研发人员工资'!Q272</f>
        <v>0</v>
      </c>
      <c r="R272" s="274">
        <f t="shared" si="111"/>
        <v>0</v>
      </c>
      <c r="S272" s="273">
        <f>'人员人工-研发人员工资'!S272</f>
        <v>0</v>
      </c>
      <c r="T272" s="274">
        <f t="shared" si="112"/>
        <v>0</v>
      </c>
      <c r="U272" s="273">
        <f>'人员人工-研发人员工资'!U272</f>
        <v>0</v>
      </c>
      <c r="V272" s="274">
        <f t="shared" si="113"/>
        <v>0</v>
      </c>
      <c r="W272" s="273">
        <f>'人员人工-研发人员工资'!W272</f>
        <v>0</v>
      </c>
      <c r="X272" s="274">
        <f t="shared" si="114"/>
        <v>0</v>
      </c>
      <c r="Y272" s="273">
        <f>'人员人工-研发人员工资'!Y272</f>
        <v>0</v>
      </c>
      <c r="Z272" s="274">
        <f t="shared" si="115"/>
        <v>0</v>
      </c>
    </row>
    <row r="273" s="251" customFormat="1" customHeight="1" spans="1:26">
      <c r="A273" s="270">
        <v>4</v>
      </c>
      <c r="B273" s="271">
        <f>'人员人工-研发人员工资'!B273</f>
        <v>0</v>
      </c>
      <c r="C273" s="272"/>
      <c r="D273" s="272">
        <f>'人员人工-研发人员工资'!D273</f>
        <v>0</v>
      </c>
      <c r="E273" s="272">
        <f t="shared" si="104"/>
        <v>0</v>
      </c>
      <c r="F273" s="272">
        <f t="shared" si="105"/>
        <v>0</v>
      </c>
      <c r="G273" s="273">
        <f>'人员人工-研发人员工资'!G273</f>
        <v>0</v>
      </c>
      <c r="H273" s="274">
        <f t="shared" si="106"/>
        <v>0</v>
      </c>
      <c r="I273" s="273">
        <f>'人员人工-研发人员工资'!I273</f>
        <v>0</v>
      </c>
      <c r="J273" s="274">
        <f t="shared" si="107"/>
        <v>0</v>
      </c>
      <c r="K273" s="275">
        <f>'人员人工-研发人员工资'!K273</f>
        <v>0</v>
      </c>
      <c r="L273" s="274">
        <f t="shared" si="108"/>
        <v>0</v>
      </c>
      <c r="M273" s="273">
        <f>'人员人工-研发人员工资'!M273</f>
        <v>0</v>
      </c>
      <c r="N273" s="274">
        <f t="shared" si="109"/>
        <v>0</v>
      </c>
      <c r="O273" s="273">
        <f>'人员人工-研发人员工资'!O273</f>
        <v>0</v>
      </c>
      <c r="P273" s="274">
        <f t="shared" si="110"/>
        <v>0</v>
      </c>
      <c r="Q273" s="273">
        <f>'人员人工-研发人员工资'!Q273</f>
        <v>0</v>
      </c>
      <c r="R273" s="274">
        <f t="shared" si="111"/>
        <v>0</v>
      </c>
      <c r="S273" s="273">
        <f>'人员人工-研发人员工资'!S273</f>
        <v>0</v>
      </c>
      <c r="T273" s="274">
        <f t="shared" si="112"/>
        <v>0</v>
      </c>
      <c r="U273" s="273">
        <f>'人员人工-研发人员工资'!U273</f>
        <v>0</v>
      </c>
      <c r="V273" s="274">
        <f t="shared" si="113"/>
        <v>0</v>
      </c>
      <c r="W273" s="273">
        <f>'人员人工-研发人员工资'!W273</f>
        <v>0</v>
      </c>
      <c r="X273" s="274">
        <f t="shared" si="114"/>
        <v>0</v>
      </c>
      <c r="Y273" s="273">
        <f>'人员人工-研发人员工资'!Y273</f>
        <v>0</v>
      </c>
      <c r="Z273" s="274">
        <f t="shared" si="115"/>
        <v>0</v>
      </c>
    </row>
    <row r="274" s="251" customFormat="1" customHeight="1" spans="1:26">
      <c r="A274" s="270">
        <v>5</v>
      </c>
      <c r="B274" s="271">
        <f>'人员人工-研发人员工资'!B274</f>
        <v>0</v>
      </c>
      <c r="C274" s="272"/>
      <c r="D274" s="272">
        <f>'人员人工-研发人员工资'!D274</f>
        <v>0</v>
      </c>
      <c r="E274" s="272">
        <f t="shared" si="104"/>
        <v>0</v>
      </c>
      <c r="F274" s="272">
        <f t="shared" si="105"/>
        <v>0</v>
      </c>
      <c r="G274" s="273">
        <f>'人员人工-研发人员工资'!G274</f>
        <v>0</v>
      </c>
      <c r="H274" s="274">
        <f t="shared" si="106"/>
        <v>0</v>
      </c>
      <c r="I274" s="273">
        <f>'人员人工-研发人员工资'!I274</f>
        <v>0</v>
      </c>
      <c r="J274" s="274">
        <f t="shared" si="107"/>
        <v>0</v>
      </c>
      <c r="K274" s="275">
        <f>'人员人工-研发人员工资'!K274</f>
        <v>0</v>
      </c>
      <c r="L274" s="274">
        <f t="shared" si="108"/>
        <v>0</v>
      </c>
      <c r="M274" s="273">
        <f>'人员人工-研发人员工资'!M274</f>
        <v>0</v>
      </c>
      <c r="N274" s="274">
        <f t="shared" si="109"/>
        <v>0</v>
      </c>
      <c r="O274" s="273">
        <f>'人员人工-研发人员工资'!O274</f>
        <v>0</v>
      </c>
      <c r="P274" s="274">
        <f t="shared" si="110"/>
        <v>0</v>
      </c>
      <c r="Q274" s="273">
        <f>'人员人工-研发人员工资'!Q274</f>
        <v>0</v>
      </c>
      <c r="R274" s="274">
        <f t="shared" si="111"/>
        <v>0</v>
      </c>
      <c r="S274" s="273">
        <f>'人员人工-研发人员工资'!S274</f>
        <v>0</v>
      </c>
      <c r="T274" s="274">
        <f t="shared" si="112"/>
        <v>0</v>
      </c>
      <c r="U274" s="273">
        <f>'人员人工-研发人员工资'!U274</f>
        <v>0</v>
      </c>
      <c r="V274" s="274">
        <f t="shared" si="113"/>
        <v>0</v>
      </c>
      <c r="W274" s="273">
        <f>'人员人工-研发人员工资'!W274</f>
        <v>0</v>
      </c>
      <c r="X274" s="274">
        <f t="shared" si="114"/>
        <v>0</v>
      </c>
      <c r="Y274" s="273">
        <f>'人员人工-研发人员工资'!Y274</f>
        <v>0</v>
      </c>
      <c r="Z274" s="274">
        <f t="shared" si="115"/>
        <v>0</v>
      </c>
    </row>
    <row r="275" s="251" customFormat="1" customHeight="1" spans="1:26">
      <c r="A275" s="270">
        <v>6</v>
      </c>
      <c r="B275" s="271">
        <f>'人员人工-研发人员工资'!B275</f>
        <v>0</v>
      </c>
      <c r="C275" s="274"/>
      <c r="D275" s="272">
        <f>'人员人工-研发人员工资'!D275</f>
        <v>0</v>
      </c>
      <c r="E275" s="272">
        <f t="shared" si="104"/>
        <v>0</v>
      </c>
      <c r="F275" s="272">
        <f t="shared" si="105"/>
        <v>0</v>
      </c>
      <c r="G275" s="273">
        <f>'人员人工-研发人员工资'!G275</f>
        <v>0</v>
      </c>
      <c r="H275" s="274">
        <f t="shared" si="106"/>
        <v>0</v>
      </c>
      <c r="I275" s="273">
        <f>'人员人工-研发人员工资'!I275</f>
        <v>0</v>
      </c>
      <c r="J275" s="274">
        <f t="shared" si="107"/>
        <v>0</v>
      </c>
      <c r="K275" s="275">
        <f>'人员人工-研发人员工资'!K275</f>
        <v>0</v>
      </c>
      <c r="L275" s="274">
        <f t="shared" si="108"/>
        <v>0</v>
      </c>
      <c r="M275" s="273">
        <f>'人员人工-研发人员工资'!M275</f>
        <v>0</v>
      </c>
      <c r="N275" s="274">
        <f t="shared" si="109"/>
        <v>0</v>
      </c>
      <c r="O275" s="273">
        <f>'人员人工-研发人员工资'!O275</f>
        <v>0</v>
      </c>
      <c r="P275" s="274">
        <f t="shared" si="110"/>
        <v>0</v>
      </c>
      <c r="Q275" s="273">
        <f>'人员人工-研发人员工资'!Q275</f>
        <v>0</v>
      </c>
      <c r="R275" s="274">
        <f t="shared" si="111"/>
        <v>0</v>
      </c>
      <c r="S275" s="273">
        <f>'人员人工-研发人员工资'!S275</f>
        <v>0</v>
      </c>
      <c r="T275" s="274">
        <f t="shared" si="112"/>
        <v>0</v>
      </c>
      <c r="U275" s="273">
        <f>'人员人工-研发人员工资'!U275</f>
        <v>0</v>
      </c>
      <c r="V275" s="274">
        <f t="shared" si="113"/>
        <v>0</v>
      </c>
      <c r="W275" s="273">
        <f>'人员人工-研发人员工资'!W275</f>
        <v>0</v>
      </c>
      <c r="X275" s="274">
        <f t="shared" si="114"/>
        <v>0</v>
      </c>
      <c r="Y275" s="273">
        <f>'人员人工-研发人员工资'!Y275</f>
        <v>0</v>
      </c>
      <c r="Z275" s="274">
        <f t="shared" si="115"/>
        <v>0</v>
      </c>
    </row>
    <row r="276" s="251" customFormat="1" customHeight="1" spans="1:26">
      <c r="A276" s="270">
        <v>7</v>
      </c>
      <c r="B276" s="271">
        <f>'人员人工-研发人员工资'!B276</f>
        <v>0</v>
      </c>
      <c r="C276" s="274"/>
      <c r="D276" s="272">
        <f>'人员人工-研发人员工资'!D276</f>
        <v>0</v>
      </c>
      <c r="E276" s="272">
        <f t="shared" si="104"/>
        <v>0</v>
      </c>
      <c r="F276" s="272">
        <f t="shared" si="105"/>
        <v>0</v>
      </c>
      <c r="G276" s="273">
        <f>'人员人工-研发人员工资'!G276</f>
        <v>0</v>
      </c>
      <c r="H276" s="274">
        <f t="shared" si="106"/>
        <v>0</v>
      </c>
      <c r="I276" s="273">
        <f>'人员人工-研发人员工资'!I276</f>
        <v>0</v>
      </c>
      <c r="J276" s="274">
        <f t="shared" si="107"/>
        <v>0</v>
      </c>
      <c r="K276" s="275">
        <f>'人员人工-研发人员工资'!K276</f>
        <v>0</v>
      </c>
      <c r="L276" s="274">
        <f t="shared" si="108"/>
        <v>0</v>
      </c>
      <c r="M276" s="273">
        <f>'人员人工-研发人员工资'!M276</f>
        <v>0</v>
      </c>
      <c r="N276" s="274">
        <f t="shared" si="109"/>
        <v>0</v>
      </c>
      <c r="O276" s="273">
        <f>'人员人工-研发人员工资'!O276</f>
        <v>0</v>
      </c>
      <c r="P276" s="274">
        <f t="shared" si="110"/>
        <v>0</v>
      </c>
      <c r="Q276" s="273">
        <f>'人员人工-研发人员工资'!Q276</f>
        <v>0</v>
      </c>
      <c r="R276" s="274">
        <f t="shared" si="111"/>
        <v>0</v>
      </c>
      <c r="S276" s="273">
        <f>'人员人工-研发人员工资'!S276</f>
        <v>0</v>
      </c>
      <c r="T276" s="274">
        <f t="shared" si="112"/>
        <v>0</v>
      </c>
      <c r="U276" s="273">
        <f>'人员人工-研发人员工资'!U276</f>
        <v>0</v>
      </c>
      <c r="V276" s="274">
        <f t="shared" si="113"/>
        <v>0</v>
      </c>
      <c r="W276" s="273">
        <f>'人员人工-研发人员工资'!W276</f>
        <v>0</v>
      </c>
      <c r="X276" s="274">
        <f t="shared" si="114"/>
        <v>0</v>
      </c>
      <c r="Y276" s="273">
        <f>'人员人工-研发人员工资'!Y276</f>
        <v>0</v>
      </c>
      <c r="Z276" s="274">
        <f t="shared" si="115"/>
        <v>0</v>
      </c>
    </row>
    <row r="277" s="251" customFormat="1" customHeight="1" spans="1:26">
      <c r="A277" s="270">
        <v>8</v>
      </c>
      <c r="B277" s="271">
        <f>'人员人工-研发人员工资'!B277</f>
        <v>0</v>
      </c>
      <c r="C277" s="274"/>
      <c r="D277" s="272">
        <f>'人员人工-研发人员工资'!D277</f>
        <v>0</v>
      </c>
      <c r="E277" s="272">
        <f t="shared" si="104"/>
        <v>0</v>
      </c>
      <c r="F277" s="272">
        <f t="shared" si="105"/>
        <v>0</v>
      </c>
      <c r="G277" s="273">
        <f>'人员人工-研发人员工资'!G277</f>
        <v>0</v>
      </c>
      <c r="H277" s="274">
        <f t="shared" si="106"/>
        <v>0</v>
      </c>
      <c r="I277" s="273">
        <f>'人员人工-研发人员工资'!I277</f>
        <v>0</v>
      </c>
      <c r="J277" s="274">
        <f t="shared" si="107"/>
        <v>0</v>
      </c>
      <c r="K277" s="275">
        <f>'人员人工-研发人员工资'!K277</f>
        <v>0</v>
      </c>
      <c r="L277" s="274">
        <f t="shared" si="108"/>
        <v>0</v>
      </c>
      <c r="M277" s="273">
        <f>'人员人工-研发人员工资'!M277</f>
        <v>0</v>
      </c>
      <c r="N277" s="274">
        <f t="shared" si="109"/>
        <v>0</v>
      </c>
      <c r="O277" s="273">
        <f>'人员人工-研发人员工资'!O277</f>
        <v>0</v>
      </c>
      <c r="P277" s="274">
        <f t="shared" si="110"/>
        <v>0</v>
      </c>
      <c r="Q277" s="273">
        <f>'人员人工-研发人员工资'!Q277</f>
        <v>0</v>
      </c>
      <c r="R277" s="274">
        <f t="shared" si="111"/>
        <v>0</v>
      </c>
      <c r="S277" s="273">
        <f>'人员人工-研发人员工资'!S277</f>
        <v>0</v>
      </c>
      <c r="T277" s="274">
        <f t="shared" si="112"/>
        <v>0</v>
      </c>
      <c r="U277" s="273">
        <f>'人员人工-研发人员工资'!U277</f>
        <v>0</v>
      </c>
      <c r="V277" s="274">
        <f t="shared" si="113"/>
        <v>0</v>
      </c>
      <c r="W277" s="273">
        <f>'人员人工-研发人员工资'!W277</f>
        <v>0</v>
      </c>
      <c r="X277" s="274">
        <f t="shared" si="114"/>
        <v>0</v>
      </c>
      <c r="Y277" s="273">
        <f>'人员人工-研发人员工资'!Y277</f>
        <v>0</v>
      </c>
      <c r="Z277" s="274">
        <f t="shared" si="115"/>
        <v>0</v>
      </c>
    </row>
    <row r="278" s="251" customFormat="1" customHeight="1" spans="1:26">
      <c r="A278" s="270">
        <v>9</v>
      </c>
      <c r="B278" s="271">
        <f>'人员人工-研发人员工资'!B278</f>
        <v>0</v>
      </c>
      <c r="C278" s="274"/>
      <c r="D278" s="272">
        <f>'人员人工-研发人员工资'!D278</f>
        <v>0</v>
      </c>
      <c r="E278" s="272">
        <f t="shared" si="104"/>
        <v>0</v>
      </c>
      <c r="F278" s="272">
        <f t="shared" si="105"/>
        <v>0</v>
      </c>
      <c r="G278" s="273">
        <f>'人员人工-研发人员工资'!G278</f>
        <v>0</v>
      </c>
      <c r="H278" s="274">
        <f t="shared" si="106"/>
        <v>0</v>
      </c>
      <c r="I278" s="273">
        <f>'人员人工-研发人员工资'!I278</f>
        <v>0</v>
      </c>
      <c r="J278" s="274">
        <f t="shared" si="107"/>
        <v>0</v>
      </c>
      <c r="K278" s="275">
        <f>'人员人工-研发人员工资'!K278</f>
        <v>0</v>
      </c>
      <c r="L278" s="274">
        <f t="shared" si="108"/>
        <v>0</v>
      </c>
      <c r="M278" s="273">
        <f>'人员人工-研发人员工资'!M278</f>
        <v>0</v>
      </c>
      <c r="N278" s="274">
        <f t="shared" si="109"/>
        <v>0</v>
      </c>
      <c r="O278" s="273">
        <f>'人员人工-研发人员工资'!O278</f>
        <v>0</v>
      </c>
      <c r="P278" s="274">
        <f t="shared" si="110"/>
        <v>0</v>
      </c>
      <c r="Q278" s="273">
        <f>'人员人工-研发人员工资'!Q278</f>
        <v>0</v>
      </c>
      <c r="R278" s="274">
        <f t="shared" si="111"/>
        <v>0</v>
      </c>
      <c r="S278" s="273">
        <f>'人员人工-研发人员工资'!S278</f>
        <v>0</v>
      </c>
      <c r="T278" s="274">
        <f t="shared" si="112"/>
        <v>0</v>
      </c>
      <c r="U278" s="273">
        <f>'人员人工-研发人员工资'!U278</f>
        <v>0</v>
      </c>
      <c r="V278" s="274">
        <f t="shared" si="113"/>
        <v>0</v>
      </c>
      <c r="W278" s="273">
        <f>'人员人工-研发人员工资'!W278</f>
        <v>0</v>
      </c>
      <c r="X278" s="274">
        <f t="shared" si="114"/>
        <v>0</v>
      </c>
      <c r="Y278" s="273">
        <f>'人员人工-研发人员工资'!Y278</f>
        <v>0</v>
      </c>
      <c r="Z278" s="274">
        <f t="shared" si="115"/>
        <v>0</v>
      </c>
    </row>
    <row r="279" s="251" customFormat="1" customHeight="1" spans="1:26">
      <c r="A279" s="270">
        <v>10</v>
      </c>
      <c r="B279" s="271">
        <f>'人员人工-研发人员工资'!B279</f>
        <v>0</v>
      </c>
      <c r="C279" s="274"/>
      <c r="D279" s="272">
        <f>'人员人工-研发人员工资'!D279</f>
        <v>0</v>
      </c>
      <c r="E279" s="272">
        <f t="shared" si="104"/>
        <v>0</v>
      </c>
      <c r="F279" s="272">
        <f t="shared" si="105"/>
        <v>0</v>
      </c>
      <c r="G279" s="273">
        <f>'人员人工-研发人员工资'!G279</f>
        <v>0</v>
      </c>
      <c r="H279" s="274">
        <f t="shared" si="106"/>
        <v>0</v>
      </c>
      <c r="I279" s="273">
        <f>'人员人工-研发人员工资'!I279</f>
        <v>0</v>
      </c>
      <c r="J279" s="274">
        <f t="shared" si="107"/>
        <v>0</v>
      </c>
      <c r="K279" s="275">
        <f>'人员人工-研发人员工资'!K279</f>
        <v>0</v>
      </c>
      <c r="L279" s="274">
        <f t="shared" si="108"/>
        <v>0</v>
      </c>
      <c r="M279" s="273">
        <f>'人员人工-研发人员工资'!M279</f>
        <v>0</v>
      </c>
      <c r="N279" s="274">
        <f t="shared" si="109"/>
        <v>0</v>
      </c>
      <c r="O279" s="273">
        <f>'人员人工-研发人员工资'!O279</f>
        <v>0</v>
      </c>
      <c r="P279" s="274">
        <f t="shared" si="110"/>
        <v>0</v>
      </c>
      <c r="Q279" s="273">
        <f>'人员人工-研发人员工资'!Q279</f>
        <v>0</v>
      </c>
      <c r="R279" s="274">
        <f t="shared" si="111"/>
        <v>0</v>
      </c>
      <c r="S279" s="273">
        <f>'人员人工-研发人员工资'!S279</f>
        <v>0</v>
      </c>
      <c r="T279" s="274">
        <f t="shared" si="112"/>
        <v>0</v>
      </c>
      <c r="U279" s="273">
        <f>'人员人工-研发人员工资'!U279</f>
        <v>0</v>
      </c>
      <c r="V279" s="274">
        <f t="shared" si="113"/>
        <v>0</v>
      </c>
      <c r="W279" s="273">
        <f>'人员人工-研发人员工资'!W279</f>
        <v>0</v>
      </c>
      <c r="X279" s="274">
        <f t="shared" si="114"/>
        <v>0</v>
      </c>
      <c r="Y279" s="273">
        <f>'人员人工-研发人员工资'!Y279</f>
        <v>0</v>
      </c>
      <c r="Z279" s="274">
        <f t="shared" si="115"/>
        <v>0</v>
      </c>
    </row>
    <row r="280" s="251" customFormat="1" customHeight="1" spans="1:26">
      <c r="A280" s="270">
        <v>11</v>
      </c>
      <c r="B280" s="271">
        <f>'人员人工-研发人员工资'!B280</f>
        <v>0</v>
      </c>
      <c r="C280" s="274"/>
      <c r="D280" s="272">
        <f>'人员人工-研发人员工资'!D280</f>
        <v>0</v>
      </c>
      <c r="E280" s="272">
        <f t="shared" si="104"/>
        <v>0</v>
      </c>
      <c r="F280" s="272">
        <f t="shared" si="105"/>
        <v>0</v>
      </c>
      <c r="G280" s="273">
        <f>'人员人工-研发人员工资'!G280</f>
        <v>0</v>
      </c>
      <c r="H280" s="274">
        <f t="shared" si="106"/>
        <v>0</v>
      </c>
      <c r="I280" s="273">
        <f>'人员人工-研发人员工资'!I280</f>
        <v>0</v>
      </c>
      <c r="J280" s="274">
        <f t="shared" si="107"/>
        <v>0</v>
      </c>
      <c r="K280" s="275">
        <f>'人员人工-研发人员工资'!K280</f>
        <v>0</v>
      </c>
      <c r="L280" s="274">
        <f t="shared" si="108"/>
        <v>0</v>
      </c>
      <c r="M280" s="273">
        <f>'人员人工-研发人员工资'!M280</f>
        <v>0</v>
      </c>
      <c r="N280" s="274">
        <f t="shared" si="109"/>
        <v>0</v>
      </c>
      <c r="O280" s="273">
        <f>'人员人工-研发人员工资'!O280</f>
        <v>0</v>
      </c>
      <c r="P280" s="274">
        <f t="shared" si="110"/>
        <v>0</v>
      </c>
      <c r="Q280" s="273">
        <f>'人员人工-研发人员工资'!Q280</f>
        <v>0</v>
      </c>
      <c r="R280" s="274">
        <f t="shared" si="111"/>
        <v>0</v>
      </c>
      <c r="S280" s="273">
        <f>'人员人工-研发人员工资'!S280</f>
        <v>0</v>
      </c>
      <c r="T280" s="274">
        <f t="shared" si="112"/>
        <v>0</v>
      </c>
      <c r="U280" s="273">
        <f>'人员人工-研发人员工资'!U280</f>
        <v>0</v>
      </c>
      <c r="V280" s="274">
        <f t="shared" si="113"/>
        <v>0</v>
      </c>
      <c r="W280" s="273">
        <f>'人员人工-研发人员工资'!W280</f>
        <v>0</v>
      </c>
      <c r="X280" s="274">
        <f t="shared" si="114"/>
        <v>0</v>
      </c>
      <c r="Y280" s="273">
        <f>'人员人工-研发人员工资'!Y280</f>
        <v>0</v>
      </c>
      <c r="Z280" s="274">
        <f t="shared" si="115"/>
        <v>0</v>
      </c>
    </row>
    <row r="281" s="251" customFormat="1" customHeight="1" spans="1:26">
      <c r="A281" s="270">
        <v>12</v>
      </c>
      <c r="B281" s="271">
        <f>'人员人工-研发人员工资'!B281</f>
        <v>0</v>
      </c>
      <c r="C281" s="274"/>
      <c r="D281" s="272">
        <f>'人员人工-研发人员工资'!D281</f>
        <v>0</v>
      </c>
      <c r="E281" s="272">
        <f t="shared" si="104"/>
        <v>0</v>
      </c>
      <c r="F281" s="272">
        <f t="shared" si="105"/>
        <v>0</v>
      </c>
      <c r="G281" s="273">
        <f>'人员人工-研发人员工资'!G281</f>
        <v>0</v>
      </c>
      <c r="H281" s="274">
        <f t="shared" si="106"/>
        <v>0</v>
      </c>
      <c r="I281" s="273">
        <f>'人员人工-研发人员工资'!I281</f>
        <v>0</v>
      </c>
      <c r="J281" s="274">
        <f t="shared" si="107"/>
        <v>0</v>
      </c>
      <c r="K281" s="275">
        <f>'人员人工-研发人员工资'!K281</f>
        <v>0</v>
      </c>
      <c r="L281" s="274">
        <f t="shared" si="108"/>
        <v>0</v>
      </c>
      <c r="M281" s="273">
        <f>'人员人工-研发人员工资'!M281</f>
        <v>0</v>
      </c>
      <c r="N281" s="274">
        <f t="shared" si="109"/>
        <v>0</v>
      </c>
      <c r="O281" s="273">
        <f>'人员人工-研发人员工资'!O281</f>
        <v>0</v>
      </c>
      <c r="P281" s="274">
        <f t="shared" si="110"/>
        <v>0</v>
      </c>
      <c r="Q281" s="273">
        <f>'人员人工-研发人员工资'!Q281</f>
        <v>0</v>
      </c>
      <c r="R281" s="274">
        <f t="shared" si="111"/>
        <v>0</v>
      </c>
      <c r="S281" s="273">
        <f>'人员人工-研发人员工资'!S281</f>
        <v>0</v>
      </c>
      <c r="T281" s="274">
        <f t="shared" si="112"/>
        <v>0</v>
      </c>
      <c r="U281" s="273">
        <f>'人员人工-研发人员工资'!U281</f>
        <v>0</v>
      </c>
      <c r="V281" s="274">
        <f t="shared" si="113"/>
        <v>0</v>
      </c>
      <c r="W281" s="273">
        <f>'人员人工-研发人员工资'!W281</f>
        <v>0</v>
      </c>
      <c r="X281" s="274">
        <f t="shared" si="114"/>
        <v>0</v>
      </c>
      <c r="Y281" s="273">
        <f>'人员人工-研发人员工资'!Y281</f>
        <v>0</v>
      </c>
      <c r="Z281" s="274">
        <f t="shared" si="115"/>
        <v>0</v>
      </c>
    </row>
    <row r="282" s="251" customFormat="1" customHeight="1" spans="1:26">
      <c r="A282" s="270">
        <v>13</v>
      </c>
      <c r="B282" s="271">
        <f>'人员人工-研发人员工资'!B282</f>
        <v>0</v>
      </c>
      <c r="C282" s="274"/>
      <c r="D282" s="272">
        <f>'人员人工-研发人员工资'!D282</f>
        <v>0</v>
      </c>
      <c r="E282" s="272">
        <f t="shared" si="104"/>
        <v>0</v>
      </c>
      <c r="F282" s="272">
        <f t="shared" si="105"/>
        <v>0</v>
      </c>
      <c r="G282" s="273">
        <f>'人员人工-研发人员工资'!G282</f>
        <v>0</v>
      </c>
      <c r="H282" s="274">
        <f t="shared" si="106"/>
        <v>0</v>
      </c>
      <c r="I282" s="273">
        <f>'人员人工-研发人员工资'!I282</f>
        <v>0</v>
      </c>
      <c r="J282" s="274">
        <f t="shared" si="107"/>
        <v>0</v>
      </c>
      <c r="K282" s="275">
        <f>'人员人工-研发人员工资'!K282</f>
        <v>0</v>
      </c>
      <c r="L282" s="274">
        <f t="shared" si="108"/>
        <v>0</v>
      </c>
      <c r="M282" s="273">
        <f>'人员人工-研发人员工资'!M282</f>
        <v>0</v>
      </c>
      <c r="N282" s="274">
        <f t="shared" si="109"/>
        <v>0</v>
      </c>
      <c r="O282" s="273">
        <f>'人员人工-研发人员工资'!O282</f>
        <v>0</v>
      </c>
      <c r="P282" s="274">
        <f t="shared" si="110"/>
        <v>0</v>
      </c>
      <c r="Q282" s="273">
        <f>'人员人工-研发人员工资'!Q282</f>
        <v>0</v>
      </c>
      <c r="R282" s="274">
        <f t="shared" si="111"/>
        <v>0</v>
      </c>
      <c r="S282" s="273">
        <f>'人员人工-研发人员工资'!S282</f>
        <v>0</v>
      </c>
      <c r="T282" s="274">
        <f t="shared" si="112"/>
        <v>0</v>
      </c>
      <c r="U282" s="273">
        <f>'人员人工-研发人员工资'!U282</f>
        <v>0</v>
      </c>
      <c r="V282" s="274">
        <f t="shared" si="113"/>
        <v>0</v>
      </c>
      <c r="W282" s="273">
        <f>'人员人工-研发人员工资'!W282</f>
        <v>0</v>
      </c>
      <c r="X282" s="274">
        <f t="shared" si="114"/>
        <v>0</v>
      </c>
      <c r="Y282" s="273">
        <f>'人员人工-研发人员工资'!Y282</f>
        <v>0</v>
      </c>
      <c r="Z282" s="274">
        <f t="shared" si="115"/>
        <v>0</v>
      </c>
    </row>
    <row r="283" s="251" customFormat="1" customHeight="1" spans="1:26">
      <c r="A283" s="270">
        <v>14</v>
      </c>
      <c r="B283" s="271">
        <f>'人员人工-研发人员工资'!B283</f>
        <v>0</v>
      </c>
      <c r="C283" s="274"/>
      <c r="D283" s="272">
        <f>'人员人工-研发人员工资'!D283</f>
        <v>0</v>
      </c>
      <c r="E283" s="272">
        <f t="shared" si="104"/>
        <v>0</v>
      </c>
      <c r="F283" s="272">
        <f t="shared" si="105"/>
        <v>0</v>
      </c>
      <c r="G283" s="273">
        <f>'人员人工-研发人员工资'!G283</f>
        <v>0</v>
      </c>
      <c r="H283" s="274">
        <f t="shared" si="106"/>
        <v>0</v>
      </c>
      <c r="I283" s="273">
        <f>'人员人工-研发人员工资'!I283</f>
        <v>0</v>
      </c>
      <c r="J283" s="274">
        <f t="shared" si="107"/>
        <v>0</v>
      </c>
      <c r="K283" s="275">
        <f>'人员人工-研发人员工资'!K283</f>
        <v>0</v>
      </c>
      <c r="L283" s="274">
        <f t="shared" si="108"/>
        <v>0</v>
      </c>
      <c r="M283" s="273">
        <f>'人员人工-研发人员工资'!M283</f>
        <v>0</v>
      </c>
      <c r="N283" s="274">
        <f t="shared" si="109"/>
        <v>0</v>
      </c>
      <c r="O283" s="273">
        <f>'人员人工-研发人员工资'!O283</f>
        <v>0</v>
      </c>
      <c r="P283" s="274">
        <f t="shared" si="110"/>
        <v>0</v>
      </c>
      <c r="Q283" s="273">
        <f>'人员人工-研发人员工资'!Q283</f>
        <v>0</v>
      </c>
      <c r="R283" s="274">
        <f t="shared" si="111"/>
        <v>0</v>
      </c>
      <c r="S283" s="273">
        <f>'人员人工-研发人员工资'!S283</f>
        <v>0</v>
      </c>
      <c r="T283" s="274">
        <f t="shared" si="112"/>
        <v>0</v>
      </c>
      <c r="U283" s="273">
        <f>'人员人工-研发人员工资'!U283</f>
        <v>0</v>
      </c>
      <c r="V283" s="274">
        <f t="shared" si="113"/>
        <v>0</v>
      </c>
      <c r="W283" s="273">
        <f>'人员人工-研发人员工资'!W283</f>
        <v>0</v>
      </c>
      <c r="X283" s="274">
        <f t="shared" si="114"/>
        <v>0</v>
      </c>
      <c r="Y283" s="273">
        <f>'人员人工-研发人员工资'!Y283</f>
        <v>0</v>
      </c>
      <c r="Z283" s="274">
        <f t="shared" si="115"/>
        <v>0</v>
      </c>
    </row>
    <row r="284" s="251" customFormat="1" customHeight="1" spans="1:26">
      <c r="A284" s="270">
        <v>15</v>
      </c>
      <c r="B284" s="271">
        <f>'人员人工-研发人员工资'!B284</f>
        <v>0</v>
      </c>
      <c r="C284" s="274"/>
      <c r="D284" s="272">
        <f>'人员人工-研发人员工资'!D284</f>
        <v>0</v>
      </c>
      <c r="E284" s="272">
        <f t="shared" si="104"/>
        <v>0</v>
      </c>
      <c r="F284" s="272">
        <f t="shared" si="105"/>
        <v>0</v>
      </c>
      <c r="G284" s="273">
        <f>'人员人工-研发人员工资'!G284</f>
        <v>0</v>
      </c>
      <c r="H284" s="274">
        <f t="shared" si="106"/>
        <v>0</v>
      </c>
      <c r="I284" s="273">
        <f>'人员人工-研发人员工资'!I284</f>
        <v>0</v>
      </c>
      <c r="J284" s="274">
        <f t="shared" si="107"/>
        <v>0</v>
      </c>
      <c r="K284" s="275">
        <f>'人员人工-研发人员工资'!K284</f>
        <v>0</v>
      </c>
      <c r="L284" s="274">
        <f t="shared" si="108"/>
        <v>0</v>
      </c>
      <c r="M284" s="273">
        <f>'人员人工-研发人员工资'!M284</f>
        <v>0</v>
      </c>
      <c r="N284" s="274">
        <f t="shared" si="109"/>
        <v>0</v>
      </c>
      <c r="O284" s="273">
        <f>'人员人工-研发人员工资'!O284</f>
        <v>0</v>
      </c>
      <c r="P284" s="274">
        <f t="shared" si="110"/>
        <v>0</v>
      </c>
      <c r="Q284" s="273">
        <f>'人员人工-研发人员工资'!Q284</f>
        <v>0</v>
      </c>
      <c r="R284" s="274">
        <f t="shared" si="111"/>
        <v>0</v>
      </c>
      <c r="S284" s="273">
        <f>'人员人工-研发人员工资'!S284</f>
        <v>0</v>
      </c>
      <c r="T284" s="274">
        <f t="shared" si="112"/>
        <v>0</v>
      </c>
      <c r="U284" s="273">
        <f>'人员人工-研发人员工资'!U284</f>
        <v>0</v>
      </c>
      <c r="V284" s="274">
        <f t="shared" si="113"/>
        <v>0</v>
      </c>
      <c r="W284" s="273">
        <f>'人员人工-研发人员工资'!W284</f>
        <v>0</v>
      </c>
      <c r="X284" s="274">
        <f t="shared" si="114"/>
        <v>0</v>
      </c>
      <c r="Y284" s="273">
        <f>'人员人工-研发人员工资'!Y284</f>
        <v>0</v>
      </c>
      <c r="Z284" s="274">
        <f t="shared" si="115"/>
        <v>0</v>
      </c>
    </row>
    <row r="285" s="251" customFormat="1" customHeight="1" spans="1:26">
      <c r="A285" s="270">
        <v>16</v>
      </c>
      <c r="B285" s="271">
        <f>'人员人工-研发人员工资'!B285</f>
        <v>0</v>
      </c>
      <c r="C285" s="274"/>
      <c r="D285" s="272">
        <f>'人员人工-研发人员工资'!D285</f>
        <v>0</v>
      </c>
      <c r="E285" s="272">
        <f t="shared" si="104"/>
        <v>0</v>
      </c>
      <c r="F285" s="272">
        <f t="shared" si="105"/>
        <v>0</v>
      </c>
      <c r="G285" s="273">
        <f>'人员人工-研发人员工资'!G285</f>
        <v>0</v>
      </c>
      <c r="H285" s="274">
        <f t="shared" si="106"/>
        <v>0</v>
      </c>
      <c r="I285" s="273">
        <f>'人员人工-研发人员工资'!I285</f>
        <v>0</v>
      </c>
      <c r="J285" s="274">
        <f t="shared" si="107"/>
        <v>0</v>
      </c>
      <c r="K285" s="275">
        <f>'人员人工-研发人员工资'!K285</f>
        <v>0</v>
      </c>
      <c r="L285" s="274">
        <f t="shared" si="108"/>
        <v>0</v>
      </c>
      <c r="M285" s="273">
        <f>'人员人工-研发人员工资'!M285</f>
        <v>0</v>
      </c>
      <c r="N285" s="274">
        <f t="shared" si="109"/>
        <v>0</v>
      </c>
      <c r="O285" s="273">
        <f>'人员人工-研发人员工资'!O285</f>
        <v>0</v>
      </c>
      <c r="P285" s="274">
        <f t="shared" si="110"/>
        <v>0</v>
      </c>
      <c r="Q285" s="273">
        <f>'人员人工-研发人员工资'!Q285</f>
        <v>0</v>
      </c>
      <c r="R285" s="274">
        <f t="shared" si="111"/>
        <v>0</v>
      </c>
      <c r="S285" s="273">
        <f>'人员人工-研发人员工资'!S285</f>
        <v>0</v>
      </c>
      <c r="T285" s="274">
        <f t="shared" si="112"/>
        <v>0</v>
      </c>
      <c r="U285" s="273">
        <f>'人员人工-研发人员工资'!U285</f>
        <v>0</v>
      </c>
      <c r="V285" s="274">
        <f t="shared" si="113"/>
        <v>0</v>
      </c>
      <c r="W285" s="273">
        <f>'人员人工-研发人员工资'!W285</f>
        <v>0</v>
      </c>
      <c r="X285" s="274">
        <f t="shared" si="114"/>
        <v>0</v>
      </c>
      <c r="Y285" s="273">
        <f>'人员人工-研发人员工资'!Y285</f>
        <v>0</v>
      </c>
      <c r="Z285" s="274">
        <f t="shared" si="115"/>
        <v>0</v>
      </c>
    </row>
    <row r="286" s="251" customFormat="1" customHeight="1" spans="1:26">
      <c r="A286" s="270">
        <v>17</v>
      </c>
      <c r="B286" s="271">
        <f>'人员人工-研发人员工资'!B286</f>
        <v>0</v>
      </c>
      <c r="C286" s="274"/>
      <c r="D286" s="272">
        <f>'人员人工-研发人员工资'!D286</f>
        <v>0</v>
      </c>
      <c r="E286" s="272">
        <f t="shared" si="104"/>
        <v>0</v>
      </c>
      <c r="F286" s="272">
        <f t="shared" si="105"/>
        <v>0</v>
      </c>
      <c r="G286" s="273">
        <f>'人员人工-研发人员工资'!G286</f>
        <v>0</v>
      </c>
      <c r="H286" s="274">
        <f t="shared" si="106"/>
        <v>0</v>
      </c>
      <c r="I286" s="273">
        <f>'人员人工-研发人员工资'!I286</f>
        <v>0</v>
      </c>
      <c r="J286" s="274">
        <f t="shared" si="107"/>
        <v>0</v>
      </c>
      <c r="K286" s="275">
        <f>'人员人工-研发人员工资'!K286</f>
        <v>0</v>
      </c>
      <c r="L286" s="274">
        <f t="shared" si="108"/>
        <v>0</v>
      </c>
      <c r="M286" s="273">
        <f>'人员人工-研发人员工资'!M286</f>
        <v>0</v>
      </c>
      <c r="N286" s="274">
        <f t="shared" si="109"/>
        <v>0</v>
      </c>
      <c r="O286" s="273">
        <f>'人员人工-研发人员工资'!O286</f>
        <v>0</v>
      </c>
      <c r="P286" s="274">
        <f t="shared" si="110"/>
        <v>0</v>
      </c>
      <c r="Q286" s="273">
        <f>'人员人工-研发人员工资'!Q286</f>
        <v>0</v>
      </c>
      <c r="R286" s="274">
        <f t="shared" si="111"/>
        <v>0</v>
      </c>
      <c r="S286" s="273">
        <f>'人员人工-研发人员工资'!S286</f>
        <v>0</v>
      </c>
      <c r="T286" s="274">
        <f t="shared" si="112"/>
        <v>0</v>
      </c>
      <c r="U286" s="273">
        <f>'人员人工-研发人员工资'!U286</f>
        <v>0</v>
      </c>
      <c r="V286" s="274">
        <f t="shared" si="113"/>
        <v>0</v>
      </c>
      <c r="W286" s="273">
        <f>'人员人工-研发人员工资'!W286</f>
        <v>0</v>
      </c>
      <c r="X286" s="274">
        <f t="shared" si="114"/>
        <v>0</v>
      </c>
      <c r="Y286" s="273">
        <f>'人员人工-研发人员工资'!Y286</f>
        <v>0</v>
      </c>
      <c r="Z286" s="274">
        <f t="shared" si="115"/>
        <v>0</v>
      </c>
    </row>
    <row r="287" s="251" customFormat="1" customHeight="1" spans="1:26">
      <c r="A287" s="270">
        <v>18</v>
      </c>
      <c r="B287" s="271">
        <f>'人员人工-研发人员工资'!B287</f>
        <v>0</v>
      </c>
      <c r="C287" s="274"/>
      <c r="D287" s="272">
        <f>'人员人工-研发人员工资'!D287</f>
        <v>0</v>
      </c>
      <c r="E287" s="272">
        <f t="shared" si="104"/>
        <v>0</v>
      </c>
      <c r="F287" s="272">
        <f t="shared" si="105"/>
        <v>0</v>
      </c>
      <c r="G287" s="273">
        <f>'人员人工-研发人员工资'!G287</f>
        <v>0</v>
      </c>
      <c r="H287" s="274">
        <f t="shared" si="106"/>
        <v>0</v>
      </c>
      <c r="I287" s="273">
        <f>'人员人工-研发人员工资'!I287</f>
        <v>0</v>
      </c>
      <c r="J287" s="274">
        <f t="shared" si="107"/>
        <v>0</v>
      </c>
      <c r="K287" s="275">
        <f>'人员人工-研发人员工资'!K287</f>
        <v>0</v>
      </c>
      <c r="L287" s="274">
        <f t="shared" si="108"/>
        <v>0</v>
      </c>
      <c r="M287" s="273">
        <f>'人员人工-研发人员工资'!M287</f>
        <v>0</v>
      </c>
      <c r="N287" s="274">
        <f t="shared" si="109"/>
        <v>0</v>
      </c>
      <c r="O287" s="273">
        <f>'人员人工-研发人员工资'!O287</f>
        <v>0</v>
      </c>
      <c r="P287" s="274">
        <f t="shared" si="110"/>
        <v>0</v>
      </c>
      <c r="Q287" s="273">
        <f>'人员人工-研发人员工资'!Q287</f>
        <v>0</v>
      </c>
      <c r="R287" s="274">
        <f t="shared" si="111"/>
        <v>0</v>
      </c>
      <c r="S287" s="273">
        <f>'人员人工-研发人员工资'!S287</f>
        <v>0</v>
      </c>
      <c r="T287" s="274">
        <f t="shared" si="112"/>
        <v>0</v>
      </c>
      <c r="U287" s="273">
        <f>'人员人工-研发人员工资'!U287</f>
        <v>0</v>
      </c>
      <c r="V287" s="274">
        <f t="shared" si="113"/>
        <v>0</v>
      </c>
      <c r="W287" s="273">
        <f>'人员人工-研发人员工资'!W287</f>
        <v>0</v>
      </c>
      <c r="X287" s="274">
        <f t="shared" si="114"/>
        <v>0</v>
      </c>
      <c r="Y287" s="273">
        <f>'人员人工-研发人员工资'!Y287</f>
        <v>0</v>
      </c>
      <c r="Z287" s="274">
        <f t="shared" si="115"/>
        <v>0</v>
      </c>
    </row>
    <row r="288" s="251" customFormat="1" customHeight="1" spans="1:26">
      <c r="A288" s="270">
        <v>19</v>
      </c>
      <c r="B288" s="271">
        <f>'人员人工-研发人员工资'!B288</f>
        <v>0</v>
      </c>
      <c r="C288" s="274"/>
      <c r="D288" s="272">
        <f>'人员人工-研发人员工资'!D288</f>
        <v>0</v>
      </c>
      <c r="E288" s="272">
        <f t="shared" si="104"/>
        <v>0</v>
      </c>
      <c r="F288" s="272">
        <f t="shared" si="105"/>
        <v>0</v>
      </c>
      <c r="G288" s="273">
        <f>'人员人工-研发人员工资'!G288</f>
        <v>0</v>
      </c>
      <c r="H288" s="274">
        <f t="shared" si="106"/>
        <v>0</v>
      </c>
      <c r="I288" s="273">
        <f>'人员人工-研发人员工资'!I288</f>
        <v>0</v>
      </c>
      <c r="J288" s="274">
        <f t="shared" si="107"/>
        <v>0</v>
      </c>
      <c r="K288" s="275">
        <f>'人员人工-研发人员工资'!K288</f>
        <v>0</v>
      </c>
      <c r="L288" s="274">
        <f t="shared" si="108"/>
        <v>0</v>
      </c>
      <c r="M288" s="273">
        <f>'人员人工-研发人员工资'!M288</f>
        <v>0</v>
      </c>
      <c r="N288" s="274">
        <f t="shared" si="109"/>
        <v>0</v>
      </c>
      <c r="O288" s="273">
        <f>'人员人工-研发人员工资'!O288</f>
        <v>0</v>
      </c>
      <c r="P288" s="274">
        <f t="shared" si="110"/>
        <v>0</v>
      </c>
      <c r="Q288" s="273">
        <f>'人员人工-研发人员工资'!Q288</f>
        <v>0</v>
      </c>
      <c r="R288" s="274">
        <f t="shared" si="111"/>
        <v>0</v>
      </c>
      <c r="S288" s="273">
        <f>'人员人工-研发人员工资'!S288</f>
        <v>0</v>
      </c>
      <c r="T288" s="274">
        <f t="shared" si="112"/>
        <v>0</v>
      </c>
      <c r="U288" s="273">
        <f>'人员人工-研发人员工资'!U288</f>
        <v>0</v>
      </c>
      <c r="V288" s="274">
        <f t="shared" si="113"/>
        <v>0</v>
      </c>
      <c r="W288" s="273">
        <f>'人员人工-研发人员工资'!W288</f>
        <v>0</v>
      </c>
      <c r="X288" s="274">
        <f t="shared" si="114"/>
        <v>0</v>
      </c>
      <c r="Y288" s="273">
        <f>'人员人工-研发人员工资'!Y288</f>
        <v>0</v>
      </c>
      <c r="Z288" s="274">
        <f t="shared" si="115"/>
        <v>0</v>
      </c>
    </row>
    <row r="289" s="251" customFormat="1" customHeight="1" spans="1:26">
      <c r="A289" s="270">
        <v>20</v>
      </c>
      <c r="B289" s="271">
        <f>'人员人工-研发人员工资'!B289</f>
        <v>0</v>
      </c>
      <c r="C289" s="274"/>
      <c r="D289" s="272">
        <f>'人员人工-研发人员工资'!D289</f>
        <v>0</v>
      </c>
      <c r="E289" s="272">
        <f t="shared" si="104"/>
        <v>0</v>
      </c>
      <c r="F289" s="272">
        <f t="shared" si="105"/>
        <v>0</v>
      </c>
      <c r="G289" s="273">
        <f>'人员人工-研发人员工资'!G289</f>
        <v>0</v>
      </c>
      <c r="H289" s="274">
        <f t="shared" si="106"/>
        <v>0</v>
      </c>
      <c r="I289" s="273">
        <f>'人员人工-研发人员工资'!I289</f>
        <v>0</v>
      </c>
      <c r="J289" s="274">
        <f t="shared" si="107"/>
        <v>0</v>
      </c>
      <c r="K289" s="275">
        <f>'人员人工-研发人员工资'!K289</f>
        <v>0</v>
      </c>
      <c r="L289" s="274">
        <f t="shared" si="108"/>
        <v>0</v>
      </c>
      <c r="M289" s="273">
        <f>'人员人工-研发人员工资'!M289</f>
        <v>0</v>
      </c>
      <c r="N289" s="274">
        <f t="shared" si="109"/>
        <v>0</v>
      </c>
      <c r="O289" s="273">
        <f>'人员人工-研发人员工资'!O289</f>
        <v>0</v>
      </c>
      <c r="P289" s="274">
        <f t="shared" si="110"/>
        <v>0</v>
      </c>
      <c r="Q289" s="273">
        <f>'人员人工-研发人员工资'!Q289</f>
        <v>0</v>
      </c>
      <c r="R289" s="274">
        <f t="shared" si="111"/>
        <v>0</v>
      </c>
      <c r="S289" s="273">
        <f>'人员人工-研发人员工资'!S289</f>
        <v>0</v>
      </c>
      <c r="T289" s="274">
        <f t="shared" si="112"/>
        <v>0</v>
      </c>
      <c r="U289" s="273">
        <f>'人员人工-研发人员工资'!U289</f>
        <v>0</v>
      </c>
      <c r="V289" s="274">
        <f t="shared" si="113"/>
        <v>0</v>
      </c>
      <c r="W289" s="273">
        <f>'人员人工-研发人员工资'!W289</f>
        <v>0</v>
      </c>
      <c r="X289" s="274">
        <f t="shared" si="114"/>
        <v>0</v>
      </c>
      <c r="Y289" s="273">
        <f>'人员人工-研发人员工资'!Y289</f>
        <v>0</v>
      </c>
      <c r="Z289" s="274">
        <f t="shared" si="115"/>
        <v>0</v>
      </c>
    </row>
    <row r="290" s="251" customFormat="1" customHeight="1" spans="1:26">
      <c r="A290" s="270">
        <v>21</v>
      </c>
      <c r="B290" s="271">
        <f>'人员人工-研发人员工资'!B290</f>
        <v>0</v>
      </c>
      <c r="C290" s="274"/>
      <c r="D290" s="272">
        <f>'人员人工-研发人员工资'!D290</f>
        <v>0</v>
      </c>
      <c r="E290" s="272">
        <f t="shared" si="104"/>
        <v>0</v>
      </c>
      <c r="F290" s="272">
        <f t="shared" si="105"/>
        <v>0</v>
      </c>
      <c r="G290" s="273">
        <f>'人员人工-研发人员工资'!G290</f>
        <v>0</v>
      </c>
      <c r="H290" s="274">
        <f t="shared" si="106"/>
        <v>0</v>
      </c>
      <c r="I290" s="273">
        <f>'人员人工-研发人员工资'!I290</f>
        <v>0</v>
      </c>
      <c r="J290" s="274">
        <f t="shared" si="107"/>
        <v>0</v>
      </c>
      <c r="K290" s="275">
        <f>'人员人工-研发人员工资'!K290</f>
        <v>0</v>
      </c>
      <c r="L290" s="274">
        <f t="shared" si="108"/>
        <v>0</v>
      </c>
      <c r="M290" s="273">
        <f>'人员人工-研发人员工资'!M290</f>
        <v>0</v>
      </c>
      <c r="N290" s="274">
        <f t="shared" si="109"/>
        <v>0</v>
      </c>
      <c r="O290" s="273">
        <f>'人员人工-研发人员工资'!O290</f>
        <v>0</v>
      </c>
      <c r="P290" s="274">
        <f t="shared" si="110"/>
        <v>0</v>
      </c>
      <c r="Q290" s="273">
        <f>'人员人工-研发人员工资'!Q290</f>
        <v>0</v>
      </c>
      <c r="R290" s="274">
        <f t="shared" si="111"/>
        <v>0</v>
      </c>
      <c r="S290" s="273">
        <f>'人员人工-研发人员工资'!S290</f>
        <v>0</v>
      </c>
      <c r="T290" s="274">
        <f t="shared" si="112"/>
        <v>0</v>
      </c>
      <c r="U290" s="273">
        <f>'人员人工-研发人员工资'!U290</f>
        <v>0</v>
      </c>
      <c r="V290" s="274">
        <f t="shared" si="113"/>
        <v>0</v>
      </c>
      <c r="W290" s="273">
        <f>'人员人工-研发人员工资'!W290</f>
        <v>0</v>
      </c>
      <c r="X290" s="274">
        <f t="shared" si="114"/>
        <v>0</v>
      </c>
      <c r="Y290" s="273">
        <f>'人员人工-研发人员工资'!Y290</f>
        <v>0</v>
      </c>
      <c r="Z290" s="274">
        <f t="shared" si="115"/>
        <v>0</v>
      </c>
    </row>
    <row r="291" s="251" customFormat="1" customHeight="1" spans="1:26">
      <c r="A291" s="270">
        <v>22</v>
      </c>
      <c r="B291" s="271">
        <f>'人员人工-研发人员工资'!B291</f>
        <v>0</v>
      </c>
      <c r="C291" s="274"/>
      <c r="D291" s="272">
        <f>'人员人工-研发人员工资'!D291</f>
        <v>0</v>
      </c>
      <c r="E291" s="272">
        <f t="shared" si="104"/>
        <v>0</v>
      </c>
      <c r="F291" s="272">
        <f t="shared" si="105"/>
        <v>0</v>
      </c>
      <c r="G291" s="273">
        <f>'人员人工-研发人员工资'!G291</f>
        <v>0</v>
      </c>
      <c r="H291" s="274">
        <f t="shared" si="106"/>
        <v>0</v>
      </c>
      <c r="I291" s="273">
        <f>'人员人工-研发人员工资'!I291</f>
        <v>0</v>
      </c>
      <c r="J291" s="274">
        <f t="shared" si="107"/>
        <v>0</v>
      </c>
      <c r="K291" s="275">
        <f>'人员人工-研发人员工资'!K291</f>
        <v>0</v>
      </c>
      <c r="L291" s="274">
        <f t="shared" si="108"/>
        <v>0</v>
      </c>
      <c r="M291" s="273">
        <f>'人员人工-研发人员工资'!M291</f>
        <v>0</v>
      </c>
      <c r="N291" s="274">
        <f t="shared" si="109"/>
        <v>0</v>
      </c>
      <c r="O291" s="273">
        <f>'人员人工-研发人员工资'!O291</f>
        <v>0</v>
      </c>
      <c r="P291" s="274">
        <f t="shared" si="110"/>
        <v>0</v>
      </c>
      <c r="Q291" s="273">
        <f>'人员人工-研发人员工资'!Q291</f>
        <v>0</v>
      </c>
      <c r="R291" s="274">
        <f t="shared" si="111"/>
        <v>0</v>
      </c>
      <c r="S291" s="273">
        <f>'人员人工-研发人员工资'!S291</f>
        <v>0</v>
      </c>
      <c r="T291" s="274">
        <f t="shared" si="112"/>
        <v>0</v>
      </c>
      <c r="U291" s="273">
        <f>'人员人工-研发人员工资'!U291</f>
        <v>0</v>
      </c>
      <c r="V291" s="274">
        <f t="shared" si="113"/>
        <v>0</v>
      </c>
      <c r="W291" s="273">
        <f>'人员人工-研发人员工资'!W291</f>
        <v>0</v>
      </c>
      <c r="X291" s="274">
        <f t="shared" si="114"/>
        <v>0</v>
      </c>
      <c r="Y291" s="273">
        <f>'人员人工-研发人员工资'!Y291</f>
        <v>0</v>
      </c>
      <c r="Z291" s="274">
        <f t="shared" si="115"/>
        <v>0</v>
      </c>
    </row>
    <row r="292" s="251" customFormat="1" customHeight="1" spans="1:26">
      <c r="A292" s="270">
        <v>23</v>
      </c>
      <c r="B292" s="271">
        <f>'人员人工-研发人员工资'!B292</f>
        <v>0</v>
      </c>
      <c r="C292" s="274"/>
      <c r="D292" s="272">
        <f>'人员人工-研发人员工资'!D292</f>
        <v>0</v>
      </c>
      <c r="E292" s="272">
        <f t="shared" si="104"/>
        <v>0</v>
      </c>
      <c r="F292" s="272">
        <f t="shared" si="105"/>
        <v>0</v>
      </c>
      <c r="G292" s="273">
        <f>'人员人工-研发人员工资'!G292</f>
        <v>0</v>
      </c>
      <c r="H292" s="274">
        <f t="shared" si="106"/>
        <v>0</v>
      </c>
      <c r="I292" s="273">
        <f>'人员人工-研发人员工资'!I292</f>
        <v>0</v>
      </c>
      <c r="J292" s="274">
        <f t="shared" si="107"/>
        <v>0</v>
      </c>
      <c r="K292" s="275">
        <f>'人员人工-研发人员工资'!K292</f>
        <v>0</v>
      </c>
      <c r="L292" s="274">
        <f t="shared" si="108"/>
        <v>0</v>
      </c>
      <c r="M292" s="273">
        <f>'人员人工-研发人员工资'!M292</f>
        <v>0</v>
      </c>
      <c r="N292" s="274">
        <f t="shared" si="109"/>
        <v>0</v>
      </c>
      <c r="O292" s="273">
        <f>'人员人工-研发人员工资'!O292</f>
        <v>0</v>
      </c>
      <c r="P292" s="274">
        <f t="shared" si="110"/>
        <v>0</v>
      </c>
      <c r="Q292" s="273">
        <f>'人员人工-研发人员工资'!Q292</f>
        <v>0</v>
      </c>
      <c r="R292" s="274">
        <f t="shared" si="111"/>
        <v>0</v>
      </c>
      <c r="S292" s="273">
        <f>'人员人工-研发人员工资'!S292</f>
        <v>0</v>
      </c>
      <c r="T292" s="274">
        <f t="shared" si="112"/>
        <v>0</v>
      </c>
      <c r="U292" s="273">
        <f>'人员人工-研发人员工资'!U292</f>
        <v>0</v>
      </c>
      <c r="V292" s="274">
        <f t="shared" si="113"/>
        <v>0</v>
      </c>
      <c r="W292" s="273">
        <f>'人员人工-研发人员工资'!W292</f>
        <v>0</v>
      </c>
      <c r="X292" s="274">
        <f t="shared" si="114"/>
        <v>0</v>
      </c>
      <c r="Y292" s="273">
        <f>'人员人工-研发人员工资'!Y292</f>
        <v>0</v>
      </c>
      <c r="Z292" s="274">
        <f t="shared" si="115"/>
        <v>0</v>
      </c>
    </row>
    <row r="293" s="251" customFormat="1" customHeight="1" spans="1:26">
      <c r="A293" s="270">
        <v>25</v>
      </c>
      <c r="B293" s="271">
        <f>'人员人工-研发人员工资'!B293</f>
        <v>0</v>
      </c>
      <c r="C293" s="274"/>
      <c r="D293" s="272">
        <f>'人员人工-研发人员工资'!D293</f>
        <v>0</v>
      </c>
      <c r="E293" s="272">
        <f t="shared" si="104"/>
        <v>0</v>
      </c>
      <c r="F293" s="272">
        <f t="shared" si="105"/>
        <v>0</v>
      </c>
      <c r="G293" s="273">
        <f>'人员人工-研发人员工资'!G293</f>
        <v>0</v>
      </c>
      <c r="H293" s="274">
        <f t="shared" si="106"/>
        <v>0</v>
      </c>
      <c r="I293" s="273">
        <f>'人员人工-研发人员工资'!I293</f>
        <v>0</v>
      </c>
      <c r="J293" s="274">
        <f t="shared" si="107"/>
        <v>0</v>
      </c>
      <c r="K293" s="275">
        <f>'人员人工-研发人员工资'!K293</f>
        <v>0</v>
      </c>
      <c r="L293" s="274">
        <f t="shared" si="108"/>
        <v>0</v>
      </c>
      <c r="M293" s="273">
        <f>'人员人工-研发人员工资'!M293</f>
        <v>0</v>
      </c>
      <c r="N293" s="274">
        <f t="shared" si="109"/>
        <v>0</v>
      </c>
      <c r="O293" s="273">
        <f>'人员人工-研发人员工资'!O293</f>
        <v>0</v>
      </c>
      <c r="P293" s="274">
        <f t="shared" si="110"/>
        <v>0</v>
      </c>
      <c r="Q293" s="273">
        <f>'人员人工-研发人员工资'!Q293</f>
        <v>0</v>
      </c>
      <c r="R293" s="274">
        <f t="shared" si="111"/>
        <v>0</v>
      </c>
      <c r="S293" s="273">
        <f>'人员人工-研发人员工资'!S293</f>
        <v>0</v>
      </c>
      <c r="T293" s="274">
        <f t="shared" si="112"/>
        <v>0</v>
      </c>
      <c r="U293" s="273">
        <f>'人员人工-研发人员工资'!U293</f>
        <v>0</v>
      </c>
      <c r="V293" s="274">
        <f t="shared" si="113"/>
        <v>0</v>
      </c>
      <c r="W293" s="273">
        <f>'人员人工-研发人员工资'!W293</f>
        <v>0</v>
      </c>
      <c r="X293" s="274">
        <f t="shared" si="114"/>
        <v>0</v>
      </c>
      <c r="Y293" s="273">
        <f>'人员人工-研发人员工资'!Y293</f>
        <v>0</v>
      </c>
      <c r="Z293" s="274">
        <f t="shared" si="115"/>
        <v>0</v>
      </c>
    </row>
    <row r="294" s="251" customFormat="1" customHeight="1" spans="1:26">
      <c r="A294" s="270">
        <v>25</v>
      </c>
      <c r="B294" s="271">
        <f>'人员人工-研发人员工资'!B294</f>
        <v>0</v>
      </c>
      <c r="C294" s="274"/>
      <c r="D294" s="272">
        <f>'人员人工-研发人员工资'!D294</f>
        <v>0</v>
      </c>
      <c r="E294" s="272">
        <f t="shared" si="104"/>
        <v>0</v>
      </c>
      <c r="F294" s="272">
        <f t="shared" si="105"/>
        <v>0</v>
      </c>
      <c r="G294" s="273">
        <f>'人员人工-研发人员工资'!G294</f>
        <v>0</v>
      </c>
      <c r="H294" s="274">
        <f t="shared" si="106"/>
        <v>0</v>
      </c>
      <c r="I294" s="273">
        <f>'人员人工-研发人员工资'!I294</f>
        <v>0</v>
      </c>
      <c r="J294" s="274">
        <f t="shared" si="107"/>
        <v>0</v>
      </c>
      <c r="K294" s="275">
        <f>'人员人工-研发人员工资'!K294</f>
        <v>0</v>
      </c>
      <c r="L294" s="274">
        <f t="shared" si="108"/>
        <v>0</v>
      </c>
      <c r="M294" s="273">
        <f>'人员人工-研发人员工资'!M294</f>
        <v>0</v>
      </c>
      <c r="N294" s="274">
        <f t="shared" si="109"/>
        <v>0</v>
      </c>
      <c r="O294" s="273">
        <f>'人员人工-研发人员工资'!O294</f>
        <v>0</v>
      </c>
      <c r="P294" s="274">
        <f t="shared" si="110"/>
        <v>0</v>
      </c>
      <c r="Q294" s="273">
        <f>'人员人工-研发人员工资'!Q294</f>
        <v>0</v>
      </c>
      <c r="R294" s="274">
        <f t="shared" si="111"/>
        <v>0</v>
      </c>
      <c r="S294" s="273">
        <f>'人员人工-研发人员工资'!S294</f>
        <v>0</v>
      </c>
      <c r="T294" s="274">
        <f t="shared" si="112"/>
        <v>0</v>
      </c>
      <c r="U294" s="273">
        <f>'人员人工-研发人员工资'!U294</f>
        <v>0</v>
      </c>
      <c r="V294" s="274">
        <f t="shared" si="113"/>
        <v>0</v>
      </c>
      <c r="W294" s="273">
        <f>'人员人工-研发人员工资'!W294</f>
        <v>0</v>
      </c>
      <c r="X294" s="274">
        <f t="shared" si="114"/>
        <v>0</v>
      </c>
      <c r="Y294" s="273">
        <f>'人员人工-研发人员工资'!Y294</f>
        <v>0</v>
      </c>
      <c r="Z294" s="274">
        <f t="shared" si="115"/>
        <v>0</v>
      </c>
    </row>
    <row r="295" s="251" customFormat="1" customHeight="1" spans="1:26">
      <c r="A295" s="270">
        <v>26</v>
      </c>
      <c r="B295" s="271">
        <f>'人员人工-研发人员工资'!B295</f>
        <v>0</v>
      </c>
      <c r="C295" s="274"/>
      <c r="D295" s="272">
        <f>'人员人工-研发人员工资'!D295</f>
        <v>0</v>
      </c>
      <c r="E295" s="272">
        <f t="shared" si="104"/>
        <v>0</v>
      </c>
      <c r="F295" s="272">
        <f t="shared" si="105"/>
        <v>0</v>
      </c>
      <c r="G295" s="273">
        <f>'人员人工-研发人员工资'!G295</f>
        <v>0</v>
      </c>
      <c r="H295" s="274">
        <f t="shared" si="106"/>
        <v>0</v>
      </c>
      <c r="I295" s="273">
        <f>'人员人工-研发人员工资'!I295</f>
        <v>0</v>
      </c>
      <c r="J295" s="274">
        <f t="shared" si="107"/>
        <v>0</v>
      </c>
      <c r="K295" s="275">
        <f>'人员人工-研发人员工资'!K295</f>
        <v>0</v>
      </c>
      <c r="L295" s="274">
        <f t="shared" si="108"/>
        <v>0</v>
      </c>
      <c r="M295" s="273">
        <f>'人员人工-研发人员工资'!M295</f>
        <v>0</v>
      </c>
      <c r="N295" s="274">
        <f t="shared" si="109"/>
        <v>0</v>
      </c>
      <c r="O295" s="273">
        <f>'人员人工-研发人员工资'!O295</f>
        <v>0</v>
      </c>
      <c r="P295" s="274">
        <f t="shared" si="110"/>
        <v>0</v>
      </c>
      <c r="Q295" s="273">
        <f>'人员人工-研发人员工资'!Q295</f>
        <v>0</v>
      </c>
      <c r="R295" s="274">
        <f t="shared" si="111"/>
        <v>0</v>
      </c>
      <c r="S295" s="273">
        <f>'人员人工-研发人员工资'!S295</f>
        <v>0</v>
      </c>
      <c r="T295" s="274">
        <f t="shared" si="112"/>
        <v>0</v>
      </c>
      <c r="U295" s="273">
        <f>'人员人工-研发人员工资'!U295</f>
        <v>0</v>
      </c>
      <c r="V295" s="274">
        <f t="shared" si="113"/>
        <v>0</v>
      </c>
      <c r="W295" s="273">
        <f>'人员人工-研发人员工资'!W295</f>
        <v>0</v>
      </c>
      <c r="X295" s="274">
        <f t="shared" si="114"/>
        <v>0</v>
      </c>
      <c r="Y295" s="273">
        <f>'人员人工-研发人员工资'!Y295</f>
        <v>0</v>
      </c>
      <c r="Z295" s="274">
        <f t="shared" si="115"/>
        <v>0</v>
      </c>
    </row>
    <row r="296" s="251" customFormat="1" customHeight="1" spans="1:26">
      <c r="A296" s="270">
        <v>27</v>
      </c>
      <c r="B296" s="271">
        <f>'人员人工-研发人员工资'!B296</f>
        <v>0</v>
      </c>
      <c r="C296" s="274"/>
      <c r="D296" s="272">
        <f>'人员人工-研发人员工资'!D296</f>
        <v>0</v>
      </c>
      <c r="E296" s="272">
        <f t="shared" si="104"/>
        <v>0</v>
      </c>
      <c r="F296" s="272">
        <f t="shared" si="105"/>
        <v>0</v>
      </c>
      <c r="G296" s="273">
        <f>'人员人工-研发人员工资'!G296</f>
        <v>0</v>
      </c>
      <c r="H296" s="274">
        <f t="shared" si="106"/>
        <v>0</v>
      </c>
      <c r="I296" s="273">
        <f>'人员人工-研发人员工资'!I296</f>
        <v>0</v>
      </c>
      <c r="J296" s="274">
        <f t="shared" si="107"/>
        <v>0</v>
      </c>
      <c r="K296" s="275">
        <f>'人员人工-研发人员工资'!K296</f>
        <v>0</v>
      </c>
      <c r="L296" s="274">
        <f t="shared" si="108"/>
        <v>0</v>
      </c>
      <c r="M296" s="273">
        <f>'人员人工-研发人员工资'!M296</f>
        <v>0</v>
      </c>
      <c r="N296" s="274">
        <f t="shared" si="109"/>
        <v>0</v>
      </c>
      <c r="O296" s="273">
        <f>'人员人工-研发人员工资'!O296</f>
        <v>0</v>
      </c>
      <c r="P296" s="274">
        <f t="shared" si="110"/>
        <v>0</v>
      </c>
      <c r="Q296" s="273">
        <f>'人员人工-研发人员工资'!Q296</f>
        <v>0</v>
      </c>
      <c r="R296" s="274">
        <f t="shared" si="111"/>
        <v>0</v>
      </c>
      <c r="S296" s="273">
        <f>'人员人工-研发人员工资'!S296</f>
        <v>0</v>
      </c>
      <c r="T296" s="274">
        <f t="shared" si="112"/>
        <v>0</v>
      </c>
      <c r="U296" s="273">
        <f>'人员人工-研发人员工资'!U296</f>
        <v>0</v>
      </c>
      <c r="V296" s="274">
        <f t="shared" si="113"/>
        <v>0</v>
      </c>
      <c r="W296" s="273">
        <f>'人员人工-研发人员工资'!W296</f>
        <v>0</v>
      </c>
      <c r="X296" s="274">
        <f t="shared" si="114"/>
        <v>0</v>
      </c>
      <c r="Y296" s="273">
        <f>'人员人工-研发人员工资'!Y296</f>
        <v>0</v>
      </c>
      <c r="Z296" s="274">
        <f t="shared" si="115"/>
        <v>0</v>
      </c>
    </row>
    <row r="297" s="251" customFormat="1" customHeight="1" spans="1:26">
      <c r="A297" s="270">
        <v>28</v>
      </c>
      <c r="B297" s="271">
        <f>'人员人工-研发人员工资'!B297</f>
        <v>0</v>
      </c>
      <c r="C297" s="274"/>
      <c r="D297" s="272">
        <f>'人员人工-研发人员工资'!D297</f>
        <v>0</v>
      </c>
      <c r="E297" s="272">
        <f t="shared" si="104"/>
        <v>0</v>
      </c>
      <c r="F297" s="272">
        <f t="shared" si="105"/>
        <v>0</v>
      </c>
      <c r="G297" s="273">
        <f>'人员人工-研发人员工资'!G297</f>
        <v>0</v>
      </c>
      <c r="H297" s="274">
        <f t="shared" si="106"/>
        <v>0</v>
      </c>
      <c r="I297" s="273">
        <f>'人员人工-研发人员工资'!I297</f>
        <v>0</v>
      </c>
      <c r="J297" s="274">
        <f t="shared" si="107"/>
        <v>0</v>
      </c>
      <c r="K297" s="275">
        <f>'人员人工-研发人员工资'!K297</f>
        <v>0</v>
      </c>
      <c r="L297" s="274">
        <f t="shared" si="108"/>
        <v>0</v>
      </c>
      <c r="M297" s="273">
        <f>'人员人工-研发人员工资'!M297</f>
        <v>0</v>
      </c>
      <c r="N297" s="274">
        <f t="shared" si="109"/>
        <v>0</v>
      </c>
      <c r="O297" s="273">
        <f>'人员人工-研发人员工资'!O297</f>
        <v>0</v>
      </c>
      <c r="P297" s="274">
        <f t="shared" si="110"/>
        <v>0</v>
      </c>
      <c r="Q297" s="273">
        <f>'人员人工-研发人员工资'!Q297</f>
        <v>0</v>
      </c>
      <c r="R297" s="274">
        <f t="shared" si="111"/>
        <v>0</v>
      </c>
      <c r="S297" s="273">
        <f>'人员人工-研发人员工资'!S297</f>
        <v>0</v>
      </c>
      <c r="T297" s="274">
        <f t="shared" si="112"/>
        <v>0</v>
      </c>
      <c r="U297" s="273">
        <f>'人员人工-研发人员工资'!U297</f>
        <v>0</v>
      </c>
      <c r="V297" s="274">
        <f t="shared" si="113"/>
        <v>0</v>
      </c>
      <c r="W297" s="273">
        <f>'人员人工-研发人员工资'!W297</f>
        <v>0</v>
      </c>
      <c r="X297" s="274">
        <f t="shared" si="114"/>
        <v>0</v>
      </c>
      <c r="Y297" s="273">
        <f>'人员人工-研发人员工资'!Y297</f>
        <v>0</v>
      </c>
      <c r="Z297" s="274">
        <f t="shared" si="115"/>
        <v>0</v>
      </c>
    </row>
    <row r="298" s="251" customFormat="1" customHeight="1" spans="1:26">
      <c r="A298" s="270">
        <v>29</v>
      </c>
      <c r="B298" s="271">
        <f>'人员人工-研发人员工资'!B298</f>
        <v>0</v>
      </c>
      <c r="C298" s="274"/>
      <c r="D298" s="272">
        <f>'人员人工-研发人员工资'!D298</f>
        <v>0</v>
      </c>
      <c r="E298" s="272">
        <f t="shared" si="104"/>
        <v>0</v>
      </c>
      <c r="F298" s="272">
        <f t="shared" si="105"/>
        <v>0</v>
      </c>
      <c r="G298" s="273">
        <f>'人员人工-研发人员工资'!G298</f>
        <v>0</v>
      </c>
      <c r="H298" s="274">
        <f t="shared" si="106"/>
        <v>0</v>
      </c>
      <c r="I298" s="273">
        <f>'人员人工-研发人员工资'!I298</f>
        <v>0</v>
      </c>
      <c r="J298" s="274">
        <f t="shared" si="107"/>
        <v>0</v>
      </c>
      <c r="K298" s="275">
        <f>'人员人工-研发人员工资'!K298</f>
        <v>0</v>
      </c>
      <c r="L298" s="274">
        <f t="shared" si="108"/>
        <v>0</v>
      </c>
      <c r="M298" s="273">
        <f>'人员人工-研发人员工资'!M298</f>
        <v>0</v>
      </c>
      <c r="N298" s="274">
        <f t="shared" si="109"/>
        <v>0</v>
      </c>
      <c r="O298" s="273">
        <f>'人员人工-研发人员工资'!O298</f>
        <v>0</v>
      </c>
      <c r="P298" s="274">
        <f t="shared" si="110"/>
        <v>0</v>
      </c>
      <c r="Q298" s="273">
        <f>'人员人工-研发人员工资'!Q298</f>
        <v>0</v>
      </c>
      <c r="R298" s="274">
        <f t="shared" si="111"/>
        <v>0</v>
      </c>
      <c r="S298" s="273">
        <f>'人员人工-研发人员工资'!S298</f>
        <v>0</v>
      </c>
      <c r="T298" s="274">
        <f t="shared" si="112"/>
        <v>0</v>
      </c>
      <c r="U298" s="273">
        <f>'人员人工-研发人员工资'!U298</f>
        <v>0</v>
      </c>
      <c r="V298" s="274">
        <f t="shared" si="113"/>
        <v>0</v>
      </c>
      <c r="W298" s="273">
        <f>'人员人工-研发人员工资'!W298</f>
        <v>0</v>
      </c>
      <c r="X298" s="274">
        <f t="shared" si="114"/>
        <v>0</v>
      </c>
      <c r="Y298" s="273">
        <f>'人员人工-研发人员工资'!Y298</f>
        <v>0</v>
      </c>
      <c r="Z298" s="274">
        <f t="shared" si="115"/>
        <v>0</v>
      </c>
    </row>
    <row r="299" s="251" customFormat="1" customHeight="1" spans="1:26">
      <c r="A299" s="270">
        <v>30</v>
      </c>
      <c r="B299" s="271">
        <f>'人员人工-研发人员工资'!B299</f>
        <v>0</v>
      </c>
      <c r="C299" s="274"/>
      <c r="D299" s="272">
        <f>'人员人工-研发人员工资'!D299</f>
        <v>0</v>
      </c>
      <c r="E299" s="272">
        <f t="shared" si="104"/>
        <v>0</v>
      </c>
      <c r="F299" s="272">
        <f t="shared" si="105"/>
        <v>0</v>
      </c>
      <c r="G299" s="273">
        <f>'人员人工-研发人员工资'!G299</f>
        <v>0</v>
      </c>
      <c r="H299" s="274">
        <f t="shared" si="106"/>
        <v>0</v>
      </c>
      <c r="I299" s="273">
        <f>'人员人工-研发人员工资'!I299</f>
        <v>0</v>
      </c>
      <c r="J299" s="274">
        <f t="shared" si="107"/>
        <v>0</v>
      </c>
      <c r="K299" s="275">
        <f>'人员人工-研发人员工资'!K299</f>
        <v>0</v>
      </c>
      <c r="L299" s="274">
        <f t="shared" si="108"/>
        <v>0</v>
      </c>
      <c r="M299" s="273">
        <f>'人员人工-研发人员工资'!M299</f>
        <v>0</v>
      </c>
      <c r="N299" s="274">
        <f t="shared" si="109"/>
        <v>0</v>
      </c>
      <c r="O299" s="273">
        <f>'人员人工-研发人员工资'!O299</f>
        <v>0</v>
      </c>
      <c r="P299" s="274">
        <f t="shared" si="110"/>
        <v>0</v>
      </c>
      <c r="Q299" s="273">
        <f>'人员人工-研发人员工资'!Q299</f>
        <v>0</v>
      </c>
      <c r="R299" s="274">
        <f t="shared" si="111"/>
        <v>0</v>
      </c>
      <c r="S299" s="273">
        <f>'人员人工-研发人员工资'!S299</f>
        <v>0</v>
      </c>
      <c r="T299" s="274">
        <f t="shared" si="112"/>
        <v>0</v>
      </c>
      <c r="U299" s="273">
        <f>'人员人工-研发人员工资'!U299</f>
        <v>0</v>
      </c>
      <c r="V299" s="274">
        <f t="shared" si="113"/>
        <v>0</v>
      </c>
      <c r="W299" s="273">
        <f>'人员人工-研发人员工资'!W299</f>
        <v>0</v>
      </c>
      <c r="X299" s="274">
        <f t="shared" si="114"/>
        <v>0</v>
      </c>
      <c r="Y299" s="273">
        <f>'人员人工-研发人员工资'!Y299</f>
        <v>0</v>
      </c>
      <c r="Z299" s="274">
        <f t="shared" si="115"/>
        <v>0</v>
      </c>
    </row>
    <row r="300" s="251" customFormat="1" customHeight="1" spans="1:26">
      <c r="A300" s="276" t="s">
        <v>22</v>
      </c>
      <c r="B300" s="277"/>
      <c r="C300" s="261">
        <f t="shared" ref="C300:Z300" si="116">SUM(C270:C299)</f>
        <v>0</v>
      </c>
      <c r="D300" s="261">
        <f t="shared" si="116"/>
        <v>0</v>
      </c>
      <c r="E300" s="261">
        <f t="shared" si="116"/>
        <v>0</v>
      </c>
      <c r="F300" s="272">
        <f t="shared" si="116"/>
        <v>0</v>
      </c>
      <c r="G300" s="261">
        <f t="shared" si="116"/>
        <v>0</v>
      </c>
      <c r="H300" s="261">
        <f t="shared" si="116"/>
        <v>0</v>
      </c>
      <c r="I300" s="261">
        <f t="shared" si="116"/>
        <v>0</v>
      </c>
      <c r="J300" s="261">
        <f t="shared" si="116"/>
        <v>0</v>
      </c>
      <c r="K300" s="261">
        <f t="shared" si="116"/>
        <v>0</v>
      </c>
      <c r="L300" s="261">
        <f t="shared" si="116"/>
        <v>0</v>
      </c>
      <c r="M300" s="261">
        <f t="shared" si="116"/>
        <v>0</v>
      </c>
      <c r="N300" s="261">
        <f t="shared" si="116"/>
        <v>0</v>
      </c>
      <c r="O300" s="261">
        <f t="shared" si="116"/>
        <v>0</v>
      </c>
      <c r="P300" s="261">
        <f t="shared" si="116"/>
        <v>0</v>
      </c>
      <c r="Q300" s="261">
        <f t="shared" si="116"/>
        <v>0</v>
      </c>
      <c r="R300" s="261">
        <f t="shared" si="116"/>
        <v>0</v>
      </c>
      <c r="S300" s="261">
        <f t="shared" si="116"/>
        <v>0</v>
      </c>
      <c r="T300" s="261">
        <f t="shared" si="116"/>
        <v>0</v>
      </c>
      <c r="U300" s="261">
        <f t="shared" si="116"/>
        <v>0</v>
      </c>
      <c r="V300" s="261">
        <f t="shared" si="116"/>
        <v>0</v>
      </c>
      <c r="W300" s="261">
        <f t="shared" si="116"/>
        <v>0</v>
      </c>
      <c r="X300" s="261">
        <f t="shared" si="116"/>
        <v>0</v>
      </c>
      <c r="Y300" s="261">
        <f t="shared" si="116"/>
        <v>0</v>
      </c>
      <c r="Z300" s="261">
        <f t="shared" si="116"/>
        <v>0</v>
      </c>
    </row>
    <row r="301" s="251" customFormat="1" customHeight="1" spans="1:26">
      <c r="A301" s="252"/>
      <c r="B301" s="253"/>
      <c r="C301" s="254"/>
      <c r="D301" s="254"/>
      <c r="E301" s="255"/>
      <c r="F301" s="255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</row>
    <row r="302" s="251" customFormat="1" customHeight="1" spans="1:26">
      <c r="A302" s="252"/>
      <c r="B302" s="253"/>
      <c r="C302" s="254"/>
      <c r="D302" s="254"/>
      <c r="E302" s="255"/>
      <c r="F302" s="255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</row>
    <row r="303" s="251" customFormat="1" customHeight="1" spans="1:26">
      <c r="A303" s="252"/>
      <c r="B303" s="257" t="s">
        <v>167</v>
      </c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  <c r="Z303" s="258"/>
    </row>
    <row r="304" s="251" customFormat="1" customHeight="1" spans="1:26">
      <c r="A304" s="252"/>
      <c r="B304" s="253"/>
      <c r="C304" s="254"/>
      <c r="D304" s="254"/>
      <c r="E304" s="255"/>
      <c r="F304" s="255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</row>
    <row r="305" s="251" customFormat="1" customHeight="1" spans="1:26">
      <c r="A305" s="259" t="s">
        <v>31</v>
      </c>
      <c r="B305" s="260" t="s">
        <v>32</v>
      </c>
      <c r="C305" s="261" t="s">
        <v>157</v>
      </c>
      <c r="D305" s="261" t="s">
        <v>34</v>
      </c>
      <c r="E305" s="262" t="s">
        <v>35</v>
      </c>
      <c r="F305" s="262" t="s">
        <v>158</v>
      </c>
      <c r="G305" s="263" t="str">
        <f>立项!$A$3</f>
        <v>RD01</v>
      </c>
      <c r="H305" s="264"/>
      <c r="I305" s="264" t="str">
        <f>立项!$A$4</f>
        <v>RD02</v>
      </c>
      <c r="J305" s="264"/>
      <c r="K305" s="264" t="str">
        <f>立项!$A$5</f>
        <v>RD03</v>
      </c>
      <c r="L305" s="264"/>
      <c r="M305" s="264" t="str">
        <f>立项!$A$6</f>
        <v>RD04</v>
      </c>
      <c r="N305" s="264"/>
      <c r="O305" s="264" t="str">
        <f>立项!$A$7</f>
        <v>RD05</v>
      </c>
      <c r="P305" s="264"/>
      <c r="Q305" s="264" t="str">
        <f>立项!$A$8</f>
        <v>RD06</v>
      </c>
      <c r="R305" s="264"/>
      <c r="S305" s="264" t="str">
        <f>立项!$A$9</f>
        <v>RD07</v>
      </c>
      <c r="T305" s="264"/>
      <c r="U305" s="264" t="str">
        <f>立项!$A$10</f>
        <v>RD08</v>
      </c>
      <c r="V305" s="264"/>
      <c r="W305" s="264" t="str">
        <f>立项!$A$11</f>
        <v>RD09</v>
      </c>
      <c r="X305" s="264"/>
      <c r="Y305" s="264" t="str">
        <f>立项!$A$12</f>
        <v>RD10</v>
      </c>
      <c r="Z305" s="264"/>
    </row>
    <row r="306" s="251" customFormat="1" customHeight="1" spans="1:26">
      <c r="A306" s="265"/>
      <c r="B306" s="260"/>
      <c r="C306" s="261"/>
      <c r="D306" s="261"/>
      <c r="E306" s="262"/>
      <c r="F306" s="262"/>
      <c r="G306" s="267">
        <f>立项!C3</f>
        <v>0</v>
      </c>
      <c r="H306" s="263"/>
      <c r="I306" s="267">
        <f>立项!C4</f>
        <v>0</v>
      </c>
      <c r="J306" s="263"/>
      <c r="K306" s="267">
        <f>立项!C5</f>
        <v>0</v>
      </c>
      <c r="L306" s="263"/>
      <c r="M306" s="267">
        <f>立项!C6</f>
        <v>0</v>
      </c>
      <c r="N306" s="263"/>
      <c r="O306" s="267">
        <f>立项!C7</f>
        <v>0</v>
      </c>
      <c r="P306" s="263"/>
      <c r="Q306" s="267">
        <f>立项!C8</f>
        <v>0</v>
      </c>
      <c r="R306" s="263"/>
      <c r="S306" s="267">
        <f>立项!C9</f>
        <v>0</v>
      </c>
      <c r="T306" s="263"/>
      <c r="U306" s="267">
        <f>立项!C10</f>
        <v>0</v>
      </c>
      <c r="V306" s="263"/>
      <c r="W306" s="267">
        <f>立项!C11</f>
        <v>0</v>
      </c>
      <c r="X306" s="263"/>
      <c r="Y306" s="264">
        <f>立项!C12</f>
        <v>0</v>
      </c>
      <c r="Z306" s="264"/>
    </row>
    <row r="307" s="251" customFormat="1" customHeight="1" spans="1:26">
      <c r="A307" s="268"/>
      <c r="B307" s="260"/>
      <c r="C307" s="261"/>
      <c r="D307" s="261"/>
      <c r="E307" s="262"/>
      <c r="F307" s="262"/>
      <c r="G307" s="264" t="s">
        <v>39</v>
      </c>
      <c r="H307" s="269" t="s">
        <v>159</v>
      </c>
      <c r="I307" s="264" t="s">
        <v>39</v>
      </c>
      <c r="J307" s="269" t="s">
        <v>159</v>
      </c>
      <c r="K307" s="264" t="s">
        <v>39</v>
      </c>
      <c r="L307" s="269" t="s">
        <v>159</v>
      </c>
      <c r="M307" s="264" t="s">
        <v>39</v>
      </c>
      <c r="N307" s="269" t="s">
        <v>159</v>
      </c>
      <c r="O307" s="264" t="s">
        <v>39</v>
      </c>
      <c r="P307" s="269" t="s">
        <v>159</v>
      </c>
      <c r="Q307" s="264" t="s">
        <v>39</v>
      </c>
      <c r="R307" s="269" t="s">
        <v>159</v>
      </c>
      <c r="S307" s="264" t="s">
        <v>39</v>
      </c>
      <c r="T307" s="269" t="s">
        <v>159</v>
      </c>
      <c r="U307" s="264" t="s">
        <v>39</v>
      </c>
      <c r="V307" s="269" t="s">
        <v>159</v>
      </c>
      <c r="W307" s="264" t="s">
        <v>39</v>
      </c>
      <c r="X307" s="269" t="s">
        <v>159</v>
      </c>
      <c r="Y307" s="264" t="s">
        <v>39</v>
      </c>
      <c r="Z307" s="269" t="s">
        <v>159</v>
      </c>
    </row>
    <row r="308" s="251" customFormat="1" customHeight="1" spans="1:26">
      <c r="A308" s="270">
        <v>1</v>
      </c>
      <c r="B308" s="271">
        <f>'人员人工-研发人员工资'!B308</f>
        <v>0</v>
      </c>
      <c r="C308" s="272"/>
      <c r="D308" s="272">
        <f>'人员人工-研发人员工资'!D308</f>
        <v>0</v>
      </c>
      <c r="E308" s="272">
        <f t="shared" ref="E308:E337" si="117">G308+I308+K308+M308+O308+Q308+S308+U308+W308+Y308</f>
        <v>0</v>
      </c>
      <c r="F308" s="272">
        <f t="shared" ref="F308:F337" si="118">H308+J308+L308+N308+P308+R308+T308+V308+X308+Z308</f>
        <v>0</v>
      </c>
      <c r="G308" s="273">
        <f>'人员人工-研发人员工资'!G308</f>
        <v>0</v>
      </c>
      <c r="H308" s="274">
        <f t="shared" ref="H308:H337" si="119">IF($D308=0,0,ROUND(G308/$D308*$C308,2))</f>
        <v>0</v>
      </c>
      <c r="I308" s="273">
        <f>'人员人工-研发人员工资'!I308</f>
        <v>0</v>
      </c>
      <c r="J308" s="274">
        <f t="shared" ref="J308:J337" si="120">IF($D308=0,0,ROUND(I308/$D308*$C308,2))</f>
        <v>0</v>
      </c>
      <c r="K308" s="275">
        <f>'人员人工-研发人员工资'!K308</f>
        <v>0</v>
      </c>
      <c r="L308" s="274">
        <f t="shared" ref="L308:L337" si="121">IF($D308=0,0,ROUND(K308/$D308*$C308,2))</f>
        <v>0</v>
      </c>
      <c r="M308" s="273">
        <f>'人员人工-研发人员工资'!M308</f>
        <v>0</v>
      </c>
      <c r="N308" s="274">
        <f t="shared" ref="N308:N337" si="122">IF($D308=0,0,ROUND(M308/$D308*$C308,2))</f>
        <v>0</v>
      </c>
      <c r="O308" s="273">
        <f>'人员人工-研发人员工资'!O308</f>
        <v>0</v>
      </c>
      <c r="P308" s="274">
        <f t="shared" ref="P308:P337" si="123">IF($D308=0,0,ROUND(O308/$D308*$C308,2))</f>
        <v>0</v>
      </c>
      <c r="Q308" s="273">
        <f>'人员人工-研发人员工资'!Q308</f>
        <v>0</v>
      </c>
      <c r="R308" s="274">
        <f t="shared" ref="R308:R337" si="124">IF($D308=0,0,ROUND(Q308/$D308*$C308,2))</f>
        <v>0</v>
      </c>
      <c r="S308" s="273">
        <f>'人员人工-研发人员工资'!S308</f>
        <v>0</v>
      </c>
      <c r="T308" s="274">
        <f t="shared" ref="T308:T337" si="125">IF($D308=0,0,ROUND(S308/$D308*$C308,2))</f>
        <v>0</v>
      </c>
      <c r="U308" s="273">
        <f>'人员人工-研发人员工资'!U308</f>
        <v>0</v>
      </c>
      <c r="V308" s="274">
        <f t="shared" ref="V308:V337" si="126">IF($D308=0,0,ROUND(U308/$D308*$C308,2))</f>
        <v>0</v>
      </c>
      <c r="W308" s="273">
        <f>'人员人工-研发人员工资'!W308</f>
        <v>0</v>
      </c>
      <c r="X308" s="274">
        <f t="shared" ref="X308:X337" si="127">IF($D308=0,0,ROUND(W308/$D308*$C308,2))</f>
        <v>0</v>
      </c>
      <c r="Y308" s="273">
        <f>'人员人工-研发人员工资'!Y308</f>
        <v>0</v>
      </c>
      <c r="Z308" s="274">
        <f t="shared" ref="Z308:Z337" si="128">IF($D308=0,0,ROUND(Y308/$D308*$C308,2))</f>
        <v>0</v>
      </c>
    </row>
    <row r="309" s="251" customFormat="1" customHeight="1" spans="1:26">
      <c r="A309" s="270">
        <v>2</v>
      </c>
      <c r="B309" s="271">
        <f>'人员人工-研发人员工资'!B309</f>
        <v>0</v>
      </c>
      <c r="C309" s="272"/>
      <c r="D309" s="272">
        <f>'人员人工-研发人员工资'!D309</f>
        <v>0</v>
      </c>
      <c r="E309" s="272">
        <f t="shared" si="117"/>
        <v>0</v>
      </c>
      <c r="F309" s="272">
        <f t="shared" si="118"/>
        <v>0</v>
      </c>
      <c r="G309" s="273">
        <f>'人员人工-研发人员工资'!G309</f>
        <v>0</v>
      </c>
      <c r="H309" s="274">
        <f t="shared" si="119"/>
        <v>0</v>
      </c>
      <c r="I309" s="273">
        <f>'人员人工-研发人员工资'!I309</f>
        <v>0</v>
      </c>
      <c r="J309" s="274">
        <f t="shared" si="120"/>
        <v>0</v>
      </c>
      <c r="K309" s="275">
        <f>'人员人工-研发人员工资'!K309</f>
        <v>0</v>
      </c>
      <c r="L309" s="274">
        <f t="shared" si="121"/>
        <v>0</v>
      </c>
      <c r="M309" s="273">
        <f>'人员人工-研发人员工资'!M309</f>
        <v>0</v>
      </c>
      <c r="N309" s="274">
        <f t="shared" si="122"/>
        <v>0</v>
      </c>
      <c r="O309" s="273">
        <f>'人员人工-研发人员工资'!O309</f>
        <v>0</v>
      </c>
      <c r="P309" s="274">
        <f t="shared" si="123"/>
        <v>0</v>
      </c>
      <c r="Q309" s="273">
        <f>'人员人工-研发人员工资'!Q309</f>
        <v>0</v>
      </c>
      <c r="R309" s="274">
        <f t="shared" si="124"/>
        <v>0</v>
      </c>
      <c r="S309" s="273">
        <f>'人员人工-研发人员工资'!S309</f>
        <v>0</v>
      </c>
      <c r="T309" s="274">
        <f t="shared" si="125"/>
        <v>0</v>
      </c>
      <c r="U309" s="273">
        <f>'人员人工-研发人员工资'!U309</f>
        <v>0</v>
      </c>
      <c r="V309" s="274">
        <f t="shared" si="126"/>
        <v>0</v>
      </c>
      <c r="W309" s="273">
        <f>'人员人工-研发人员工资'!W309</f>
        <v>0</v>
      </c>
      <c r="X309" s="274">
        <f t="shared" si="127"/>
        <v>0</v>
      </c>
      <c r="Y309" s="273">
        <f>'人员人工-研发人员工资'!Y309</f>
        <v>0</v>
      </c>
      <c r="Z309" s="274">
        <f t="shared" si="128"/>
        <v>0</v>
      </c>
    </row>
    <row r="310" s="251" customFormat="1" customHeight="1" spans="1:26">
      <c r="A310" s="270">
        <v>3</v>
      </c>
      <c r="B310" s="271">
        <f>'人员人工-研发人员工资'!B310</f>
        <v>0</v>
      </c>
      <c r="C310" s="272"/>
      <c r="D310" s="272">
        <f>'人员人工-研发人员工资'!D310</f>
        <v>0</v>
      </c>
      <c r="E310" s="272">
        <f t="shared" si="117"/>
        <v>0</v>
      </c>
      <c r="F310" s="272">
        <f t="shared" si="118"/>
        <v>0</v>
      </c>
      <c r="G310" s="273">
        <f>'人员人工-研发人员工资'!G310</f>
        <v>0</v>
      </c>
      <c r="H310" s="274">
        <f t="shared" si="119"/>
        <v>0</v>
      </c>
      <c r="I310" s="273">
        <f>'人员人工-研发人员工资'!I310</f>
        <v>0</v>
      </c>
      <c r="J310" s="274">
        <f t="shared" si="120"/>
        <v>0</v>
      </c>
      <c r="K310" s="275">
        <f>'人员人工-研发人员工资'!K310</f>
        <v>0</v>
      </c>
      <c r="L310" s="274">
        <f t="shared" si="121"/>
        <v>0</v>
      </c>
      <c r="M310" s="273">
        <f>'人员人工-研发人员工资'!M310</f>
        <v>0</v>
      </c>
      <c r="N310" s="274">
        <f t="shared" si="122"/>
        <v>0</v>
      </c>
      <c r="O310" s="273">
        <f>'人员人工-研发人员工资'!O310</f>
        <v>0</v>
      </c>
      <c r="P310" s="274">
        <f t="shared" si="123"/>
        <v>0</v>
      </c>
      <c r="Q310" s="273">
        <f>'人员人工-研发人员工资'!Q310</f>
        <v>0</v>
      </c>
      <c r="R310" s="274">
        <f t="shared" si="124"/>
        <v>0</v>
      </c>
      <c r="S310" s="273">
        <f>'人员人工-研发人员工资'!S310</f>
        <v>0</v>
      </c>
      <c r="T310" s="274">
        <f t="shared" si="125"/>
        <v>0</v>
      </c>
      <c r="U310" s="273">
        <f>'人员人工-研发人员工资'!U310</f>
        <v>0</v>
      </c>
      <c r="V310" s="274">
        <f t="shared" si="126"/>
        <v>0</v>
      </c>
      <c r="W310" s="273">
        <f>'人员人工-研发人员工资'!W310</f>
        <v>0</v>
      </c>
      <c r="X310" s="274">
        <f t="shared" si="127"/>
        <v>0</v>
      </c>
      <c r="Y310" s="273">
        <f>'人员人工-研发人员工资'!Y310</f>
        <v>0</v>
      </c>
      <c r="Z310" s="274">
        <f t="shared" si="128"/>
        <v>0</v>
      </c>
    </row>
    <row r="311" s="251" customFormat="1" customHeight="1" spans="1:26">
      <c r="A311" s="270">
        <v>4</v>
      </c>
      <c r="B311" s="271">
        <f>'人员人工-研发人员工资'!B311</f>
        <v>0</v>
      </c>
      <c r="C311" s="272"/>
      <c r="D311" s="272">
        <f>'人员人工-研发人员工资'!D311</f>
        <v>0</v>
      </c>
      <c r="E311" s="272">
        <f t="shared" si="117"/>
        <v>0</v>
      </c>
      <c r="F311" s="272">
        <f t="shared" si="118"/>
        <v>0</v>
      </c>
      <c r="G311" s="273">
        <f>'人员人工-研发人员工资'!G311</f>
        <v>0</v>
      </c>
      <c r="H311" s="274">
        <f t="shared" si="119"/>
        <v>0</v>
      </c>
      <c r="I311" s="273">
        <f>'人员人工-研发人员工资'!I311</f>
        <v>0</v>
      </c>
      <c r="J311" s="274">
        <f t="shared" si="120"/>
        <v>0</v>
      </c>
      <c r="K311" s="275">
        <f>'人员人工-研发人员工资'!K311</f>
        <v>0</v>
      </c>
      <c r="L311" s="274">
        <f t="shared" si="121"/>
        <v>0</v>
      </c>
      <c r="M311" s="273">
        <f>'人员人工-研发人员工资'!M311</f>
        <v>0</v>
      </c>
      <c r="N311" s="274">
        <f t="shared" si="122"/>
        <v>0</v>
      </c>
      <c r="O311" s="273">
        <f>'人员人工-研发人员工资'!O311</f>
        <v>0</v>
      </c>
      <c r="P311" s="274">
        <f t="shared" si="123"/>
        <v>0</v>
      </c>
      <c r="Q311" s="273">
        <f>'人员人工-研发人员工资'!Q311</f>
        <v>0</v>
      </c>
      <c r="R311" s="274">
        <f t="shared" si="124"/>
        <v>0</v>
      </c>
      <c r="S311" s="273">
        <f>'人员人工-研发人员工资'!S311</f>
        <v>0</v>
      </c>
      <c r="T311" s="274">
        <f t="shared" si="125"/>
        <v>0</v>
      </c>
      <c r="U311" s="273">
        <f>'人员人工-研发人员工资'!U311</f>
        <v>0</v>
      </c>
      <c r="V311" s="274">
        <f t="shared" si="126"/>
        <v>0</v>
      </c>
      <c r="W311" s="273">
        <f>'人员人工-研发人员工资'!W311</f>
        <v>0</v>
      </c>
      <c r="X311" s="274">
        <f t="shared" si="127"/>
        <v>0</v>
      </c>
      <c r="Y311" s="273">
        <f>'人员人工-研发人员工资'!Y311</f>
        <v>0</v>
      </c>
      <c r="Z311" s="274">
        <f t="shared" si="128"/>
        <v>0</v>
      </c>
    </row>
    <row r="312" s="251" customFormat="1" customHeight="1" spans="1:26">
      <c r="A312" s="270">
        <v>5</v>
      </c>
      <c r="B312" s="271">
        <f>'人员人工-研发人员工资'!B312</f>
        <v>0</v>
      </c>
      <c r="C312" s="272"/>
      <c r="D312" s="272">
        <f>'人员人工-研发人员工资'!D312</f>
        <v>0</v>
      </c>
      <c r="E312" s="272">
        <f t="shared" si="117"/>
        <v>0</v>
      </c>
      <c r="F312" s="272">
        <f t="shared" si="118"/>
        <v>0</v>
      </c>
      <c r="G312" s="273">
        <f>'人员人工-研发人员工资'!G312</f>
        <v>0</v>
      </c>
      <c r="H312" s="274">
        <f t="shared" si="119"/>
        <v>0</v>
      </c>
      <c r="I312" s="273">
        <f>'人员人工-研发人员工资'!I312</f>
        <v>0</v>
      </c>
      <c r="J312" s="274">
        <f t="shared" si="120"/>
        <v>0</v>
      </c>
      <c r="K312" s="275">
        <f>'人员人工-研发人员工资'!K312</f>
        <v>0</v>
      </c>
      <c r="L312" s="274">
        <f t="shared" si="121"/>
        <v>0</v>
      </c>
      <c r="M312" s="273">
        <f>'人员人工-研发人员工资'!M312</f>
        <v>0</v>
      </c>
      <c r="N312" s="274">
        <f t="shared" si="122"/>
        <v>0</v>
      </c>
      <c r="O312" s="273">
        <f>'人员人工-研发人员工资'!O312</f>
        <v>0</v>
      </c>
      <c r="P312" s="274">
        <f t="shared" si="123"/>
        <v>0</v>
      </c>
      <c r="Q312" s="273">
        <f>'人员人工-研发人员工资'!Q312</f>
        <v>0</v>
      </c>
      <c r="R312" s="274">
        <f t="shared" si="124"/>
        <v>0</v>
      </c>
      <c r="S312" s="273">
        <f>'人员人工-研发人员工资'!S312</f>
        <v>0</v>
      </c>
      <c r="T312" s="274">
        <f t="shared" si="125"/>
        <v>0</v>
      </c>
      <c r="U312" s="273">
        <f>'人员人工-研发人员工资'!U312</f>
        <v>0</v>
      </c>
      <c r="V312" s="274">
        <f t="shared" si="126"/>
        <v>0</v>
      </c>
      <c r="W312" s="273">
        <f>'人员人工-研发人员工资'!W312</f>
        <v>0</v>
      </c>
      <c r="X312" s="274">
        <f t="shared" si="127"/>
        <v>0</v>
      </c>
      <c r="Y312" s="273">
        <f>'人员人工-研发人员工资'!Y312</f>
        <v>0</v>
      </c>
      <c r="Z312" s="274">
        <f t="shared" si="128"/>
        <v>0</v>
      </c>
    </row>
    <row r="313" s="251" customFormat="1" customHeight="1" spans="1:26">
      <c r="A313" s="270">
        <v>6</v>
      </c>
      <c r="B313" s="271">
        <f>'人员人工-研发人员工资'!B313</f>
        <v>0</v>
      </c>
      <c r="C313" s="274"/>
      <c r="D313" s="272">
        <f>'人员人工-研发人员工资'!D313</f>
        <v>0</v>
      </c>
      <c r="E313" s="272">
        <f t="shared" si="117"/>
        <v>0</v>
      </c>
      <c r="F313" s="272">
        <f t="shared" si="118"/>
        <v>0</v>
      </c>
      <c r="G313" s="273">
        <f>'人员人工-研发人员工资'!G313</f>
        <v>0</v>
      </c>
      <c r="H313" s="274">
        <f t="shared" si="119"/>
        <v>0</v>
      </c>
      <c r="I313" s="273">
        <f>'人员人工-研发人员工资'!I313</f>
        <v>0</v>
      </c>
      <c r="J313" s="274">
        <f t="shared" si="120"/>
        <v>0</v>
      </c>
      <c r="K313" s="275">
        <f>'人员人工-研发人员工资'!K313</f>
        <v>0</v>
      </c>
      <c r="L313" s="274">
        <f t="shared" si="121"/>
        <v>0</v>
      </c>
      <c r="M313" s="273">
        <f>'人员人工-研发人员工资'!M313</f>
        <v>0</v>
      </c>
      <c r="N313" s="274">
        <f t="shared" si="122"/>
        <v>0</v>
      </c>
      <c r="O313" s="273">
        <f>'人员人工-研发人员工资'!O313</f>
        <v>0</v>
      </c>
      <c r="P313" s="274">
        <f t="shared" si="123"/>
        <v>0</v>
      </c>
      <c r="Q313" s="273">
        <f>'人员人工-研发人员工资'!Q313</f>
        <v>0</v>
      </c>
      <c r="R313" s="274">
        <f t="shared" si="124"/>
        <v>0</v>
      </c>
      <c r="S313" s="273">
        <f>'人员人工-研发人员工资'!S313</f>
        <v>0</v>
      </c>
      <c r="T313" s="274">
        <f t="shared" si="125"/>
        <v>0</v>
      </c>
      <c r="U313" s="273">
        <f>'人员人工-研发人员工资'!U313</f>
        <v>0</v>
      </c>
      <c r="V313" s="274">
        <f t="shared" si="126"/>
        <v>0</v>
      </c>
      <c r="W313" s="273">
        <f>'人员人工-研发人员工资'!W313</f>
        <v>0</v>
      </c>
      <c r="X313" s="274">
        <f t="shared" si="127"/>
        <v>0</v>
      </c>
      <c r="Y313" s="273">
        <f>'人员人工-研发人员工资'!Y313</f>
        <v>0</v>
      </c>
      <c r="Z313" s="274">
        <f t="shared" si="128"/>
        <v>0</v>
      </c>
    </row>
    <row r="314" s="251" customFormat="1" customHeight="1" spans="1:26">
      <c r="A314" s="270">
        <v>7</v>
      </c>
      <c r="B314" s="271">
        <f>'人员人工-研发人员工资'!B314</f>
        <v>0</v>
      </c>
      <c r="C314" s="274"/>
      <c r="D314" s="272">
        <f>'人员人工-研发人员工资'!D314</f>
        <v>0</v>
      </c>
      <c r="E314" s="272">
        <f t="shared" si="117"/>
        <v>0</v>
      </c>
      <c r="F314" s="272">
        <f t="shared" si="118"/>
        <v>0</v>
      </c>
      <c r="G314" s="273">
        <f>'人员人工-研发人员工资'!G314</f>
        <v>0</v>
      </c>
      <c r="H314" s="274">
        <f t="shared" si="119"/>
        <v>0</v>
      </c>
      <c r="I314" s="273">
        <f>'人员人工-研发人员工资'!I314</f>
        <v>0</v>
      </c>
      <c r="J314" s="274">
        <f t="shared" si="120"/>
        <v>0</v>
      </c>
      <c r="K314" s="275">
        <f>'人员人工-研发人员工资'!K314</f>
        <v>0</v>
      </c>
      <c r="L314" s="274">
        <f t="shared" si="121"/>
        <v>0</v>
      </c>
      <c r="M314" s="273">
        <f>'人员人工-研发人员工资'!M314</f>
        <v>0</v>
      </c>
      <c r="N314" s="274">
        <f t="shared" si="122"/>
        <v>0</v>
      </c>
      <c r="O314" s="273">
        <f>'人员人工-研发人员工资'!O314</f>
        <v>0</v>
      </c>
      <c r="P314" s="274">
        <f t="shared" si="123"/>
        <v>0</v>
      </c>
      <c r="Q314" s="273">
        <f>'人员人工-研发人员工资'!Q314</f>
        <v>0</v>
      </c>
      <c r="R314" s="274">
        <f t="shared" si="124"/>
        <v>0</v>
      </c>
      <c r="S314" s="273">
        <f>'人员人工-研发人员工资'!S314</f>
        <v>0</v>
      </c>
      <c r="T314" s="274">
        <f t="shared" si="125"/>
        <v>0</v>
      </c>
      <c r="U314" s="273">
        <f>'人员人工-研发人员工资'!U314</f>
        <v>0</v>
      </c>
      <c r="V314" s="274">
        <f t="shared" si="126"/>
        <v>0</v>
      </c>
      <c r="W314" s="273">
        <f>'人员人工-研发人员工资'!W314</f>
        <v>0</v>
      </c>
      <c r="X314" s="274">
        <f t="shared" si="127"/>
        <v>0</v>
      </c>
      <c r="Y314" s="273">
        <f>'人员人工-研发人员工资'!Y314</f>
        <v>0</v>
      </c>
      <c r="Z314" s="274">
        <f t="shared" si="128"/>
        <v>0</v>
      </c>
    </row>
    <row r="315" s="251" customFormat="1" customHeight="1" spans="1:26">
      <c r="A315" s="270">
        <v>8</v>
      </c>
      <c r="B315" s="271">
        <f>'人员人工-研发人员工资'!B315</f>
        <v>0</v>
      </c>
      <c r="C315" s="274"/>
      <c r="D315" s="272">
        <f>'人员人工-研发人员工资'!D315</f>
        <v>0</v>
      </c>
      <c r="E315" s="272">
        <f t="shared" si="117"/>
        <v>0</v>
      </c>
      <c r="F315" s="272">
        <f t="shared" si="118"/>
        <v>0</v>
      </c>
      <c r="G315" s="273">
        <f>'人员人工-研发人员工资'!G315</f>
        <v>0</v>
      </c>
      <c r="H315" s="274">
        <f t="shared" si="119"/>
        <v>0</v>
      </c>
      <c r="I315" s="273">
        <f>'人员人工-研发人员工资'!I315</f>
        <v>0</v>
      </c>
      <c r="J315" s="274">
        <f t="shared" si="120"/>
        <v>0</v>
      </c>
      <c r="K315" s="275">
        <f>'人员人工-研发人员工资'!K315</f>
        <v>0</v>
      </c>
      <c r="L315" s="274">
        <f t="shared" si="121"/>
        <v>0</v>
      </c>
      <c r="M315" s="273">
        <f>'人员人工-研发人员工资'!M315</f>
        <v>0</v>
      </c>
      <c r="N315" s="274">
        <f t="shared" si="122"/>
        <v>0</v>
      </c>
      <c r="O315" s="273">
        <f>'人员人工-研发人员工资'!O315</f>
        <v>0</v>
      </c>
      <c r="P315" s="274">
        <f t="shared" si="123"/>
        <v>0</v>
      </c>
      <c r="Q315" s="273">
        <f>'人员人工-研发人员工资'!Q315</f>
        <v>0</v>
      </c>
      <c r="R315" s="274">
        <f t="shared" si="124"/>
        <v>0</v>
      </c>
      <c r="S315" s="273">
        <f>'人员人工-研发人员工资'!S315</f>
        <v>0</v>
      </c>
      <c r="T315" s="274">
        <f t="shared" si="125"/>
        <v>0</v>
      </c>
      <c r="U315" s="273">
        <f>'人员人工-研发人员工资'!U315</f>
        <v>0</v>
      </c>
      <c r="V315" s="274">
        <f t="shared" si="126"/>
        <v>0</v>
      </c>
      <c r="W315" s="273">
        <f>'人员人工-研发人员工资'!W315</f>
        <v>0</v>
      </c>
      <c r="X315" s="274">
        <f t="shared" si="127"/>
        <v>0</v>
      </c>
      <c r="Y315" s="273">
        <f>'人员人工-研发人员工资'!Y315</f>
        <v>0</v>
      </c>
      <c r="Z315" s="274">
        <f t="shared" si="128"/>
        <v>0</v>
      </c>
    </row>
    <row r="316" s="251" customFormat="1" customHeight="1" spans="1:26">
      <c r="A316" s="270">
        <v>9</v>
      </c>
      <c r="B316" s="271">
        <f>'人员人工-研发人员工资'!B316</f>
        <v>0</v>
      </c>
      <c r="C316" s="274"/>
      <c r="D316" s="272">
        <f>'人员人工-研发人员工资'!D316</f>
        <v>0</v>
      </c>
      <c r="E316" s="272">
        <f t="shared" si="117"/>
        <v>0</v>
      </c>
      <c r="F316" s="272">
        <f t="shared" si="118"/>
        <v>0</v>
      </c>
      <c r="G316" s="273">
        <f>'人员人工-研发人员工资'!G316</f>
        <v>0</v>
      </c>
      <c r="H316" s="274">
        <f t="shared" si="119"/>
        <v>0</v>
      </c>
      <c r="I316" s="273">
        <f>'人员人工-研发人员工资'!I316</f>
        <v>0</v>
      </c>
      <c r="J316" s="274">
        <f t="shared" si="120"/>
        <v>0</v>
      </c>
      <c r="K316" s="275">
        <f>'人员人工-研发人员工资'!K316</f>
        <v>0</v>
      </c>
      <c r="L316" s="274">
        <f t="shared" si="121"/>
        <v>0</v>
      </c>
      <c r="M316" s="273">
        <f>'人员人工-研发人员工资'!M316</f>
        <v>0</v>
      </c>
      <c r="N316" s="274">
        <f t="shared" si="122"/>
        <v>0</v>
      </c>
      <c r="O316" s="273">
        <f>'人员人工-研发人员工资'!O316</f>
        <v>0</v>
      </c>
      <c r="P316" s="274">
        <f t="shared" si="123"/>
        <v>0</v>
      </c>
      <c r="Q316" s="273">
        <f>'人员人工-研发人员工资'!Q316</f>
        <v>0</v>
      </c>
      <c r="R316" s="274">
        <f t="shared" si="124"/>
        <v>0</v>
      </c>
      <c r="S316" s="273">
        <f>'人员人工-研发人员工资'!S316</f>
        <v>0</v>
      </c>
      <c r="T316" s="274">
        <f t="shared" si="125"/>
        <v>0</v>
      </c>
      <c r="U316" s="273">
        <f>'人员人工-研发人员工资'!U316</f>
        <v>0</v>
      </c>
      <c r="V316" s="274">
        <f t="shared" si="126"/>
        <v>0</v>
      </c>
      <c r="W316" s="273">
        <f>'人员人工-研发人员工资'!W316</f>
        <v>0</v>
      </c>
      <c r="X316" s="274">
        <f t="shared" si="127"/>
        <v>0</v>
      </c>
      <c r="Y316" s="273">
        <f>'人员人工-研发人员工资'!Y316</f>
        <v>0</v>
      </c>
      <c r="Z316" s="274">
        <f t="shared" si="128"/>
        <v>0</v>
      </c>
    </row>
    <row r="317" s="251" customFormat="1" customHeight="1" spans="1:26">
      <c r="A317" s="270">
        <v>10</v>
      </c>
      <c r="B317" s="271">
        <f>'人员人工-研发人员工资'!B317</f>
        <v>0</v>
      </c>
      <c r="C317" s="274"/>
      <c r="D317" s="272">
        <f>'人员人工-研发人员工资'!D317</f>
        <v>0</v>
      </c>
      <c r="E317" s="272">
        <f t="shared" si="117"/>
        <v>0</v>
      </c>
      <c r="F317" s="272">
        <f t="shared" si="118"/>
        <v>0</v>
      </c>
      <c r="G317" s="273">
        <f>'人员人工-研发人员工资'!G317</f>
        <v>0</v>
      </c>
      <c r="H317" s="274">
        <f t="shared" si="119"/>
        <v>0</v>
      </c>
      <c r="I317" s="273">
        <f>'人员人工-研发人员工资'!I317</f>
        <v>0</v>
      </c>
      <c r="J317" s="274">
        <f t="shared" si="120"/>
        <v>0</v>
      </c>
      <c r="K317" s="275">
        <f>'人员人工-研发人员工资'!K317</f>
        <v>0</v>
      </c>
      <c r="L317" s="274">
        <f t="shared" si="121"/>
        <v>0</v>
      </c>
      <c r="M317" s="273">
        <f>'人员人工-研发人员工资'!M317</f>
        <v>0</v>
      </c>
      <c r="N317" s="274">
        <f t="shared" si="122"/>
        <v>0</v>
      </c>
      <c r="O317" s="273">
        <f>'人员人工-研发人员工资'!O317</f>
        <v>0</v>
      </c>
      <c r="P317" s="274">
        <f t="shared" si="123"/>
        <v>0</v>
      </c>
      <c r="Q317" s="273">
        <f>'人员人工-研发人员工资'!Q317</f>
        <v>0</v>
      </c>
      <c r="R317" s="274">
        <f t="shared" si="124"/>
        <v>0</v>
      </c>
      <c r="S317" s="273">
        <f>'人员人工-研发人员工资'!S317</f>
        <v>0</v>
      </c>
      <c r="T317" s="274">
        <f t="shared" si="125"/>
        <v>0</v>
      </c>
      <c r="U317" s="273">
        <f>'人员人工-研发人员工资'!U317</f>
        <v>0</v>
      </c>
      <c r="V317" s="274">
        <f t="shared" si="126"/>
        <v>0</v>
      </c>
      <c r="W317" s="273">
        <f>'人员人工-研发人员工资'!W317</f>
        <v>0</v>
      </c>
      <c r="X317" s="274">
        <f t="shared" si="127"/>
        <v>0</v>
      </c>
      <c r="Y317" s="273">
        <f>'人员人工-研发人员工资'!Y317</f>
        <v>0</v>
      </c>
      <c r="Z317" s="274">
        <f t="shared" si="128"/>
        <v>0</v>
      </c>
    </row>
    <row r="318" s="251" customFormat="1" customHeight="1" spans="1:26">
      <c r="A318" s="270">
        <v>11</v>
      </c>
      <c r="B318" s="271">
        <f>'人员人工-研发人员工资'!B318</f>
        <v>0</v>
      </c>
      <c r="C318" s="274"/>
      <c r="D318" s="272">
        <f>'人员人工-研发人员工资'!D318</f>
        <v>0</v>
      </c>
      <c r="E318" s="272">
        <f t="shared" si="117"/>
        <v>0</v>
      </c>
      <c r="F318" s="272">
        <f t="shared" si="118"/>
        <v>0</v>
      </c>
      <c r="G318" s="273">
        <f>'人员人工-研发人员工资'!G318</f>
        <v>0</v>
      </c>
      <c r="H318" s="274">
        <f t="shared" si="119"/>
        <v>0</v>
      </c>
      <c r="I318" s="273">
        <f>'人员人工-研发人员工资'!I318</f>
        <v>0</v>
      </c>
      <c r="J318" s="274">
        <f t="shared" si="120"/>
        <v>0</v>
      </c>
      <c r="K318" s="275">
        <f>'人员人工-研发人员工资'!K318</f>
        <v>0</v>
      </c>
      <c r="L318" s="274">
        <f t="shared" si="121"/>
        <v>0</v>
      </c>
      <c r="M318" s="273">
        <f>'人员人工-研发人员工资'!M318</f>
        <v>0</v>
      </c>
      <c r="N318" s="274">
        <f t="shared" si="122"/>
        <v>0</v>
      </c>
      <c r="O318" s="273">
        <f>'人员人工-研发人员工资'!O318</f>
        <v>0</v>
      </c>
      <c r="P318" s="274">
        <f t="shared" si="123"/>
        <v>0</v>
      </c>
      <c r="Q318" s="273">
        <f>'人员人工-研发人员工资'!Q318</f>
        <v>0</v>
      </c>
      <c r="R318" s="274">
        <f t="shared" si="124"/>
        <v>0</v>
      </c>
      <c r="S318" s="273">
        <f>'人员人工-研发人员工资'!S318</f>
        <v>0</v>
      </c>
      <c r="T318" s="274">
        <f t="shared" si="125"/>
        <v>0</v>
      </c>
      <c r="U318" s="273">
        <f>'人员人工-研发人员工资'!U318</f>
        <v>0</v>
      </c>
      <c r="V318" s="274">
        <f t="shared" si="126"/>
        <v>0</v>
      </c>
      <c r="W318" s="273">
        <f>'人员人工-研发人员工资'!W318</f>
        <v>0</v>
      </c>
      <c r="X318" s="274">
        <f t="shared" si="127"/>
        <v>0</v>
      </c>
      <c r="Y318" s="273">
        <f>'人员人工-研发人员工资'!Y318</f>
        <v>0</v>
      </c>
      <c r="Z318" s="274">
        <f t="shared" si="128"/>
        <v>0</v>
      </c>
    </row>
    <row r="319" s="251" customFormat="1" customHeight="1" spans="1:26">
      <c r="A319" s="270">
        <v>12</v>
      </c>
      <c r="B319" s="271">
        <f>'人员人工-研发人员工资'!B319</f>
        <v>0</v>
      </c>
      <c r="C319" s="274"/>
      <c r="D319" s="272">
        <f>'人员人工-研发人员工资'!D319</f>
        <v>0</v>
      </c>
      <c r="E319" s="272">
        <f t="shared" si="117"/>
        <v>0</v>
      </c>
      <c r="F319" s="272">
        <f t="shared" si="118"/>
        <v>0</v>
      </c>
      <c r="G319" s="273">
        <f>'人员人工-研发人员工资'!G319</f>
        <v>0</v>
      </c>
      <c r="H319" s="274">
        <f t="shared" si="119"/>
        <v>0</v>
      </c>
      <c r="I319" s="273">
        <f>'人员人工-研发人员工资'!I319</f>
        <v>0</v>
      </c>
      <c r="J319" s="274">
        <f t="shared" si="120"/>
        <v>0</v>
      </c>
      <c r="K319" s="275">
        <f>'人员人工-研发人员工资'!K319</f>
        <v>0</v>
      </c>
      <c r="L319" s="274">
        <f t="shared" si="121"/>
        <v>0</v>
      </c>
      <c r="M319" s="273">
        <f>'人员人工-研发人员工资'!M319</f>
        <v>0</v>
      </c>
      <c r="N319" s="274">
        <f t="shared" si="122"/>
        <v>0</v>
      </c>
      <c r="O319" s="273">
        <f>'人员人工-研发人员工资'!O319</f>
        <v>0</v>
      </c>
      <c r="P319" s="274">
        <f t="shared" si="123"/>
        <v>0</v>
      </c>
      <c r="Q319" s="273">
        <f>'人员人工-研发人员工资'!Q319</f>
        <v>0</v>
      </c>
      <c r="R319" s="274">
        <f t="shared" si="124"/>
        <v>0</v>
      </c>
      <c r="S319" s="273">
        <f>'人员人工-研发人员工资'!S319</f>
        <v>0</v>
      </c>
      <c r="T319" s="274">
        <f t="shared" si="125"/>
        <v>0</v>
      </c>
      <c r="U319" s="273">
        <f>'人员人工-研发人员工资'!U319</f>
        <v>0</v>
      </c>
      <c r="V319" s="274">
        <f t="shared" si="126"/>
        <v>0</v>
      </c>
      <c r="W319" s="273">
        <f>'人员人工-研发人员工资'!W319</f>
        <v>0</v>
      </c>
      <c r="X319" s="274">
        <f t="shared" si="127"/>
        <v>0</v>
      </c>
      <c r="Y319" s="273">
        <f>'人员人工-研发人员工资'!Y319</f>
        <v>0</v>
      </c>
      <c r="Z319" s="274">
        <f t="shared" si="128"/>
        <v>0</v>
      </c>
    </row>
    <row r="320" s="251" customFormat="1" customHeight="1" spans="1:26">
      <c r="A320" s="270">
        <v>13</v>
      </c>
      <c r="B320" s="271">
        <f>'人员人工-研发人员工资'!B320</f>
        <v>0</v>
      </c>
      <c r="C320" s="274"/>
      <c r="D320" s="272">
        <f>'人员人工-研发人员工资'!D320</f>
        <v>0</v>
      </c>
      <c r="E320" s="272">
        <f t="shared" si="117"/>
        <v>0</v>
      </c>
      <c r="F320" s="272">
        <f t="shared" si="118"/>
        <v>0</v>
      </c>
      <c r="G320" s="273">
        <f>'人员人工-研发人员工资'!G320</f>
        <v>0</v>
      </c>
      <c r="H320" s="274">
        <f t="shared" si="119"/>
        <v>0</v>
      </c>
      <c r="I320" s="273">
        <f>'人员人工-研发人员工资'!I320</f>
        <v>0</v>
      </c>
      <c r="J320" s="274">
        <f t="shared" si="120"/>
        <v>0</v>
      </c>
      <c r="K320" s="275">
        <f>'人员人工-研发人员工资'!K320</f>
        <v>0</v>
      </c>
      <c r="L320" s="274">
        <f t="shared" si="121"/>
        <v>0</v>
      </c>
      <c r="M320" s="273">
        <f>'人员人工-研发人员工资'!M320</f>
        <v>0</v>
      </c>
      <c r="N320" s="274">
        <f t="shared" si="122"/>
        <v>0</v>
      </c>
      <c r="O320" s="273">
        <f>'人员人工-研发人员工资'!O320</f>
        <v>0</v>
      </c>
      <c r="P320" s="274">
        <f t="shared" si="123"/>
        <v>0</v>
      </c>
      <c r="Q320" s="273">
        <f>'人员人工-研发人员工资'!Q320</f>
        <v>0</v>
      </c>
      <c r="R320" s="274">
        <f t="shared" si="124"/>
        <v>0</v>
      </c>
      <c r="S320" s="273">
        <f>'人员人工-研发人员工资'!S320</f>
        <v>0</v>
      </c>
      <c r="T320" s="274">
        <f t="shared" si="125"/>
        <v>0</v>
      </c>
      <c r="U320" s="273">
        <f>'人员人工-研发人员工资'!U320</f>
        <v>0</v>
      </c>
      <c r="V320" s="274">
        <f t="shared" si="126"/>
        <v>0</v>
      </c>
      <c r="W320" s="273">
        <f>'人员人工-研发人员工资'!W320</f>
        <v>0</v>
      </c>
      <c r="X320" s="274">
        <f t="shared" si="127"/>
        <v>0</v>
      </c>
      <c r="Y320" s="273">
        <f>'人员人工-研发人员工资'!Y320</f>
        <v>0</v>
      </c>
      <c r="Z320" s="274">
        <f t="shared" si="128"/>
        <v>0</v>
      </c>
    </row>
    <row r="321" s="251" customFormat="1" customHeight="1" spans="1:26">
      <c r="A321" s="270">
        <v>14</v>
      </c>
      <c r="B321" s="271">
        <f>'人员人工-研发人员工资'!B321</f>
        <v>0</v>
      </c>
      <c r="C321" s="274"/>
      <c r="D321" s="272">
        <f>'人员人工-研发人员工资'!D321</f>
        <v>0</v>
      </c>
      <c r="E321" s="272">
        <f t="shared" si="117"/>
        <v>0</v>
      </c>
      <c r="F321" s="272">
        <f t="shared" si="118"/>
        <v>0</v>
      </c>
      <c r="G321" s="273">
        <f>'人员人工-研发人员工资'!G321</f>
        <v>0</v>
      </c>
      <c r="H321" s="274">
        <f t="shared" si="119"/>
        <v>0</v>
      </c>
      <c r="I321" s="273">
        <f>'人员人工-研发人员工资'!I321</f>
        <v>0</v>
      </c>
      <c r="J321" s="274">
        <f t="shared" si="120"/>
        <v>0</v>
      </c>
      <c r="K321" s="275">
        <f>'人员人工-研发人员工资'!K321</f>
        <v>0</v>
      </c>
      <c r="L321" s="274">
        <f t="shared" si="121"/>
        <v>0</v>
      </c>
      <c r="M321" s="273">
        <f>'人员人工-研发人员工资'!M321</f>
        <v>0</v>
      </c>
      <c r="N321" s="274">
        <f t="shared" si="122"/>
        <v>0</v>
      </c>
      <c r="O321" s="273">
        <f>'人员人工-研发人员工资'!O321</f>
        <v>0</v>
      </c>
      <c r="P321" s="274">
        <f t="shared" si="123"/>
        <v>0</v>
      </c>
      <c r="Q321" s="273">
        <f>'人员人工-研发人员工资'!Q321</f>
        <v>0</v>
      </c>
      <c r="R321" s="274">
        <f t="shared" si="124"/>
        <v>0</v>
      </c>
      <c r="S321" s="273">
        <f>'人员人工-研发人员工资'!S321</f>
        <v>0</v>
      </c>
      <c r="T321" s="274">
        <f t="shared" si="125"/>
        <v>0</v>
      </c>
      <c r="U321" s="273">
        <f>'人员人工-研发人员工资'!U321</f>
        <v>0</v>
      </c>
      <c r="V321" s="274">
        <f t="shared" si="126"/>
        <v>0</v>
      </c>
      <c r="W321" s="273">
        <f>'人员人工-研发人员工资'!W321</f>
        <v>0</v>
      </c>
      <c r="X321" s="274">
        <f t="shared" si="127"/>
        <v>0</v>
      </c>
      <c r="Y321" s="273">
        <f>'人员人工-研发人员工资'!Y321</f>
        <v>0</v>
      </c>
      <c r="Z321" s="274">
        <f t="shared" si="128"/>
        <v>0</v>
      </c>
    </row>
    <row r="322" s="251" customFormat="1" customHeight="1" spans="1:26">
      <c r="A322" s="270">
        <v>15</v>
      </c>
      <c r="B322" s="271">
        <f>'人员人工-研发人员工资'!B322</f>
        <v>0</v>
      </c>
      <c r="C322" s="274"/>
      <c r="D322" s="272">
        <f>'人员人工-研发人员工资'!D322</f>
        <v>0</v>
      </c>
      <c r="E322" s="272">
        <f t="shared" si="117"/>
        <v>0</v>
      </c>
      <c r="F322" s="272">
        <f t="shared" si="118"/>
        <v>0</v>
      </c>
      <c r="G322" s="273">
        <f>'人员人工-研发人员工资'!G322</f>
        <v>0</v>
      </c>
      <c r="H322" s="274">
        <f t="shared" si="119"/>
        <v>0</v>
      </c>
      <c r="I322" s="273">
        <f>'人员人工-研发人员工资'!I322</f>
        <v>0</v>
      </c>
      <c r="J322" s="274">
        <f t="shared" si="120"/>
        <v>0</v>
      </c>
      <c r="K322" s="275">
        <f>'人员人工-研发人员工资'!K322</f>
        <v>0</v>
      </c>
      <c r="L322" s="274">
        <f t="shared" si="121"/>
        <v>0</v>
      </c>
      <c r="M322" s="273">
        <f>'人员人工-研发人员工资'!M322</f>
        <v>0</v>
      </c>
      <c r="N322" s="274">
        <f t="shared" si="122"/>
        <v>0</v>
      </c>
      <c r="O322" s="273">
        <f>'人员人工-研发人员工资'!O322</f>
        <v>0</v>
      </c>
      <c r="P322" s="274">
        <f t="shared" si="123"/>
        <v>0</v>
      </c>
      <c r="Q322" s="273">
        <f>'人员人工-研发人员工资'!Q322</f>
        <v>0</v>
      </c>
      <c r="R322" s="274">
        <f t="shared" si="124"/>
        <v>0</v>
      </c>
      <c r="S322" s="273">
        <f>'人员人工-研发人员工资'!S322</f>
        <v>0</v>
      </c>
      <c r="T322" s="274">
        <f t="shared" si="125"/>
        <v>0</v>
      </c>
      <c r="U322" s="273">
        <f>'人员人工-研发人员工资'!U322</f>
        <v>0</v>
      </c>
      <c r="V322" s="274">
        <f t="shared" si="126"/>
        <v>0</v>
      </c>
      <c r="W322" s="273">
        <f>'人员人工-研发人员工资'!W322</f>
        <v>0</v>
      </c>
      <c r="X322" s="274">
        <f t="shared" si="127"/>
        <v>0</v>
      </c>
      <c r="Y322" s="273">
        <f>'人员人工-研发人员工资'!Y322</f>
        <v>0</v>
      </c>
      <c r="Z322" s="274">
        <f t="shared" si="128"/>
        <v>0</v>
      </c>
    </row>
    <row r="323" s="251" customFormat="1" customHeight="1" spans="1:26">
      <c r="A323" s="270">
        <v>16</v>
      </c>
      <c r="B323" s="271">
        <f>'人员人工-研发人员工资'!B323</f>
        <v>0</v>
      </c>
      <c r="C323" s="274"/>
      <c r="D323" s="272">
        <f>'人员人工-研发人员工资'!D323</f>
        <v>0</v>
      </c>
      <c r="E323" s="272">
        <f t="shared" si="117"/>
        <v>0</v>
      </c>
      <c r="F323" s="272">
        <f t="shared" si="118"/>
        <v>0</v>
      </c>
      <c r="G323" s="273">
        <f>'人员人工-研发人员工资'!G323</f>
        <v>0</v>
      </c>
      <c r="H323" s="274">
        <f t="shared" si="119"/>
        <v>0</v>
      </c>
      <c r="I323" s="273">
        <f>'人员人工-研发人员工资'!I323</f>
        <v>0</v>
      </c>
      <c r="J323" s="274">
        <f t="shared" si="120"/>
        <v>0</v>
      </c>
      <c r="K323" s="275">
        <f>'人员人工-研发人员工资'!K323</f>
        <v>0</v>
      </c>
      <c r="L323" s="274">
        <f t="shared" si="121"/>
        <v>0</v>
      </c>
      <c r="M323" s="273">
        <f>'人员人工-研发人员工资'!M323</f>
        <v>0</v>
      </c>
      <c r="N323" s="274">
        <f t="shared" si="122"/>
        <v>0</v>
      </c>
      <c r="O323" s="273">
        <f>'人员人工-研发人员工资'!O323</f>
        <v>0</v>
      </c>
      <c r="P323" s="274">
        <f t="shared" si="123"/>
        <v>0</v>
      </c>
      <c r="Q323" s="273">
        <f>'人员人工-研发人员工资'!Q323</f>
        <v>0</v>
      </c>
      <c r="R323" s="274">
        <f t="shared" si="124"/>
        <v>0</v>
      </c>
      <c r="S323" s="273">
        <f>'人员人工-研发人员工资'!S323</f>
        <v>0</v>
      </c>
      <c r="T323" s="274">
        <f t="shared" si="125"/>
        <v>0</v>
      </c>
      <c r="U323" s="273">
        <f>'人员人工-研发人员工资'!U323</f>
        <v>0</v>
      </c>
      <c r="V323" s="274">
        <f t="shared" si="126"/>
        <v>0</v>
      </c>
      <c r="W323" s="273">
        <f>'人员人工-研发人员工资'!W323</f>
        <v>0</v>
      </c>
      <c r="X323" s="274">
        <f t="shared" si="127"/>
        <v>0</v>
      </c>
      <c r="Y323" s="273">
        <f>'人员人工-研发人员工资'!Y323</f>
        <v>0</v>
      </c>
      <c r="Z323" s="274">
        <f t="shared" si="128"/>
        <v>0</v>
      </c>
    </row>
    <row r="324" s="251" customFormat="1" customHeight="1" spans="1:26">
      <c r="A324" s="270">
        <v>17</v>
      </c>
      <c r="B324" s="271">
        <f>'人员人工-研发人员工资'!B325</f>
        <v>0</v>
      </c>
      <c r="C324" s="274"/>
      <c r="D324" s="272">
        <f>'人员人工-研发人员工资'!D325</f>
        <v>0</v>
      </c>
      <c r="E324" s="272">
        <f>G325+I325+K325+M325+O325+Q325+S325+U325+W325+Y325</f>
        <v>0</v>
      </c>
      <c r="F324" s="272">
        <f>H325+J325+L325+N325+P325+R325+T325+V325+X325+Z325</f>
        <v>0</v>
      </c>
      <c r="G324" s="273">
        <f>'人员人工-研发人员工资'!G325</f>
        <v>0</v>
      </c>
      <c r="H324" s="274">
        <f>IF($D325=0,0,ROUND(G325/$D325*$C325,2))</f>
        <v>0</v>
      </c>
      <c r="I324" s="273">
        <f>'人员人工-研发人员工资'!I325</f>
        <v>0</v>
      </c>
      <c r="J324" s="274">
        <f>IF($D325=0,0,ROUND(I325/$D325*$C325,2))</f>
        <v>0</v>
      </c>
      <c r="K324" s="275">
        <f>'人员人工-研发人员工资'!K325</f>
        <v>0</v>
      </c>
      <c r="L324" s="274">
        <f>IF($D325=0,0,ROUND(K325/$D325*$C325,2))</f>
        <v>0</v>
      </c>
      <c r="M324" s="273">
        <f>'人员人工-研发人员工资'!M325</f>
        <v>0</v>
      </c>
      <c r="N324" s="274">
        <f>IF($D325=0,0,ROUND(M325/$D325*$C325,2))</f>
        <v>0</v>
      </c>
      <c r="O324" s="273">
        <f>'人员人工-研发人员工资'!O325</f>
        <v>0</v>
      </c>
      <c r="P324" s="274">
        <f>IF($D325=0,0,ROUND(O325/$D325*$C325,2))</f>
        <v>0</v>
      </c>
      <c r="Q324" s="273">
        <f>'人员人工-研发人员工资'!Q325</f>
        <v>0</v>
      </c>
      <c r="R324" s="274">
        <f>IF($D325=0,0,ROUND(Q325/$D325*$C325,2))</f>
        <v>0</v>
      </c>
      <c r="S324" s="273">
        <f>'人员人工-研发人员工资'!S325</f>
        <v>0</v>
      </c>
      <c r="T324" s="274">
        <f>IF($D325=0,0,ROUND(S325/$D325*$C325,2))</f>
        <v>0</v>
      </c>
      <c r="U324" s="273">
        <f>'人员人工-研发人员工资'!U325</f>
        <v>0</v>
      </c>
      <c r="V324" s="274">
        <f>IF($D325=0,0,ROUND(U325/$D325*$C325,2))</f>
        <v>0</v>
      </c>
      <c r="W324" s="273">
        <f>'人员人工-研发人员工资'!W325</f>
        <v>0</v>
      </c>
      <c r="X324" s="274">
        <f>IF($D325=0,0,ROUND(W325/$D325*$C325,2))</f>
        <v>0</v>
      </c>
      <c r="Y324" s="273">
        <f>'人员人工-研发人员工资'!Y325</f>
        <v>0</v>
      </c>
      <c r="Z324" s="274">
        <f>IF($D325=0,0,ROUND(Y325/$D325*$C325,2))</f>
        <v>0</v>
      </c>
    </row>
    <row r="325" s="251" customFormat="1" customHeight="1" spans="1:26">
      <c r="A325" s="270">
        <v>18</v>
      </c>
      <c r="B325" s="271">
        <f>'人员人工-研发人员工资'!B325</f>
        <v>0</v>
      </c>
      <c r="C325" s="274"/>
      <c r="D325" s="272">
        <f>'人员人工-研发人员工资'!D325</f>
        <v>0</v>
      </c>
      <c r="E325" s="272">
        <f t="shared" si="117"/>
        <v>0</v>
      </c>
      <c r="F325" s="272">
        <f t="shared" si="118"/>
        <v>0</v>
      </c>
      <c r="G325" s="273">
        <f>'人员人工-研发人员工资'!G325</f>
        <v>0</v>
      </c>
      <c r="H325" s="274">
        <f t="shared" si="119"/>
        <v>0</v>
      </c>
      <c r="I325" s="273">
        <f>'人员人工-研发人员工资'!I325</f>
        <v>0</v>
      </c>
      <c r="J325" s="274">
        <f t="shared" si="120"/>
        <v>0</v>
      </c>
      <c r="K325" s="275">
        <f>'人员人工-研发人员工资'!K325</f>
        <v>0</v>
      </c>
      <c r="L325" s="274">
        <f t="shared" si="121"/>
        <v>0</v>
      </c>
      <c r="M325" s="273">
        <f>'人员人工-研发人员工资'!M325</f>
        <v>0</v>
      </c>
      <c r="N325" s="274">
        <f t="shared" si="122"/>
        <v>0</v>
      </c>
      <c r="O325" s="273">
        <f>'人员人工-研发人员工资'!O325</f>
        <v>0</v>
      </c>
      <c r="P325" s="274">
        <f t="shared" si="123"/>
        <v>0</v>
      </c>
      <c r="Q325" s="273">
        <f>'人员人工-研发人员工资'!Q325</f>
        <v>0</v>
      </c>
      <c r="R325" s="274">
        <f t="shared" si="124"/>
        <v>0</v>
      </c>
      <c r="S325" s="273">
        <f>'人员人工-研发人员工资'!S325</f>
        <v>0</v>
      </c>
      <c r="T325" s="274">
        <f t="shared" si="125"/>
        <v>0</v>
      </c>
      <c r="U325" s="273">
        <f>'人员人工-研发人员工资'!U325</f>
        <v>0</v>
      </c>
      <c r="V325" s="274">
        <f t="shared" si="126"/>
        <v>0</v>
      </c>
      <c r="W325" s="273">
        <f>'人员人工-研发人员工资'!W325</f>
        <v>0</v>
      </c>
      <c r="X325" s="274">
        <f t="shared" si="127"/>
        <v>0</v>
      </c>
      <c r="Y325" s="273">
        <f>'人员人工-研发人员工资'!Y325</f>
        <v>0</v>
      </c>
      <c r="Z325" s="274">
        <f t="shared" si="128"/>
        <v>0</v>
      </c>
    </row>
    <row r="326" s="251" customFormat="1" customHeight="1" spans="1:26">
      <c r="A326" s="270">
        <v>19</v>
      </c>
      <c r="B326" s="271">
        <f>'人员人工-研发人员工资'!B326</f>
        <v>0</v>
      </c>
      <c r="C326" s="274"/>
      <c r="D326" s="272">
        <f>'人员人工-研发人员工资'!D326</f>
        <v>0</v>
      </c>
      <c r="E326" s="272">
        <f t="shared" si="117"/>
        <v>0</v>
      </c>
      <c r="F326" s="272">
        <f t="shared" si="118"/>
        <v>0</v>
      </c>
      <c r="G326" s="273">
        <f>'人员人工-研发人员工资'!G326</f>
        <v>0</v>
      </c>
      <c r="H326" s="274">
        <f t="shared" si="119"/>
        <v>0</v>
      </c>
      <c r="I326" s="273">
        <f>'人员人工-研发人员工资'!I326</f>
        <v>0</v>
      </c>
      <c r="J326" s="274">
        <f t="shared" si="120"/>
        <v>0</v>
      </c>
      <c r="K326" s="275">
        <f>'人员人工-研发人员工资'!K326</f>
        <v>0</v>
      </c>
      <c r="L326" s="274">
        <f t="shared" si="121"/>
        <v>0</v>
      </c>
      <c r="M326" s="273">
        <f>'人员人工-研发人员工资'!M326</f>
        <v>0</v>
      </c>
      <c r="N326" s="274">
        <f t="shared" si="122"/>
        <v>0</v>
      </c>
      <c r="O326" s="273">
        <f>'人员人工-研发人员工资'!O326</f>
        <v>0</v>
      </c>
      <c r="P326" s="274">
        <f t="shared" si="123"/>
        <v>0</v>
      </c>
      <c r="Q326" s="273">
        <f>'人员人工-研发人员工资'!Q326</f>
        <v>0</v>
      </c>
      <c r="R326" s="274">
        <f t="shared" si="124"/>
        <v>0</v>
      </c>
      <c r="S326" s="273">
        <f>'人员人工-研发人员工资'!S326</f>
        <v>0</v>
      </c>
      <c r="T326" s="274">
        <f t="shared" si="125"/>
        <v>0</v>
      </c>
      <c r="U326" s="273">
        <f>'人员人工-研发人员工资'!U326</f>
        <v>0</v>
      </c>
      <c r="V326" s="274">
        <f t="shared" si="126"/>
        <v>0</v>
      </c>
      <c r="W326" s="273">
        <f>'人员人工-研发人员工资'!W326</f>
        <v>0</v>
      </c>
      <c r="X326" s="274">
        <f t="shared" si="127"/>
        <v>0</v>
      </c>
      <c r="Y326" s="273">
        <f>'人员人工-研发人员工资'!Y326</f>
        <v>0</v>
      </c>
      <c r="Z326" s="274">
        <f t="shared" si="128"/>
        <v>0</v>
      </c>
    </row>
    <row r="327" s="251" customFormat="1" customHeight="1" spans="1:26">
      <c r="A327" s="270">
        <v>20</v>
      </c>
      <c r="B327" s="271">
        <f>'人员人工-研发人员工资'!B327</f>
        <v>0</v>
      </c>
      <c r="C327" s="274"/>
      <c r="D327" s="272">
        <f>'人员人工-研发人员工资'!D327</f>
        <v>0</v>
      </c>
      <c r="E327" s="272">
        <f t="shared" si="117"/>
        <v>0</v>
      </c>
      <c r="F327" s="272">
        <f t="shared" si="118"/>
        <v>0</v>
      </c>
      <c r="G327" s="273">
        <f>'人员人工-研发人员工资'!G327</f>
        <v>0</v>
      </c>
      <c r="H327" s="274">
        <f t="shared" si="119"/>
        <v>0</v>
      </c>
      <c r="I327" s="273">
        <f>'人员人工-研发人员工资'!I327</f>
        <v>0</v>
      </c>
      <c r="J327" s="274">
        <f t="shared" si="120"/>
        <v>0</v>
      </c>
      <c r="K327" s="275">
        <f>'人员人工-研发人员工资'!K327</f>
        <v>0</v>
      </c>
      <c r="L327" s="274">
        <f t="shared" si="121"/>
        <v>0</v>
      </c>
      <c r="M327" s="273">
        <f>'人员人工-研发人员工资'!M327</f>
        <v>0</v>
      </c>
      <c r="N327" s="274">
        <f t="shared" si="122"/>
        <v>0</v>
      </c>
      <c r="O327" s="273">
        <f>'人员人工-研发人员工资'!O327</f>
        <v>0</v>
      </c>
      <c r="P327" s="274">
        <f t="shared" si="123"/>
        <v>0</v>
      </c>
      <c r="Q327" s="273">
        <f>'人员人工-研发人员工资'!Q327</f>
        <v>0</v>
      </c>
      <c r="R327" s="274">
        <f t="shared" si="124"/>
        <v>0</v>
      </c>
      <c r="S327" s="273">
        <f>'人员人工-研发人员工资'!S327</f>
        <v>0</v>
      </c>
      <c r="T327" s="274">
        <f t="shared" si="125"/>
        <v>0</v>
      </c>
      <c r="U327" s="273">
        <f>'人员人工-研发人员工资'!U327</f>
        <v>0</v>
      </c>
      <c r="V327" s="274">
        <f t="shared" si="126"/>
        <v>0</v>
      </c>
      <c r="W327" s="273">
        <f>'人员人工-研发人员工资'!W327</f>
        <v>0</v>
      </c>
      <c r="X327" s="274">
        <f t="shared" si="127"/>
        <v>0</v>
      </c>
      <c r="Y327" s="273">
        <f>'人员人工-研发人员工资'!Y327</f>
        <v>0</v>
      </c>
      <c r="Z327" s="274">
        <f t="shared" si="128"/>
        <v>0</v>
      </c>
    </row>
    <row r="328" s="251" customFormat="1" customHeight="1" spans="1:26">
      <c r="A328" s="270">
        <v>21</v>
      </c>
      <c r="B328" s="271">
        <f>'人员人工-研发人员工资'!B328</f>
        <v>0</v>
      </c>
      <c r="C328" s="274"/>
      <c r="D328" s="272">
        <f>'人员人工-研发人员工资'!D328</f>
        <v>0</v>
      </c>
      <c r="E328" s="272">
        <f t="shared" si="117"/>
        <v>0</v>
      </c>
      <c r="F328" s="272">
        <f t="shared" si="118"/>
        <v>0</v>
      </c>
      <c r="G328" s="273">
        <f>'人员人工-研发人员工资'!G328</f>
        <v>0</v>
      </c>
      <c r="H328" s="274">
        <f t="shared" si="119"/>
        <v>0</v>
      </c>
      <c r="I328" s="273">
        <f>'人员人工-研发人员工资'!I328</f>
        <v>0</v>
      </c>
      <c r="J328" s="274">
        <f t="shared" si="120"/>
        <v>0</v>
      </c>
      <c r="K328" s="275">
        <f>'人员人工-研发人员工资'!K328</f>
        <v>0</v>
      </c>
      <c r="L328" s="274">
        <f t="shared" si="121"/>
        <v>0</v>
      </c>
      <c r="M328" s="273">
        <f>'人员人工-研发人员工资'!M328</f>
        <v>0</v>
      </c>
      <c r="N328" s="274">
        <f t="shared" si="122"/>
        <v>0</v>
      </c>
      <c r="O328" s="273">
        <f>'人员人工-研发人员工资'!O328</f>
        <v>0</v>
      </c>
      <c r="P328" s="274">
        <f t="shared" si="123"/>
        <v>0</v>
      </c>
      <c r="Q328" s="273">
        <f>'人员人工-研发人员工资'!Q328</f>
        <v>0</v>
      </c>
      <c r="R328" s="274">
        <f t="shared" si="124"/>
        <v>0</v>
      </c>
      <c r="S328" s="273">
        <f>'人员人工-研发人员工资'!S328</f>
        <v>0</v>
      </c>
      <c r="T328" s="274">
        <f t="shared" si="125"/>
        <v>0</v>
      </c>
      <c r="U328" s="273">
        <f>'人员人工-研发人员工资'!U328</f>
        <v>0</v>
      </c>
      <c r="V328" s="274">
        <f t="shared" si="126"/>
        <v>0</v>
      </c>
      <c r="W328" s="273">
        <f>'人员人工-研发人员工资'!W328</f>
        <v>0</v>
      </c>
      <c r="X328" s="274">
        <f t="shared" si="127"/>
        <v>0</v>
      </c>
      <c r="Y328" s="273">
        <f>'人员人工-研发人员工资'!Y328</f>
        <v>0</v>
      </c>
      <c r="Z328" s="274">
        <f t="shared" si="128"/>
        <v>0</v>
      </c>
    </row>
    <row r="329" s="251" customFormat="1" customHeight="1" spans="1:26">
      <c r="A329" s="270">
        <v>22</v>
      </c>
      <c r="B329" s="271">
        <f>'人员人工-研发人员工资'!B329</f>
        <v>0</v>
      </c>
      <c r="C329" s="274"/>
      <c r="D329" s="272">
        <f>'人员人工-研发人员工资'!D329</f>
        <v>0</v>
      </c>
      <c r="E329" s="272">
        <f t="shared" si="117"/>
        <v>0</v>
      </c>
      <c r="F329" s="272">
        <f t="shared" si="118"/>
        <v>0</v>
      </c>
      <c r="G329" s="273">
        <f>'人员人工-研发人员工资'!G329</f>
        <v>0</v>
      </c>
      <c r="H329" s="274">
        <f t="shared" si="119"/>
        <v>0</v>
      </c>
      <c r="I329" s="273">
        <f>'人员人工-研发人员工资'!I329</f>
        <v>0</v>
      </c>
      <c r="J329" s="274">
        <f t="shared" si="120"/>
        <v>0</v>
      </c>
      <c r="K329" s="275">
        <f>'人员人工-研发人员工资'!K329</f>
        <v>0</v>
      </c>
      <c r="L329" s="274">
        <f t="shared" si="121"/>
        <v>0</v>
      </c>
      <c r="M329" s="273">
        <f>'人员人工-研发人员工资'!M329</f>
        <v>0</v>
      </c>
      <c r="N329" s="274">
        <f t="shared" si="122"/>
        <v>0</v>
      </c>
      <c r="O329" s="273">
        <f>'人员人工-研发人员工资'!O329</f>
        <v>0</v>
      </c>
      <c r="P329" s="274">
        <f t="shared" si="123"/>
        <v>0</v>
      </c>
      <c r="Q329" s="273">
        <f>'人员人工-研发人员工资'!Q329</f>
        <v>0</v>
      </c>
      <c r="R329" s="274">
        <f t="shared" si="124"/>
        <v>0</v>
      </c>
      <c r="S329" s="273">
        <f>'人员人工-研发人员工资'!S329</f>
        <v>0</v>
      </c>
      <c r="T329" s="274">
        <f t="shared" si="125"/>
        <v>0</v>
      </c>
      <c r="U329" s="273">
        <f>'人员人工-研发人员工资'!U329</f>
        <v>0</v>
      </c>
      <c r="V329" s="274">
        <f t="shared" si="126"/>
        <v>0</v>
      </c>
      <c r="W329" s="273">
        <f>'人员人工-研发人员工资'!W329</f>
        <v>0</v>
      </c>
      <c r="X329" s="274">
        <f t="shared" si="127"/>
        <v>0</v>
      </c>
      <c r="Y329" s="273">
        <f>'人员人工-研发人员工资'!Y329</f>
        <v>0</v>
      </c>
      <c r="Z329" s="274">
        <f t="shared" si="128"/>
        <v>0</v>
      </c>
    </row>
    <row r="330" s="251" customFormat="1" customHeight="1" spans="1:26">
      <c r="A330" s="270">
        <v>23</v>
      </c>
      <c r="B330" s="271">
        <f>'人员人工-研发人员工资'!B330</f>
        <v>0</v>
      </c>
      <c r="C330" s="274"/>
      <c r="D330" s="272">
        <f>'人员人工-研发人员工资'!D330</f>
        <v>0</v>
      </c>
      <c r="E330" s="272">
        <f t="shared" si="117"/>
        <v>0</v>
      </c>
      <c r="F330" s="272">
        <f t="shared" si="118"/>
        <v>0</v>
      </c>
      <c r="G330" s="273">
        <f>'人员人工-研发人员工资'!G330</f>
        <v>0</v>
      </c>
      <c r="H330" s="274">
        <f t="shared" si="119"/>
        <v>0</v>
      </c>
      <c r="I330" s="273">
        <f>'人员人工-研发人员工资'!I330</f>
        <v>0</v>
      </c>
      <c r="J330" s="274">
        <f t="shared" si="120"/>
        <v>0</v>
      </c>
      <c r="K330" s="275">
        <f>'人员人工-研发人员工资'!K330</f>
        <v>0</v>
      </c>
      <c r="L330" s="274">
        <f t="shared" si="121"/>
        <v>0</v>
      </c>
      <c r="M330" s="273">
        <f>'人员人工-研发人员工资'!M330</f>
        <v>0</v>
      </c>
      <c r="N330" s="274">
        <f t="shared" si="122"/>
        <v>0</v>
      </c>
      <c r="O330" s="273">
        <f>'人员人工-研发人员工资'!O330</f>
        <v>0</v>
      </c>
      <c r="P330" s="274">
        <f t="shared" si="123"/>
        <v>0</v>
      </c>
      <c r="Q330" s="273">
        <f>'人员人工-研发人员工资'!Q330</f>
        <v>0</v>
      </c>
      <c r="R330" s="274">
        <f t="shared" si="124"/>
        <v>0</v>
      </c>
      <c r="S330" s="273">
        <f>'人员人工-研发人员工资'!S330</f>
        <v>0</v>
      </c>
      <c r="T330" s="274">
        <f t="shared" si="125"/>
        <v>0</v>
      </c>
      <c r="U330" s="273">
        <f>'人员人工-研发人员工资'!U330</f>
        <v>0</v>
      </c>
      <c r="V330" s="274">
        <f t="shared" si="126"/>
        <v>0</v>
      </c>
      <c r="W330" s="273">
        <f>'人员人工-研发人员工资'!W330</f>
        <v>0</v>
      </c>
      <c r="X330" s="274">
        <f t="shared" si="127"/>
        <v>0</v>
      </c>
      <c r="Y330" s="273">
        <f>'人员人工-研发人员工资'!Y330</f>
        <v>0</v>
      </c>
      <c r="Z330" s="274">
        <f t="shared" si="128"/>
        <v>0</v>
      </c>
    </row>
    <row r="331" s="251" customFormat="1" customHeight="1" spans="1:26">
      <c r="A331" s="270">
        <v>25</v>
      </c>
      <c r="B331" s="271">
        <f>'人员人工-研发人员工资'!B331</f>
        <v>0</v>
      </c>
      <c r="C331" s="274"/>
      <c r="D331" s="272">
        <f>'人员人工-研发人员工资'!D331</f>
        <v>0</v>
      </c>
      <c r="E331" s="272">
        <f t="shared" si="117"/>
        <v>0</v>
      </c>
      <c r="F331" s="272">
        <f t="shared" si="118"/>
        <v>0</v>
      </c>
      <c r="G331" s="273">
        <f>'人员人工-研发人员工资'!G331</f>
        <v>0</v>
      </c>
      <c r="H331" s="274">
        <f t="shared" si="119"/>
        <v>0</v>
      </c>
      <c r="I331" s="273">
        <f>'人员人工-研发人员工资'!I331</f>
        <v>0</v>
      </c>
      <c r="J331" s="274">
        <f t="shared" si="120"/>
        <v>0</v>
      </c>
      <c r="K331" s="275">
        <f>'人员人工-研发人员工资'!K331</f>
        <v>0</v>
      </c>
      <c r="L331" s="274">
        <f t="shared" si="121"/>
        <v>0</v>
      </c>
      <c r="M331" s="273">
        <f>'人员人工-研发人员工资'!M331</f>
        <v>0</v>
      </c>
      <c r="N331" s="274">
        <f t="shared" si="122"/>
        <v>0</v>
      </c>
      <c r="O331" s="273">
        <f>'人员人工-研发人员工资'!O331</f>
        <v>0</v>
      </c>
      <c r="P331" s="274">
        <f t="shared" si="123"/>
        <v>0</v>
      </c>
      <c r="Q331" s="273">
        <f>'人员人工-研发人员工资'!Q331</f>
        <v>0</v>
      </c>
      <c r="R331" s="274">
        <f t="shared" si="124"/>
        <v>0</v>
      </c>
      <c r="S331" s="273">
        <f>'人员人工-研发人员工资'!S331</f>
        <v>0</v>
      </c>
      <c r="T331" s="274">
        <f t="shared" si="125"/>
        <v>0</v>
      </c>
      <c r="U331" s="273">
        <f>'人员人工-研发人员工资'!U331</f>
        <v>0</v>
      </c>
      <c r="V331" s="274">
        <f t="shared" si="126"/>
        <v>0</v>
      </c>
      <c r="W331" s="273">
        <f>'人员人工-研发人员工资'!W331</f>
        <v>0</v>
      </c>
      <c r="X331" s="274">
        <f t="shared" si="127"/>
        <v>0</v>
      </c>
      <c r="Y331" s="273">
        <f>'人员人工-研发人员工资'!Y331</f>
        <v>0</v>
      </c>
      <c r="Z331" s="274">
        <f t="shared" si="128"/>
        <v>0</v>
      </c>
    </row>
    <row r="332" s="251" customFormat="1" customHeight="1" spans="1:26">
      <c r="A332" s="270">
        <v>25</v>
      </c>
      <c r="B332" s="271">
        <f>'人员人工-研发人员工资'!B332</f>
        <v>0</v>
      </c>
      <c r="C332" s="274"/>
      <c r="D332" s="272">
        <f>'人员人工-研发人员工资'!D332</f>
        <v>0</v>
      </c>
      <c r="E332" s="272">
        <f t="shared" si="117"/>
        <v>0</v>
      </c>
      <c r="F332" s="272">
        <f t="shared" si="118"/>
        <v>0</v>
      </c>
      <c r="G332" s="273">
        <f>'人员人工-研发人员工资'!G332</f>
        <v>0</v>
      </c>
      <c r="H332" s="274">
        <f t="shared" si="119"/>
        <v>0</v>
      </c>
      <c r="I332" s="273">
        <f>'人员人工-研发人员工资'!I332</f>
        <v>0</v>
      </c>
      <c r="J332" s="274">
        <f t="shared" si="120"/>
        <v>0</v>
      </c>
      <c r="K332" s="275">
        <f>'人员人工-研发人员工资'!K332</f>
        <v>0</v>
      </c>
      <c r="L332" s="274">
        <f t="shared" si="121"/>
        <v>0</v>
      </c>
      <c r="M332" s="273">
        <f>'人员人工-研发人员工资'!M332</f>
        <v>0</v>
      </c>
      <c r="N332" s="274">
        <f t="shared" si="122"/>
        <v>0</v>
      </c>
      <c r="O332" s="273">
        <f>'人员人工-研发人员工资'!O332</f>
        <v>0</v>
      </c>
      <c r="P332" s="274">
        <f t="shared" si="123"/>
        <v>0</v>
      </c>
      <c r="Q332" s="273">
        <f>'人员人工-研发人员工资'!Q332</f>
        <v>0</v>
      </c>
      <c r="R332" s="274">
        <f t="shared" si="124"/>
        <v>0</v>
      </c>
      <c r="S332" s="273">
        <f>'人员人工-研发人员工资'!S332</f>
        <v>0</v>
      </c>
      <c r="T332" s="274">
        <f t="shared" si="125"/>
        <v>0</v>
      </c>
      <c r="U332" s="273">
        <f>'人员人工-研发人员工资'!U332</f>
        <v>0</v>
      </c>
      <c r="V332" s="274">
        <f t="shared" si="126"/>
        <v>0</v>
      </c>
      <c r="W332" s="273">
        <f>'人员人工-研发人员工资'!W332</f>
        <v>0</v>
      </c>
      <c r="X332" s="274">
        <f t="shared" si="127"/>
        <v>0</v>
      </c>
      <c r="Y332" s="273">
        <f>'人员人工-研发人员工资'!Y332</f>
        <v>0</v>
      </c>
      <c r="Z332" s="274">
        <f t="shared" si="128"/>
        <v>0</v>
      </c>
    </row>
    <row r="333" s="251" customFormat="1" customHeight="1" spans="1:26">
      <c r="A333" s="270">
        <v>26</v>
      </c>
      <c r="B333" s="271">
        <f>'人员人工-研发人员工资'!B333</f>
        <v>0</v>
      </c>
      <c r="C333" s="274"/>
      <c r="D333" s="272">
        <f>'人员人工-研发人员工资'!D333</f>
        <v>0</v>
      </c>
      <c r="E333" s="272">
        <f t="shared" si="117"/>
        <v>0</v>
      </c>
      <c r="F333" s="272">
        <f t="shared" si="118"/>
        <v>0</v>
      </c>
      <c r="G333" s="273">
        <f>'人员人工-研发人员工资'!G333</f>
        <v>0</v>
      </c>
      <c r="H333" s="274">
        <f t="shared" si="119"/>
        <v>0</v>
      </c>
      <c r="I333" s="273">
        <f>'人员人工-研发人员工资'!I333</f>
        <v>0</v>
      </c>
      <c r="J333" s="274">
        <f t="shared" si="120"/>
        <v>0</v>
      </c>
      <c r="K333" s="275">
        <f>'人员人工-研发人员工资'!K333</f>
        <v>0</v>
      </c>
      <c r="L333" s="274">
        <f t="shared" si="121"/>
        <v>0</v>
      </c>
      <c r="M333" s="273">
        <f>'人员人工-研发人员工资'!M333</f>
        <v>0</v>
      </c>
      <c r="N333" s="274">
        <f t="shared" si="122"/>
        <v>0</v>
      </c>
      <c r="O333" s="273">
        <f>'人员人工-研发人员工资'!O333</f>
        <v>0</v>
      </c>
      <c r="P333" s="274">
        <f t="shared" si="123"/>
        <v>0</v>
      </c>
      <c r="Q333" s="273">
        <f>'人员人工-研发人员工资'!Q333</f>
        <v>0</v>
      </c>
      <c r="R333" s="274">
        <f t="shared" si="124"/>
        <v>0</v>
      </c>
      <c r="S333" s="273">
        <f>'人员人工-研发人员工资'!S333</f>
        <v>0</v>
      </c>
      <c r="T333" s="274">
        <f t="shared" si="125"/>
        <v>0</v>
      </c>
      <c r="U333" s="273">
        <f>'人员人工-研发人员工资'!U333</f>
        <v>0</v>
      </c>
      <c r="V333" s="274">
        <f t="shared" si="126"/>
        <v>0</v>
      </c>
      <c r="W333" s="273">
        <f>'人员人工-研发人员工资'!W333</f>
        <v>0</v>
      </c>
      <c r="X333" s="274">
        <f t="shared" si="127"/>
        <v>0</v>
      </c>
      <c r="Y333" s="273">
        <f>'人员人工-研发人员工资'!Y333</f>
        <v>0</v>
      </c>
      <c r="Z333" s="274">
        <f t="shared" si="128"/>
        <v>0</v>
      </c>
    </row>
    <row r="334" s="251" customFormat="1" customHeight="1" spans="1:26">
      <c r="A334" s="270">
        <v>27</v>
      </c>
      <c r="B334" s="271">
        <f>'人员人工-研发人员工资'!B334</f>
        <v>0</v>
      </c>
      <c r="C334" s="274"/>
      <c r="D334" s="272">
        <f>'人员人工-研发人员工资'!D334</f>
        <v>0</v>
      </c>
      <c r="E334" s="272">
        <f t="shared" si="117"/>
        <v>0</v>
      </c>
      <c r="F334" s="272">
        <f t="shared" si="118"/>
        <v>0</v>
      </c>
      <c r="G334" s="273">
        <f>'人员人工-研发人员工资'!G334</f>
        <v>0</v>
      </c>
      <c r="H334" s="274">
        <f t="shared" si="119"/>
        <v>0</v>
      </c>
      <c r="I334" s="273">
        <f>'人员人工-研发人员工资'!I334</f>
        <v>0</v>
      </c>
      <c r="J334" s="274">
        <f t="shared" si="120"/>
        <v>0</v>
      </c>
      <c r="K334" s="275">
        <f>'人员人工-研发人员工资'!K334</f>
        <v>0</v>
      </c>
      <c r="L334" s="274">
        <f t="shared" si="121"/>
        <v>0</v>
      </c>
      <c r="M334" s="273">
        <f>'人员人工-研发人员工资'!M334</f>
        <v>0</v>
      </c>
      <c r="N334" s="274">
        <f t="shared" si="122"/>
        <v>0</v>
      </c>
      <c r="O334" s="273">
        <f>'人员人工-研发人员工资'!O334</f>
        <v>0</v>
      </c>
      <c r="P334" s="274">
        <f t="shared" si="123"/>
        <v>0</v>
      </c>
      <c r="Q334" s="273">
        <f>'人员人工-研发人员工资'!Q334</f>
        <v>0</v>
      </c>
      <c r="R334" s="274">
        <f t="shared" si="124"/>
        <v>0</v>
      </c>
      <c r="S334" s="273">
        <f>'人员人工-研发人员工资'!S334</f>
        <v>0</v>
      </c>
      <c r="T334" s="274">
        <f t="shared" si="125"/>
        <v>0</v>
      </c>
      <c r="U334" s="273">
        <f>'人员人工-研发人员工资'!U334</f>
        <v>0</v>
      </c>
      <c r="V334" s="274">
        <f t="shared" si="126"/>
        <v>0</v>
      </c>
      <c r="W334" s="273">
        <f>'人员人工-研发人员工资'!W334</f>
        <v>0</v>
      </c>
      <c r="X334" s="274">
        <f t="shared" si="127"/>
        <v>0</v>
      </c>
      <c r="Y334" s="273">
        <f>'人员人工-研发人员工资'!Y334</f>
        <v>0</v>
      </c>
      <c r="Z334" s="274">
        <f t="shared" si="128"/>
        <v>0</v>
      </c>
    </row>
    <row r="335" s="251" customFormat="1" customHeight="1" spans="1:26">
      <c r="A335" s="270">
        <v>28</v>
      </c>
      <c r="B335" s="271">
        <f>'人员人工-研发人员工资'!B335</f>
        <v>0</v>
      </c>
      <c r="C335" s="274"/>
      <c r="D335" s="272">
        <f>'人员人工-研发人员工资'!D335</f>
        <v>0</v>
      </c>
      <c r="E335" s="272">
        <f t="shared" si="117"/>
        <v>0</v>
      </c>
      <c r="F335" s="272">
        <f t="shared" si="118"/>
        <v>0</v>
      </c>
      <c r="G335" s="273">
        <f>'人员人工-研发人员工资'!G335</f>
        <v>0</v>
      </c>
      <c r="H335" s="274">
        <f t="shared" si="119"/>
        <v>0</v>
      </c>
      <c r="I335" s="273">
        <f>'人员人工-研发人员工资'!I335</f>
        <v>0</v>
      </c>
      <c r="J335" s="274">
        <f t="shared" si="120"/>
        <v>0</v>
      </c>
      <c r="K335" s="275">
        <f>'人员人工-研发人员工资'!K335</f>
        <v>0</v>
      </c>
      <c r="L335" s="274">
        <f t="shared" si="121"/>
        <v>0</v>
      </c>
      <c r="M335" s="273">
        <f>'人员人工-研发人员工资'!M335</f>
        <v>0</v>
      </c>
      <c r="N335" s="274">
        <f t="shared" si="122"/>
        <v>0</v>
      </c>
      <c r="O335" s="273">
        <f>'人员人工-研发人员工资'!O335</f>
        <v>0</v>
      </c>
      <c r="P335" s="274">
        <f t="shared" si="123"/>
        <v>0</v>
      </c>
      <c r="Q335" s="273">
        <f>'人员人工-研发人员工资'!Q335</f>
        <v>0</v>
      </c>
      <c r="R335" s="274">
        <f t="shared" si="124"/>
        <v>0</v>
      </c>
      <c r="S335" s="273">
        <f>'人员人工-研发人员工资'!S335</f>
        <v>0</v>
      </c>
      <c r="T335" s="274">
        <f t="shared" si="125"/>
        <v>0</v>
      </c>
      <c r="U335" s="273">
        <f>'人员人工-研发人员工资'!U335</f>
        <v>0</v>
      </c>
      <c r="V335" s="274">
        <f t="shared" si="126"/>
        <v>0</v>
      </c>
      <c r="W335" s="273">
        <f>'人员人工-研发人员工资'!W335</f>
        <v>0</v>
      </c>
      <c r="X335" s="274">
        <f t="shared" si="127"/>
        <v>0</v>
      </c>
      <c r="Y335" s="273">
        <f>'人员人工-研发人员工资'!Y335</f>
        <v>0</v>
      </c>
      <c r="Z335" s="274">
        <f t="shared" si="128"/>
        <v>0</v>
      </c>
    </row>
    <row r="336" s="251" customFormat="1" customHeight="1" spans="1:26">
      <c r="A336" s="270">
        <v>29</v>
      </c>
      <c r="B336" s="271">
        <f>'人员人工-研发人员工资'!B336</f>
        <v>0</v>
      </c>
      <c r="C336" s="274"/>
      <c r="D336" s="272">
        <f>'人员人工-研发人员工资'!D336</f>
        <v>0</v>
      </c>
      <c r="E336" s="272">
        <f t="shared" si="117"/>
        <v>0</v>
      </c>
      <c r="F336" s="272">
        <f t="shared" si="118"/>
        <v>0</v>
      </c>
      <c r="G336" s="273">
        <f>'人员人工-研发人员工资'!G336</f>
        <v>0</v>
      </c>
      <c r="H336" s="274">
        <f t="shared" si="119"/>
        <v>0</v>
      </c>
      <c r="I336" s="273">
        <f>'人员人工-研发人员工资'!I336</f>
        <v>0</v>
      </c>
      <c r="J336" s="274">
        <f t="shared" si="120"/>
        <v>0</v>
      </c>
      <c r="K336" s="275">
        <f>'人员人工-研发人员工资'!K336</f>
        <v>0</v>
      </c>
      <c r="L336" s="274">
        <f t="shared" si="121"/>
        <v>0</v>
      </c>
      <c r="M336" s="273">
        <f>'人员人工-研发人员工资'!M336</f>
        <v>0</v>
      </c>
      <c r="N336" s="274">
        <f t="shared" si="122"/>
        <v>0</v>
      </c>
      <c r="O336" s="273">
        <f>'人员人工-研发人员工资'!O336</f>
        <v>0</v>
      </c>
      <c r="P336" s="274">
        <f t="shared" si="123"/>
        <v>0</v>
      </c>
      <c r="Q336" s="273">
        <f>'人员人工-研发人员工资'!Q336</f>
        <v>0</v>
      </c>
      <c r="R336" s="274">
        <f t="shared" si="124"/>
        <v>0</v>
      </c>
      <c r="S336" s="273">
        <f>'人员人工-研发人员工资'!S336</f>
        <v>0</v>
      </c>
      <c r="T336" s="274">
        <f t="shared" si="125"/>
        <v>0</v>
      </c>
      <c r="U336" s="273">
        <f>'人员人工-研发人员工资'!U336</f>
        <v>0</v>
      </c>
      <c r="V336" s="274">
        <f t="shared" si="126"/>
        <v>0</v>
      </c>
      <c r="W336" s="273">
        <f>'人员人工-研发人员工资'!W336</f>
        <v>0</v>
      </c>
      <c r="X336" s="274">
        <f t="shared" si="127"/>
        <v>0</v>
      </c>
      <c r="Y336" s="273">
        <f>'人员人工-研发人员工资'!Y336</f>
        <v>0</v>
      </c>
      <c r="Z336" s="274">
        <f t="shared" si="128"/>
        <v>0</v>
      </c>
    </row>
    <row r="337" s="251" customFormat="1" customHeight="1" spans="1:26">
      <c r="A337" s="270">
        <v>30</v>
      </c>
      <c r="B337" s="271">
        <f>'人员人工-研发人员工资'!B337</f>
        <v>0</v>
      </c>
      <c r="C337" s="274"/>
      <c r="D337" s="272">
        <f>'人员人工-研发人员工资'!D337</f>
        <v>0</v>
      </c>
      <c r="E337" s="272">
        <f t="shared" si="117"/>
        <v>0</v>
      </c>
      <c r="F337" s="272">
        <f t="shared" si="118"/>
        <v>0</v>
      </c>
      <c r="G337" s="273">
        <f>'人员人工-研发人员工资'!G337</f>
        <v>0</v>
      </c>
      <c r="H337" s="274">
        <f t="shared" si="119"/>
        <v>0</v>
      </c>
      <c r="I337" s="273">
        <f>'人员人工-研发人员工资'!I337</f>
        <v>0</v>
      </c>
      <c r="J337" s="274">
        <f t="shared" si="120"/>
        <v>0</v>
      </c>
      <c r="K337" s="275">
        <f>'人员人工-研发人员工资'!K337</f>
        <v>0</v>
      </c>
      <c r="L337" s="274">
        <f t="shared" si="121"/>
        <v>0</v>
      </c>
      <c r="M337" s="273">
        <f>'人员人工-研发人员工资'!M337</f>
        <v>0</v>
      </c>
      <c r="N337" s="274">
        <f t="shared" si="122"/>
        <v>0</v>
      </c>
      <c r="O337" s="273">
        <f>'人员人工-研发人员工资'!O337</f>
        <v>0</v>
      </c>
      <c r="P337" s="274">
        <f t="shared" si="123"/>
        <v>0</v>
      </c>
      <c r="Q337" s="273">
        <f>'人员人工-研发人员工资'!Q337</f>
        <v>0</v>
      </c>
      <c r="R337" s="274">
        <f t="shared" si="124"/>
        <v>0</v>
      </c>
      <c r="S337" s="273">
        <f>'人员人工-研发人员工资'!S337</f>
        <v>0</v>
      </c>
      <c r="T337" s="274">
        <f t="shared" si="125"/>
        <v>0</v>
      </c>
      <c r="U337" s="273">
        <f>'人员人工-研发人员工资'!U337</f>
        <v>0</v>
      </c>
      <c r="V337" s="274">
        <f t="shared" si="126"/>
        <v>0</v>
      </c>
      <c r="W337" s="273">
        <f>'人员人工-研发人员工资'!W337</f>
        <v>0</v>
      </c>
      <c r="X337" s="274">
        <f t="shared" si="127"/>
        <v>0</v>
      </c>
      <c r="Y337" s="273">
        <f>'人员人工-研发人员工资'!Y337</f>
        <v>0</v>
      </c>
      <c r="Z337" s="274">
        <f t="shared" si="128"/>
        <v>0</v>
      </c>
    </row>
    <row r="338" s="251" customFormat="1" customHeight="1" spans="1:26">
      <c r="A338" s="276" t="s">
        <v>22</v>
      </c>
      <c r="B338" s="277"/>
      <c r="C338" s="261">
        <f t="shared" ref="C338:Z338" si="129">SUM(C308:C337)</f>
        <v>0</v>
      </c>
      <c r="D338" s="261">
        <f t="shared" si="129"/>
        <v>0</v>
      </c>
      <c r="E338" s="261">
        <f t="shared" si="129"/>
        <v>0</v>
      </c>
      <c r="F338" s="272">
        <f t="shared" si="129"/>
        <v>0</v>
      </c>
      <c r="G338" s="261">
        <f t="shared" si="129"/>
        <v>0</v>
      </c>
      <c r="H338" s="261">
        <f t="shared" si="129"/>
        <v>0</v>
      </c>
      <c r="I338" s="261">
        <f t="shared" si="129"/>
        <v>0</v>
      </c>
      <c r="J338" s="261">
        <f t="shared" si="129"/>
        <v>0</v>
      </c>
      <c r="K338" s="261">
        <f t="shared" si="129"/>
        <v>0</v>
      </c>
      <c r="L338" s="261">
        <f t="shared" si="129"/>
        <v>0</v>
      </c>
      <c r="M338" s="261">
        <f t="shared" si="129"/>
        <v>0</v>
      </c>
      <c r="N338" s="261">
        <f t="shared" si="129"/>
        <v>0</v>
      </c>
      <c r="O338" s="261">
        <f t="shared" si="129"/>
        <v>0</v>
      </c>
      <c r="P338" s="261">
        <f t="shared" si="129"/>
        <v>0</v>
      </c>
      <c r="Q338" s="261">
        <f t="shared" si="129"/>
        <v>0</v>
      </c>
      <c r="R338" s="261">
        <f t="shared" si="129"/>
        <v>0</v>
      </c>
      <c r="S338" s="261">
        <f t="shared" si="129"/>
        <v>0</v>
      </c>
      <c r="T338" s="261">
        <f t="shared" si="129"/>
        <v>0</v>
      </c>
      <c r="U338" s="261">
        <f t="shared" si="129"/>
        <v>0</v>
      </c>
      <c r="V338" s="261">
        <f t="shared" si="129"/>
        <v>0</v>
      </c>
      <c r="W338" s="261">
        <f t="shared" si="129"/>
        <v>0</v>
      </c>
      <c r="X338" s="261">
        <f t="shared" si="129"/>
        <v>0</v>
      </c>
      <c r="Y338" s="261">
        <f t="shared" si="129"/>
        <v>0</v>
      </c>
      <c r="Z338" s="261">
        <f t="shared" si="129"/>
        <v>0</v>
      </c>
    </row>
    <row r="339" s="251" customFormat="1" customHeight="1" spans="1:26">
      <c r="A339" s="252"/>
      <c r="B339" s="253"/>
      <c r="C339" s="254"/>
      <c r="D339" s="254"/>
      <c r="E339" s="255"/>
      <c r="F339" s="255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</row>
    <row r="340" s="251" customFormat="1" customHeight="1" spans="1:26">
      <c r="A340" s="252"/>
      <c r="B340" s="253"/>
      <c r="C340" s="254"/>
      <c r="D340" s="254"/>
      <c r="E340" s="255"/>
      <c r="F340" s="255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</row>
    <row r="341" s="251" customFormat="1" customHeight="1" spans="1:26">
      <c r="A341" s="252"/>
      <c r="B341" s="257" t="s">
        <v>168</v>
      </c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  <c r="Z341" s="258"/>
    </row>
    <row r="342" s="251" customFormat="1" customHeight="1" spans="1:26">
      <c r="A342" s="252"/>
      <c r="B342" s="253"/>
      <c r="C342" s="254"/>
      <c r="D342" s="254"/>
      <c r="E342" s="255"/>
      <c r="F342" s="255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</row>
    <row r="343" s="251" customFormat="1" customHeight="1" spans="1:26">
      <c r="A343" s="259" t="s">
        <v>31</v>
      </c>
      <c r="B343" s="260" t="s">
        <v>32</v>
      </c>
      <c r="C343" s="261" t="s">
        <v>157</v>
      </c>
      <c r="D343" s="261" t="s">
        <v>34</v>
      </c>
      <c r="E343" s="262" t="s">
        <v>35</v>
      </c>
      <c r="F343" s="262" t="s">
        <v>158</v>
      </c>
      <c r="G343" s="263" t="str">
        <f>立项!$A$3</f>
        <v>RD01</v>
      </c>
      <c r="H343" s="264"/>
      <c r="I343" s="264" t="str">
        <f>立项!$A$4</f>
        <v>RD02</v>
      </c>
      <c r="J343" s="264"/>
      <c r="K343" s="264" t="str">
        <f>立项!$A$5</f>
        <v>RD03</v>
      </c>
      <c r="L343" s="264"/>
      <c r="M343" s="264" t="str">
        <f>立项!$A$6</f>
        <v>RD04</v>
      </c>
      <c r="N343" s="264"/>
      <c r="O343" s="264" t="str">
        <f>立项!$A$7</f>
        <v>RD05</v>
      </c>
      <c r="P343" s="264"/>
      <c r="Q343" s="264" t="str">
        <f>立项!$A$8</f>
        <v>RD06</v>
      </c>
      <c r="R343" s="264"/>
      <c r="S343" s="264" t="str">
        <f>立项!$A$9</f>
        <v>RD07</v>
      </c>
      <c r="T343" s="264"/>
      <c r="U343" s="264" t="str">
        <f>立项!$A$10</f>
        <v>RD08</v>
      </c>
      <c r="V343" s="264"/>
      <c r="W343" s="264" t="str">
        <f>立项!$A$11</f>
        <v>RD09</v>
      </c>
      <c r="X343" s="264"/>
      <c r="Y343" s="264" t="str">
        <f>立项!$A$12</f>
        <v>RD10</v>
      </c>
      <c r="Z343" s="264"/>
    </row>
    <row r="344" s="251" customFormat="1" customHeight="1" spans="1:26">
      <c r="A344" s="265"/>
      <c r="B344" s="260"/>
      <c r="C344" s="261"/>
      <c r="D344" s="261"/>
      <c r="E344" s="262"/>
      <c r="F344" s="262"/>
      <c r="G344" s="267">
        <f>立项!C3</f>
        <v>0</v>
      </c>
      <c r="H344" s="263"/>
      <c r="I344" s="267">
        <f>立项!C4</f>
        <v>0</v>
      </c>
      <c r="J344" s="263"/>
      <c r="K344" s="267">
        <f>立项!C5</f>
        <v>0</v>
      </c>
      <c r="L344" s="263"/>
      <c r="M344" s="267">
        <f>立项!C6</f>
        <v>0</v>
      </c>
      <c r="N344" s="263"/>
      <c r="O344" s="267">
        <f>立项!C7</f>
        <v>0</v>
      </c>
      <c r="P344" s="263"/>
      <c r="Q344" s="267">
        <f>立项!C8</f>
        <v>0</v>
      </c>
      <c r="R344" s="263"/>
      <c r="S344" s="267">
        <f>立项!C9</f>
        <v>0</v>
      </c>
      <c r="T344" s="263"/>
      <c r="U344" s="267">
        <f>立项!C10</f>
        <v>0</v>
      </c>
      <c r="V344" s="263"/>
      <c r="W344" s="267">
        <f>立项!C11</f>
        <v>0</v>
      </c>
      <c r="X344" s="263"/>
      <c r="Y344" s="264">
        <f>立项!C12</f>
        <v>0</v>
      </c>
      <c r="Z344" s="264"/>
    </row>
    <row r="345" s="251" customFormat="1" customHeight="1" spans="1:26">
      <c r="A345" s="268"/>
      <c r="B345" s="260"/>
      <c r="C345" s="261"/>
      <c r="D345" s="261"/>
      <c r="E345" s="262"/>
      <c r="F345" s="262"/>
      <c r="G345" s="264" t="s">
        <v>39</v>
      </c>
      <c r="H345" s="269" t="s">
        <v>159</v>
      </c>
      <c r="I345" s="264" t="s">
        <v>39</v>
      </c>
      <c r="J345" s="269" t="s">
        <v>159</v>
      </c>
      <c r="K345" s="264" t="s">
        <v>39</v>
      </c>
      <c r="L345" s="269" t="s">
        <v>159</v>
      </c>
      <c r="M345" s="264" t="s">
        <v>39</v>
      </c>
      <c r="N345" s="269" t="s">
        <v>159</v>
      </c>
      <c r="O345" s="264" t="s">
        <v>39</v>
      </c>
      <c r="P345" s="269" t="s">
        <v>159</v>
      </c>
      <c r="Q345" s="264" t="s">
        <v>39</v>
      </c>
      <c r="R345" s="269" t="s">
        <v>159</v>
      </c>
      <c r="S345" s="264" t="s">
        <v>39</v>
      </c>
      <c r="T345" s="269" t="s">
        <v>159</v>
      </c>
      <c r="U345" s="264" t="s">
        <v>39</v>
      </c>
      <c r="V345" s="269" t="s">
        <v>159</v>
      </c>
      <c r="W345" s="264" t="s">
        <v>39</v>
      </c>
      <c r="X345" s="269" t="s">
        <v>159</v>
      </c>
      <c r="Y345" s="264" t="s">
        <v>39</v>
      </c>
      <c r="Z345" s="269" t="s">
        <v>159</v>
      </c>
    </row>
    <row r="346" s="251" customFormat="1" customHeight="1" spans="1:26">
      <c r="A346" s="270">
        <v>1</v>
      </c>
      <c r="B346" s="271">
        <f>'人员人工-研发人员工资'!B346</f>
        <v>0</v>
      </c>
      <c r="C346" s="272"/>
      <c r="D346" s="272">
        <f>'人员人工-研发人员工资'!D346</f>
        <v>0</v>
      </c>
      <c r="E346" s="272">
        <f t="shared" ref="E346:E375" si="130">G346+I346+K346+M346+O346+Q346+S346+U346+W346+Y346</f>
        <v>0</v>
      </c>
      <c r="F346" s="272">
        <f t="shared" ref="F346:F375" si="131">H346+J346+L346+N346+P346+R346+T346+V346+X346+Z346</f>
        <v>0</v>
      </c>
      <c r="G346" s="273">
        <f>'人员人工-研发人员工资'!G346</f>
        <v>0</v>
      </c>
      <c r="H346" s="274">
        <f t="shared" ref="H346:H375" si="132">IF($D346=0,0,ROUND(G346/$D346*$C346,2))</f>
        <v>0</v>
      </c>
      <c r="I346" s="273">
        <f>'人员人工-研发人员工资'!I346</f>
        <v>0</v>
      </c>
      <c r="J346" s="274">
        <f t="shared" ref="J346:J375" si="133">IF($D346=0,0,ROUND(I346/$D346*$C346,2))</f>
        <v>0</v>
      </c>
      <c r="K346" s="275">
        <f>'人员人工-研发人员工资'!K346</f>
        <v>0</v>
      </c>
      <c r="L346" s="274">
        <f t="shared" ref="L346:L375" si="134">IF($D346=0,0,ROUND(K346/$D346*$C346,2))</f>
        <v>0</v>
      </c>
      <c r="M346" s="273">
        <f>'人员人工-研发人员工资'!M346</f>
        <v>0</v>
      </c>
      <c r="N346" s="274">
        <f t="shared" ref="N346:N375" si="135">IF($D346=0,0,ROUND(M346/$D346*$C346,2))</f>
        <v>0</v>
      </c>
      <c r="O346" s="273">
        <f>'人员人工-研发人员工资'!O346</f>
        <v>0</v>
      </c>
      <c r="P346" s="274">
        <f t="shared" ref="P346:P375" si="136">IF($D346=0,0,ROUND(O346/$D346*$C346,2))</f>
        <v>0</v>
      </c>
      <c r="Q346" s="273">
        <f>'人员人工-研发人员工资'!Q346</f>
        <v>0</v>
      </c>
      <c r="R346" s="274">
        <f t="shared" ref="R346:R375" si="137">IF($D346=0,0,ROUND(Q346/$D346*$C346,2))</f>
        <v>0</v>
      </c>
      <c r="S346" s="273">
        <f>'人员人工-研发人员工资'!S346</f>
        <v>0</v>
      </c>
      <c r="T346" s="274">
        <f t="shared" ref="T346:T375" si="138">IF($D346=0,0,ROUND(S346/$D346*$C346,2))</f>
        <v>0</v>
      </c>
      <c r="U346" s="273">
        <f>'人员人工-研发人员工资'!U346</f>
        <v>0</v>
      </c>
      <c r="V346" s="274">
        <f t="shared" ref="V346:V375" si="139">IF($D346=0,0,ROUND(U346/$D346*$C346,2))</f>
        <v>0</v>
      </c>
      <c r="W346" s="273">
        <f>'人员人工-研发人员工资'!W346</f>
        <v>0</v>
      </c>
      <c r="X346" s="274">
        <f t="shared" ref="X346:X375" si="140">IF($D346=0,0,ROUND(W346/$D346*$C346,2))</f>
        <v>0</v>
      </c>
      <c r="Y346" s="273">
        <f>'人员人工-研发人员工资'!Y346</f>
        <v>0</v>
      </c>
      <c r="Z346" s="274">
        <f t="shared" ref="Z346:Z375" si="141">IF($D346=0,0,ROUND(Y346/$D346*$C346,2))</f>
        <v>0</v>
      </c>
    </row>
    <row r="347" s="251" customFormat="1" customHeight="1" spans="1:26">
      <c r="A347" s="270">
        <v>2</v>
      </c>
      <c r="B347" s="271">
        <f>'人员人工-研发人员工资'!B347</f>
        <v>0</v>
      </c>
      <c r="C347" s="272"/>
      <c r="D347" s="272">
        <f>'人员人工-研发人员工资'!D347</f>
        <v>0</v>
      </c>
      <c r="E347" s="272">
        <f t="shared" si="130"/>
        <v>0</v>
      </c>
      <c r="F347" s="272">
        <f t="shared" si="131"/>
        <v>0</v>
      </c>
      <c r="G347" s="273">
        <f>'人员人工-研发人员工资'!G347</f>
        <v>0</v>
      </c>
      <c r="H347" s="274">
        <f t="shared" si="132"/>
        <v>0</v>
      </c>
      <c r="I347" s="273">
        <f>'人员人工-研发人员工资'!I347</f>
        <v>0</v>
      </c>
      <c r="J347" s="274">
        <f t="shared" si="133"/>
        <v>0</v>
      </c>
      <c r="K347" s="275">
        <f>'人员人工-研发人员工资'!K347</f>
        <v>0</v>
      </c>
      <c r="L347" s="274">
        <f t="shared" si="134"/>
        <v>0</v>
      </c>
      <c r="M347" s="273">
        <f>'人员人工-研发人员工资'!M347</f>
        <v>0</v>
      </c>
      <c r="N347" s="274">
        <f t="shared" si="135"/>
        <v>0</v>
      </c>
      <c r="O347" s="273">
        <f>'人员人工-研发人员工资'!O347</f>
        <v>0</v>
      </c>
      <c r="P347" s="274">
        <f t="shared" si="136"/>
        <v>0</v>
      </c>
      <c r="Q347" s="273">
        <f>'人员人工-研发人员工资'!Q347</f>
        <v>0</v>
      </c>
      <c r="R347" s="274">
        <f t="shared" si="137"/>
        <v>0</v>
      </c>
      <c r="S347" s="273">
        <f>'人员人工-研发人员工资'!S347</f>
        <v>0</v>
      </c>
      <c r="T347" s="274">
        <f t="shared" si="138"/>
        <v>0</v>
      </c>
      <c r="U347" s="273">
        <f>'人员人工-研发人员工资'!U347</f>
        <v>0</v>
      </c>
      <c r="V347" s="274">
        <f t="shared" si="139"/>
        <v>0</v>
      </c>
      <c r="W347" s="273">
        <f>'人员人工-研发人员工资'!W347</f>
        <v>0</v>
      </c>
      <c r="X347" s="274">
        <f t="shared" si="140"/>
        <v>0</v>
      </c>
      <c r="Y347" s="273">
        <f>'人员人工-研发人员工资'!Y347</f>
        <v>0</v>
      </c>
      <c r="Z347" s="274">
        <f t="shared" si="141"/>
        <v>0</v>
      </c>
    </row>
    <row r="348" s="251" customFormat="1" customHeight="1" spans="1:26">
      <c r="A348" s="270">
        <v>3</v>
      </c>
      <c r="B348" s="271">
        <f>'人员人工-研发人员工资'!B348</f>
        <v>0</v>
      </c>
      <c r="C348" s="272"/>
      <c r="D348" s="272">
        <f>'人员人工-研发人员工资'!D348</f>
        <v>0</v>
      </c>
      <c r="E348" s="272">
        <f t="shared" si="130"/>
        <v>0</v>
      </c>
      <c r="F348" s="272">
        <f t="shared" si="131"/>
        <v>0</v>
      </c>
      <c r="G348" s="273">
        <f>'人员人工-研发人员工资'!G348</f>
        <v>0</v>
      </c>
      <c r="H348" s="274">
        <f t="shared" si="132"/>
        <v>0</v>
      </c>
      <c r="I348" s="273">
        <f>'人员人工-研发人员工资'!I348</f>
        <v>0</v>
      </c>
      <c r="J348" s="274">
        <f t="shared" si="133"/>
        <v>0</v>
      </c>
      <c r="K348" s="275">
        <f>'人员人工-研发人员工资'!K348</f>
        <v>0</v>
      </c>
      <c r="L348" s="274">
        <f t="shared" si="134"/>
        <v>0</v>
      </c>
      <c r="M348" s="273">
        <f>'人员人工-研发人员工资'!M348</f>
        <v>0</v>
      </c>
      <c r="N348" s="274">
        <f t="shared" si="135"/>
        <v>0</v>
      </c>
      <c r="O348" s="273">
        <f>'人员人工-研发人员工资'!O348</f>
        <v>0</v>
      </c>
      <c r="P348" s="274">
        <f t="shared" si="136"/>
        <v>0</v>
      </c>
      <c r="Q348" s="273">
        <f>'人员人工-研发人员工资'!Q348</f>
        <v>0</v>
      </c>
      <c r="R348" s="274">
        <f t="shared" si="137"/>
        <v>0</v>
      </c>
      <c r="S348" s="273">
        <f>'人员人工-研发人员工资'!S348</f>
        <v>0</v>
      </c>
      <c r="T348" s="274">
        <f t="shared" si="138"/>
        <v>0</v>
      </c>
      <c r="U348" s="273">
        <f>'人员人工-研发人员工资'!U348</f>
        <v>0</v>
      </c>
      <c r="V348" s="274">
        <f t="shared" si="139"/>
        <v>0</v>
      </c>
      <c r="W348" s="273">
        <f>'人员人工-研发人员工资'!W348</f>
        <v>0</v>
      </c>
      <c r="X348" s="274">
        <f t="shared" si="140"/>
        <v>0</v>
      </c>
      <c r="Y348" s="273">
        <f>'人员人工-研发人员工资'!Y348</f>
        <v>0</v>
      </c>
      <c r="Z348" s="274">
        <f t="shared" si="141"/>
        <v>0</v>
      </c>
    </row>
    <row r="349" s="251" customFormat="1" customHeight="1" spans="1:26">
      <c r="A349" s="270">
        <v>4</v>
      </c>
      <c r="B349" s="271">
        <f>'人员人工-研发人员工资'!B349</f>
        <v>0</v>
      </c>
      <c r="C349" s="272"/>
      <c r="D349" s="272">
        <f>'人员人工-研发人员工资'!D349</f>
        <v>0</v>
      </c>
      <c r="E349" s="272">
        <f t="shared" si="130"/>
        <v>0</v>
      </c>
      <c r="F349" s="272">
        <f t="shared" si="131"/>
        <v>0</v>
      </c>
      <c r="G349" s="273">
        <f>'人员人工-研发人员工资'!G349</f>
        <v>0</v>
      </c>
      <c r="H349" s="274">
        <f t="shared" si="132"/>
        <v>0</v>
      </c>
      <c r="I349" s="273">
        <f>'人员人工-研发人员工资'!I349</f>
        <v>0</v>
      </c>
      <c r="J349" s="274">
        <f t="shared" si="133"/>
        <v>0</v>
      </c>
      <c r="K349" s="275">
        <f>'人员人工-研发人员工资'!K349</f>
        <v>0</v>
      </c>
      <c r="L349" s="274">
        <f t="shared" si="134"/>
        <v>0</v>
      </c>
      <c r="M349" s="273">
        <f>'人员人工-研发人员工资'!M349</f>
        <v>0</v>
      </c>
      <c r="N349" s="274">
        <f t="shared" si="135"/>
        <v>0</v>
      </c>
      <c r="O349" s="273">
        <f>'人员人工-研发人员工资'!O349</f>
        <v>0</v>
      </c>
      <c r="P349" s="274">
        <f t="shared" si="136"/>
        <v>0</v>
      </c>
      <c r="Q349" s="273">
        <f>'人员人工-研发人员工资'!Q349</f>
        <v>0</v>
      </c>
      <c r="R349" s="274">
        <f t="shared" si="137"/>
        <v>0</v>
      </c>
      <c r="S349" s="273">
        <f>'人员人工-研发人员工资'!S349</f>
        <v>0</v>
      </c>
      <c r="T349" s="274">
        <f t="shared" si="138"/>
        <v>0</v>
      </c>
      <c r="U349" s="273">
        <f>'人员人工-研发人员工资'!U349</f>
        <v>0</v>
      </c>
      <c r="V349" s="274">
        <f t="shared" si="139"/>
        <v>0</v>
      </c>
      <c r="W349" s="273">
        <f>'人员人工-研发人员工资'!W349</f>
        <v>0</v>
      </c>
      <c r="X349" s="274">
        <f t="shared" si="140"/>
        <v>0</v>
      </c>
      <c r="Y349" s="273">
        <f>'人员人工-研发人员工资'!Y349</f>
        <v>0</v>
      </c>
      <c r="Z349" s="274">
        <f t="shared" si="141"/>
        <v>0</v>
      </c>
    </row>
    <row r="350" s="251" customFormat="1" customHeight="1" spans="1:26">
      <c r="A350" s="270">
        <v>5</v>
      </c>
      <c r="B350" s="271">
        <f>'人员人工-研发人员工资'!B350</f>
        <v>0</v>
      </c>
      <c r="C350" s="272"/>
      <c r="D350" s="272">
        <f>'人员人工-研发人员工资'!D350</f>
        <v>0</v>
      </c>
      <c r="E350" s="272">
        <f t="shared" si="130"/>
        <v>0</v>
      </c>
      <c r="F350" s="272">
        <f t="shared" si="131"/>
        <v>0</v>
      </c>
      <c r="G350" s="273">
        <f>'人员人工-研发人员工资'!G350</f>
        <v>0</v>
      </c>
      <c r="H350" s="274">
        <f t="shared" si="132"/>
        <v>0</v>
      </c>
      <c r="I350" s="273">
        <f>'人员人工-研发人员工资'!I350</f>
        <v>0</v>
      </c>
      <c r="J350" s="274">
        <f t="shared" si="133"/>
        <v>0</v>
      </c>
      <c r="K350" s="275">
        <f>'人员人工-研发人员工资'!K350</f>
        <v>0</v>
      </c>
      <c r="L350" s="274">
        <f t="shared" si="134"/>
        <v>0</v>
      </c>
      <c r="M350" s="273">
        <f>'人员人工-研发人员工资'!M350</f>
        <v>0</v>
      </c>
      <c r="N350" s="274">
        <f t="shared" si="135"/>
        <v>0</v>
      </c>
      <c r="O350" s="273">
        <f>'人员人工-研发人员工资'!O350</f>
        <v>0</v>
      </c>
      <c r="P350" s="274">
        <f t="shared" si="136"/>
        <v>0</v>
      </c>
      <c r="Q350" s="273">
        <f>'人员人工-研发人员工资'!Q350</f>
        <v>0</v>
      </c>
      <c r="R350" s="274">
        <f t="shared" si="137"/>
        <v>0</v>
      </c>
      <c r="S350" s="273">
        <f>'人员人工-研发人员工资'!S350</f>
        <v>0</v>
      </c>
      <c r="T350" s="274">
        <f t="shared" si="138"/>
        <v>0</v>
      </c>
      <c r="U350" s="273">
        <f>'人员人工-研发人员工资'!U350</f>
        <v>0</v>
      </c>
      <c r="V350" s="274">
        <f t="shared" si="139"/>
        <v>0</v>
      </c>
      <c r="W350" s="273">
        <f>'人员人工-研发人员工资'!W350</f>
        <v>0</v>
      </c>
      <c r="X350" s="274">
        <f t="shared" si="140"/>
        <v>0</v>
      </c>
      <c r="Y350" s="273">
        <f>'人员人工-研发人员工资'!Y350</f>
        <v>0</v>
      </c>
      <c r="Z350" s="274">
        <f t="shared" si="141"/>
        <v>0</v>
      </c>
    </row>
    <row r="351" s="251" customFormat="1" customHeight="1" spans="1:26">
      <c r="A351" s="270">
        <v>6</v>
      </c>
      <c r="B351" s="271">
        <f>'人员人工-研发人员工资'!B351</f>
        <v>0</v>
      </c>
      <c r="C351" s="274"/>
      <c r="D351" s="272">
        <f>'人员人工-研发人员工资'!D351</f>
        <v>0</v>
      </c>
      <c r="E351" s="272">
        <f t="shared" si="130"/>
        <v>0</v>
      </c>
      <c r="F351" s="272">
        <f t="shared" si="131"/>
        <v>0</v>
      </c>
      <c r="G351" s="273">
        <f>'人员人工-研发人员工资'!G351</f>
        <v>0</v>
      </c>
      <c r="H351" s="274">
        <f t="shared" si="132"/>
        <v>0</v>
      </c>
      <c r="I351" s="273">
        <f>'人员人工-研发人员工资'!I351</f>
        <v>0</v>
      </c>
      <c r="J351" s="274">
        <f t="shared" si="133"/>
        <v>0</v>
      </c>
      <c r="K351" s="275">
        <f>'人员人工-研发人员工资'!K351</f>
        <v>0</v>
      </c>
      <c r="L351" s="274">
        <f t="shared" si="134"/>
        <v>0</v>
      </c>
      <c r="M351" s="273">
        <f>'人员人工-研发人员工资'!M351</f>
        <v>0</v>
      </c>
      <c r="N351" s="274">
        <f t="shared" si="135"/>
        <v>0</v>
      </c>
      <c r="O351" s="273">
        <f>'人员人工-研发人员工资'!O351</f>
        <v>0</v>
      </c>
      <c r="P351" s="274">
        <f t="shared" si="136"/>
        <v>0</v>
      </c>
      <c r="Q351" s="273">
        <f>'人员人工-研发人员工资'!Q351</f>
        <v>0</v>
      </c>
      <c r="R351" s="274">
        <f t="shared" si="137"/>
        <v>0</v>
      </c>
      <c r="S351" s="273">
        <f>'人员人工-研发人员工资'!S351</f>
        <v>0</v>
      </c>
      <c r="T351" s="274">
        <f t="shared" si="138"/>
        <v>0</v>
      </c>
      <c r="U351" s="273">
        <f>'人员人工-研发人员工资'!U351</f>
        <v>0</v>
      </c>
      <c r="V351" s="274">
        <f t="shared" si="139"/>
        <v>0</v>
      </c>
      <c r="W351" s="273">
        <f>'人员人工-研发人员工资'!W351</f>
        <v>0</v>
      </c>
      <c r="X351" s="274">
        <f t="shared" si="140"/>
        <v>0</v>
      </c>
      <c r="Y351" s="273">
        <f>'人员人工-研发人员工资'!Y351</f>
        <v>0</v>
      </c>
      <c r="Z351" s="274">
        <f t="shared" si="141"/>
        <v>0</v>
      </c>
    </row>
    <row r="352" s="251" customFormat="1" customHeight="1" spans="1:26">
      <c r="A352" s="270">
        <v>7</v>
      </c>
      <c r="B352" s="271">
        <f>'人员人工-研发人员工资'!B352</f>
        <v>0</v>
      </c>
      <c r="C352" s="274"/>
      <c r="D352" s="272">
        <f>'人员人工-研发人员工资'!D352</f>
        <v>0</v>
      </c>
      <c r="E352" s="272">
        <f t="shared" si="130"/>
        <v>0</v>
      </c>
      <c r="F352" s="272">
        <f t="shared" si="131"/>
        <v>0</v>
      </c>
      <c r="G352" s="273">
        <f>'人员人工-研发人员工资'!G352</f>
        <v>0</v>
      </c>
      <c r="H352" s="274">
        <f t="shared" si="132"/>
        <v>0</v>
      </c>
      <c r="I352" s="273">
        <f>'人员人工-研发人员工资'!I352</f>
        <v>0</v>
      </c>
      <c r="J352" s="274">
        <f t="shared" si="133"/>
        <v>0</v>
      </c>
      <c r="K352" s="275">
        <f>'人员人工-研发人员工资'!K352</f>
        <v>0</v>
      </c>
      <c r="L352" s="274">
        <f t="shared" si="134"/>
        <v>0</v>
      </c>
      <c r="M352" s="273">
        <f>'人员人工-研发人员工资'!M352</f>
        <v>0</v>
      </c>
      <c r="N352" s="274">
        <f t="shared" si="135"/>
        <v>0</v>
      </c>
      <c r="O352" s="273">
        <f>'人员人工-研发人员工资'!O352</f>
        <v>0</v>
      </c>
      <c r="P352" s="274">
        <f t="shared" si="136"/>
        <v>0</v>
      </c>
      <c r="Q352" s="273">
        <f>'人员人工-研发人员工资'!Q352</f>
        <v>0</v>
      </c>
      <c r="R352" s="274">
        <f t="shared" si="137"/>
        <v>0</v>
      </c>
      <c r="S352" s="273">
        <f>'人员人工-研发人员工资'!S352</f>
        <v>0</v>
      </c>
      <c r="T352" s="274">
        <f t="shared" si="138"/>
        <v>0</v>
      </c>
      <c r="U352" s="273">
        <f>'人员人工-研发人员工资'!U352</f>
        <v>0</v>
      </c>
      <c r="V352" s="274">
        <f t="shared" si="139"/>
        <v>0</v>
      </c>
      <c r="W352" s="273">
        <f>'人员人工-研发人员工资'!W352</f>
        <v>0</v>
      </c>
      <c r="X352" s="274">
        <f t="shared" si="140"/>
        <v>0</v>
      </c>
      <c r="Y352" s="273">
        <f>'人员人工-研发人员工资'!Y352</f>
        <v>0</v>
      </c>
      <c r="Z352" s="274">
        <f t="shared" si="141"/>
        <v>0</v>
      </c>
    </row>
    <row r="353" s="251" customFormat="1" customHeight="1" spans="1:26">
      <c r="A353" s="270">
        <v>8</v>
      </c>
      <c r="B353" s="271">
        <f>'人员人工-研发人员工资'!B353</f>
        <v>0</v>
      </c>
      <c r="C353" s="274"/>
      <c r="D353" s="272">
        <f>'人员人工-研发人员工资'!D353</f>
        <v>0</v>
      </c>
      <c r="E353" s="272">
        <f t="shared" si="130"/>
        <v>0</v>
      </c>
      <c r="F353" s="272">
        <f t="shared" si="131"/>
        <v>0</v>
      </c>
      <c r="G353" s="273">
        <f>'人员人工-研发人员工资'!G353</f>
        <v>0</v>
      </c>
      <c r="H353" s="274">
        <f t="shared" si="132"/>
        <v>0</v>
      </c>
      <c r="I353" s="273">
        <f>'人员人工-研发人员工资'!I353</f>
        <v>0</v>
      </c>
      <c r="J353" s="274">
        <f t="shared" si="133"/>
        <v>0</v>
      </c>
      <c r="K353" s="275">
        <f>'人员人工-研发人员工资'!K353</f>
        <v>0</v>
      </c>
      <c r="L353" s="274">
        <f t="shared" si="134"/>
        <v>0</v>
      </c>
      <c r="M353" s="273">
        <f>'人员人工-研发人员工资'!M353</f>
        <v>0</v>
      </c>
      <c r="N353" s="274">
        <f t="shared" si="135"/>
        <v>0</v>
      </c>
      <c r="O353" s="273">
        <f>'人员人工-研发人员工资'!O353</f>
        <v>0</v>
      </c>
      <c r="P353" s="274">
        <f t="shared" si="136"/>
        <v>0</v>
      </c>
      <c r="Q353" s="273">
        <f>'人员人工-研发人员工资'!Q353</f>
        <v>0</v>
      </c>
      <c r="R353" s="274">
        <f t="shared" si="137"/>
        <v>0</v>
      </c>
      <c r="S353" s="273">
        <f>'人员人工-研发人员工资'!S353</f>
        <v>0</v>
      </c>
      <c r="T353" s="274">
        <f t="shared" si="138"/>
        <v>0</v>
      </c>
      <c r="U353" s="273">
        <f>'人员人工-研发人员工资'!U353</f>
        <v>0</v>
      </c>
      <c r="V353" s="274">
        <f t="shared" si="139"/>
        <v>0</v>
      </c>
      <c r="W353" s="273">
        <f>'人员人工-研发人员工资'!W353</f>
        <v>0</v>
      </c>
      <c r="X353" s="274">
        <f t="shared" si="140"/>
        <v>0</v>
      </c>
      <c r="Y353" s="273">
        <f>'人员人工-研发人员工资'!Y353</f>
        <v>0</v>
      </c>
      <c r="Z353" s="274">
        <f t="shared" si="141"/>
        <v>0</v>
      </c>
    </row>
    <row r="354" s="251" customFormat="1" customHeight="1" spans="1:26">
      <c r="A354" s="270">
        <v>9</v>
      </c>
      <c r="B354" s="271">
        <f>'人员人工-研发人员工资'!B354</f>
        <v>0</v>
      </c>
      <c r="C354" s="274"/>
      <c r="D354" s="272">
        <f>'人员人工-研发人员工资'!D354</f>
        <v>0</v>
      </c>
      <c r="E354" s="272">
        <f t="shared" si="130"/>
        <v>0</v>
      </c>
      <c r="F354" s="272">
        <f t="shared" si="131"/>
        <v>0</v>
      </c>
      <c r="G354" s="273">
        <f>'人员人工-研发人员工资'!G354</f>
        <v>0</v>
      </c>
      <c r="H354" s="274">
        <f t="shared" si="132"/>
        <v>0</v>
      </c>
      <c r="I354" s="273">
        <f>'人员人工-研发人员工资'!I354</f>
        <v>0</v>
      </c>
      <c r="J354" s="274">
        <f t="shared" si="133"/>
        <v>0</v>
      </c>
      <c r="K354" s="275">
        <f>'人员人工-研发人员工资'!K354</f>
        <v>0</v>
      </c>
      <c r="L354" s="274">
        <f t="shared" si="134"/>
        <v>0</v>
      </c>
      <c r="M354" s="273">
        <f>'人员人工-研发人员工资'!M354</f>
        <v>0</v>
      </c>
      <c r="N354" s="274">
        <f t="shared" si="135"/>
        <v>0</v>
      </c>
      <c r="O354" s="273">
        <f>'人员人工-研发人员工资'!O354</f>
        <v>0</v>
      </c>
      <c r="P354" s="274">
        <f t="shared" si="136"/>
        <v>0</v>
      </c>
      <c r="Q354" s="273">
        <f>'人员人工-研发人员工资'!Q354</f>
        <v>0</v>
      </c>
      <c r="R354" s="274">
        <f t="shared" si="137"/>
        <v>0</v>
      </c>
      <c r="S354" s="273">
        <f>'人员人工-研发人员工资'!S354</f>
        <v>0</v>
      </c>
      <c r="T354" s="274">
        <f t="shared" si="138"/>
        <v>0</v>
      </c>
      <c r="U354" s="273">
        <f>'人员人工-研发人员工资'!U354</f>
        <v>0</v>
      </c>
      <c r="V354" s="274">
        <f t="shared" si="139"/>
        <v>0</v>
      </c>
      <c r="W354" s="273">
        <f>'人员人工-研发人员工资'!W354</f>
        <v>0</v>
      </c>
      <c r="X354" s="274">
        <f t="shared" si="140"/>
        <v>0</v>
      </c>
      <c r="Y354" s="273">
        <f>'人员人工-研发人员工资'!Y354</f>
        <v>0</v>
      </c>
      <c r="Z354" s="274">
        <f t="shared" si="141"/>
        <v>0</v>
      </c>
    </row>
    <row r="355" s="251" customFormat="1" customHeight="1" spans="1:26">
      <c r="A355" s="270">
        <v>10</v>
      </c>
      <c r="B355" s="271">
        <f>'人员人工-研发人员工资'!B355</f>
        <v>0</v>
      </c>
      <c r="C355" s="274"/>
      <c r="D355" s="272">
        <f>'人员人工-研发人员工资'!D355</f>
        <v>0</v>
      </c>
      <c r="E355" s="272">
        <f t="shared" si="130"/>
        <v>0</v>
      </c>
      <c r="F355" s="272">
        <f t="shared" si="131"/>
        <v>0</v>
      </c>
      <c r="G355" s="273">
        <f>'人员人工-研发人员工资'!G355</f>
        <v>0</v>
      </c>
      <c r="H355" s="274">
        <f t="shared" si="132"/>
        <v>0</v>
      </c>
      <c r="I355" s="273">
        <f>'人员人工-研发人员工资'!I355</f>
        <v>0</v>
      </c>
      <c r="J355" s="274">
        <f t="shared" si="133"/>
        <v>0</v>
      </c>
      <c r="K355" s="275">
        <f>'人员人工-研发人员工资'!K355</f>
        <v>0</v>
      </c>
      <c r="L355" s="274">
        <f t="shared" si="134"/>
        <v>0</v>
      </c>
      <c r="M355" s="273">
        <f>'人员人工-研发人员工资'!M355</f>
        <v>0</v>
      </c>
      <c r="N355" s="274">
        <f t="shared" si="135"/>
        <v>0</v>
      </c>
      <c r="O355" s="273">
        <f>'人员人工-研发人员工资'!O355</f>
        <v>0</v>
      </c>
      <c r="P355" s="274">
        <f t="shared" si="136"/>
        <v>0</v>
      </c>
      <c r="Q355" s="273">
        <f>'人员人工-研发人员工资'!Q355</f>
        <v>0</v>
      </c>
      <c r="R355" s="274">
        <f t="shared" si="137"/>
        <v>0</v>
      </c>
      <c r="S355" s="273">
        <f>'人员人工-研发人员工资'!S355</f>
        <v>0</v>
      </c>
      <c r="T355" s="274">
        <f t="shared" si="138"/>
        <v>0</v>
      </c>
      <c r="U355" s="273">
        <f>'人员人工-研发人员工资'!U355</f>
        <v>0</v>
      </c>
      <c r="V355" s="274">
        <f t="shared" si="139"/>
        <v>0</v>
      </c>
      <c r="W355" s="273">
        <f>'人员人工-研发人员工资'!W355</f>
        <v>0</v>
      </c>
      <c r="X355" s="274">
        <f t="shared" si="140"/>
        <v>0</v>
      </c>
      <c r="Y355" s="273">
        <f>'人员人工-研发人员工资'!Y355</f>
        <v>0</v>
      </c>
      <c r="Z355" s="274">
        <f t="shared" si="141"/>
        <v>0</v>
      </c>
    </row>
    <row r="356" s="251" customFormat="1" customHeight="1" spans="1:26">
      <c r="A356" s="270">
        <v>11</v>
      </c>
      <c r="B356" s="271">
        <f>'人员人工-研发人员工资'!B356</f>
        <v>0</v>
      </c>
      <c r="C356" s="274"/>
      <c r="D356" s="272">
        <f>'人员人工-研发人员工资'!D356</f>
        <v>0</v>
      </c>
      <c r="E356" s="272">
        <f t="shared" si="130"/>
        <v>0</v>
      </c>
      <c r="F356" s="272">
        <f t="shared" si="131"/>
        <v>0</v>
      </c>
      <c r="G356" s="273">
        <f>'人员人工-研发人员工资'!G356</f>
        <v>0</v>
      </c>
      <c r="H356" s="274">
        <f t="shared" si="132"/>
        <v>0</v>
      </c>
      <c r="I356" s="273">
        <f>'人员人工-研发人员工资'!I356</f>
        <v>0</v>
      </c>
      <c r="J356" s="274">
        <f t="shared" si="133"/>
        <v>0</v>
      </c>
      <c r="K356" s="275">
        <f>'人员人工-研发人员工资'!K356</f>
        <v>0</v>
      </c>
      <c r="L356" s="274">
        <f t="shared" si="134"/>
        <v>0</v>
      </c>
      <c r="M356" s="273">
        <f>'人员人工-研发人员工资'!M356</f>
        <v>0</v>
      </c>
      <c r="N356" s="274">
        <f t="shared" si="135"/>
        <v>0</v>
      </c>
      <c r="O356" s="273">
        <f>'人员人工-研发人员工资'!O356</f>
        <v>0</v>
      </c>
      <c r="P356" s="274">
        <f t="shared" si="136"/>
        <v>0</v>
      </c>
      <c r="Q356" s="273">
        <f>'人员人工-研发人员工资'!Q356</f>
        <v>0</v>
      </c>
      <c r="R356" s="274">
        <f t="shared" si="137"/>
        <v>0</v>
      </c>
      <c r="S356" s="273">
        <f>'人员人工-研发人员工资'!S356</f>
        <v>0</v>
      </c>
      <c r="T356" s="274">
        <f t="shared" si="138"/>
        <v>0</v>
      </c>
      <c r="U356" s="273">
        <f>'人员人工-研发人员工资'!U356</f>
        <v>0</v>
      </c>
      <c r="V356" s="274">
        <f t="shared" si="139"/>
        <v>0</v>
      </c>
      <c r="W356" s="273">
        <f>'人员人工-研发人员工资'!W356</f>
        <v>0</v>
      </c>
      <c r="X356" s="274">
        <f t="shared" si="140"/>
        <v>0</v>
      </c>
      <c r="Y356" s="273">
        <f>'人员人工-研发人员工资'!Y356</f>
        <v>0</v>
      </c>
      <c r="Z356" s="274">
        <f t="shared" si="141"/>
        <v>0</v>
      </c>
    </row>
    <row r="357" s="251" customFormat="1" customHeight="1" spans="1:26">
      <c r="A357" s="270">
        <v>12</v>
      </c>
      <c r="B357" s="271">
        <f>'人员人工-研发人员工资'!B357</f>
        <v>0</v>
      </c>
      <c r="C357" s="274"/>
      <c r="D357" s="272">
        <f>'人员人工-研发人员工资'!D357</f>
        <v>0</v>
      </c>
      <c r="E357" s="272">
        <f t="shared" si="130"/>
        <v>0</v>
      </c>
      <c r="F357" s="272">
        <f t="shared" si="131"/>
        <v>0</v>
      </c>
      <c r="G357" s="273">
        <f>'人员人工-研发人员工资'!G357</f>
        <v>0</v>
      </c>
      <c r="H357" s="274">
        <f t="shared" si="132"/>
        <v>0</v>
      </c>
      <c r="I357" s="273">
        <f>'人员人工-研发人员工资'!I357</f>
        <v>0</v>
      </c>
      <c r="J357" s="274">
        <f t="shared" si="133"/>
        <v>0</v>
      </c>
      <c r="K357" s="275">
        <f>'人员人工-研发人员工资'!K357</f>
        <v>0</v>
      </c>
      <c r="L357" s="274">
        <f t="shared" si="134"/>
        <v>0</v>
      </c>
      <c r="M357" s="273">
        <f>'人员人工-研发人员工资'!M357</f>
        <v>0</v>
      </c>
      <c r="N357" s="274">
        <f t="shared" si="135"/>
        <v>0</v>
      </c>
      <c r="O357" s="273">
        <f>'人员人工-研发人员工资'!O357</f>
        <v>0</v>
      </c>
      <c r="P357" s="274">
        <f t="shared" si="136"/>
        <v>0</v>
      </c>
      <c r="Q357" s="273">
        <f>'人员人工-研发人员工资'!Q357</f>
        <v>0</v>
      </c>
      <c r="R357" s="274">
        <f t="shared" si="137"/>
        <v>0</v>
      </c>
      <c r="S357" s="273">
        <f>'人员人工-研发人员工资'!S357</f>
        <v>0</v>
      </c>
      <c r="T357" s="274">
        <f t="shared" si="138"/>
        <v>0</v>
      </c>
      <c r="U357" s="273">
        <f>'人员人工-研发人员工资'!U357</f>
        <v>0</v>
      </c>
      <c r="V357" s="274">
        <f t="shared" si="139"/>
        <v>0</v>
      </c>
      <c r="W357" s="273">
        <f>'人员人工-研发人员工资'!W357</f>
        <v>0</v>
      </c>
      <c r="X357" s="274">
        <f t="shared" si="140"/>
        <v>0</v>
      </c>
      <c r="Y357" s="273">
        <f>'人员人工-研发人员工资'!Y357</f>
        <v>0</v>
      </c>
      <c r="Z357" s="274">
        <f t="shared" si="141"/>
        <v>0</v>
      </c>
    </row>
    <row r="358" s="251" customFormat="1" customHeight="1" spans="1:26">
      <c r="A358" s="270">
        <v>13</v>
      </c>
      <c r="B358" s="271">
        <f>'人员人工-研发人员工资'!B358</f>
        <v>0</v>
      </c>
      <c r="C358" s="274"/>
      <c r="D358" s="272">
        <f>'人员人工-研发人员工资'!D358</f>
        <v>0</v>
      </c>
      <c r="E358" s="272">
        <f t="shared" si="130"/>
        <v>0</v>
      </c>
      <c r="F358" s="272">
        <f t="shared" si="131"/>
        <v>0</v>
      </c>
      <c r="G358" s="273">
        <f>'人员人工-研发人员工资'!G358</f>
        <v>0</v>
      </c>
      <c r="H358" s="274">
        <f t="shared" si="132"/>
        <v>0</v>
      </c>
      <c r="I358" s="273">
        <f>'人员人工-研发人员工资'!I358</f>
        <v>0</v>
      </c>
      <c r="J358" s="274">
        <f t="shared" si="133"/>
        <v>0</v>
      </c>
      <c r="K358" s="275">
        <f>'人员人工-研发人员工资'!K358</f>
        <v>0</v>
      </c>
      <c r="L358" s="274">
        <f t="shared" si="134"/>
        <v>0</v>
      </c>
      <c r="M358" s="273">
        <f>'人员人工-研发人员工资'!M358</f>
        <v>0</v>
      </c>
      <c r="N358" s="274">
        <f t="shared" si="135"/>
        <v>0</v>
      </c>
      <c r="O358" s="273">
        <f>'人员人工-研发人员工资'!O358</f>
        <v>0</v>
      </c>
      <c r="P358" s="274">
        <f t="shared" si="136"/>
        <v>0</v>
      </c>
      <c r="Q358" s="273">
        <f>'人员人工-研发人员工资'!Q358</f>
        <v>0</v>
      </c>
      <c r="R358" s="274">
        <f t="shared" si="137"/>
        <v>0</v>
      </c>
      <c r="S358" s="273">
        <f>'人员人工-研发人员工资'!S358</f>
        <v>0</v>
      </c>
      <c r="T358" s="274">
        <f t="shared" si="138"/>
        <v>0</v>
      </c>
      <c r="U358" s="273">
        <f>'人员人工-研发人员工资'!U358</f>
        <v>0</v>
      </c>
      <c r="V358" s="274">
        <f t="shared" si="139"/>
        <v>0</v>
      </c>
      <c r="W358" s="273">
        <f>'人员人工-研发人员工资'!W358</f>
        <v>0</v>
      </c>
      <c r="X358" s="274">
        <f t="shared" si="140"/>
        <v>0</v>
      </c>
      <c r="Y358" s="273">
        <f>'人员人工-研发人员工资'!Y358</f>
        <v>0</v>
      </c>
      <c r="Z358" s="274">
        <f t="shared" si="141"/>
        <v>0</v>
      </c>
    </row>
    <row r="359" s="251" customFormat="1" customHeight="1" spans="1:26">
      <c r="A359" s="270">
        <v>14</v>
      </c>
      <c r="B359" s="271">
        <f>'人员人工-研发人员工资'!B359</f>
        <v>0</v>
      </c>
      <c r="C359" s="274"/>
      <c r="D359" s="272">
        <f>'人员人工-研发人员工资'!D359</f>
        <v>0</v>
      </c>
      <c r="E359" s="272">
        <f t="shared" si="130"/>
        <v>0</v>
      </c>
      <c r="F359" s="272">
        <f t="shared" si="131"/>
        <v>0</v>
      </c>
      <c r="G359" s="273">
        <f>'人员人工-研发人员工资'!G359</f>
        <v>0</v>
      </c>
      <c r="H359" s="274">
        <f t="shared" si="132"/>
        <v>0</v>
      </c>
      <c r="I359" s="273">
        <f>'人员人工-研发人员工资'!I359</f>
        <v>0</v>
      </c>
      <c r="J359" s="274">
        <f t="shared" si="133"/>
        <v>0</v>
      </c>
      <c r="K359" s="275">
        <f>'人员人工-研发人员工资'!K359</f>
        <v>0</v>
      </c>
      <c r="L359" s="274">
        <f t="shared" si="134"/>
        <v>0</v>
      </c>
      <c r="M359" s="273">
        <f>'人员人工-研发人员工资'!M359</f>
        <v>0</v>
      </c>
      <c r="N359" s="274">
        <f t="shared" si="135"/>
        <v>0</v>
      </c>
      <c r="O359" s="273">
        <f>'人员人工-研发人员工资'!O359</f>
        <v>0</v>
      </c>
      <c r="P359" s="274">
        <f t="shared" si="136"/>
        <v>0</v>
      </c>
      <c r="Q359" s="273">
        <f>'人员人工-研发人员工资'!Q359</f>
        <v>0</v>
      </c>
      <c r="R359" s="274">
        <f t="shared" si="137"/>
        <v>0</v>
      </c>
      <c r="S359" s="273">
        <f>'人员人工-研发人员工资'!S359</f>
        <v>0</v>
      </c>
      <c r="T359" s="274">
        <f t="shared" si="138"/>
        <v>0</v>
      </c>
      <c r="U359" s="273">
        <f>'人员人工-研发人员工资'!U359</f>
        <v>0</v>
      </c>
      <c r="V359" s="274">
        <f t="shared" si="139"/>
        <v>0</v>
      </c>
      <c r="W359" s="273">
        <f>'人员人工-研发人员工资'!W359</f>
        <v>0</v>
      </c>
      <c r="X359" s="274">
        <f t="shared" si="140"/>
        <v>0</v>
      </c>
      <c r="Y359" s="273">
        <f>'人员人工-研发人员工资'!Y359</f>
        <v>0</v>
      </c>
      <c r="Z359" s="274">
        <f t="shared" si="141"/>
        <v>0</v>
      </c>
    </row>
    <row r="360" s="251" customFormat="1" customHeight="1" spans="1:26">
      <c r="A360" s="270">
        <v>15</v>
      </c>
      <c r="B360" s="271">
        <f>'人员人工-研发人员工资'!B360</f>
        <v>0</v>
      </c>
      <c r="C360" s="274"/>
      <c r="D360" s="272">
        <f>'人员人工-研发人员工资'!D360</f>
        <v>0</v>
      </c>
      <c r="E360" s="272">
        <f t="shared" si="130"/>
        <v>0</v>
      </c>
      <c r="F360" s="272">
        <f t="shared" si="131"/>
        <v>0</v>
      </c>
      <c r="G360" s="273">
        <f>'人员人工-研发人员工资'!G360</f>
        <v>0</v>
      </c>
      <c r="H360" s="274">
        <f t="shared" si="132"/>
        <v>0</v>
      </c>
      <c r="I360" s="273">
        <f>'人员人工-研发人员工资'!I360</f>
        <v>0</v>
      </c>
      <c r="J360" s="274">
        <f t="shared" si="133"/>
        <v>0</v>
      </c>
      <c r="K360" s="275">
        <f>'人员人工-研发人员工资'!K360</f>
        <v>0</v>
      </c>
      <c r="L360" s="274">
        <f t="shared" si="134"/>
        <v>0</v>
      </c>
      <c r="M360" s="273">
        <f>'人员人工-研发人员工资'!M360</f>
        <v>0</v>
      </c>
      <c r="N360" s="274">
        <f t="shared" si="135"/>
        <v>0</v>
      </c>
      <c r="O360" s="273">
        <f>'人员人工-研发人员工资'!O360</f>
        <v>0</v>
      </c>
      <c r="P360" s="274">
        <f t="shared" si="136"/>
        <v>0</v>
      </c>
      <c r="Q360" s="273">
        <f>'人员人工-研发人员工资'!Q360</f>
        <v>0</v>
      </c>
      <c r="R360" s="274">
        <f t="shared" si="137"/>
        <v>0</v>
      </c>
      <c r="S360" s="273">
        <f>'人员人工-研发人员工资'!S360</f>
        <v>0</v>
      </c>
      <c r="T360" s="274">
        <f t="shared" si="138"/>
        <v>0</v>
      </c>
      <c r="U360" s="273">
        <f>'人员人工-研发人员工资'!U360</f>
        <v>0</v>
      </c>
      <c r="V360" s="274">
        <f t="shared" si="139"/>
        <v>0</v>
      </c>
      <c r="W360" s="273">
        <f>'人员人工-研发人员工资'!W360</f>
        <v>0</v>
      </c>
      <c r="X360" s="274">
        <f t="shared" si="140"/>
        <v>0</v>
      </c>
      <c r="Y360" s="273">
        <f>'人员人工-研发人员工资'!Y360</f>
        <v>0</v>
      </c>
      <c r="Z360" s="274">
        <f t="shared" si="141"/>
        <v>0</v>
      </c>
    </row>
    <row r="361" s="251" customFormat="1" customHeight="1" spans="1:26">
      <c r="A361" s="270">
        <v>16</v>
      </c>
      <c r="B361" s="271">
        <f>'人员人工-研发人员工资'!B361</f>
        <v>0</v>
      </c>
      <c r="C361" s="274"/>
      <c r="D361" s="272">
        <f>'人员人工-研发人员工资'!D361</f>
        <v>0</v>
      </c>
      <c r="E361" s="272">
        <f t="shared" si="130"/>
        <v>0</v>
      </c>
      <c r="F361" s="272">
        <f t="shared" si="131"/>
        <v>0</v>
      </c>
      <c r="G361" s="273">
        <f>'人员人工-研发人员工资'!G361</f>
        <v>0</v>
      </c>
      <c r="H361" s="274">
        <f t="shared" si="132"/>
        <v>0</v>
      </c>
      <c r="I361" s="273">
        <f>'人员人工-研发人员工资'!I361</f>
        <v>0</v>
      </c>
      <c r="J361" s="274">
        <f t="shared" si="133"/>
        <v>0</v>
      </c>
      <c r="K361" s="275">
        <f>'人员人工-研发人员工资'!K361</f>
        <v>0</v>
      </c>
      <c r="L361" s="274">
        <f t="shared" si="134"/>
        <v>0</v>
      </c>
      <c r="M361" s="273">
        <f>'人员人工-研发人员工资'!M361</f>
        <v>0</v>
      </c>
      <c r="N361" s="274">
        <f t="shared" si="135"/>
        <v>0</v>
      </c>
      <c r="O361" s="273">
        <f>'人员人工-研发人员工资'!O361</f>
        <v>0</v>
      </c>
      <c r="P361" s="274">
        <f t="shared" si="136"/>
        <v>0</v>
      </c>
      <c r="Q361" s="273">
        <f>'人员人工-研发人员工资'!Q361</f>
        <v>0</v>
      </c>
      <c r="R361" s="274">
        <f t="shared" si="137"/>
        <v>0</v>
      </c>
      <c r="S361" s="273">
        <f>'人员人工-研发人员工资'!S361</f>
        <v>0</v>
      </c>
      <c r="T361" s="274">
        <f t="shared" si="138"/>
        <v>0</v>
      </c>
      <c r="U361" s="273">
        <f>'人员人工-研发人员工资'!U361</f>
        <v>0</v>
      </c>
      <c r="V361" s="274">
        <f t="shared" si="139"/>
        <v>0</v>
      </c>
      <c r="W361" s="273">
        <f>'人员人工-研发人员工资'!W361</f>
        <v>0</v>
      </c>
      <c r="X361" s="274">
        <f t="shared" si="140"/>
        <v>0</v>
      </c>
      <c r="Y361" s="273">
        <f>'人员人工-研发人员工资'!Y361</f>
        <v>0</v>
      </c>
      <c r="Z361" s="274">
        <f t="shared" si="141"/>
        <v>0</v>
      </c>
    </row>
    <row r="362" s="251" customFormat="1" customHeight="1" spans="1:26">
      <c r="A362" s="270">
        <v>17</v>
      </c>
      <c r="B362" s="271">
        <f>'人员人工-研发人员工资'!B362</f>
        <v>0</v>
      </c>
      <c r="C362" s="274"/>
      <c r="D362" s="272">
        <f>'人员人工-研发人员工资'!D362</f>
        <v>0</v>
      </c>
      <c r="E362" s="272">
        <f t="shared" si="130"/>
        <v>0</v>
      </c>
      <c r="F362" s="272">
        <f t="shared" si="131"/>
        <v>0</v>
      </c>
      <c r="G362" s="273">
        <f>'人员人工-研发人员工资'!G362</f>
        <v>0</v>
      </c>
      <c r="H362" s="274">
        <f t="shared" si="132"/>
        <v>0</v>
      </c>
      <c r="I362" s="273">
        <f>'人员人工-研发人员工资'!I362</f>
        <v>0</v>
      </c>
      <c r="J362" s="274">
        <f t="shared" si="133"/>
        <v>0</v>
      </c>
      <c r="K362" s="275">
        <f>'人员人工-研发人员工资'!K362</f>
        <v>0</v>
      </c>
      <c r="L362" s="274">
        <f t="shared" si="134"/>
        <v>0</v>
      </c>
      <c r="M362" s="273">
        <f>'人员人工-研发人员工资'!M362</f>
        <v>0</v>
      </c>
      <c r="N362" s="274">
        <f t="shared" si="135"/>
        <v>0</v>
      </c>
      <c r="O362" s="273">
        <f>'人员人工-研发人员工资'!O362</f>
        <v>0</v>
      </c>
      <c r="P362" s="274">
        <f t="shared" si="136"/>
        <v>0</v>
      </c>
      <c r="Q362" s="273">
        <f>'人员人工-研发人员工资'!Q362</f>
        <v>0</v>
      </c>
      <c r="R362" s="274">
        <f t="shared" si="137"/>
        <v>0</v>
      </c>
      <c r="S362" s="273">
        <f>'人员人工-研发人员工资'!S362</f>
        <v>0</v>
      </c>
      <c r="T362" s="274">
        <f t="shared" si="138"/>
        <v>0</v>
      </c>
      <c r="U362" s="273">
        <f>'人员人工-研发人员工资'!U362</f>
        <v>0</v>
      </c>
      <c r="V362" s="274">
        <f t="shared" si="139"/>
        <v>0</v>
      </c>
      <c r="W362" s="273">
        <f>'人员人工-研发人员工资'!W362</f>
        <v>0</v>
      </c>
      <c r="X362" s="274">
        <f t="shared" si="140"/>
        <v>0</v>
      </c>
      <c r="Y362" s="273">
        <f>'人员人工-研发人员工资'!Y362</f>
        <v>0</v>
      </c>
      <c r="Z362" s="274">
        <f t="shared" si="141"/>
        <v>0</v>
      </c>
    </row>
    <row r="363" s="251" customFormat="1" customHeight="1" spans="1:26">
      <c r="A363" s="270">
        <v>18</v>
      </c>
      <c r="B363" s="271">
        <f>'人员人工-研发人员工资'!B363</f>
        <v>0</v>
      </c>
      <c r="C363" s="274"/>
      <c r="D363" s="272">
        <f>'人员人工-研发人员工资'!D363</f>
        <v>0</v>
      </c>
      <c r="E363" s="272">
        <f t="shared" si="130"/>
        <v>0</v>
      </c>
      <c r="F363" s="272">
        <f t="shared" si="131"/>
        <v>0</v>
      </c>
      <c r="G363" s="273">
        <f>'人员人工-研发人员工资'!G363</f>
        <v>0</v>
      </c>
      <c r="H363" s="274">
        <f t="shared" si="132"/>
        <v>0</v>
      </c>
      <c r="I363" s="273">
        <f>'人员人工-研发人员工资'!I363</f>
        <v>0</v>
      </c>
      <c r="J363" s="274">
        <f t="shared" si="133"/>
        <v>0</v>
      </c>
      <c r="K363" s="275">
        <f>'人员人工-研发人员工资'!K363</f>
        <v>0</v>
      </c>
      <c r="L363" s="274">
        <f t="shared" si="134"/>
        <v>0</v>
      </c>
      <c r="M363" s="273">
        <f>'人员人工-研发人员工资'!M363</f>
        <v>0</v>
      </c>
      <c r="N363" s="274">
        <f t="shared" si="135"/>
        <v>0</v>
      </c>
      <c r="O363" s="273">
        <f>'人员人工-研发人员工资'!O363</f>
        <v>0</v>
      </c>
      <c r="P363" s="274">
        <f t="shared" si="136"/>
        <v>0</v>
      </c>
      <c r="Q363" s="273">
        <f>'人员人工-研发人员工资'!Q363</f>
        <v>0</v>
      </c>
      <c r="R363" s="274">
        <f t="shared" si="137"/>
        <v>0</v>
      </c>
      <c r="S363" s="273">
        <f>'人员人工-研发人员工资'!S363</f>
        <v>0</v>
      </c>
      <c r="T363" s="274">
        <f t="shared" si="138"/>
        <v>0</v>
      </c>
      <c r="U363" s="273">
        <f>'人员人工-研发人员工资'!U363</f>
        <v>0</v>
      </c>
      <c r="V363" s="274">
        <f t="shared" si="139"/>
        <v>0</v>
      </c>
      <c r="W363" s="273">
        <f>'人员人工-研发人员工资'!W363</f>
        <v>0</v>
      </c>
      <c r="X363" s="274">
        <f t="shared" si="140"/>
        <v>0</v>
      </c>
      <c r="Y363" s="273">
        <f>'人员人工-研发人员工资'!Y363</f>
        <v>0</v>
      </c>
      <c r="Z363" s="274">
        <f t="shared" si="141"/>
        <v>0</v>
      </c>
    </row>
    <row r="364" s="251" customFormat="1" customHeight="1" spans="1:26">
      <c r="A364" s="270">
        <v>19</v>
      </c>
      <c r="B364" s="271">
        <f>'人员人工-研发人员工资'!B364</f>
        <v>0</v>
      </c>
      <c r="C364" s="274"/>
      <c r="D364" s="272">
        <f>'人员人工-研发人员工资'!D364</f>
        <v>0</v>
      </c>
      <c r="E364" s="272">
        <f t="shared" si="130"/>
        <v>0</v>
      </c>
      <c r="F364" s="272">
        <f t="shared" si="131"/>
        <v>0</v>
      </c>
      <c r="G364" s="273">
        <f>'人员人工-研发人员工资'!G364</f>
        <v>0</v>
      </c>
      <c r="H364" s="274">
        <f t="shared" si="132"/>
        <v>0</v>
      </c>
      <c r="I364" s="273">
        <f>'人员人工-研发人员工资'!I364</f>
        <v>0</v>
      </c>
      <c r="J364" s="274">
        <f t="shared" si="133"/>
        <v>0</v>
      </c>
      <c r="K364" s="275">
        <f>'人员人工-研发人员工资'!K364</f>
        <v>0</v>
      </c>
      <c r="L364" s="274">
        <f t="shared" si="134"/>
        <v>0</v>
      </c>
      <c r="M364" s="273">
        <f>'人员人工-研发人员工资'!M364</f>
        <v>0</v>
      </c>
      <c r="N364" s="274">
        <f t="shared" si="135"/>
        <v>0</v>
      </c>
      <c r="O364" s="273">
        <f>'人员人工-研发人员工资'!O364</f>
        <v>0</v>
      </c>
      <c r="P364" s="274">
        <f t="shared" si="136"/>
        <v>0</v>
      </c>
      <c r="Q364" s="273">
        <f>'人员人工-研发人员工资'!Q364</f>
        <v>0</v>
      </c>
      <c r="R364" s="274">
        <f t="shared" si="137"/>
        <v>0</v>
      </c>
      <c r="S364" s="273">
        <f>'人员人工-研发人员工资'!S364</f>
        <v>0</v>
      </c>
      <c r="T364" s="274">
        <f t="shared" si="138"/>
        <v>0</v>
      </c>
      <c r="U364" s="273">
        <f>'人员人工-研发人员工资'!U364</f>
        <v>0</v>
      </c>
      <c r="V364" s="274">
        <f t="shared" si="139"/>
        <v>0</v>
      </c>
      <c r="W364" s="273">
        <f>'人员人工-研发人员工资'!W364</f>
        <v>0</v>
      </c>
      <c r="X364" s="274">
        <f t="shared" si="140"/>
        <v>0</v>
      </c>
      <c r="Y364" s="273">
        <f>'人员人工-研发人员工资'!Y364</f>
        <v>0</v>
      </c>
      <c r="Z364" s="274">
        <f t="shared" si="141"/>
        <v>0</v>
      </c>
    </row>
    <row r="365" s="251" customFormat="1" customHeight="1" spans="1:26">
      <c r="A365" s="270">
        <v>20</v>
      </c>
      <c r="B365" s="271">
        <f>'人员人工-研发人员工资'!B365</f>
        <v>0</v>
      </c>
      <c r="C365" s="274"/>
      <c r="D365" s="272">
        <f>'人员人工-研发人员工资'!D365</f>
        <v>0</v>
      </c>
      <c r="E365" s="272">
        <f t="shared" si="130"/>
        <v>0</v>
      </c>
      <c r="F365" s="272">
        <f t="shared" si="131"/>
        <v>0</v>
      </c>
      <c r="G365" s="273">
        <f>'人员人工-研发人员工资'!G365</f>
        <v>0</v>
      </c>
      <c r="H365" s="274">
        <f t="shared" si="132"/>
        <v>0</v>
      </c>
      <c r="I365" s="273">
        <f>'人员人工-研发人员工资'!I365</f>
        <v>0</v>
      </c>
      <c r="J365" s="274">
        <f t="shared" si="133"/>
        <v>0</v>
      </c>
      <c r="K365" s="275">
        <f>'人员人工-研发人员工资'!K365</f>
        <v>0</v>
      </c>
      <c r="L365" s="274">
        <f t="shared" si="134"/>
        <v>0</v>
      </c>
      <c r="M365" s="273">
        <f>'人员人工-研发人员工资'!M365</f>
        <v>0</v>
      </c>
      <c r="N365" s="274">
        <f t="shared" si="135"/>
        <v>0</v>
      </c>
      <c r="O365" s="273">
        <f>'人员人工-研发人员工资'!O365</f>
        <v>0</v>
      </c>
      <c r="P365" s="274">
        <f t="shared" si="136"/>
        <v>0</v>
      </c>
      <c r="Q365" s="273">
        <f>'人员人工-研发人员工资'!Q365</f>
        <v>0</v>
      </c>
      <c r="R365" s="274">
        <f t="shared" si="137"/>
        <v>0</v>
      </c>
      <c r="S365" s="273">
        <f>'人员人工-研发人员工资'!S365</f>
        <v>0</v>
      </c>
      <c r="T365" s="274">
        <f t="shared" si="138"/>
        <v>0</v>
      </c>
      <c r="U365" s="273">
        <f>'人员人工-研发人员工资'!U365</f>
        <v>0</v>
      </c>
      <c r="V365" s="274">
        <f t="shared" si="139"/>
        <v>0</v>
      </c>
      <c r="W365" s="273">
        <f>'人员人工-研发人员工资'!W365</f>
        <v>0</v>
      </c>
      <c r="X365" s="274">
        <f t="shared" si="140"/>
        <v>0</v>
      </c>
      <c r="Y365" s="273">
        <f>'人员人工-研发人员工资'!Y365</f>
        <v>0</v>
      </c>
      <c r="Z365" s="274">
        <f t="shared" si="141"/>
        <v>0</v>
      </c>
    </row>
    <row r="366" s="251" customFormat="1" customHeight="1" spans="1:26">
      <c r="A366" s="270">
        <v>21</v>
      </c>
      <c r="B366" s="271">
        <f>'人员人工-研发人员工资'!B366</f>
        <v>0</v>
      </c>
      <c r="C366" s="274"/>
      <c r="D366" s="272">
        <f>'人员人工-研发人员工资'!D366</f>
        <v>0</v>
      </c>
      <c r="E366" s="272">
        <f t="shared" si="130"/>
        <v>0</v>
      </c>
      <c r="F366" s="272">
        <f t="shared" si="131"/>
        <v>0</v>
      </c>
      <c r="G366" s="273">
        <f>'人员人工-研发人员工资'!G366</f>
        <v>0</v>
      </c>
      <c r="H366" s="274">
        <f t="shared" si="132"/>
        <v>0</v>
      </c>
      <c r="I366" s="273">
        <f>'人员人工-研发人员工资'!I366</f>
        <v>0</v>
      </c>
      <c r="J366" s="274">
        <f t="shared" si="133"/>
        <v>0</v>
      </c>
      <c r="K366" s="275">
        <f>'人员人工-研发人员工资'!K366</f>
        <v>0</v>
      </c>
      <c r="L366" s="274">
        <f t="shared" si="134"/>
        <v>0</v>
      </c>
      <c r="M366" s="273">
        <f>'人员人工-研发人员工资'!M366</f>
        <v>0</v>
      </c>
      <c r="N366" s="274">
        <f t="shared" si="135"/>
        <v>0</v>
      </c>
      <c r="O366" s="273">
        <f>'人员人工-研发人员工资'!O366</f>
        <v>0</v>
      </c>
      <c r="P366" s="274">
        <f t="shared" si="136"/>
        <v>0</v>
      </c>
      <c r="Q366" s="273">
        <f>'人员人工-研发人员工资'!Q366</f>
        <v>0</v>
      </c>
      <c r="R366" s="274">
        <f t="shared" si="137"/>
        <v>0</v>
      </c>
      <c r="S366" s="273">
        <f>'人员人工-研发人员工资'!S366</f>
        <v>0</v>
      </c>
      <c r="T366" s="274">
        <f t="shared" si="138"/>
        <v>0</v>
      </c>
      <c r="U366" s="273">
        <f>'人员人工-研发人员工资'!U366</f>
        <v>0</v>
      </c>
      <c r="V366" s="274">
        <f t="shared" si="139"/>
        <v>0</v>
      </c>
      <c r="W366" s="273">
        <f>'人员人工-研发人员工资'!W366</f>
        <v>0</v>
      </c>
      <c r="X366" s="274">
        <f t="shared" si="140"/>
        <v>0</v>
      </c>
      <c r="Y366" s="273">
        <f>'人员人工-研发人员工资'!Y366</f>
        <v>0</v>
      </c>
      <c r="Z366" s="274">
        <f t="shared" si="141"/>
        <v>0</v>
      </c>
    </row>
    <row r="367" s="251" customFormat="1" customHeight="1" spans="1:26">
      <c r="A367" s="270">
        <v>22</v>
      </c>
      <c r="B367" s="271">
        <f>'人员人工-研发人员工资'!B367</f>
        <v>0</v>
      </c>
      <c r="C367" s="274"/>
      <c r="D367" s="272">
        <f>'人员人工-研发人员工资'!D367</f>
        <v>0</v>
      </c>
      <c r="E367" s="272">
        <f t="shared" si="130"/>
        <v>0</v>
      </c>
      <c r="F367" s="272">
        <f t="shared" si="131"/>
        <v>0</v>
      </c>
      <c r="G367" s="273">
        <f>'人员人工-研发人员工资'!G367</f>
        <v>0</v>
      </c>
      <c r="H367" s="274">
        <f t="shared" si="132"/>
        <v>0</v>
      </c>
      <c r="I367" s="273">
        <f>'人员人工-研发人员工资'!I367</f>
        <v>0</v>
      </c>
      <c r="J367" s="274">
        <f t="shared" si="133"/>
        <v>0</v>
      </c>
      <c r="K367" s="275">
        <f>'人员人工-研发人员工资'!K367</f>
        <v>0</v>
      </c>
      <c r="L367" s="274">
        <f t="shared" si="134"/>
        <v>0</v>
      </c>
      <c r="M367" s="273">
        <f>'人员人工-研发人员工资'!M367</f>
        <v>0</v>
      </c>
      <c r="N367" s="274">
        <f t="shared" si="135"/>
        <v>0</v>
      </c>
      <c r="O367" s="273">
        <f>'人员人工-研发人员工资'!O367</f>
        <v>0</v>
      </c>
      <c r="P367" s="274">
        <f t="shared" si="136"/>
        <v>0</v>
      </c>
      <c r="Q367" s="273">
        <f>'人员人工-研发人员工资'!Q367</f>
        <v>0</v>
      </c>
      <c r="R367" s="274">
        <f t="shared" si="137"/>
        <v>0</v>
      </c>
      <c r="S367" s="273">
        <f>'人员人工-研发人员工资'!S367</f>
        <v>0</v>
      </c>
      <c r="T367" s="274">
        <f t="shared" si="138"/>
        <v>0</v>
      </c>
      <c r="U367" s="273">
        <f>'人员人工-研发人员工资'!U367</f>
        <v>0</v>
      </c>
      <c r="V367" s="274">
        <f t="shared" si="139"/>
        <v>0</v>
      </c>
      <c r="W367" s="273">
        <f>'人员人工-研发人员工资'!W367</f>
        <v>0</v>
      </c>
      <c r="X367" s="274">
        <f t="shared" si="140"/>
        <v>0</v>
      </c>
      <c r="Y367" s="273">
        <f>'人员人工-研发人员工资'!Y367</f>
        <v>0</v>
      </c>
      <c r="Z367" s="274">
        <f t="shared" si="141"/>
        <v>0</v>
      </c>
    </row>
    <row r="368" s="251" customFormat="1" customHeight="1" spans="1:26">
      <c r="A368" s="270">
        <v>23</v>
      </c>
      <c r="B368" s="271">
        <f>'人员人工-研发人员工资'!B368</f>
        <v>0</v>
      </c>
      <c r="C368" s="274"/>
      <c r="D368" s="272">
        <f>'人员人工-研发人员工资'!D368</f>
        <v>0</v>
      </c>
      <c r="E368" s="272">
        <f t="shared" si="130"/>
        <v>0</v>
      </c>
      <c r="F368" s="272">
        <f t="shared" si="131"/>
        <v>0</v>
      </c>
      <c r="G368" s="273">
        <f>'人员人工-研发人员工资'!G368</f>
        <v>0</v>
      </c>
      <c r="H368" s="274">
        <f t="shared" si="132"/>
        <v>0</v>
      </c>
      <c r="I368" s="273">
        <f>'人员人工-研发人员工资'!I368</f>
        <v>0</v>
      </c>
      <c r="J368" s="274">
        <f t="shared" si="133"/>
        <v>0</v>
      </c>
      <c r="K368" s="275">
        <f>'人员人工-研发人员工资'!K368</f>
        <v>0</v>
      </c>
      <c r="L368" s="274">
        <f t="shared" si="134"/>
        <v>0</v>
      </c>
      <c r="M368" s="273">
        <f>'人员人工-研发人员工资'!M368</f>
        <v>0</v>
      </c>
      <c r="N368" s="274">
        <f t="shared" si="135"/>
        <v>0</v>
      </c>
      <c r="O368" s="273">
        <f>'人员人工-研发人员工资'!O368</f>
        <v>0</v>
      </c>
      <c r="P368" s="274">
        <f t="shared" si="136"/>
        <v>0</v>
      </c>
      <c r="Q368" s="273">
        <f>'人员人工-研发人员工资'!Q368</f>
        <v>0</v>
      </c>
      <c r="R368" s="274">
        <f t="shared" si="137"/>
        <v>0</v>
      </c>
      <c r="S368" s="273">
        <f>'人员人工-研发人员工资'!S368</f>
        <v>0</v>
      </c>
      <c r="T368" s="274">
        <f t="shared" si="138"/>
        <v>0</v>
      </c>
      <c r="U368" s="273">
        <f>'人员人工-研发人员工资'!U368</f>
        <v>0</v>
      </c>
      <c r="V368" s="274">
        <f t="shared" si="139"/>
        <v>0</v>
      </c>
      <c r="W368" s="273">
        <f>'人员人工-研发人员工资'!W368</f>
        <v>0</v>
      </c>
      <c r="X368" s="274">
        <f t="shared" si="140"/>
        <v>0</v>
      </c>
      <c r="Y368" s="273">
        <f>'人员人工-研发人员工资'!Y368</f>
        <v>0</v>
      </c>
      <c r="Z368" s="274">
        <f t="shared" si="141"/>
        <v>0</v>
      </c>
    </row>
    <row r="369" s="251" customFormat="1" customHeight="1" spans="1:26">
      <c r="A369" s="270">
        <v>25</v>
      </c>
      <c r="B369" s="271">
        <f>'人员人工-研发人员工资'!B369</f>
        <v>0</v>
      </c>
      <c r="C369" s="274"/>
      <c r="D369" s="272">
        <f>'人员人工-研发人员工资'!D369</f>
        <v>0</v>
      </c>
      <c r="E369" s="272">
        <f t="shared" si="130"/>
        <v>0</v>
      </c>
      <c r="F369" s="272">
        <f t="shared" si="131"/>
        <v>0</v>
      </c>
      <c r="G369" s="273">
        <f>'人员人工-研发人员工资'!G369</f>
        <v>0</v>
      </c>
      <c r="H369" s="274">
        <f t="shared" si="132"/>
        <v>0</v>
      </c>
      <c r="I369" s="273">
        <f>'人员人工-研发人员工资'!I369</f>
        <v>0</v>
      </c>
      <c r="J369" s="274">
        <f t="shared" si="133"/>
        <v>0</v>
      </c>
      <c r="K369" s="275">
        <f>'人员人工-研发人员工资'!K369</f>
        <v>0</v>
      </c>
      <c r="L369" s="274">
        <f t="shared" si="134"/>
        <v>0</v>
      </c>
      <c r="M369" s="273">
        <f>'人员人工-研发人员工资'!M369</f>
        <v>0</v>
      </c>
      <c r="N369" s="274">
        <f t="shared" si="135"/>
        <v>0</v>
      </c>
      <c r="O369" s="273">
        <f>'人员人工-研发人员工资'!O369</f>
        <v>0</v>
      </c>
      <c r="P369" s="274">
        <f t="shared" si="136"/>
        <v>0</v>
      </c>
      <c r="Q369" s="273">
        <f>'人员人工-研发人员工资'!Q369</f>
        <v>0</v>
      </c>
      <c r="R369" s="274">
        <f t="shared" si="137"/>
        <v>0</v>
      </c>
      <c r="S369" s="273">
        <f>'人员人工-研发人员工资'!S369</f>
        <v>0</v>
      </c>
      <c r="T369" s="274">
        <f t="shared" si="138"/>
        <v>0</v>
      </c>
      <c r="U369" s="273">
        <f>'人员人工-研发人员工资'!U369</f>
        <v>0</v>
      </c>
      <c r="V369" s="274">
        <f t="shared" si="139"/>
        <v>0</v>
      </c>
      <c r="W369" s="273">
        <f>'人员人工-研发人员工资'!W369</f>
        <v>0</v>
      </c>
      <c r="X369" s="274">
        <f t="shared" si="140"/>
        <v>0</v>
      </c>
      <c r="Y369" s="273">
        <f>'人员人工-研发人员工资'!Y369</f>
        <v>0</v>
      </c>
      <c r="Z369" s="274">
        <f t="shared" si="141"/>
        <v>0</v>
      </c>
    </row>
    <row r="370" s="251" customFormat="1" customHeight="1" spans="1:26">
      <c r="A370" s="270">
        <v>25</v>
      </c>
      <c r="B370" s="271">
        <f>'人员人工-研发人员工资'!B370</f>
        <v>0</v>
      </c>
      <c r="C370" s="274"/>
      <c r="D370" s="272">
        <f>'人员人工-研发人员工资'!D370</f>
        <v>0</v>
      </c>
      <c r="E370" s="272">
        <f t="shared" si="130"/>
        <v>0</v>
      </c>
      <c r="F370" s="272">
        <f t="shared" si="131"/>
        <v>0</v>
      </c>
      <c r="G370" s="273">
        <f>'人员人工-研发人员工资'!G370</f>
        <v>0</v>
      </c>
      <c r="H370" s="274">
        <f t="shared" si="132"/>
        <v>0</v>
      </c>
      <c r="I370" s="273">
        <f>'人员人工-研发人员工资'!I370</f>
        <v>0</v>
      </c>
      <c r="J370" s="274">
        <f t="shared" si="133"/>
        <v>0</v>
      </c>
      <c r="K370" s="275">
        <f>'人员人工-研发人员工资'!K370</f>
        <v>0</v>
      </c>
      <c r="L370" s="274">
        <f t="shared" si="134"/>
        <v>0</v>
      </c>
      <c r="M370" s="273">
        <f>'人员人工-研发人员工资'!M370</f>
        <v>0</v>
      </c>
      <c r="N370" s="274">
        <f t="shared" si="135"/>
        <v>0</v>
      </c>
      <c r="O370" s="273">
        <f>'人员人工-研发人员工资'!O370</f>
        <v>0</v>
      </c>
      <c r="P370" s="274">
        <f t="shared" si="136"/>
        <v>0</v>
      </c>
      <c r="Q370" s="273">
        <f>'人员人工-研发人员工资'!Q370</f>
        <v>0</v>
      </c>
      <c r="R370" s="274">
        <f t="shared" si="137"/>
        <v>0</v>
      </c>
      <c r="S370" s="273">
        <f>'人员人工-研发人员工资'!S370</f>
        <v>0</v>
      </c>
      <c r="T370" s="274">
        <f t="shared" si="138"/>
        <v>0</v>
      </c>
      <c r="U370" s="273">
        <f>'人员人工-研发人员工资'!U370</f>
        <v>0</v>
      </c>
      <c r="V370" s="274">
        <f t="shared" si="139"/>
        <v>0</v>
      </c>
      <c r="W370" s="273">
        <f>'人员人工-研发人员工资'!W370</f>
        <v>0</v>
      </c>
      <c r="X370" s="274">
        <f t="shared" si="140"/>
        <v>0</v>
      </c>
      <c r="Y370" s="273">
        <f>'人员人工-研发人员工资'!Y370</f>
        <v>0</v>
      </c>
      <c r="Z370" s="274">
        <f t="shared" si="141"/>
        <v>0</v>
      </c>
    </row>
    <row r="371" s="251" customFormat="1" customHeight="1" spans="1:26">
      <c r="A371" s="270">
        <v>26</v>
      </c>
      <c r="B371" s="271">
        <f>'人员人工-研发人员工资'!B371</f>
        <v>0</v>
      </c>
      <c r="C371" s="274"/>
      <c r="D371" s="272">
        <f>'人员人工-研发人员工资'!D371</f>
        <v>0</v>
      </c>
      <c r="E371" s="272">
        <f t="shared" si="130"/>
        <v>0</v>
      </c>
      <c r="F371" s="272">
        <f t="shared" si="131"/>
        <v>0</v>
      </c>
      <c r="G371" s="273">
        <f>'人员人工-研发人员工资'!G371</f>
        <v>0</v>
      </c>
      <c r="H371" s="274">
        <f t="shared" si="132"/>
        <v>0</v>
      </c>
      <c r="I371" s="273">
        <f>'人员人工-研发人员工资'!I371</f>
        <v>0</v>
      </c>
      <c r="J371" s="274">
        <f t="shared" si="133"/>
        <v>0</v>
      </c>
      <c r="K371" s="275">
        <f>'人员人工-研发人员工资'!K371</f>
        <v>0</v>
      </c>
      <c r="L371" s="274">
        <f t="shared" si="134"/>
        <v>0</v>
      </c>
      <c r="M371" s="273">
        <f>'人员人工-研发人员工资'!M371</f>
        <v>0</v>
      </c>
      <c r="N371" s="274">
        <f t="shared" si="135"/>
        <v>0</v>
      </c>
      <c r="O371" s="273">
        <f>'人员人工-研发人员工资'!O371</f>
        <v>0</v>
      </c>
      <c r="P371" s="274">
        <f t="shared" si="136"/>
        <v>0</v>
      </c>
      <c r="Q371" s="273">
        <f>'人员人工-研发人员工资'!Q371</f>
        <v>0</v>
      </c>
      <c r="R371" s="274">
        <f t="shared" si="137"/>
        <v>0</v>
      </c>
      <c r="S371" s="273">
        <f>'人员人工-研发人员工资'!S371</f>
        <v>0</v>
      </c>
      <c r="T371" s="274">
        <f t="shared" si="138"/>
        <v>0</v>
      </c>
      <c r="U371" s="273">
        <f>'人员人工-研发人员工资'!U371</f>
        <v>0</v>
      </c>
      <c r="V371" s="274">
        <f t="shared" si="139"/>
        <v>0</v>
      </c>
      <c r="W371" s="273">
        <f>'人员人工-研发人员工资'!W371</f>
        <v>0</v>
      </c>
      <c r="X371" s="274">
        <f t="shared" si="140"/>
        <v>0</v>
      </c>
      <c r="Y371" s="273">
        <f>'人员人工-研发人员工资'!Y371</f>
        <v>0</v>
      </c>
      <c r="Z371" s="274">
        <f t="shared" si="141"/>
        <v>0</v>
      </c>
    </row>
    <row r="372" s="251" customFormat="1" customHeight="1" spans="1:26">
      <c r="A372" s="270">
        <v>27</v>
      </c>
      <c r="B372" s="271">
        <f>'人员人工-研发人员工资'!B372</f>
        <v>0</v>
      </c>
      <c r="C372" s="274"/>
      <c r="D372" s="272">
        <f>'人员人工-研发人员工资'!D372</f>
        <v>0</v>
      </c>
      <c r="E372" s="272">
        <f t="shared" si="130"/>
        <v>0</v>
      </c>
      <c r="F372" s="272">
        <f t="shared" si="131"/>
        <v>0</v>
      </c>
      <c r="G372" s="273">
        <f>'人员人工-研发人员工资'!G372</f>
        <v>0</v>
      </c>
      <c r="H372" s="274">
        <f t="shared" si="132"/>
        <v>0</v>
      </c>
      <c r="I372" s="273">
        <f>'人员人工-研发人员工资'!I372</f>
        <v>0</v>
      </c>
      <c r="J372" s="274">
        <f t="shared" si="133"/>
        <v>0</v>
      </c>
      <c r="K372" s="275">
        <f>'人员人工-研发人员工资'!K372</f>
        <v>0</v>
      </c>
      <c r="L372" s="274">
        <f t="shared" si="134"/>
        <v>0</v>
      </c>
      <c r="M372" s="273">
        <f>'人员人工-研发人员工资'!M372</f>
        <v>0</v>
      </c>
      <c r="N372" s="274">
        <f t="shared" si="135"/>
        <v>0</v>
      </c>
      <c r="O372" s="273">
        <f>'人员人工-研发人员工资'!O372</f>
        <v>0</v>
      </c>
      <c r="P372" s="274">
        <f t="shared" si="136"/>
        <v>0</v>
      </c>
      <c r="Q372" s="273">
        <f>'人员人工-研发人员工资'!Q372</f>
        <v>0</v>
      </c>
      <c r="R372" s="274">
        <f t="shared" si="137"/>
        <v>0</v>
      </c>
      <c r="S372" s="273">
        <f>'人员人工-研发人员工资'!S372</f>
        <v>0</v>
      </c>
      <c r="T372" s="274">
        <f t="shared" si="138"/>
        <v>0</v>
      </c>
      <c r="U372" s="273">
        <f>'人员人工-研发人员工资'!U372</f>
        <v>0</v>
      </c>
      <c r="V372" s="274">
        <f t="shared" si="139"/>
        <v>0</v>
      </c>
      <c r="W372" s="273">
        <f>'人员人工-研发人员工资'!W372</f>
        <v>0</v>
      </c>
      <c r="X372" s="274">
        <f t="shared" si="140"/>
        <v>0</v>
      </c>
      <c r="Y372" s="273">
        <f>'人员人工-研发人员工资'!Y372</f>
        <v>0</v>
      </c>
      <c r="Z372" s="274">
        <f t="shared" si="141"/>
        <v>0</v>
      </c>
    </row>
    <row r="373" s="251" customFormat="1" customHeight="1" spans="1:26">
      <c r="A373" s="270">
        <v>28</v>
      </c>
      <c r="B373" s="271">
        <f>'人员人工-研发人员工资'!B373</f>
        <v>0</v>
      </c>
      <c r="C373" s="274"/>
      <c r="D373" s="272">
        <f>'人员人工-研发人员工资'!D373</f>
        <v>0</v>
      </c>
      <c r="E373" s="272">
        <f t="shared" si="130"/>
        <v>0</v>
      </c>
      <c r="F373" s="272">
        <f t="shared" si="131"/>
        <v>0</v>
      </c>
      <c r="G373" s="273">
        <f>'人员人工-研发人员工资'!G373</f>
        <v>0</v>
      </c>
      <c r="H373" s="274">
        <f t="shared" si="132"/>
        <v>0</v>
      </c>
      <c r="I373" s="273">
        <f>'人员人工-研发人员工资'!I373</f>
        <v>0</v>
      </c>
      <c r="J373" s="274">
        <f t="shared" si="133"/>
        <v>0</v>
      </c>
      <c r="K373" s="275">
        <f>'人员人工-研发人员工资'!K373</f>
        <v>0</v>
      </c>
      <c r="L373" s="274">
        <f t="shared" si="134"/>
        <v>0</v>
      </c>
      <c r="M373" s="273">
        <f>'人员人工-研发人员工资'!M373</f>
        <v>0</v>
      </c>
      <c r="N373" s="274">
        <f t="shared" si="135"/>
        <v>0</v>
      </c>
      <c r="O373" s="273">
        <f>'人员人工-研发人员工资'!O373</f>
        <v>0</v>
      </c>
      <c r="P373" s="274">
        <f t="shared" si="136"/>
        <v>0</v>
      </c>
      <c r="Q373" s="273">
        <f>'人员人工-研发人员工资'!Q373</f>
        <v>0</v>
      </c>
      <c r="R373" s="274">
        <f t="shared" si="137"/>
        <v>0</v>
      </c>
      <c r="S373" s="273">
        <f>'人员人工-研发人员工资'!S373</f>
        <v>0</v>
      </c>
      <c r="T373" s="274">
        <f t="shared" si="138"/>
        <v>0</v>
      </c>
      <c r="U373" s="273">
        <f>'人员人工-研发人员工资'!U373</f>
        <v>0</v>
      </c>
      <c r="V373" s="274">
        <f t="shared" si="139"/>
        <v>0</v>
      </c>
      <c r="W373" s="273">
        <f>'人员人工-研发人员工资'!W373</f>
        <v>0</v>
      </c>
      <c r="X373" s="274">
        <f t="shared" si="140"/>
        <v>0</v>
      </c>
      <c r="Y373" s="273">
        <f>'人员人工-研发人员工资'!Y373</f>
        <v>0</v>
      </c>
      <c r="Z373" s="274">
        <f t="shared" si="141"/>
        <v>0</v>
      </c>
    </row>
    <row r="374" s="251" customFormat="1" customHeight="1" spans="1:26">
      <c r="A374" s="270">
        <v>29</v>
      </c>
      <c r="B374" s="271">
        <f>'人员人工-研发人员工资'!B374</f>
        <v>0</v>
      </c>
      <c r="C374" s="274"/>
      <c r="D374" s="272">
        <f>'人员人工-研发人员工资'!D374</f>
        <v>0</v>
      </c>
      <c r="E374" s="272">
        <f t="shared" si="130"/>
        <v>0</v>
      </c>
      <c r="F374" s="272">
        <f t="shared" si="131"/>
        <v>0</v>
      </c>
      <c r="G374" s="273">
        <f>'人员人工-研发人员工资'!G374</f>
        <v>0</v>
      </c>
      <c r="H374" s="274">
        <f t="shared" si="132"/>
        <v>0</v>
      </c>
      <c r="I374" s="273">
        <f>'人员人工-研发人员工资'!I374</f>
        <v>0</v>
      </c>
      <c r="J374" s="274">
        <f t="shared" si="133"/>
        <v>0</v>
      </c>
      <c r="K374" s="275">
        <f>'人员人工-研发人员工资'!K374</f>
        <v>0</v>
      </c>
      <c r="L374" s="274">
        <f t="shared" si="134"/>
        <v>0</v>
      </c>
      <c r="M374" s="273">
        <f>'人员人工-研发人员工资'!M374</f>
        <v>0</v>
      </c>
      <c r="N374" s="274">
        <f t="shared" si="135"/>
        <v>0</v>
      </c>
      <c r="O374" s="273">
        <f>'人员人工-研发人员工资'!O374</f>
        <v>0</v>
      </c>
      <c r="P374" s="274">
        <f t="shared" si="136"/>
        <v>0</v>
      </c>
      <c r="Q374" s="273">
        <f>'人员人工-研发人员工资'!Q374</f>
        <v>0</v>
      </c>
      <c r="R374" s="274">
        <f t="shared" si="137"/>
        <v>0</v>
      </c>
      <c r="S374" s="273">
        <f>'人员人工-研发人员工资'!S374</f>
        <v>0</v>
      </c>
      <c r="T374" s="274">
        <f t="shared" si="138"/>
        <v>0</v>
      </c>
      <c r="U374" s="273">
        <f>'人员人工-研发人员工资'!U374</f>
        <v>0</v>
      </c>
      <c r="V374" s="274">
        <f t="shared" si="139"/>
        <v>0</v>
      </c>
      <c r="W374" s="273">
        <f>'人员人工-研发人员工资'!W374</f>
        <v>0</v>
      </c>
      <c r="X374" s="274">
        <f t="shared" si="140"/>
        <v>0</v>
      </c>
      <c r="Y374" s="273">
        <f>'人员人工-研发人员工资'!Y374</f>
        <v>0</v>
      </c>
      <c r="Z374" s="274">
        <f t="shared" si="141"/>
        <v>0</v>
      </c>
    </row>
    <row r="375" s="251" customFormat="1" customHeight="1" spans="1:26">
      <c r="A375" s="270">
        <v>30</v>
      </c>
      <c r="B375" s="271">
        <f>'人员人工-研发人员工资'!B375</f>
        <v>0</v>
      </c>
      <c r="C375" s="274"/>
      <c r="D375" s="272">
        <f>'人员人工-研发人员工资'!D375</f>
        <v>0</v>
      </c>
      <c r="E375" s="272">
        <f t="shared" si="130"/>
        <v>0</v>
      </c>
      <c r="F375" s="272">
        <f t="shared" si="131"/>
        <v>0</v>
      </c>
      <c r="G375" s="273">
        <f>'人员人工-研发人员工资'!G375</f>
        <v>0</v>
      </c>
      <c r="H375" s="274">
        <f t="shared" si="132"/>
        <v>0</v>
      </c>
      <c r="I375" s="273">
        <f>'人员人工-研发人员工资'!I375</f>
        <v>0</v>
      </c>
      <c r="J375" s="274">
        <f t="shared" si="133"/>
        <v>0</v>
      </c>
      <c r="K375" s="275">
        <f>'人员人工-研发人员工资'!K375</f>
        <v>0</v>
      </c>
      <c r="L375" s="274">
        <f t="shared" si="134"/>
        <v>0</v>
      </c>
      <c r="M375" s="273">
        <f>'人员人工-研发人员工资'!M375</f>
        <v>0</v>
      </c>
      <c r="N375" s="274">
        <f t="shared" si="135"/>
        <v>0</v>
      </c>
      <c r="O375" s="273">
        <f>'人员人工-研发人员工资'!O375</f>
        <v>0</v>
      </c>
      <c r="P375" s="274">
        <f t="shared" si="136"/>
        <v>0</v>
      </c>
      <c r="Q375" s="273">
        <f>'人员人工-研发人员工资'!Q375</f>
        <v>0</v>
      </c>
      <c r="R375" s="274">
        <f t="shared" si="137"/>
        <v>0</v>
      </c>
      <c r="S375" s="273">
        <f>'人员人工-研发人员工资'!S375</f>
        <v>0</v>
      </c>
      <c r="T375" s="274">
        <f t="shared" si="138"/>
        <v>0</v>
      </c>
      <c r="U375" s="273">
        <f>'人员人工-研发人员工资'!U375</f>
        <v>0</v>
      </c>
      <c r="V375" s="274">
        <f t="shared" si="139"/>
        <v>0</v>
      </c>
      <c r="W375" s="273">
        <f>'人员人工-研发人员工资'!W375</f>
        <v>0</v>
      </c>
      <c r="X375" s="274">
        <f t="shared" si="140"/>
        <v>0</v>
      </c>
      <c r="Y375" s="273">
        <f>'人员人工-研发人员工资'!Y375</f>
        <v>0</v>
      </c>
      <c r="Z375" s="274">
        <f t="shared" si="141"/>
        <v>0</v>
      </c>
    </row>
    <row r="376" s="251" customFormat="1" customHeight="1" spans="1:26">
      <c r="A376" s="276" t="s">
        <v>22</v>
      </c>
      <c r="B376" s="277"/>
      <c r="C376" s="261">
        <f t="shared" ref="C376:Z376" si="142">SUM(C346:C375)</f>
        <v>0</v>
      </c>
      <c r="D376" s="261">
        <f t="shared" si="142"/>
        <v>0</v>
      </c>
      <c r="E376" s="261">
        <f t="shared" si="142"/>
        <v>0</v>
      </c>
      <c r="F376" s="272">
        <f t="shared" si="142"/>
        <v>0</v>
      </c>
      <c r="G376" s="261">
        <f t="shared" si="142"/>
        <v>0</v>
      </c>
      <c r="H376" s="261">
        <f t="shared" si="142"/>
        <v>0</v>
      </c>
      <c r="I376" s="261">
        <f t="shared" si="142"/>
        <v>0</v>
      </c>
      <c r="J376" s="261">
        <f t="shared" si="142"/>
        <v>0</v>
      </c>
      <c r="K376" s="261">
        <f t="shared" si="142"/>
        <v>0</v>
      </c>
      <c r="L376" s="261">
        <f t="shared" si="142"/>
        <v>0</v>
      </c>
      <c r="M376" s="261">
        <f t="shared" si="142"/>
        <v>0</v>
      </c>
      <c r="N376" s="261">
        <f t="shared" si="142"/>
        <v>0</v>
      </c>
      <c r="O376" s="261">
        <f t="shared" si="142"/>
        <v>0</v>
      </c>
      <c r="P376" s="261">
        <f t="shared" si="142"/>
        <v>0</v>
      </c>
      <c r="Q376" s="261">
        <f t="shared" si="142"/>
        <v>0</v>
      </c>
      <c r="R376" s="261">
        <f t="shared" si="142"/>
        <v>0</v>
      </c>
      <c r="S376" s="261">
        <f t="shared" si="142"/>
        <v>0</v>
      </c>
      <c r="T376" s="261">
        <f t="shared" si="142"/>
        <v>0</v>
      </c>
      <c r="U376" s="261">
        <f t="shared" si="142"/>
        <v>0</v>
      </c>
      <c r="V376" s="261">
        <f t="shared" si="142"/>
        <v>0</v>
      </c>
      <c r="W376" s="261">
        <f t="shared" si="142"/>
        <v>0</v>
      </c>
      <c r="X376" s="261">
        <f t="shared" si="142"/>
        <v>0</v>
      </c>
      <c r="Y376" s="261">
        <f t="shared" si="142"/>
        <v>0</v>
      </c>
      <c r="Z376" s="261">
        <f t="shared" si="142"/>
        <v>0</v>
      </c>
    </row>
    <row r="377" s="251" customFormat="1" customHeight="1" spans="1:26">
      <c r="A377" s="252"/>
      <c r="B377" s="253"/>
      <c r="C377" s="254"/>
      <c r="D377" s="254"/>
      <c r="E377" s="255"/>
      <c r="F377" s="255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</row>
    <row r="378" s="251" customFormat="1" customHeight="1" spans="1:26">
      <c r="A378" s="252"/>
      <c r="B378" s="253"/>
      <c r="C378" s="254"/>
      <c r="D378" s="254"/>
      <c r="E378" s="255"/>
      <c r="F378" s="255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</row>
    <row r="379" s="251" customFormat="1" customHeight="1" spans="1:26">
      <c r="A379" s="252"/>
      <c r="B379" s="257" t="s">
        <v>169</v>
      </c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  <c r="Z379" s="258"/>
    </row>
    <row r="380" s="251" customFormat="1" customHeight="1" spans="1:26">
      <c r="A380" s="252"/>
      <c r="B380" s="253"/>
      <c r="C380" s="254"/>
      <c r="D380" s="254"/>
      <c r="E380" s="255"/>
      <c r="F380" s="255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</row>
    <row r="381" s="251" customFormat="1" customHeight="1" spans="1:26">
      <c r="A381" s="259" t="s">
        <v>31</v>
      </c>
      <c r="B381" s="260" t="s">
        <v>32</v>
      </c>
      <c r="C381" s="261" t="s">
        <v>157</v>
      </c>
      <c r="D381" s="261" t="s">
        <v>34</v>
      </c>
      <c r="E381" s="262" t="s">
        <v>35</v>
      </c>
      <c r="F381" s="262" t="s">
        <v>158</v>
      </c>
      <c r="G381" s="263" t="str">
        <f>立项!$A$3</f>
        <v>RD01</v>
      </c>
      <c r="H381" s="264"/>
      <c r="I381" s="264" t="str">
        <f>立项!$A$4</f>
        <v>RD02</v>
      </c>
      <c r="J381" s="264"/>
      <c r="K381" s="264" t="str">
        <f>立项!$A$5</f>
        <v>RD03</v>
      </c>
      <c r="L381" s="264"/>
      <c r="M381" s="264" t="str">
        <f>立项!$A$6</f>
        <v>RD04</v>
      </c>
      <c r="N381" s="264"/>
      <c r="O381" s="264" t="str">
        <f>立项!$A$7</f>
        <v>RD05</v>
      </c>
      <c r="P381" s="264"/>
      <c r="Q381" s="264" t="str">
        <f>立项!$A$8</f>
        <v>RD06</v>
      </c>
      <c r="R381" s="264"/>
      <c r="S381" s="264" t="str">
        <f>立项!$A$9</f>
        <v>RD07</v>
      </c>
      <c r="T381" s="264"/>
      <c r="U381" s="264" t="str">
        <f>立项!$A$10</f>
        <v>RD08</v>
      </c>
      <c r="V381" s="264"/>
      <c r="W381" s="264" t="str">
        <f>立项!$A$11</f>
        <v>RD09</v>
      </c>
      <c r="X381" s="264"/>
      <c r="Y381" s="264" t="str">
        <f>立项!$A$12</f>
        <v>RD10</v>
      </c>
      <c r="Z381" s="264"/>
    </row>
    <row r="382" s="251" customFormat="1" customHeight="1" spans="1:26">
      <c r="A382" s="265"/>
      <c r="B382" s="260"/>
      <c r="C382" s="261"/>
      <c r="D382" s="261"/>
      <c r="E382" s="262"/>
      <c r="F382" s="262"/>
      <c r="G382" s="267">
        <f>立项!C3</f>
        <v>0</v>
      </c>
      <c r="H382" s="263"/>
      <c r="I382" s="267">
        <f>立项!C4</f>
        <v>0</v>
      </c>
      <c r="J382" s="263"/>
      <c r="K382" s="267">
        <f>立项!C5</f>
        <v>0</v>
      </c>
      <c r="L382" s="263"/>
      <c r="M382" s="267">
        <f>立项!C6</f>
        <v>0</v>
      </c>
      <c r="N382" s="263"/>
      <c r="O382" s="267">
        <f>立项!C7</f>
        <v>0</v>
      </c>
      <c r="P382" s="263"/>
      <c r="Q382" s="267">
        <f>立项!C8</f>
        <v>0</v>
      </c>
      <c r="R382" s="263"/>
      <c r="S382" s="267">
        <f>立项!C9</f>
        <v>0</v>
      </c>
      <c r="T382" s="263"/>
      <c r="U382" s="267">
        <f>立项!C10</f>
        <v>0</v>
      </c>
      <c r="V382" s="263"/>
      <c r="W382" s="267">
        <f>立项!C11</f>
        <v>0</v>
      </c>
      <c r="X382" s="263"/>
      <c r="Y382" s="264">
        <f>立项!C12</f>
        <v>0</v>
      </c>
      <c r="Z382" s="264"/>
    </row>
    <row r="383" s="251" customFormat="1" customHeight="1" spans="1:26">
      <c r="A383" s="268"/>
      <c r="B383" s="260"/>
      <c r="C383" s="261"/>
      <c r="D383" s="261"/>
      <c r="E383" s="262"/>
      <c r="F383" s="262"/>
      <c r="G383" s="264" t="s">
        <v>39</v>
      </c>
      <c r="H383" s="269" t="s">
        <v>159</v>
      </c>
      <c r="I383" s="264" t="s">
        <v>39</v>
      </c>
      <c r="J383" s="269" t="s">
        <v>159</v>
      </c>
      <c r="K383" s="264" t="s">
        <v>39</v>
      </c>
      <c r="L383" s="269" t="s">
        <v>159</v>
      </c>
      <c r="M383" s="264" t="s">
        <v>39</v>
      </c>
      <c r="N383" s="269" t="s">
        <v>159</v>
      </c>
      <c r="O383" s="264" t="s">
        <v>39</v>
      </c>
      <c r="P383" s="269" t="s">
        <v>159</v>
      </c>
      <c r="Q383" s="264" t="s">
        <v>39</v>
      </c>
      <c r="R383" s="269" t="s">
        <v>159</v>
      </c>
      <c r="S383" s="264" t="s">
        <v>39</v>
      </c>
      <c r="T383" s="269" t="s">
        <v>159</v>
      </c>
      <c r="U383" s="264" t="s">
        <v>39</v>
      </c>
      <c r="V383" s="269" t="s">
        <v>159</v>
      </c>
      <c r="W383" s="264" t="s">
        <v>39</v>
      </c>
      <c r="X383" s="269" t="s">
        <v>159</v>
      </c>
      <c r="Y383" s="264" t="s">
        <v>39</v>
      </c>
      <c r="Z383" s="269" t="s">
        <v>159</v>
      </c>
    </row>
    <row r="384" s="251" customFormat="1" customHeight="1" spans="1:26">
      <c r="A384" s="270">
        <v>1</v>
      </c>
      <c r="B384" s="271">
        <f>'人员人工-研发人员工资'!B384</f>
        <v>0</v>
      </c>
      <c r="C384" s="272"/>
      <c r="D384" s="272">
        <f>'人员人工-研发人员工资'!D384</f>
        <v>0</v>
      </c>
      <c r="E384" s="272">
        <f t="shared" ref="E384:E413" si="143">G384+I384+K384+M384+O384+Q384+S384+U384+W384+Y384</f>
        <v>0</v>
      </c>
      <c r="F384" s="272">
        <f t="shared" ref="F384:F413" si="144">H384+J384+L384+N384+P384+R384+T384+V384+X384+Z384</f>
        <v>0</v>
      </c>
      <c r="G384" s="273">
        <f>'人员人工-研发人员工资'!G384</f>
        <v>0</v>
      </c>
      <c r="H384" s="274">
        <f t="shared" ref="H384:H413" si="145">IF($D384=0,0,ROUND(G384/$D384*$C384,2))</f>
        <v>0</v>
      </c>
      <c r="I384" s="273">
        <f>'人员人工-研发人员工资'!I384</f>
        <v>0</v>
      </c>
      <c r="J384" s="274">
        <f t="shared" ref="J384:J413" si="146">IF($D384=0,0,ROUND(I384/$D384*$C384,2))</f>
        <v>0</v>
      </c>
      <c r="K384" s="275">
        <f>'人员人工-研发人员工资'!K384</f>
        <v>0</v>
      </c>
      <c r="L384" s="274">
        <f t="shared" ref="L384:L413" si="147">IF($D384=0,0,ROUND(K384/$D384*$C384,2))</f>
        <v>0</v>
      </c>
      <c r="M384" s="273">
        <f>'人员人工-研发人员工资'!M384</f>
        <v>0</v>
      </c>
      <c r="N384" s="274">
        <f t="shared" ref="N384:N413" si="148">IF($D384=0,0,ROUND(M384/$D384*$C384,2))</f>
        <v>0</v>
      </c>
      <c r="O384" s="273">
        <f>'人员人工-研发人员工资'!O384</f>
        <v>0</v>
      </c>
      <c r="P384" s="274">
        <f t="shared" ref="P384:P413" si="149">IF($D384=0,0,ROUND(O384/$D384*$C384,2))</f>
        <v>0</v>
      </c>
      <c r="Q384" s="273">
        <f>'人员人工-研发人员工资'!Q384</f>
        <v>0</v>
      </c>
      <c r="R384" s="274">
        <f t="shared" ref="R384:R413" si="150">IF($D384=0,0,ROUND(Q384/$D384*$C384,2))</f>
        <v>0</v>
      </c>
      <c r="S384" s="273">
        <f>'人员人工-研发人员工资'!S384</f>
        <v>0</v>
      </c>
      <c r="T384" s="274">
        <f t="shared" ref="T384:T413" si="151">IF($D384=0,0,ROUND(S384/$D384*$C384,2))</f>
        <v>0</v>
      </c>
      <c r="U384" s="273">
        <f>'人员人工-研发人员工资'!U384</f>
        <v>0</v>
      </c>
      <c r="V384" s="274">
        <f t="shared" ref="V384:V413" si="152">IF($D384=0,0,ROUND(U384/$D384*$C384,2))</f>
        <v>0</v>
      </c>
      <c r="W384" s="273">
        <f>'人员人工-研发人员工资'!W384</f>
        <v>0</v>
      </c>
      <c r="X384" s="274">
        <f t="shared" ref="X384:X413" si="153">IF($D384=0,0,ROUND(W384/$D384*$C384,2))</f>
        <v>0</v>
      </c>
      <c r="Y384" s="273">
        <f>'人员人工-研发人员工资'!Y384</f>
        <v>0</v>
      </c>
      <c r="Z384" s="274">
        <f t="shared" ref="Z384:Z413" si="154">IF($D384=0,0,ROUND(Y384/$D384*$C384,2))</f>
        <v>0</v>
      </c>
    </row>
    <row r="385" s="251" customFormat="1" customHeight="1" spans="1:26">
      <c r="A385" s="270">
        <v>2</v>
      </c>
      <c r="B385" s="271">
        <f>'人员人工-研发人员工资'!B385</f>
        <v>0</v>
      </c>
      <c r="C385" s="272"/>
      <c r="D385" s="272">
        <f>'人员人工-研发人员工资'!D385</f>
        <v>0</v>
      </c>
      <c r="E385" s="272">
        <f t="shared" si="143"/>
        <v>0</v>
      </c>
      <c r="F385" s="272">
        <f t="shared" si="144"/>
        <v>0</v>
      </c>
      <c r="G385" s="273">
        <f>'人员人工-研发人员工资'!G385</f>
        <v>0</v>
      </c>
      <c r="H385" s="274">
        <f t="shared" si="145"/>
        <v>0</v>
      </c>
      <c r="I385" s="273">
        <f>'人员人工-研发人员工资'!I385</f>
        <v>0</v>
      </c>
      <c r="J385" s="274">
        <f t="shared" si="146"/>
        <v>0</v>
      </c>
      <c r="K385" s="275">
        <f>'人员人工-研发人员工资'!K385</f>
        <v>0</v>
      </c>
      <c r="L385" s="274">
        <f t="shared" si="147"/>
        <v>0</v>
      </c>
      <c r="M385" s="273">
        <f>'人员人工-研发人员工资'!M385</f>
        <v>0</v>
      </c>
      <c r="N385" s="274">
        <f t="shared" si="148"/>
        <v>0</v>
      </c>
      <c r="O385" s="273">
        <f>'人员人工-研发人员工资'!O385</f>
        <v>0</v>
      </c>
      <c r="P385" s="274">
        <f t="shared" si="149"/>
        <v>0</v>
      </c>
      <c r="Q385" s="273">
        <f>'人员人工-研发人员工资'!Q385</f>
        <v>0</v>
      </c>
      <c r="R385" s="274">
        <f t="shared" si="150"/>
        <v>0</v>
      </c>
      <c r="S385" s="273">
        <f>'人员人工-研发人员工资'!S385</f>
        <v>0</v>
      </c>
      <c r="T385" s="274">
        <f t="shared" si="151"/>
        <v>0</v>
      </c>
      <c r="U385" s="273">
        <f>'人员人工-研发人员工资'!U385</f>
        <v>0</v>
      </c>
      <c r="V385" s="274">
        <f t="shared" si="152"/>
        <v>0</v>
      </c>
      <c r="W385" s="273">
        <f>'人员人工-研发人员工资'!W385</f>
        <v>0</v>
      </c>
      <c r="X385" s="274">
        <f t="shared" si="153"/>
        <v>0</v>
      </c>
      <c r="Y385" s="273">
        <f>'人员人工-研发人员工资'!Y385</f>
        <v>0</v>
      </c>
      <c r="Z385" s="274">
        <f t="shared" si="154"/>
        <v>0</v>
      </c>
    </row>
    <row r="386" s="251" customFormat="1" customHeight="1" spans="1:26">
      <c r="A386" s="270">
        <v>3</v>
      </c>
      <c r="B386" s="271">
        <f>'人员人工-研发人员工资'!B386</f>
        <v>0</v>
      </c>
      <c r="C386" s="272"/>
      <c r="D386" s="272">
        <f>'人员人工-研发人员工资'!D386</f>
        <v>0</v>
      </c>
      <c r="E386" s="272">
        <f t="shared" si="143"/>
        <v>0</v>
      </c>
      <c r="F386" s="272">
        <f t="shared" si="144"/>
        <v>0</v>
      </c>
      <c r="G386" s="273">
        <f>'人员人工-研发人员工资'!G386</f>
        <v>0</v>
      </c>
      <c r="H386" s="274">
        <f t="shared" si="145"/>
        <v>0</v>
      </c>
      <c r="I386" s="273">
        <f>'人员人工-研发人员工资'!I386</f>
        <v>0</v>
      </c>
      <c r="J386" s="274">
        <f t="shared" si="146"/>
        <v>0</v>
      </c>
      <c r="K386" s="275">
        <f>'人员人工-研发人员工资'!K386</f>
        <v>0</v>
      </c>
      <c r="L386" s="274">
        <f t="shared" si="147"/>
        <v>0</v>
      </c>
      <c r="M386" s="273">
        <f>'人员人工-研发人员工资'!M386</f>
        <v>0</v>
      </c>
      <c r="N386" s="274">
        <f t="shared" si="148"/>
        <v>0</v>
      </c>
      <c r="O386" s="273">
        <f>'人员人工-研发人员工资'!O386</f>
        <v>0</v>
      </c>
      <c r="P386" s="274">
        <f t="shared" si="149"/>
        <v>0</v>
      </c>
      <c r="Q386" s="273">
        <f>'人员人工-研发人员工资'!Q386</f>
        <v>0</v>
      </c>
      <c r="R386" s="274">
        <f t="shared" si="150"/>
        <v>0</v>
      </c>
      <c r="S386" s="273">
        <f>'人员人工-研发人员工资'!S386</f>
        <v>0</v>
      </c>
      <c r="T386" s="274">
        <f t="shared" si="151"/>
        <v>0</v>
      </c>
      <c r="U386" s="273">
        <f>'人员人工-研发人员工资'!U386</f>
        <v>0</v>
      </c>
      <c r="V386" s="274">
        <f t="shared" si="152"/>
        <v>0</v>
      </c>
      <c r="W386" s="273">
        <f>'人员人工-研发人员工资'!W386</f>
        <v>0</v>
      </c>
      <c r="X386" s="274">
        <f t="shared" si="153"/>
        <v>0</v>
      </c>
      <c r="Y386" s="273">
        <f>'人员人工-研发人员工资'!Y386</f>
        <v>0</v>
      </c>
      <c r="Z386" s="274">
        <f t="shared" si="154"/>
        <v>0</v>
      </c>
    </row>
    <row r="387" s="251" customFormat="1" customHeight="1" spans="1:26">
      <c r="A387" s="270">
        <v>4</v>
      </c>
      <c r="B387" s="271">
        <f>'人员人工-研发人员工资'!B387</f>
        <v>0</v>
      </c>
      <c r="C387" s="272"/>
      <c r="D387" s="272">
        <f>'人员人工-研发人员工资'!D387</f>
        <v>0</v>
      </c>
      <c r="E387" s="272">
        <f t="shared" si="143"/>
        <v>0</v>
      </c>
      <c r="F387" s="272">
        <f t="shared" si="144"/>
        <v>0</v>
      </c>
      <c r="G387" s="273">
        <f>'人员人工-研发人员工资'!G387</f>
        <v>0</v>
      </c>
      <c r="H387" s="274">
        <f t="shared" si="145"/>
        <v>0</v>
      </c>
      <c r="I387" s="273">
        <f>'人员人工-研发人员工资'!I387</f>
        <v>0</v>
      </c>
      <c r="J387" s="274">
        <f t="shared" si="146"/>
        <v>0</v>
      </c>
      <c r="K387" s="275">
        <f>'人员人工-研发人员工资'!K387</f>
        <v>0</v>
      </c>
      <c r="L387" s="274">
        <f t="shared" si="147"/>
        <v>0</v>
      </c>
      <c r="M387" s="273">
        <f>'人员人工-研发人员工资'!M387</f>
        <v>0</v>
      </c>
      <c r="N387" s="274">
        <f t="shared" si="148"/>
        <v>0</v>
      </c>
      <c r="O387" s="273">
        <f>'人员人工-研发人员工资'!O387</f>
        <v>0</v>
      </c>
      <c r="P387" s="274">
        <f t="shared" si="149"/>
        <v>0</v>
      </c>
      <c r="Q387" s="273">
        <f>'人员人工-研发人员工资'!Q387</f>
        <v>0</v>
      </c>
      <c r="R387" s="274">
        <f t="shared" si="150"/>
        <v>0</v>
      </c>
      <c r="S387" s="273">
        <f>'人员人工-研发人员工资'!S387</f>
        <v>0</v>
      </c>
      <c r="T387" s="274">
        <f t="shared" si="151"/>
        <v>0</v>
      </c>
      <c r="U387" s="273">
        <f>'人员人工-研发人员工资'!U387</f>
        <v>0</v>
      </c>
      <c r="V387" s="274">
        <f t="shared" si="152"/>
        <v>0</v>
      </c>
      <c r="W387" s="273">
        <f>'人员人工-研发人员工资'!W387</f>
        <v>0</v>
      </c>
      <c r="X387" s="274">
        <f t="shared" si="153"/>
        <v>0</v>
      </c>
      <c r="Y387" s="273">
        <f>'人员人工-研发人员工资'!Y387</f>
        <v>0</v>
      </c>
      <c r="Z387" s="274">
        <f t="shared" si="154"/>
        <v>0</v>
      </c>
    </row>
    <row r="388" s="251" customFormat="1" customHeight="1" spans="1:26">
      <c r="A388" s="270">
        <v>5</v>
      </c>
      <c r="B388" s="271">
        <f>'人员人工-研发人员工资'!B388</f>
        <v>0</v>
      </c>
      <c r="C388" s="272"/>
      <c r="D388" s="272">
        <f>'人员人工-研发人员工资'!D388</f>
        <v>0</v>
      </c>
      <c r="E388" s="272">
        <f t="shared" si="143"/>
        <v>0</v>
      </c>
      <c r="F388" s="272">
        <f t="shared" si="144"/>
        <v>0</v>
      </c>
      <c r="G388" s="273">
        <f>'人员人工-研发人员工资'!G388</f>
        <v>0</v>
      </c>
      <c r="H388" s="274">
        <f t="shared" si="145"/>
        <v>0</v>
      </c>
      <c r="I388" s="273">
        <f>'人员人工-研发人员工资'!I388</f>
        <v>0</v>
      </c>
      <c r="J388" s="274">
        <f t="shared" si="146"/>
        <v>0</v>
      </c>
      <c r="K388" s="275">
        <f>'人员人工-研发人员工资'!K388</f>
        <v>0</v>
      </c>
      <c r="L388" s="274">
        <f t="shared" si="147"/>
        <v>0</v>
      </c>
      <c r="M388" s="273">
        <f>'人员人工-研发人员工资'!M388</f>
        <v>0</v>
      </c>
      <c r="N388" s="274">
        <f t="shared" si="148"/>
        <v>0</v>
      </c>
      <c r="O388" s="273">
        <f>'人员人工-研发人员工资'!O388</f>
        <v>0</v>
      </c>
      <c r="P388" s="274">
        <f t="shared" si="149"/>
        <v>0</v>
      </c>
      <c r="Q388" s="273">
        <f>'人员人工-研发人员工资'!Q388</f>
        <v>0</v>
      </c>
      <c r="R388" s="274">
        <f t="shared" si="150"/>
        <v>0</v>
      </c>
      <c r="S388" s="273">
        <f>'人员人工-研发人员工资'!S388</f>
        <v>0</v>
      </c>
      <c r="T388" s="274">
        <f t="shared" si="151"/>
        <v>0</v>
      </c>
      <c r="U388" s="273">
        <f>'人员人工-研发人员工资'!U388</f>
        <v>0</v>
      </c>
      <c r="V388" s="274">
        <f t="shared" si="152"/>
        <v>0</v>
      </c>
      <c r="W388" s="273">
        <f>'人员人工-研发人员工资'!W388</f>
        <v>0</v>
      </c>
      <c r="X388" s="274">
        <f t="shared" si="153"/>
        <v>0</v>
      </c>
      <c r="Y388" s="273">
        <f>'人员人工-研发人员工资'!Y388</f>
        <v>0</v>
      </c>
      <c r="Z388" s="274">
        <f t="shared" si="154"/>
        <v>0</v>
      </c>
    </row>
    <row r="389" s="251" customFormat="1" customHeight="1" spans="1:26">
      <c r="A389" s="270">
        <v>6</v>
      </c>
      <c r="B389" s="271">
        <f>'人员人工-研发人员工资'!B389</f>
        <v>0</v>
      </c>
      <c r="C389" s="274"/>
      <c r="D389" s="272">
        <f>'人员人工-研发人员工资'!D389</f>
        <v>0</v>
      </c>
      <c r="E389" s="272">
        <f t="shared" si="143"/>
        <v>0</v>
      </c>
      <c r="F389" s="272">
        <f t="shared" si="144"/>
        <v>0</v>
      </c>
      <c r="G389" s="273">
        <f>'人员人工-研发人员工资'!G389</f>
        <v>0</v>
      </c>
      <c r="H389" s="274">
        <f t="shared" si="145"/>
        <v>0</v>
      </c>
      <c r="I389" s="273">
        <f>'人员人工-研发人员工资'!I389</f>
        <v>0</v>
      </c>
      <c r="J389" s="274">
        <f t="shared" si="146"/>
        <v>0</v>
      </c>
      <c r="K389" s="275">
        <f>'人员人工-研发人员工资'!K389</f>
        <v>0</v>
      </c>
      <c r="L389" s="274">
        <f t="shared" si="147"/>
        <v>0</v>
      </c>
      <c r="M389" s="273">
        <f>'人员人工-研发人员工资'!M389</f>
        <v>0</v>
      </c>
      <c r="N389" s="274">
        <f t="shared" si="148"/>
        <v>0</v>
      </c>
      <c r="O389" s="273">
        <f>'人员人工-研发人员工资'!O389</f>
        <v>0</v>
      </c>
      <c r="P389" s="274">
        <f t="shared" si="149"/>
        <v>0</v>
      </c>
      <c r="Q389" s="273">
        <f>'人员人工-研发人员工资'!Q389</f>
        <v>0</v>
      </c>
      <c r="R389" s="274">
        <f t="shared" si="150"/>
        <v>0</v>
      </c>
      <c r="S389" s="273">
        <f>'人员人工-研发人员工资'!S389</f>
        <v>0</v>
      </c>
      <c r="T389" s="274">
        <f t="shared" si="151"/>
        <v>0</v>
      </c>
      <c r="U389" s="273">
        <f>'人员人工-研发人员工资'!U389</f>
        <v>0</v>
      </c>
      <c r="V389" s="274">
        <f t="shared" si="152"/>
        <v>0</v>
      </c>
      <c r="W389" s="273">
        <f>'人员人工-研发人员工资'!W389</f>
        <v>0</v>
      </c>
      <c r="X389" s="274">
        <f t="shared" si="153"/>
        <v>0</v>
      </c>
      <c r="Y389" s="273">
        <f>'人员人工-研发人员工资'!Y389</f>
        <v>0</v>
      </c>
      <c r="Z389" s="274">
        <f t="shared" si="154"/>
        <v>0</v>
      </c>
    </row>
    <row r="390" s="251" customFormat="1" customHeight="1" spans="1:26">
      <c r="A390" s="270">
        <v>7</v>
      </c>
      <c r="B390" s="271">
        <f>'人员人工-研发人员工资'!B390</f>
        <v>0</v>
      </c>
      <c r="C390" s="274"/>
      <c r="D390" s="272">
        <f>'人员人工-研发人员工资'!D390</f>
        <v>0</v>
      </c>
      <c r="E390" s="272">
        <f t="shared" si="143"/>
        <v>0</v>
      </c>
      <c r="F390" s="272">
        <f t="shared" si="144"/>
        <v>0</v>
      </c>
      <c r="G390" s="273">
        <f>'人员人工-研发人员工资'!G390</f>
        <v>0</v>
      </c>
      <c r="H390" s="274">
        <f t="shared" si="145"/>
        <v>0</v>
      </c>
      <c r="I390" s="273">
        <f>'人员人工-研发人员工资'!I390</f>
        <v>0</v>
      </c>
      <c r="J390" s="274">
        <f t="shared" si="146"/>
        <v>0</v>
      </c>
      <c r="K390" s="275">
        <f>'人员人工-研发人员工资'!K390</f>
        <v>0</v>
      </c>
      <c r="L390" s="274">
        <f t="shared" si="147"/>
        <v>0</v>
      </c>
      <c r="M390" s="273">
        <f>'人员人工-研发人员工资'!M390</f>
        <v>0</v>
      </c>
      <c r="N390" s="274">
        <f t="shared" si="148"/>
        <v>0</v>
      </c>
      <c r="O390" s="273">
        <f>'人员人工-研发人员工资'!O390</f>
        <v>0</v>
      </c>
      <c r="P390" s="274">
        <f t="shared" si="149"/>
        <v>0</v>
      </c>
      <c r="Q390" s="273">
        <f>'人员人工-研发人员工资'!Q390</f>
        <v>0</v>
      </c>
      <c r="R390" s="274">
        <f t="shared" si="150"/>
        <v>0</v>
      </c>
      <c r="S390" s="273">
        <f>'人员人工-研发人员工资'!S390</f>
        <v>0</v>
      </c>
      <c r="T390" s="274">
        <f t="shared" si="151"/>
        <v>0</v>
      </c>
      <c r="U390" s="273">
        <f>'人员人工-研发人员工资'!U390</f>
        <v>0</v>
      </c>
      <c r="V390" s="274">
        <f t="shared" si="152"/>
        <v>0</v>
      </c>
      <c r="W390" s="273">
        <f>'人员人工-研发人员工资'!W390</f>
        <v>0</v>
      </c>
      <c r="X390" s="274">
        <f t="shared" si="153"/>
        <v>0</v>
      </c>
      <c r="Y390" s="273">
        <f>'人员人工-研发人员工资'!Y390</f>
        <v>0</v>
      </c>
      <c r="Z390" s="274">
        <f t="shared" si="154"/>
        <v>0</v>
      </c>
    </row>
    <row r="391" s="251" customFormat="1" customHeight="1" spans="1:26">
      <c r="A391" s="270">
        <v>8</v>
      </c>
      <c r="B391" s="271">
        <f>'人员人工-研发人员工资'!B391</f>
        <v>0</v>
      </c>
      <c r="C391" s="274"/>
      <c r="D391" s="272">
        <f>'人员人工-研发人员工资'!D391</f>
        <v>0</v>
      </c>
      <c r="E391" s="272">
        <f t="shared" si="143"/>
        <v>0</v>
      </c>
      <c r="F391" s="272">
        <f t="shared" si="144"/>
        <v>0</v>
      </c>
      <c r="G391" s="273">
        <f>'人员人工-研发人员工资'!G391</f>
        <v>0</v>
      </c>
      <c r="H391" s="274">
        <f t="shared" si="145"/>
        <v>0</v>
      </c>
      <c r="I391" s="273">
        <f>'人员人工-研发人员工资'!I391</f>
        <v>0</v>
      </c>
      <c r="J391" s="274">
        <f t="shared" si="146"/>
        <v>0</v>
      </c>
      <c r="K391" s="275">
        <f>'人员人工-研发人员工资'!K391</f>
        <v>0</v>
      </c>
      <c r="L391" s="274">
        <f t="shared" si="147"/>
        <v>0</v>
      </c>
      <c r="M391" s="273">
        <f>'人员人工-研发人员工资'!M391</f>
        <v>0</v>
      </c>
      <c r="N391" s="274">
        <f t="shared" si="148"/>
        <v>0</v>
      </c>
      <c r="O391" s="273">
        <f>'人员人工-研发人员工资'!O391</f>
        <v>0</v>
      </c>
      <c r="P391" s="274">
        <f t="shared" si="149"/>
        <v>0</v>
      </c>
      <c r="Q391" s="273">
        <f>'人员人工-研发人员工资'!Q391</f>
        <v>0</v>
      </c>
      <c r="R391" s="274">
        <f t="shared" si="150"/>
        <v>0</v>
      </c>
      <c r="S391" s="273">
        <f>'人员人工-研发人员工资'!S391</f>
        <v>0</v>
      </c>
      <c r="T391" s="274">
        <f t="shared" si="151"/>
        <v>0</v>
      </c>
      <c r="U391" s="273">
        <f>'人员人工-研发人员工资'!U391</f>
        <v>0</v>
      </c>
      <c r="V391" s="274">
        <f t="shared" si="152"/>
        <v>0</v>
      </c>
      <c r="W391" s="273">
        <f>'人员人工-研发人员工资'!W391</f>
        <v>0</v>
      </c>
      <c r="X391" s="274">
        <f t="shared" si="153"/>
        <v>0</v>
      </c>
      <c r="Y391" s="273">
        <f>'人员人工-研发人员工资'!Y391</f>
        <v>0</v>
      </c>
      <c r="Z391" s="274">
        <f t="shared" si="154"/>
        <v>0</v>
      </c>
    </row>
    <row r="392" s="251" customFormat="1" customHeight="1" spans="1:26">
      <c r="A392" s="270">
        <v>9</v>
      </c>
      <c r="B392" s="271">
        <f>'人员人工-研发人员工资'!B392</f>
        <v>0</v>
      </c>
      <c r="C392" s="274"/>
      <c r="D392" s="272">
        <f>'人员人工-研发人员工资'!D392</f>
        <v>0</v>
      </c>
      <c r="E392" s="272">
        <f t="shared" si="143"/>
        <v>0</v>
      </c>
      <c r="F392" s="272">
        <f t="shared" si="144"/>
        <v>0</v>
      </c>
      <c r="G392" s="273">
        <f>'人员人工-研发人员工资'!G392</f>
        <v>0</v>
      </c>
      <c r="H392" s="274">
        <f t="shared" si="145"/>
        <v>0</v>
      </c>
      <c r="I392" s="273">
        <f>'人员人工-研发人员工资'!I392</f>
        <v>0</v>
      </c>
      <c r="J392" s="274">
        <f t="shared" si="146"/>
        <v>0</v>
      </c>
      <c r="K392" s="275">
        <f>'人员人工-研发人员工资'!K392</f>
        <v>0</v>
      </c>
      <c r="L392" s="274">
        <f t="shared" si="147"/>
        <v>0</v>
      </c>
      <c r="M392" s="273">
        <f>'人员人工-研发人员工资'!M392</f>
        <v>0</v>
      </c>
      <c r="N392" s="274">
        <f t="shared" si="148"/>
        <v>0</v>
      </c>
      <c r="O392" s="273">
        <f>'人员人工-研发人员工资'!O392</f>
        <v>0</v>
      </c>
      <c r="P392" s="274">
        <f t="shared" si="149"/>
        <v>0</v>
      </c>
      <c r="Q392" s="273">
        <f>'人员人工-研发人员工资'!Q392</f>
        <v>0</v>
      </c>
      <c r="R392" s="274">
        <f t="shared" si="150"/>
        <v>0</v>
      </c>
      <c r="S392" s="273">
        <f>'人员人工-研发人员工资'!S392</f>
        <v>0</v>
      </c>
      <c r="T392" s="274">
        <f t="shared" si="151"/>
        <v>0</v>
      </c>
      <c r="U392" s="273">
        <f>'人员人工-研发人员工资'!U392</f>
        <v>0</v>
      </c>
      <c r="V392" s="274">
        <f t="shared" si="152"/>
        <v>0</v>
      </c>
      <c r="W392" s="273">
        <f>'人员人工-研发人员工资'!W392</f>
        <v>0</v>
      </c>
      <c r="X392" s="274">
        <f t="shared" si="153"/>
        <v>0</v>
      </c>
      <c r="Y392" s="273">
        <f>'人员人工-研发人员工资'!Y392</f>
        <v>0</v>
      </c>
      <c r="Z392" s="274">
        <f t="shared" si="154"/>
        <v>0</v>
      </c>
    </row>
    <row r="393" s="251" customFormat="1" customHeight="1" spans="1:26">
      <c r="A393" s="270">
        <v>10</v>
      </c>
      <c r="B393" s="271">
        <f>'人员人工-研发人员工资'!B393</f>
        <v>0</v>
      </c>
      <c r="C393" s="274"/>
      <c r="D393" s="272">
        <f>'人员人工-研发人员工资'!D393</f>
        <v>0</v>
      </c>
      <c r="E393" s="272">
        <f t="shared" si="143"/>
        <v>0</v>
      </c>
      <c r="F393" s="272">
        <f t="shared" si="144"/>
        <v>0</v>
      </c>
      <c r="G393" s="273">
        <f>'人员人工-研发人员工资'!G393</f>
        <v>0</v>
      </c>
      <c r="H393" s="274">
        <f t="shared" si="145"/>
        <v>0</v>
      </c>
      <c r="I393" s="273">
        <f>'人员人工-研发人员工资'!I393</f>
        <v>0</v>
      </c>
      <c r="J393" s="274">
        <f t="shared" si="146"/>
        <v>0</v>
      </c>
      <c r="K393" s="275">
        <f>'人员人工-研发人员工资'!K393</f>
        <v>0</v>
      </c>
      <c r="L393" s="274">
        <f t="shared" si="147"/>
        <v>0</v>
      </c>
      <c r="M393" s="273">
        <f>'人员人工-研发人员工资'!M393</f>
        <v>0</v>
      </c>
      <c r="N393" s="274">
        <f t="shared" si="148"/>
        <v>0</v>
      </c>
      <c r="O393" s="273">
        <f>'人员人工-研发人员工资'!O393</f>
        <v>0</v>
      </c>
      <c r="P393" s="274">
        <f t="shared" si="149"/>
        <v>0</v>
      </c>
      <c r="Q393" s="273">
        <f>'人员人工-研发人员工资'!Q393</f>
        <v>0</v>
      </c>
      <c r="R393" s="274">
        <f t="shared" si="150"/>
        <v>0</v>
      </c>
      <c r="S393" s="273">
        <f>'人员人工-研发人员工资'!S393</f>
        <v>0</v>
      </c>
      <c r="T393" s="274">
        <f t="shared" si="151"/>
        <v>0</v>
      </c>
      <c r="U393" s="273">
        <f>'人员人工-研发人员工资'!U393</f>
        <v>0</v>
      </c>
      <c r="V393" s="274">
        <f t="shared" si="152"/>
        <v>0</v>
      </c>
      <c r="W393" s="273">
        <f>'人员人工-研发人员工资'!W393</f>
        <v>0</v>
      </c>
      <c r="X393" s="274">
        <f t="shared" si="153"/>
        <v>0</v>
      </c>
      <c r="Y393" s="273">
        <f>'人员人工-研发人员工资'!Y393</f>
        <v>0</v>
      </c>
      <c r="Z393" s="274">
        <f t="shared" si="154"/>
        <v>0</v>
      </c>
    </row>
    <row r="394" s="251" customFormat="1" customHeight="1" spans="1:26">
      <c r="A394" s="270">
        <v>11</v>
      </c>
      <c r="B394" s="271">
        <f>'人员人工-研发人员工资'!B394</f>
        <v>0</v>
      </c>
      <c r="C394" s="274"/>
      <c r="D394" s="272">
        <f>'人员人工-研发人员工资'!D394</f>
        <v>0</v>
      </c>
      <c r="E394" s="272">
        <f t="shared" si="143"/>
        <v>0</v>
      </c>
      <c r="F394" s="272">
        <f t="shared" si="144"/>
        <v>0</v>
      </c>
      <c r="G394" s="273">
        <f>'人员人工-研发人员工资'!G394</f>
        <v>0</v>
      </c>
      <c r="H394" s="274">
        <f t="shared" si="145"/>
        <v>0</v>
      </c>
      <c r="I394" s="273">
        <f>'人员人工-研发人员工资'!I394</f>
        <v>0</v>
      </c>
      <c r="J394" s="274">
        <f t="shared" si="146"/>
        <v>0</v>
      </c>
      <c r="K394" s="275">
        <f>'人员人工-研发人员工资'!K394</f>
        <v>0</v>
      </c>
      <c r="L394" s="274">
        <f t="shared" si="147"/>
        <v>0</v>
      </c>
      <c r="M394" s="273">
        <f>'人员人工-研发人员工资'!M394</f>
        <v>0</v>
      </c>
      <c r="N394" s="274">
        <f t="shared" si="148"/>
        <v>0</v>
      </c>
      <c r="O394" s="273">
        <f>'人员人工-研发人员工资'!O394</f>
        <v>0</v>
      </c>
      <c r="P394" s="274">
        <f t="shared" si="149"/>
        <v>0</v>
      </c>
      <c r="Q394" s="273">
        <f>'人员人工-研发人员工资'!Q394</f>
        <v>0</v>
      </c>
      <c r="R394" s="274">
        <f t="shared" si="150"/>
        <v>0</v>
      </c>
      <c r="S394" s="273">
        <f>'人员人工-研发人员工资'!S394</f>
        <v>0</v>
      </c>
      <c r="T394" s="274">
        <f t="shared" si="151"/>
        <v>0</v>
      </c>
      <c r="U394" s="273">
        <f>'人员人工-研发人员工资'!U394</f>
        <v>0</v>
      </c>
      <c r="V394" s="274">
        <f t="shared" si="152"/>
        <v>0</v>
      </c>
      <c r="W394" s="273">
        <f>'人员人工-研发人员工资'!W394</f>
        <v>0</v>
      </c>
      <c r="X394" s="274">
        <f t="shared" si="153"/>
        <v>0</v>
      </c>
      <c r="Y394" s="273">
        <f>'人员人工-研发人员工资'!Y394</f>
        <v>0</v>
      </c>
      <c r="Z394" s="274">
        <f t="shared" si="154"/>
        <v>0</v>
      </c>
    </row>
    <row r="395" s="251" customFormat="1" customHeight="1" spans="1:26">
      <c r="A395" s="270">
        <v>12</v>
      </c>
      <c r="B395" s="271">
        <f>'人员人工-研发人员工资'!B395</f>
        <v>0</v>
      </c>
      <c r="C395" s="274"/>
      <c r="D395" s="272">
        <f>'人员人工-研发人员工资'!D395</f>
        <v>0</v>
      </c>
      <c r="E395" s="272">
        <f t="shared" si="143"/>
        <v>0</v>
      </c>
      <c r="F395" s="272">
        <f t="shared" si="144"/>
        <v>0</v>
      </c>
      <c r="G395" s="273">
        <f>'人员人工-研发人员工资'!G395</f>
        <v>0</v>
      </c>
      <c r="H395" s="274">
        <f t="shared" si="145"/>
        <v>0</v>
      </c>
      <c r="I395" s="273">
        <f>'人员人工-研发人员工资'!I395</f>
        <v>0</v>
      </c>
      <c r="J395" s="274">
        <f t="shared" si="146"/>
        <v>0</v>
      </c>
      <c r="K395" s="275">
        <f>'人员人工-研发人员工资'!K395</f>
        <v>0</v>
      </c>
      <c r="L395" s="274">
        <f t="shared" si="147"/>
        <v>0</v>
      </c>
      <c r="M395" s="273">
        <f>'人员人工-研发人员工资'!M395</f>
        <v>0</v>
      </c>
      <c r="N395" s="274">
        <f t="shared" si="148"/>
        <v>0</v>
      </c>
      <c r="O395" s="273">
        <f>'人员人工-研发人员工资'!O395</f>
        <v>0</v>
      </c>
      <c r="P395" s="274">
        <f t="shared" si="149"/>
        <v>0</v>
      </c>
      <c r="Q395" s="273">
        <f>'人员人工-研发人员工资'!Q395</f>
        <v>0</v>
      </c>
      <c r="R395" s="274">
        <f t="shared" si="150"/>
        <v>0</v>
      </c>
      <c r="S395" s="273">
        <f>'人员人工-研发人员工资'!S395</f>
        <v>0</v>
      </c>
      <c r="T395" s="274">
        <f t="shared" si="151"/>
        <v>0</v>
      </c>
      <c r="U395" s="273">
        <f>'人员人工-研发人员工资'!U395</f>
        <v>0</v>
      </c>
      <c r="V395" s="274">
        <f t="shared" si="152"/>
        <v>0</v>
      </c>
      <c r="W395" s="273">
        <f>'人员人工-研发人员工资'!W395</f>
        <v>0</v>
      </c>
      <c r="X395" s="274">
        <f t="shared" si="153"/>
        <v>0</v>
      </c>
      <c r="Y395" s="273">
        <f>'人员人工-研发人员工资'!Y395</f>
        <v>0</v>
      </c>
      <c r="Z395" s="274">
        <f t="shared" si="154"/>
        <v>0</v>
      </c>
    </row>
    <row r="396" s="251" customFormat="1" customHeight="1" spans="1:26">
      <c r="A396" s="270">
        <v>13</v>
      </c>
      <c r="B396" s="271">
        <f>'人员人工-研发人员工资'!B396</f>
        <v>0</v>
      </c>
      <c r="C396" s="274"/>
      <c r="D396" s="272">
        <f>'人员人工-研发人员工资'!D396</f>
        <v>0</v>
      </c>
      <c r="E396" s="272">
        <f t="shared" si="143"/>
        <v>0</v>
      </c>
      <c r="F396" s="272">
        <f t="shared" si="144"/>
        <v>0</v>
      </c>
      <c r="G396" s="273">
        <f>'人员人工-研发人员工资'!G396</f>
        <v>0</v>
      </c>
      <c r="H396" s="274">
        <f t="shared" si="145"/>
        <v>0</v>
      </c>
      <c r="I396" s="273">
        <f>'人员人工-研发人员工资'!I396</f>
        <v>0</v>
      </c>
      <c r="J396" s="274">
        <f t="shared" si="146"/>
        <v>0</v>
      </c>
      <c r="K396" s="275">
        <f>'人员人工-研发人员工资'!K396</f>
        <v>0</v>
      </c>
      <c r="L396" s="274">
        <f t="shared" si="147"/>
        <v>0</v>
      </c>
      <c r="M396" s="273">
        <f>'人员人工-研发人员工资'!M396</f>
        <v>0</v>
      </c>
      <c r="N396" s="274">
        <f t="shared" si="148"/>
        <v>0</v>
      </c>
      <c r="O396" s="273">
        <f>'人员人工-研发人员工资'!O396</f>
        <v>0</v>
      </c>
      <c r="P396" s="274">
        <f t="shared" si="149"/>
        <v>0</v>
      </c>
      <c r="Q396" s="273">
        <f>'人员人工-研发人员工资'!Q396</f>
        <v>0</v>
      </c>
      <c r="R396" s="274">
        <f t="shared" si="150"/>
        <v>0</v>
      </c>
      <c r="S396" s="273">
        <f>'人员人工-研发人员工资'!S396</f>
        <v>0</v>
      </c>
      <c r="T396" s="274">
        <f t="shared" si="151"/>
        <v>0</v>
      </c>
      <c r="U396" s="273">
        <f>'人员人工-研发人员工资'!U396</f>
        <v>0</v>
      </c>
      <c r="V396" s="274">
        <f t="shared" si="152"/>
        <v>0</v>
      </c>
      <c r="W396" s="273">
        <f>'人员人工-研发人员工资'!W396</f>
        <v>0</v>
      </c>
      <c r="X396" s="274">
        <f t="shared" si="153"/>
        <v>0</v>
      </c>
      <c r="Y396" s="273">
        <f>'人员人工-研发人员工资'!Y396</f>
        <v>0</v>
      </c>
      <c r="Z396" s="274">
        <f t="shared" si="154"/>
        <v>0</v>
      </c>
    </row>
    <row r="397" s="251" customFormat="1" customHeight="1" spans="1:26">
      <c r="A397" s="270">
        <v>14</v>
      </c>
      <c r="B397" s="271">
        <f>'人员人工-研发人员工资'!B397</f>
        <v>0</v>
      </c>
      <c r="C397" s="274"/>
      <c r="D397" s="272">
        <f>'人员人工-研发人员工资'!D397</f>
        <v>0</v>
      </c>
      <c r="E397" s="272">
        <f t="shared" si="143"/>
        <v>0</v>
      </c>
      <c r="F397" s="272">
        <f t="shared" si="144"/>
        <v>0</v>
      </c>
      <c r="G397" s="273">
        <f>'人员人工-研发人员工资'!G397</f>
        <v>0</v>
      </c>
      <c r="H397" s="274">
        <f t="shared" si="145"/>
        <v>0</v>
      </c>
      <c r="I397" s="273">
        <f>'人员人工-研发人员工资'!I397</f>
        <v>0</v>
      </c>
      <c r="J397" s="274">
        <f t="shared" si="146"/>
        <v>0</v>
      </c>
      <c r="K397" s="275">
        <f>'人员人工-研发人员工资'!K397</f>
        <v>0</v>
      </c>
      <c r="L397" s="274">
        <f t="shared" si="147"/>
        <v>0</v>
      </c>
      <c r="M397" s="273">
        <f>'人员人工-研发人员工资'!M397</f>
        <v>0</v>
      </c>
      <c r="N397" s="274">
        <f t="shared" si="148"/>
        <v>0</v>
      </c>
      <c r="O397" s="273">
        <f>'人员人工-研发人员工资'!O397</f>
        <v>0</v>
      </c>
      <c r="P397" s="274">
        <f t="shared" si="149"/>
        <v>0</v>
      </c>
      <c r="Q397" s="273">
        <f>'人员人工-研发人员工资'!Q397</f>
        <v>0</v>
      </c>
      <c r="R397" s="274">
        <f t="shared" si="150"/>
        <v>0</v>
      </c>
      <c r="S397" s="273">
        <f>'人员人工-研发人员工资'!S397</f>
        <v>0</v>
      </c>
      <c r="T397" s="274">
        <f t="shared" si="151"/>
        <v>0</v>
      </c>
      <c r="U397" s="273">
        <f>'人员人工-研发人员工资'!U397</f>
        <v>0</v>
      </c>
      <c r="V397" s="274">
        <f t="shared" si="152"/>
        <v>0</v>
      </c>
      <c r="W397" s="273">
        <f>'人员人工-研发人员工资'!W397</f>
        <v>0</v>
      </c>
      <c r="X397" s="274">
        <f t="shared" si="153"/>
        <v>0</v>
      </c>
      <c r="Y397" s="273">
        <f>'人员人工-研发人员工资'!Y397</f>
        <v>0</v>
      </c>
      <c r="Z397" s="274">
        <f t="shared" si="154"/>
        <v>0</v>
      </c>
    </row>
    <row r="398" s="251" customFormat="1" customHeight="1" spans="1:26">
      <c r="A398" s="270">
        <v>15</v>
      </c>
      <c r="B398" s="271">
        <f>'人员人工-研发人员工资'!B398</f>
        <v>0</v>
      </c>
      <c r="C398" s="274"/>
      <c r="D398" s="272">
        <f>'人员人工-研发人员工资'!D398</f>
        <v>0</v>
      </c>
      <c r="E398" s="272">
        <f t="shared" si="143"/>
        <v>0</v>
      </c>
      <c r="F398" s="272">
        <f t="shared" si="144"/>
        <v>0</v>
      </c>
      <c r="G398" s="273">
        <f>'人员人工-研发人员工资'!G398</f>
        <v>0</v>
      </c>
      <c r="H398" s="274">
        <f t="shared" si="145"/>
        <v>0</v>
      </c>
      <c r="I398" s="273">
        <f>'人员人工-研发人员工资'!I398</f>
        <v>0</v>
      </c>
      <c r="J398" s="274">
        <f t="shared" si="146"/>
        <v>0</v>
      </c>
      <c r="K398" s="275">
        <f>'人员人工-研发人员工资'!K398</f>
        <v>0</v>
      </c>
      <c r="L398" s="274">
        <f t="shared" si="147"/>
        <v>0</v>
      </c>
      <c r="M398" s="273">
        <f>'人员人工-研发人员工资'!M398</f>
        <v>0</v>
      </c>
      <c r="N398" s="274">
        <f t="shared" si="148"/>
        <v>0</v>
      </c>
      <c r="O398" s="273">
        <f>'人员人工-研发人员工资'!O398</f>
        <v>0</v>
      </c>
      <c r="P398" s="274">
        <f t="shared" si="149"/>
        <v>0</v>
      </c>
      <c r="Q398" s="273">
        <f>'人员人工-研发人员工资'!Q398</f>
        <v>0</v>
      </c>
      <c r="R398" s="274">
        <f t="shared" si="150"/>
        <v>0</v>
      </c>
      <c r="S398" s="273">
        <f>'人员人工-研发人员工资'!S398</f>
        <v>0</v>
      </c>
      <c r="T398" s="274">
        <f t="shared" si="151"/>
        <v>0</v>
      </c>
      <c r="U398" s="273">
        <f>'人员人工-研发人员工资'!U398</f>
        <v>0</v>
      </c>
      <c r="V398" s="274">
        <f t="shared" si="152"/>
        <v>0</v>
      </c>
      <c r="W398" s="273">
        <f>'人员人工-研发人员工资'!W398</f>
        <v>0</v>
      </c>
      <c r="X398" s="274">
        <f t="shared" si="153"/>
        <v>0</v>
      </c>
      <c r="Y398" s="273">
        <f>'人员人工-研发人员工资'!Y398</f>
        <v>0</v>
      </c>
      <c r="Z398" s="274">
        <f t="shared" si="154"/>
        <v>0</v>
      </c>
    </row>
    <row r="399" s="251" customFormat="1" customHeight="1" spans="1:26">
      <c r="A399" s="270">
        <v>16</v>
      </c>
      <c r="B399" s="271">
        <f>'人员人工-研发人员工资'!B399</f>
        <v>0</v>
      </c>
      <c r="C399" s="274"/>
      <c r="D399" s="272">
        <f>'人员人工-研发人员工资'!D399</f>
        <v>0</v>
      </c>
      <c r="E399" s="272">
        <f t="shared" si="143"/>
        <v>0</v>
      </c>
      <c r="F399" s="272">
        <f t="shared" si="144"/>
        <v>0</v>
      </c>
      <c r="G399" s="273">
        <f>'人员人工-研发人员工资'!G399</f>
        <v>0</v>
      </c>
      <c r="H399" s="274">
        <f t="shared" si="145"/>
        <v>0</v>
      </c>
      <c r="I399" s="273">
        <f>'人员人工-研发人员工资'!I399</f>
        <v>0</v>
      </c>
      <c r="J399" s="274">
        <f t="shared" si="146"/>
        <v>0</v>
      </c>
      <c r="K399" s="275">
        <f>'人员人工-研发人员工资'!K399</f>
        <v>0</v>
      </c>
      <c r="L399" s="274">
        <f t="shared" si="147"/>
        <v>0</v>
      </c>
      <c r="M399" s="273">
        <f>'人员人工-研发人员工资'!M399</f>
        <v>0</v>
      </c>
      <c r="N399" s="274">
        <f t="shared" si="148"/>
        <v>0</v>
      </c>
      <c r="O399" s="273">
        <f>'人员人工-研发人员工资'!O399</f>
        <v>0</v>
      </c>
      <c r="P399" s="274">
        <f t="shared" si="149"/>
        <v>0</v>
      </c>
      <c r="Q399" s="273">
        <f>'人员人工-研发人员工资'!Q399</f>
        <v>0</v>
      </c>
      <c r="R399" s="274">
        <f t="shared" si="150"/>
        <v>0</v>
      </c>
      <c r="S399" s="273">
        <f>'人员人工-研发人员工资'!S399</f>
        <v>0</v>
      </c>
      <c r="T399" s="274">
        <f t="shared" si="151"/>
        <v>0</v>
      </c>
      <c r="U399" s="273">
        <f>'人员人工-研发人员工资'!U399</f>
        <v>0</v>
      </c>
      <c r="V399" s="274">
        <f t="shared" si="152"/>
        <v>0</v>
      </c>
      <c r="W399" s="273">
        <f>'人员人工-研发人员工资'!W399</f>
        <v>0</v>
      </c>
      <c r="X399" s="274">
        <f t="shared" si="153"/>
        <v>0</v>
      </c>
      <c r="Y399" s="273">
        <f>'人员人工-研发人员工资'!Y399</f>
        <v>0</v>
      </c>
      <c r="Z399" s="274">
        <f t="shared" si="154"/>
        <v>0</v>
      </c>
    </row>
    <row r="400" s="251" customFormat="1" customHeight="1" spans="1:26">
      <c r="A400" s="270">
        <v>17</v>
      </c>
      <c r="B400" s="271">
        <f>'人员人工-研发人员工资'!B400</f>
        <v>0</v>
      </c>
      <c r="C400" s="274"/>
      <c r="D400" s="272">
        <f>'人员人工-研发人员工资'!D400</f>
        <v>0</v>
      </c>
      <c r="E400" s="272">
        <f t="shared" si="143"/>
        <v>0</v>
      </c>
      <c r="F400" s="272">
        <f t="shared" si="144"/>
        <v>0</v>
      </c>
      <c r="G400" s="273">
        <f>'人员人工-研发人员工资'!G400</f>
        <v>0</v>
      </c>
      <c r="H400" s="274">
        <f t="shared" si="145"/>
        <v>0</v>
      </c>
      <c r="I400" s="273">
        <f>'人员人工-研发人员工资'!I400</f>
        <v>0</v>
      </c>
      <c r="J400" s="274">
        <f t="shared" si="146"/>
        <v>0</v>
      </c>
      <c r="K400" s="275">
        <f>'人员人工-研发人员工资'!K400</f>
        <v>0</v>
      </c>
      <c r="L400" s="274">
        <f t="shared" si="147"/>
        <v>0</v>
      </c>
      <c r="M400" s="273">
        <f>'人员人工-研发人员工资'!M400</f>
        <v>0</v>
      </c>
      <c r="N400" s="274">
        <f t="shared" si="148"/>
        <v>0</v>
      </c>
      <c r="O400" s="273">
        <f>'人员人工-研发人员工资'!O400</f>
        <v>0</v>
      </c>
      <c r="P400" s="274">
        <f t="shared" si="149"/>
        <v>0</v>
      </c>
      <c r="Q400" s="273">
        <f>'人员人工-研发人员工资'!Q400</f>
        <v>0</v>
      </c>
      <c r="R400" s="274">
        <f t="shared" si="150"/>
        <v>0</v>
      </c>
      <c r="S400" s="273">
        <f>'人员人工-研发人员工资'!S400</f>
        <v>0</v>
      </c>
      <c r="T400" s="274">
        <f t="shared" si="151"/>
        <v>0</v>
      </c>
      <c r="U400" s="273">
        <f>'人员人工-研发人员工资'!U400</f>
        <v>0</v>
      </c>
      <c r="V400" s="274">
        <f t="shared" si="152"/>
        <v>0</v>
      </c>
      <c r="W400" s="273">
        <f>'人员人工-研发人员工资'!W400</f>
        <v>0</v>
      </c>
      <c r="X400" s="274">
        <f t="shared" si="153"/>
        <v>0</v>
      </c>
      <c r="Y400" s="273">
        <f>'人员人工-研发人员工资'!Y400</f>
        <v>0</v>
      </c>
      <c r="Z400" s="274">
        <f t="shared" si="154"/>
        <v>0</v>
      </c>
    </row>
    <row r="401" s="251" customFormat="1" customHeight="1" spans="1:26">
      <c r="A401" s="270">
        <v>18</v>
      </c>
      <c r="B401" s="271">
        <f>'人员人工-研发人员工资'!B401</f>
        <v>0</v>
      </c>
      <c r="C401" s="274"/>
      <c r="D401" s="272">
        <f>'人员人工-研发人员工资'!D401</f>
        <v>0</v>
      </c>
      <c r="E401" s="272">
        <f t="shared" si="143"/>
        <v>0</v>
      </c>
      <c r="F401" s="272">
        <f t="shared" si="144"/>
        <v>0</v>
      </c>
      <c r="G401" s="273">
        <f>'人员人工-研发人员工资'!G401</f>
        <v>0</v>
      </c>
      <c r="H401" s="274">
        <f t="shared" si="145"/>
        <v>0</v>
      </c>
      <c r="I401" s="273">
        <f>'人员人工-研发人员工资'!I401</f>
        <v>0</v>
      </c>
      <c r="J401" s="274">
        <f t="shared" si="146"/>
        <v>0</v>
      </c>
      <c r="K401" s="275">
        <f>'人员人工-研发人员工资'!K401</f>
        <v>0</v>
      </c>
      <c r="L401" s="274">
        <f t="shared" si="147"/>
        <v>0</v>
      </c>
      <c r="M401" s="273">
        <f>'人员人工-研发人员工资'!M401</f>
        <v>0</v>
      </c>
      <c r="N401" s="274">
        <f t="shared" si="148"/>
        <v>0</v>
      </c>
      <c r="O401" s="273">
        <f>'人员人工-研发人员工资'!O401</f>
        <v>0</v>
      </c>
      <c r="P401" s="274">
        <f t="shared" si="149"/>
        <v>0</v>
      </c>
      <c r="Q401" s="273">
        <f>'人员人工-研发人员工资'!Q401</f>
        <v>0</v>
      </c>
      <c r="R401" s="274">
        <f t="shared" si="150"/>
        <v>0</v>
      </c>
      <c r="S401" s="273">
        <f>'人员人工-研发人员工资'!S401</f>
        <v>0</v>
      </c>
      <c r="T401" s="274">
        <f t="shared" si="151"/>
        <v>0</v>
      </c>
      <c r="U401" s="273">
        <f>'人员人工-研发人员工资'!U401</f>
        <v>0</v>
      </c>
      <c r="V401" s="274">
        <f t="shared" si="152"/>
        <v>0</v>
      </c>
      <c r="W401" s="273">
        <f>'人员人工-研发人员工资'!W401</f>
        <v>0</v>
      </c>
      <c r="X401" s="274">
        <f t="shared" si="153"/>
        <v>0</v>
      </c>
      <c r="Y401" s="273">
        <f>'人员人工-研发人员工资'!Y401</f>
        <v>0</v>
      </c>
      <c r="Z401" s="274">
        <f t="shared" si="154"/>
        <v>0</v>
      </c>
    </row>
    <row r="402" s="251" customFormat="1" customHeight="1" spans="1:26">
      <c r="A402" s="270">
        <v>19</v>
      </c>
      <c r="B402" s="271">
        <f>'人员人工-研发人员工资'!B402</f>
        <v>0</v>
      </c>
      <c r="C402" s="274"/>
      <c r="D402" s="272">
        <f>'人员人工-研发人员工资'!D402</f>
        <v>0</v>
      </c>
      <c r="E402" s="272">
        <f t="shared" si="143"/>
        <v>0</v>
      </c>
      <c r="F402" s="272">
        <f t="shared" si="144"/>
        <v>0</v>
      </c>
      <c r="G402" s="273">
        <f>'人员人工-研发人员工资'!G402</f>
        <v>0</v>
      </c>
      <c r="H402" s="274">
        <f t="shared" si="145"/>
        <v>0</v>
      </c>
      <c r="I402" s="273">
        <f>'人员人工-研发人员工资'!I402</f>
        <v>0</v>
      </c>
      <c r="J402" s="274">
        <f t="shared" si="146"/>
        <v>0</v>
      </c>
      <c r="K402" s="275">
        <f>'人员人工-研发人员工资'!K402</f>
        <v>0</v>
      </c>
      <c r="L402" s="274">
        <f t="shared" si="147"/>
        <v>0</v>
      </c>
      <c r="M402" s="273">
        <f>'人员人工-研发人员工资'!M402</f>
        <v>0</v>
      </c>
      <c r="N402" s="274">
        <f t="shared" si="148"/>
        <v>0</v>
      </c>
      <c r="O402" s="273">
        <f>'人员人工-研发人员工资'!O402</f>
        <v>0</v>
      </c>
      <c r="P402" s="274">
        <f t="shared" si="149"/>
        <v>0</v>
      </c>
      <c r="Q402" s="273">
        <f>'人员人工-研发人员工资'!Q402</f>
        <v>0</v>
      </c>
      <c r="R402" s="274">
        <f t="shared" si="150"/>
        <v>0</v>
      </c>
      <c r="S402" s="273">
        <f>'人员人工-研发人员工资'!S402</f>
        <v>0</v>
      </c>
      <c r="T402" s="274">
        <f t="shared" si="151"/>
        <v>0</v>
      </c>
      <c r="U402" s="273">
        <f>'人员人工-研发人员工资'!U402</f>
        <v>0</v>
      </c>
      <c r="V402" s="274">
        <f t="shared" si="152"/>
        <v>0</v>
      </c>
      <c r="W402" s="273">
        <f>'人员人工-研发人员工资'!W402</f>
        <v>0</v>
      </c>
      <c r="X402" s="274">
        <f t="shared" si="153"/>
        <v>0</v>
      </c>
      <c r="Y402" s="273">
        <f>'人员人工-研发人员工资'!Y402</f>
        <v>0</v>
      </c>
      <c r="Z402" s="274">
        <f t="shared" si="154"/>
        <v>0</v>
      </c>
    </row>
    <row r="403" s="251" customFormat="1" customHeight="1" spans="1:26">
      <c r="A403" s="270">
        <v>20</v>
      </c>
      <c r="B403" s="271">
        <f>'人员人工-研发人员工资'!B403</f>
        <v>0</v>
      </c>
      <c r="C403" s="274"/>
      <c r="D403" s="272">
        <f>'人员人工-研发人员工资'!D403</f>
        <v>0</v>
      </c>
      <c r="E403" s="272">
        <f t="shared" si="143"/>
        <v>0</v>
      </c>
      <c r="F403" s="272">
        <f t="shared" si="144"/>
        <v>0</v>
      </c>
      <c r="G403" s="273">
        <f>'人员人工-研发人员工资'!G403</f>
        <v>0</v>
      </c>
      <c r="H403" s="274">
        <f t="shared" si="145"/>
        <v>0</v>
      </c>
      <c r="I403" s="273">
        <f>'人员人工-研发人员工资'!I403</f>
        <v>0</v>
      </c>
      <c r="J403" s="274">
        <f t="shared" si="146"/>
        <v>0</v>
      </c>
      <c r="K403" s="275">
        <f>'人员人工-研发人员工资'!K403</f>
        <v>0</v>
      </c>
      <c r="L403" s="274">
        <f t="shared" si="147"/>
        <v>0</v>
      </c>
      <c r="M403" s="273">
        <f>'人员人工-研发人员工资'!M403</f>
        <v>0</v>
      </c>
      <c r="N403" s="274">
        <f t="shared" si="148"/>
        <v>0</v>
      </c>
      <c r="O403" s="273">
        <f>'人员人工-研发人员工资'!O403</f>
        <v>0</v>
      </c>
      <c r="P403" s="274">
        <f t="shared" si="149"/>
        <v>0</v>
      </c>
      <c r="Q403" s="273">
        <f>'人员人工-研发人员工资'!Q403</f>
        <v>0</v>
      </c>
      <c r="R403" s="274">
        <f t="shared" si="150"/>
        <v>0</v>
      </c>
      <c r="S403" s="273">
        <f>'人员人工-研发人员工资'!S403</f>
        <v>0</v>
      </c>
      <c r="T403" s="274">
        <f t="shared" si="151"/>
        <v>0</v>
      </c>
      <c r="U403" s="273">
        <f>'人员人工-研发人员工资'!U403</f>
        <v>0</v>
      </c>
      <c r="V403" s="274">
        <f t="shared" si="152"/>
        <v>0</v>
      </c>
      <c r="W403" s="273">
        <f>'人员人工-研发人员工资'!W403</f>
        <v>0</v>
      </c>
      <c r="X403" s="274">
        <f t="shared" si="153"/>
        <v>0</v>
      </c>
      <c r="Y403" s="273">
        <f>'人员人工-研发人员工资'!Y403</f>
        <v>0</v>
      </c>
      <c r="Z403" s="274">
        <f t="shared" si="154"/>
        <v>0</v>
      </c>
    </row>
    <row r="404" s="251" customFormat="1" customHeight="1" spans="1:26">
      <c r="A404" s="270">
        <v>21</v>
      </c>
      <c r="B404" s="271">
        <f>'人员人工-研发人员工资'!B404</f>
        <v>0</v>
      </c>
      <c r="C404" s="274"/>
      <c r="D404" s="272">
        <f>'人员人工-研发人员工资'!D404</f>
        <v>0</v>
      </c>
      <c r="E404" s="272">
        <f t="shared" si="143"/>
        <v>0</v>
      </c>
      <c r="F404" s="272">
        <f t="shared" si="144"/>
        <v>0</v>
      </c>
      <c r="G404" s="273">
        <f>'人员人工-研发人员工资'!G404</f>
        <v>0</v>
      </c>
      <c r="H404" s="274">
        <f t="shared" si="145"/>
        <v>0</v>
      </c>
      <c r="I404" s="273">
        <f>'人员人工-研发人员工资'!I404</f>
        <v>0</v>
      </c>
      <c r="J404" s="274">
        <f t="shared" si="146"/>
        <v>0</v>
      </c>
      <c r="K404" s="275">
        <f>'人员人工-研发人员工资'!K404</f>
        <v>0</v>
      </c>
      <c r="L404" s="274">
        <f t="shared" si="147"/>
        <v>0</v>
      </c>
      <c r="M404" s="273">
        <f>'人员人工-研发人员工资'!M404</f>
        <v>0</v>
      </c>
      <c r="N404" s="274">
        <f t="shared" si="148"/>
        <v>0</v>
      </c>
      <c r="O404" s="273">
        <f>'人员人工-研发人员工资'!O404</f>
        <v>0</v>
      </c>
      <c r="P404" s="274">
        <f t="shared" si="149"/>
        <v>0</v>
      </c>
      <c r="Q404" s="273">
        <f>'人员人工-研发人员工资'!Q404</f>
        <v>0</v>
      </c>
      <c r="R404" s="274">
        <f t="shared" si="150"/>
        <v>0</v>
      </c>
      <c r="S404" s="273">
        <f>'人员人工-研发人员工资'!S404</f>
        <v>0</v>
      </c>
      <c r="T404" s="274">
        <f t="shared" si="151"/>
        <v>0</v>
      </c>
      <c r="U404" s="273">
        <f>'人员人工-研发人员工资'!U404</f>
        <v>0</v>
      </c>
      <c r="V404" s="274">
        <f t="shared" si="152"/>
        <v>0</v>
      </c>
      <c r="W404" s="273">
        <f>'人员人工-研发人员工资'!W404</f>
        <v>0</v>
      </c>
      <c r="X404" s="274">
        <f t="shared" si="153"/>
        <v>0</v>
      </c>
      <c r="Y404" s="273">
        <f>'人员人工-研发人员工资'!Y404</f>
        <v>0</v>
      </c>
      <c r="Z404" s="274">
        <f t="shared" si="154"/>
        <v>0</v>
      </c>
    </row>
    <row r="405" s="251" customFormat="1" customHeight="1" spans="1:26">
      <c r="A405" s="270">
        <v>22</v>
      </c>
      <c r="B405" s="271">
        <f>'人员人工-研发人员工资'!B405</f>
        <v>0</v>
      </c>
      <c r="C405" s="274"/>
      <c r="D405" s="272">
        <f>'人员人工-研发人员工资'!D405</f>
        <v>0</v>
      </c>
      <c r="E405" s="272">
        <f t="shared" si="143"/>
        <v>0</v>
      </c>
      <c r="F405" s="272">
        <f t="shared" si="144"/>
        <v>0</v>
      </c>
      <c r="G405" s="273">
        <f>'人员人工-研发人员工资'!G405</f>
        <v>0</v>
      </c>
      <c r="H405" s="274">
        <f t="shared" si="145"/>
        <v>0</v>
      </c>
      <c r="I405" s="273">
        <f>'人员人工-研发人员工资'!I405</f>
        <v>0</v>
      </c>
      <c r="J405" s="274">
        <f t="shared" si="146"/>
        <v>0</v>
      </c>
      <c r="K405" s="275">
        <f>'人员人工-研发人员工资'!K405</f>
        <v>0</v>
      </c>
      <c r="L405" s="274">
        <f t="shared" si="147"/>
        <v>0</v>
      </c>
      <c r="M405" s="273">
        <f>'人员人工-研发人员工资'!M405</f>
        <v>0</v>
      </c>
      <c r="N405" s="274">
        <f t="shared" si="148"/>
        <v>0</v>
      </c>
      <c r="O405" s="273">
        <f>'人员人工-研发人员工资'!O405</f>
        <v>0</v>
      </c>
      <c r="P405" s="274">
        <f t="shared" si="149"/>
        <v>0</v>
      </c>
      <c r="Q405" s="273">
        <f>'人员人工-研发人员工资'!Q405</f>
        <v>0</v>
      </c>
      <c r="R405" s="274">
        <f t="shared" si="150"/>
        <v>0</v>
      </c>
      <c r="S405" s="273">
        <f>'人员人工-研发人员工资'!S405</f>
        <v>0</v>
      </c>
      <c r="T405" s="274">
        <f t="shared" si="151"/>
        <v>0</v>
      </c>
      <c r="U405" s="273">
        <f>'人员人工-研发人员工资'!U405</f>
        <v>0</v>
      </c>
      <c r="V405" s="274">
        <f t="shared" si="152"/>
        <v>0</v>
      </c>
      <c r="W405" s="273">
        <f>'人员人工-研发人员工资'!W405</f>
        <v>0</v>
      </c>
      <c r="X405" s="274">
        <f t="shared" si="153"/>
        <v>0</v>
      </c>
      <c r="Y405" s="273">
        <f>'人员人工-研发人员工资'!Y405</f>
        <v>0</v>
      </c>
      <c r="Z405" s="274">
        <f t="shared" si="154"/>
        <v>0</v>
      </c>
    </row>
    <row r="406" s="251" customFormat="1" customHeight="1" spans="1:26">
      <c r="A406" s="270">
        <v>23</v>
      </c>
      <c r="B406" s="271">
        <f>'人员人工-研发人员工资'!B406</f>
        <v>0</v>
      </c>
      <c r="C406" s="274"/>
      <c r="D406" s="272">
        <f>'人员人工-研发人员工资'!D406</f>
        <v>0</v>
      </c>
      <c r="E406" s="272">
        <f t="shared" si="143"/>
        <v>0</v>
      </c>
      <c r="F406" s="272">
        <f t="shared" si="144"/>
        <v>0</v>
      </c>
      <c r="G406" s="273">
        <f>'人员人工-研发人员工资'!G406</f>
        <v>0</v>
      </c>
      <c r="H406" s="274">
        <f t="shared" si="145"/>
        <v>0</v>
      </c>
      <c r="I406" s="273">
        <f>'人员人工-研发人员工资'!I406</f>
        <v>0</v>
      </c>
      <c r="J406" s="274">
        <f t="shared" si="146"/>
        <v>0</v>
      </c>
      <c r="K406" s="275">
        <f>'人员人工-研发人员工资'!K406</f>
        <v>0</v>
      </c>
      <c r="L406" s="274">
        <f t="shared" si="147"/>
        <v>0</v>
      </c>
      <c r="M406" s="273">
        <f>'人员人工-研发人员工资'!M406</f>
        <v>0</v>
      </c>
      <c r="N406" s="274">
        <f t="shared" si="148"/>
        <v>0</v>
      </c>
      <c r="O406" s="273">
        <f>'人员人工-研发人员工资'!O406</f>
        <v>0</v>
      </c>
      <c r="P406" s="274">
        <f t="shared" si="149"/>
        <v>0</v>
      </c>
      <c r="Q406" s="273">
        <f>'人员人工-研发人员工资'!Q406</f>
        <v>0</v>
      </c>
      <c r="R406" s="274">
        <f t="shared" si="150"/>
        <v>0</v>
      </c>
      <c r="S406" s="273">
        <f>'人员人工-研发人员工资'!S406</f>
        <v>0</v>
      </c>
      <c r="T406" s="274">
        <f t="shared" si="151"/>
        <v>0</v>
      </c>
      <c r="U406" s="273">
        <f>'人员人工-研发人员工资'!U406</f>
        <v>0</v>
      </c>
      <c r="V406" s="274">
        <f t="shared" si="152"/>
        <v>0</v>
      </c>
      <c r="W406" s="273">
        <f>'人员人工-研发人员工资'!W406</f>
        <v>0</v>
      </c>
      <c r="X406" s="274">
        <f t="shared" si="153"/>
        <v>0</v>
      </c>
      <c r="Y406" s="273">
        <f>'人员人工-研发人员工资'!Y406</f>
        <v>0</v>
      </c>
      <c r="Z406" s="274">
        <f t="shared" si="154"/>
        <v>0</v>
      </c>
    </row>
    <row r="407" s="251" customFormat="1" customHeight="1" spans="1:26">
      <c r="A407" s="270">
        <v>25</v>
      </c>
      <c r="B407" s="271">
        <f>'人员人工-研发人员工资'!B407</f>
        <v>0</v>
      </c>
      <c r="C407" s="274"/>
      <c r="D407" s="272">
        <f>'人员人工-研发人员工资'!D407</f>
        <v>0</v>
      </c>
      <c r="E407" s="272">
        <f t="shared" si="143"/>
        <v>0</v>
      </c>
      <c r="F407" s="272">
        <f t="shared" si="144"/>
        <v>0</v>
      </c>
      <c r="G407" s="273">
        <f>'人员人工-研发人员工资'!G407</f>
        <v>0</v>
      </c>
      <c r="H407" s="274">
        <f t="shared" si="145"/>
        <v>0</v>
      </c>
      <c r="I407" s="273">
        <f>'人员人工-研发人员工资'!I407</f>
        <v>0</v>
      </c>
      <c r="J407" s="274">
        <f t="shared" si="146"/>
        <v>0</v>
      </c>
      <c r="K407" s="275">
        <f>'人员人工-研发人员工资'!K407</f>
        <v>0</v>
      </c>
      <c r="L407" s="274">
        <f t="shared" si="147"/>
        <v>0</v>
      </c>
      <c r="M407" s="273">
        <f>'人员人工-研发人员工资'!M407</f>
        <v>0</v>
      </c>
      <c r="N407" s="274">
        <f t="shared" si="148"/>
        <v>0</v>
      </c>
      <c r="O407" s="273">
        <f>'人员人工-研发人员工资'!O407</f>
        <v>0</v>
      </c>
      <c r="P407" s="274">
        <f t="shared" si="149"/>
        <v>0</v>
      </c>
      <c r="Q407" s="273">
        <f>'人员人工-研发人员工资'!Q407</f>
        <v>0</v>
      </c>
      <c r="R407" s="274">
        <f t="shared" si="150"/>
        <v>0</v>
      </c>
      <c r="S407" s="273">
        <f>'人员人工-研发人员工资'!S407</f>
        <v>0</v>
      </c>
      <c r="T407" s="274">
        <f t="shared" si="151"/>
        <v>0</v>
      </c>
      <c r="U407" s="273">
        <f>'人员人工-研发人员工资'!U407</f>
        <v>0</v>
      </c>
      <c r="V407" s="274">
        <f t="shared" si="152"/>
        <v>0</v>
      </c>
      <c r="W407" s="273">
        <f>'人员人工-研发人员工资'!W407</f>
        <v>0</v>
      </c>
      <c r="X407" s="274">
        <f t="shared" si="153"/>
        <v>0</v>
      </c>
      <c r="Y407" s="273">
        <f>'人员人工-研发人员工资'!Y407</f>
        <v>0</v>
      </c>
      <c r="Z407" s="274">
        <f t="shared" si="154"/>
        <v>0</v>
      </c>
    </row>
    <row r="408" s="251" customFormat="1" customHeight="1" spans="1:26">
      <c r="A408" s="270">
        <v>25</v>
      </c>
      <c r="B408" s="271">
        <f>'人员人工-研发人员工资'!B408</f>
        <v>0</v>
      </c>
      <c r="C408" s="274"/>
      <c r="D408" s="272">
        <f>'人员人工-研发人员工资'!D408</f>
        <v>0</v>
      </c>
      <c r="E408" s="272">
        <f t="shared" si="143"/>
        <v>0</v>
      </c>
      <c r="F408" s="272">
        <f t="shared" si="144"/>
        <v>0</v>
      </c>
      <c r="G408" s="273">
        <f>'人员人工-研发人员工资'!G408</f>
        <v>0</v>
      </c>
      <c r="H408" s="274">
        <f t="shared" si="145"/>
        <v>0</v>
      </c>
      <c r="I408" s="273">
        <f>'人员人工-研发人员工资'!I408</f>
        <v>0</v>
      </c>
      <c r="J408" s="274">
        <f t="shared" si="146"/>
        <v>0</v>
      </c>
      <c r="K408" s="275">
        <f>'人员人工-研发人员工资'!K408</f>
        <v>0</v>
      </c>
      <c r="L408" s="274">
        <f t="shared" si="147"/>
        <v>0</v>
      </c>
      <c r="M408" s="273">
        <f>'人员人工-研发人员工资'!M408</f>
        <v>0</v>
      </c>
      <c r="N408" s="274">
        <f t="shared" si="148"/>
        <v>0</v>
      </c>
      <c r="O408" s="273">
        <f>'人员人工-研发人员工资'!O408</f>
        <v>0</v>
      </c>
      <c r="P408" s="274">
        <f t="shared" si="149"/>
        <v>0</v>
      </c>
      <c r="Q408" s="273">
        <f>'人员人工-研发人员工资'!Q408</f>
        <v>0</v>
      </c>
      <c r="R408" s="274">
        <f t="shared" si="150"/>
        <v>0</v>
      </c>
      <c r="S408" s="273">
        <f>'人员人工-研发人员工资'!S408</f>
        <v>0</v>
      </c>
      <c r="T408" s="274">
        <f t="shared" si="151"/>
        <v>0</v>
      </c>
      <c r="U408" s="273">
        <f>'人员人工-研发人员工资'!U408</f>
        <v>0</v>
      </c>
      <c r="V408" s="274">
        <f t="shared" si="152"/>
        <v>0</v>
      </c>
      <c r="W408" s="273">
        <f>'人员人工-研发人员工资'!W408</f>
        <v>0</v>
      </c>
      <c r="X408" s="274">
        <f t="shared" si="153"/>
        <v>0</v>
      </c>
      <c r="Y408" s="273">
        <f>'人员人工-研发人员工资'!Y408</f>
        <v>0</v>
      </c>
      <c r="Z408" s="274">
        <f t="shared" si="154"/>
        <v>0</v>
      </c>
    </row>
    <row r="409" s="251" customFormat="1" customHeight="1" spans="1:26">
      <c r="A409" s="270">
        <v>26</v>
      </c>
      <c r="B409" s="271">
        <f>'人员人工-研发人员工资'!B409</f>
        <v>0</v>
      </c>
      <c r="C409" s="274"/>
      <c r="D409" s="272">
        <f>'人员人工-研发人员工资'!D409</f>
        <v>0</v>
      </c>
      <c r="E409" s="272">
        <f t="shared" si="143"/>
        <v>0</v>
      </c>
      <c r="F409" s="272">
        <f t="shared" si="144"/>
        <v>0</v>
      </c>
      <c r="G409" s="273">
        <f>'人员人工-研发人员工资'!G409</f>
        <v>0</v>
      </c>
      <c r="H409" s="274">
        <f t="shared" si="145"/>
        <v>0</v>
      </c>
      <c r="I409" s="273">
        <f>'人员人工-研发人员工资'!I409</f>
        <v>0</v>
      </c>
      <c r="J409" s="274">
        <f t="shared" si="146"/>
        <v>0</v>
      </c>
      <c r="K409" s="275">
        <f>'人员人工-研发人员工资'!K409</f>
        <v>0</v>
      </c>
      <c r="L409" s="274">
        <f t="shared" si="147"/>
        <v>0</v>
      </c>
      <c r="M409" s="273">
        <f>'人员人工-研发人员工资'!M409</f>
        <v>0</v>
      </c>
      <c r="N409" s="274">
        <f t="shared" si="148"/>
        <v>0</v>
      </c>
      <c r="O409" s="273">
        <f>'人员人工-研发人员工资'!O409</f>
        <v>0</v>
      </c>
      <c r="P409" s="274">
        <f t="shared" si="149"/>
        <v>0</v>
      </c>
      <c r="Q409" s="273">
        <f>'人员人工-研发人员工资'!Q409</f>
        <v>0</v>
      </c>
      <c r="R409" s="274">
        <f t="shared" si="150"/>
        <v>0</v>
      </c>
      <c r="S409" s="273">
        <f>'人员人工-研发人员工资'!S409</f>
        <v>0</v>
      </c>
      <c r="T409" s="274">
        <f t="shared" si="151"/>
        <v>0</v>
      </c>
      <c r="U409" s="273">
        <f>'人员人工-研发人员工资'!U409</f>
        <v>0</v>
      </c>
      <c r="V409" s="274">
        <f t="shared" si="152"/>
        <v>0</v>
      </c>
      <c r="W409" s="273">
        <f>'人员人工-研发人员工资'!W409</f>
        <v>0</v>
      </c>
      <c r="X409" s="274">
        <f t="shared" si="153"/>
        <v>0</v>
      </c>
      <c r="Y409" s="273">
        <f>'人员人工-研发人员工资'!Y409</f>
        <v>0</v>
      </c>
      <c r="Z409" s="274">
        <f t="shared" si="154"/>
        <v>0</v>
      </c>
    </row>
    <row r="410" s="251" customFormat="1" customHeight="1" spans="1:26">
      <c r="A410" s="270">
        <v>27</v>
      </c>
      <c r="B410" s="271">
        <f>'人员人工-研发人员工资'!B410</f>
        <v>0</v>
      </c>
      <c r="C410" s="274"/>
      <c r="D410" s="272">
        <f>'人员人工-研发人员工资'!D410</f>
        <v>0</v>
      </c>
      <c r="E410" s="272">
        <f t="shared" si="143"/>
        <v>0</v>
      </c>
      <c r="F410" s="272">
        <f t="shared" si="144"/>
        <v>0</v>
      </c>
      <c r="G410" s="273">
        <f>'人员人工-研发人员工资'!G410</f>
        <v>0</v>
      </c>
      <c r="H410" s="274">
        <f t="shared" si="145"/>
        <v>0</v>
      </c>
      <c r="I410" s="273">
        <f>'人员人工-研发人员工资'!I410</f>
        <v>0</v>
      </c>
      <c r="J410" s="274">
        <f t="shared" si="146"/>
        <v>0</v>
      </c>
      <c r="K410" s="275">
        <f>'人员人工-研发人员工资'!K410</f>
        <v>0</v>
      </c>
      <c r="L410" s="274">
        <f t="shared" si="147"/>
        <v>0</v>
      </c>
      <c r="M410" s="273">
        <f>'人员人工-研发人员工资'!M410</f>
        <v>0</v>
      </c>
      <c r="N410" s="274">
        <f t="shared" si="148"/>
        <v>0</v>
      </c>
      <c r="O410" s="273">
        <f>'人员人工-研发人员工资'!O410</f>
        <v>0</v>
      </c>
      <c r="P410" s="274">
        <f t="shared" si="149"/>
        <v>0</v>
      </c>
      <c r="Q410" s="273">
        <f>'人员人工-研发人员工资'!Q410</f>
        <v>0</v>
      </c>
      <c r="R410" s="274">
        <f t="shared" si="150"/>
        <v>0</v>
      </c>
      <c r="S410" s="273">
        <f>'人员人工-研发人员工资'!S410</f>
        <v>0</v>
      </c>
      <c r="T410" s="274">
        <f t="shared" si="151"/>
        <v>0</v>
      </c>
      <c r="U410" s="273">
        <f>'人员人工-研发人员工资'!U410</f>
        <v>0</v>
      </c>
      <c r="V410" s="274">
        <f t="shared" si="152"/>
        <v>0</v>
      </c>
      <c r="W410" s="273">
        <f>'人员人工-研发人员工资'!W410</f>
        <v>0</v>
      </c>
      <c r="X410" s="274">
        <f t="shared" si="153"/>
        <v>0</v>
      </c>
      <c r="Y410" s="273">
        <f>'人员人工-研发人员工资'!Y410</f>
        <v>0</v>
      </c>
      <c r="Z410" s="274">
        <f t="shared" si="154"/>
        <v>0</v>
      </c>
    </row>
    <row r="411" s="251" customFormat="1" customHeight="1" spans="1:26">
      <c r="A411" s="270">
        <v>28</v>
      </c>
      <c r="B411" s="271">
        <f>'人员人工-研发人员工资'!B411</f>
        <v>0</v>
      </c>
      <c r="C411" s="274"/>
      <c r="D411" s="272">
        <f>'人员人工-研发人员工资'!D411</f>
        <v>0</v>
      </c>
      <c r="E411" s="272">
        <f t="shared" si="143"/>
        <v>0</v>
      </c>
      <c r="F411" s="272">
        <f t="shared" si="144"/>
        <v>0</v>
      </c>
      <c r="G411" s="273">
        <f>'人员人工-研发人员工资'!G411</f>
        <v>0</v>
      </c>
      <c r="H411" s="274">
        <f t="shared" si="145"/>
        <v>0</v>
      </c>
      <c r="I411" s="273">
        <f>'人员人工-研发人员工资'!I411</f>
        <v>0</v>
      </c>
      <c r="J411" s="274">
        <f t="shared" si="146"/>
        <v>0</v>
      </c>
      <c r="K411" s="275">
        <f>'人员人工-研发人员工资'!K411</f>
        <v>0</v>
      </c>
      <c r="L411" s="274">
        <f t="shared" si="147"/>
        <v>0</v>
      </c>
      <c r="M411" s="273">
        <f>'人员人工-研发人员工资'!M411</f>
        <v>0</v>
      </c>
      <c r="N411" s="274">
        <f t="shared" si="148"/>
        <v>0</v>
      </c>
      <c r="O411" s="273">
        <f>'人员人工-研发人员工资'!O411</f>
        <v>0</v>
      </c>
      <c r="P411" s="274">
        <f t="shared" si="149"/>
        <v>0</v>
      </c>
      <c r="Q411" s="273">
        <f>'人员人工-研发人员工资'!Q411</f>
        <v>0</v>
      </c>
      <c r="R411" s="274">
        <f t="shared" si="150"/>
        <v>0</v>
      </c>
      <c r="S411" s="273">
        <f>'人员人工-研发人员工资'!S411</f>
        <v>0</v>
      </c>
      <c r="T411" s="274">
        <f t="shared" si="151"/>
        <v>0</v>
      </c>
      <c r="U411" s="273">
        <f>'人员人工-研发人员工资'!U411</f>
        <v>0</v>
      </c>
      <c r="V411" s="274">
        <f t="shared" si="152"/>
        <v>0</v>
      </c>
      <c r="W411" s="273">
        <f>'人员人工-研发人员工资'!W411</f>
        <v>0</v>
      </c>
      <c r="X411" s="274">
        <f t="shared" si="153"/>
        <v>0</v>
      </c>
      <c r="Y411" s="273">
        <f>'人员人工-研发人员工资'!Y411</f>
        <v>0</v>
      </c>
      <c r="Z411" s="274">
        <f t="shared" si="154"/>
        <v>0</v>
      </c>
    </row>
    <row r="412" s="251" customFormat="1" customHeight="1" spans="1:26">
      <c r="A412" s="270">
        <v>29</v>
      </c>
      <c r="B412" s="271">
        <f>'人员人工-研发人员工资'!B412</f>
        <v>0</v>
      </c>
      <c r="C412" s="274"/>
      <c r="D412" s="272">
        <f>'人员人工-研发人员工资'!D412</f>
        <v>0</v>
      </c>
      <c r="E412" s="272">
        <f t="shared" si="143"/>
        <v>0</v>
      </c>
      <c r="F412" s="272">
        <f t="shared" si="144"/>
        <v>0</v>
      </c>
      <c r="G412" s="273">
        <f>'人员人工-研发人员工资'!G412</f>
        <v>0</v>
      </c>
      <c r="H412" s="274">
        <f t="shared" si="145"/>
        <v>0</v>
      </c>
      <c r="I412" s="273">
        <f>'人员人工-研发人员工资'!I412</f>
        <v>0</v>
      </c>
      <c r="J412" s="274">
        <f t="shared" si="146"/>
        <v>0</v>
      </c>
      <c r="K412" s="275">
        <f>'人员人工-研发人员工资'!K412</f>
        <v>0</v>
      </c>
      <c r="L412" s="274">
        <f t="shared" si="147"/>
        <v>0</v>
      </c>
      <c r="M412" s="273">
        <f>'人员人工-研发人员工资'!M412</f>
        <v>0</v>
      </c>
      <c r="N412" s="274">
        <f t="shared" si="148"/>
        <v>0</v>
      </c>
      <c r="O412" s="273">
        <f>'人员人工-研发人员工资'!O412</f>
        <v>0</v>
      </c>
      <c r="P412" s="274">
        <f t="shared" si="149"/>
        <v>0</v>
      </c>
      <c r="Q412" s="273">
        <f>'人员人工-研发人员工资'!Q412</f>
        <v>0</v>
      </c>
      <c r="R412" s="274">
        <f t="shared" si="150"/>
        <v>0</v>
      </c>
      <c r="S412" s="273">
        <f>'人员人工-研发人员工资'!S412</f>
        <v>0</v>
      </c>
      <c r="T412" s="274">
        <f t="shared" si="151"/>
        <v>0</v>
      </c>
      <c r="U412" s="273">
        <f>'人员人工-研发人员工资'!U412</f>
        <v>0</v>
      </c>
      <c r="V412" s="274">
        <f t="shared" si="152"/>
        <v>0</v>
      </c>
      <c r="W412" s="273">
        <f>'人员人工-研发人员工资'!W412</f>
        <v>0</v>
      </c>
      <c r="X412" s="274">
        <f t="shared" si="153"/>
        <v>0</v>
      </c>
      <c r="Y412" s="273">
        <f>'人员人工-研发人员工资'!Y412</f>
        <v>0</v>
      </c>
      <c r="Z412" s="274">
        <f t="shared" si="154"/>
        <v>0</v>
      </c>
    </row>
    <row r="413" s="251" customFormat="1" customHeight="1" spans="1:26">
      <c r="A413" s="270">
        <v>30</v>
      </c>
      <c r="B413" s="271">
        <f>'人员人工-研发人员工资'!B413</f>
        <v>0</v>
      </c>
      <c r="C413" s="274"/>
      <c r="D413" s="272">
        <f>'人员人工-研发人员工资'!D413</f>
        <v>0</v>
      </c>
      <c r="E413" s="272">
        <f t="shared" si="143"/>
        <v>0</v>
      </c>
      <c r="F413" s="272">
        <f t="shared" si="144"/>
        <v>0</v>
      </c>
      <c r="G413" s="273">
        <f>'人员人工-研发人员工资'!G413</f>
        <v>0</v>
      </c>
      <c r="H413" s="274">
        <f t="shared" si="145"/>
        <v>0</v>
      </c>
      <c r="I413" s="273">
        <f>'人员人工-研发人员工资'!I413</f>
        <v>0</v>
      </c>
      <c r="J413" s="274">
        <f t="shared" si="146"/>
        <v>0</v>
      </c>
      <c r="K413" s="275">
        <f>'人员人工-研发人员工资'!K413</f>
        <v>0</v>
      </c>
      <c r="L413" s="274">
        <f t="shared" si="147"/>
        <v>0</v>
      </c>
      <c r="M413" s="273">
        <f>'人员人工-研发人员工资'!M413</f>
        <v>0</v>
      </c>
      <c r="N413" s="274">
        <f t="shared" si="148"/>
        <v>0</v>
      </c>
      <c r="O413" s="273">
        <f>'人员人工-研发人员工资'!O413</f>
        <v>0</v>
      </c>
      <c r="P413" s="274">
        <f t="shared" si="149"/>
        <v>0</v>
      </c>
      <c r="Q413" s="273">
        <f>'人员人工-研发人员工资'!Q413</f>
        <v>0</v>
      </c>
      <c r="R413" s="274">
        <f t="shared" si="150"/>
        <v>0</v>
      </c>
      <c r="S413" s="273">
        <f>'人员人工-研发人员工资'!S413</f>
        <v>0</v>
      </c>
      <c r="T413" s="274">
        <f t="shared" si="151"/>
        <v>0</v>
      </c>
      <c r="U413" s="273">
        <f>'人员人工-研发人员工资'!U413</f>
        <v>0</v>
      </c>
      <c r="V413" s="274">
        <f t="shared" si="152"/>
        <v>0</v>
      </c>
      <c r="W413" s="273">
        <f>'人员人工-研发人员工资'!W413</f>
        <v>0</v>
      </c>
      <c r="X413" s="274">
        <f t="shared" si="153"/>
        <v>0</v>
      </c>
      <c r="Y413" s="273">
        <f>'人员人工-研发人员工资'!Y413</f>
        <v>0</v>
      </c>
      <c r="Z413" s="274">
        <f t="shared" si="154"/>
        <v>0</v>
      </c>
    </row>
    <row r="414" s="251" customFormat="1" customHeight="1" spans="1:26">
      <c r="A414" s="276" t="s">
        <v>22</v>
      </c>
      <c r="B414" s="277"/>
      <c r="C414" s="261">
        <f t="shared" ref="C414:Z414" si="155">SUM(C384:C413)</f>
        <v>0</v>
      </c>
      <c r="D414" s="261">
        <f t="shared" si="155"/>
        <v>0</v>
      </c>
      <c r="E414" s="261">
        <f t="shared" si="155"/>
        <v>0</v>
      </c>
      <c r="F414" s="272">
        <f t="shared" si="155"/>
        <v>0</v>
      </c>
      <c r="G414" s="261">
        <f t="shared" si="155"/>
        <v>0</v>
      </c>
      <c r="H414" s="261">
        <f t="shared" si="155"/>
        <v>0</v>
      </c>
      <c r="I414" s="261">
        <f t="shared" si="155"/>
        <v>0</v>
      </c>
      <c r="J414" s="261">
        <f t="shared" si="155"/>
        <v>0</v>
      </c>
      <c r="K414" s="261">
        <f t="shared" si="155"/>
        <v>0</v>
      </c>
      <c r="L414" s="261">
        <f t="shared" si="155"/>
        <v>0</v>
      </c>
      <c r="M414" s="261">
        <f t="shared" si="155"/>
        <v>0</v>
      </c>
      <c r="N414" s="261">
        <f t="shared" si="155"/>
        <v>0</v>
      </c>
      <c r="O414" s="261">
        <f t="shared" si="155"/>
        <v>0</v>
      </c>
      <c r="P414" s="261">
        <f t="shared" si="155"/>
        <v>0</v>
      </c>
      <c r="Q414" s="261">
        <f t="shared" si="155"/>
        <v>0</v>
      </c>
      <c r="R414" s="261">
        <f t="shared" si="155"/>
        <v>0</v>
      </c>
      <c r="S414" s="261">
        <f t="shared" si="155"/>
        <v>0</v>
      </c>
      <c r="T414" s="261">
        <f t="shared" si="155"/>
        <v>0</v>
      </c>
      <c r="U414" s="261">
        <f t="shared" si="155"/>
        <v>0</v>
      </c>
      <c r="V414" s="261">
        <f t="shared" si="155"/>
        <v>0</v>
      </c>
      <c r="W414" s="261">
        <f t="shared" si="155"/>
        <v>0</v>
      </c>
      <c r="X414" s="261">
        <f t="shared" si="155"/>
        <v>0</v>
      </c>
      <c r="Y414" s="261">
        <f t="shared" si="155"/>
        <v>0</v>
      </c>
      <c r="Z414" s="261">
        <f t="shared" si="155"/>
        <v>0</v>
      </c>
    </row>
    <row r="415" s="251" customFormat="1" customHeight="1" spans="1:26">
      <c r="A415" s="252"/>
      <c r="B415" s="280"/>
      <c r="C415" s="281"/>
      <c r="D415" s="281"/>
      <c r="E415" s="282"/>
      <c r="F415" s="282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 s="251" customFormat="1" customHeight="1" spans="1:26">
      <c r="A416" s="252"/>
      <c r="B416" s="280"/>
      <c r="C416" s="281"/>
      <c r="D416" s="281"/>
      <c r="E416" s="282"/>
      <c r="F416" s="282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7" s="251" customFormat="1" customHeight="1" spans="1:26">
      <c r="A417" s="252"/>
      <c r="B417" s="253"/>
      <c r="C417" s="254"/>
      <c r="D417" s="254"/>
      <c r="E417" s="255"/>
      <c r="F417" s="255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</row>
    <row r="418" s="251" customFormat="1" customHeight="1" spans="1:26">
      <c r="A418" s="252"/>
      <c r="B418" s="257" t="s">
        <v>170</v>
      </c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  <c r="Z418" s="258"/>
    </row>
    <row r="419" s="251" customFormat="1" customHeight="1" spans="1:26">
      <c r="A419" s="252"/>
      <c r="B419" s="253"/>
      <c r="C419" s="254"/>
      <c r="D419" s="254"/>
      <c r="E419" s="255"/>
      <c r="F419" s="255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</row>
    <row r="420" s="251" customFormat="1" customHeight="1" spans="1:26">
      <c r="A420" s="259" t="s">
        <v>31</v>
      </c>
      <c r="B420" s="260" t="s">
        <v>32</v>
      </c>
      <c r="C420" s="261" t="s">
        <v>157</v>
      </c>
      <c r="D420" s="261" t="s">
        <v>34</v>
      </c>
      <c r="E420" s="262" t="s">
        <v>35</v>
      </c>
      <c r="F420" s="262" t="s">
        <v>158</v>
      </c>
      <c r="G420" s="263" t="str">
        <f>立项!$A$3</f>
        <v>RD01</v>
      </c>
      <c r="H420" s="264"/>
      <c r="I420" s="264" t="str">
        <f>立项!$A$4</f>
        <v>RD02</v>
      </c>
      <c r="J420" s="264"/>
      <c r="K420" s="264" t="str">
        <f>立项!$A$5</f>
        <v>RD03</v>
      </c>
      <c r="L420" s="264"/>
      <c r="M420" s="264" t="str">
        <f>立项!$A$6</f>
        <v>RD04</v>
      </c>
      <c r="N420" s="264"/>
      <c r="O420" s="264" t="str">
        <f>立项!$A$7</f>
        <v>RD05</v>
      </c>
      <c r="P420" s="264"/>
      <c r="Q420" s="264" t="str">
        <f>立项!$A$8</f>
        <v>RD06</v>
      </c>
      <c r="R420" s="264"/>
      <c r="S420" s="264" t="str">
        <f>立项!$A$9</f>
        <v>RD07</v>
      </c>
      <c r="T420" s="264"/>
      <c r="U420" s="264" t="str">
        <f>立项!$A$10</f>
        <v>RD08</v>
      </c>
      <c r="V420" s="264"/>
      <c r="W420" s="264" t="str">
        <f>立项!$A$11</f>
        <v>RD09</v>
      </c>
      <c r="X420" s="264"/>
      <c r="Y420" s="264" t="str">
        <f>立项!$A$12</f>
        <v>RD10</v>
      </c>
      <c r="Z420" s="264"/>
    </row>
    <row r="421" s="251" customFormat="1" customHeight="1" spans="1:26">
      <c r="A421" s="265"/>
      <c r="B421" s="260"/>
      <c r="C421" s="261"/>
      <c r="D421" s="261"/>
      <c r="E421" s="262"/>
      <c r="F421" s="262"/>
      <c r="G421" s="267">
        <f>立项!C3</f>
        <v>0</v>
      </c>
      <c r="H421" s="263"/>
      <c r="I421" s="267">
        <f>立项!C4</f>
        <v>0</v>
      </c>
      <c r="J421" s="263"/>
      <c r="K421" s="267">
        <f>立项!C5</f>
        <v>0</v>
      </c>
      <c r="L421" s="263"/>
      <c r="M421" s="267">
        <f>立项!C6</f>
        <v>0</v>
      </c>
      <c r="N421" s="263"/>
      <c r="O421" s="267">
        <f>立项!C7</f>
        <v>0</v>
      </c>
      <c r="P421" s="263"/>
      <c r="Q421" s="267">
        <f>立项!C8</f>
        <v>0</v>
      </c>
      <c r="R421" s="263"/>
      <c r="S421" s="267">
        <f>立项!C9</f>
        <v>0</v>
      </c>
      <c r="T421" s="263"/>
      <c r="U421" s="267">
        <f>立项!C10</f>
        <v>0</v>
      </c>
      <c r="V421" s="263"/>
      <c r="W421" s="267">
        <f>立项!C11</f>
        <v>0</v>
      </c>
      <c r="X421" s="263"/>
      <c r="Y421" s="264">
        <f>立项!C12</f>
        <v>0</v>
      </c>
      <c r="Z421" s="264"/>
    </row>
    <row r="422" s="251" customFormat="1" customHeight="1" spans="1:26">
      <c r="A422" s="268"/>
      <c r="B422" s="260"/>
      <c r="C422" s="261"/>
      <c r="D422" s="261"/>
      <c r="E422" s="262"/>
      <c r="F422" s="262"/>
      <c r="G422" s="264" t="s">
        <v>39</v>
      </c>
      <c r="H422" s="269" t="s">
        <v>159</v>
      </c>
      <c r="I422" s="264" t="s">
        <v>39</v>
      </c>
      <c r="J422" s="269" t="s">
        <v>159</v>
      </c>
      <c r="K422" s="264" t="s">
        <v>39</v>
      </c>
      <c r="L422" s="269" t="s">
        <v>159</v>
      </c>
      <c r="M422" s="264" t="s">
        <v>39</v>
      </c>
      <c r="N422" s="269" t="s">
        <v>159</v>
      </c>
      <c r="O422" s="264" t="s">
        <v>39</v>
      </c>
      <c r="P422" s="269" t="s">
        <v>159</v>
      </c>
      <c r="Q422" s="264" t="s">
        <v>39</v>
      </c>
      <c r="R422" s="269" t="s">
        <v>159</v>
      </c>
      <c r="S422" s="264" t="s">
        <v>39</v>
      </c>
      <c r="T422" s="269" t="s">
        <v>159</v>
      </c>
      <c r="U422" s="264" t="s">
        <v>39</v>
      </c>
      <c r="V422" s="269" t="s">
        <v>159</v>
      </c>
      <c r="W422" s="264" t="s">
        <v>39</v>
      </c>
      <c r="X422" s="269" t="s">
        <v>159</v>
      </c>
      <c r="Y422" s="264" t="s">
        <v>39</v>
      </c>
      <c r="Z422" s="269" t="s">
        <v>159</v>
      </c>
    </row>
    <row r="423" s="251" customFormat="1" customHeight="1" spans="1:26">
      <c r="A423" s="270">
        <v>1</v>
      </c>
      <c r="B423" s="271">
        <f>'人员人工-研发人员工资'!B423</f>
        <v>0</v>
      </c>
      <c r="C423" s="272"/>
      <c r="D423" s="272">
        <f>'人员人工-研发人员工资'!D423</f>
        <v>0</v>
      </c>
      <c r="E423" s="272">
        <f t="shared" ref="E423:E452" si="156">G423+I423+K423+M423+O423+Q423+S423+U423+W423+Y423</f>
        <v>0</v>
      </c>
      <c r="F423" s="272">
        <f t="shared" ref="F423:F452" si="157">H423+J423+L423+N423+P423+R423+T423+V423+X423+Z423</f>
        <v>0</v>
      </c>
      <c r="G423" s="273">
        <f>'人员人工-研发人员工资'!G423</f>
        <v>0</v>
      </c>
      <c r="H423" s="274">
        <f t="shared" ref="H423:H452" si="158">IF($D423=0,0,ROUND(G423/$D423*$C423,2))</f>
        <v>0</v>
      </c>
      <c r="I423" s="273">
        <f>'人员人工-研发人员工资'!I423</f>
        <v>0</v>
      </c>
      <c r="J423" s="274">
        <f t="shared" ref="J423:J452" si="159">IF($D423=0,0,ROUND(I423/$D423*$C423,2))</f>
        <v>0</v>
      </c>
      <c r="K423" s="275">
        <f>'人员人工-研发人员工资'!K423</f>
        <v>0</v>
      </c>
      <c r="L423" s="274">
        <f t="shared" ref="L423:L452" si="160">IF($D423=0,0,ROUND(K423/$D423*$C423,2))</f>
        <v>0</v>
      </c>
      <c r="M423" s="273">
        <f>'人员人工-研发人员工资'!M423</f>
        <v>0</v>
      </c>
      <c r="N423" s="274">
        <f t="shared" ref="N423:N452" si="161">IF($D423=0,0,ROUND(M423/$D423*$C423,2))</f>
        <v>0</v>
      </c>
      <c r="O423" s="273">
        <f>'人员人工-研发人员工资'!O423</f>
        <v>0</v>
      </c>
      <c r="P423" s="274">
        <f t="shared" ref="P423:P452" si="162">IF($D423=0,0,ROUND(O423/$D423*$C423,2))</f>
        <v>0</v>
      </c>
      <c r="Q423" s="273">
        <f>'人员人工-研发人员工资'!Q423</f>
        <v>0</v>
      </c>
      <c r="R423" s="274">
        <f t="shared" ref="R423:R452" si="163">IF($D423=0,0,ROUND(Q423/$D423*$C423,2))</f>
        <v>0</v>
      </c>
      <c r="S423" s="273">
        <f>'人员人工-研发人员工资'!S423</f>
        <v>0</v>
      </c>
      <c r="T423" s="274">
        <f t="shared" ref="T423:T452" si="164">IF($D423=0,0,ROUND(S423/$D423*$C423,2))</f>
        <v>0</v>
      </c>
      <c r="U423" s="273">
        <f>'人员人工-研发人员工资'!U423</f>
        <v>0</v>
      </c>
      <c r="V423" s="274">
        <f t="shared" ref="V423:V452" si="165">IF($D423=0,0,ROUND(U423/$D423*$C423,2))</f>
        <v>0</v>
      </c>
      <c r="W423" s="273">
        <f>'人员人工-研发人员工资'!W423</f>
        <v>0</v>
      </c>
      <c r="X423" s="274">
        <f t="shared" ref="X423:X452" si="166">IF($D423=0,0,ROUND(W423/$D423*$C423,2))</f>
        <v>0</v>
      </c>
      <c r="Y423" s="273">
        <f>'人员人工-研发人员工资'!Y423</f>
        <v>0</v>
      </c>
      <c r="Z423" s="274">
        <f t="shared" ref="Z423:Z452" si="167">IF($D423=0,0,ROUND(Y423/$D423*$C423,2))</f>
        <v>0</v>
      </c>
    </row>
    <row r="424" s="251" customFormat="1" customHeight="1" spans="1:26">
      <c r="A424" s="270">
        <v>2</v>
      </c>
      <c r="B424" s="271">
        <f>'人员人工-研发人员工资'!B425</f>
        <v>0</v>
      </c>
      <c r="C424" s="272"/>
      <c r="D424" s="272">
        <f>'人员人工-研发人员工资'!D425</f>
        <v>0</v>
      </c>
      <c r="E424" s="272">
        <f>G425+I425+K425+M425+O425+Q425+S425+U425+W425+Y425</f>
        <v>0</v>
      </c>
      <c r="F424" s="272">
        <f>H425+J425+L425+N425+P425+R425+T425+V425+X425+Z425</f>
        <v>0</v>
      </c>
      <c r="G424" s="273">
        <f>'人员人工-研发人员工资'!G425</f>
        <v>0</v>
      </c>
      <c r="H424" s="274">
        <f>IF($D425=0,0,ROUND(G425/$D425*$C425,2))</f>
        <v>0</v>
      </c>
      <c r="I424" s="273">
        <f>'人员人工-研发人员工资'!I425</f>
        <v>0</v>
      </c>
      <c r="J424" s="274">
        <f>IF($D425=0,0,ROUND(I425/$D425*$C425,2))</f>
        <v>0</v>
      </c>
      <c r="K424" s="275">
        <f>'人员人工-研发人员工资'!K425</f>
        <v>0</v>
      </c>
      <c r="L424" s="274">
        <f>IF($D425=0,0,ROUND(K425/$D425*$C425,2))</f>
        <v>0</v>
      </c>
      <c r="M424" s="273">
        <f>'人员人工-研发人员工资'!M425</f>
        <v>0</v>
      </c>
      <c r="N424" s="274">
        <f>IF($D425=0,0,ROUND(M425/$D425*$C425,2))</f>
        <v>0</v>
      </c>
      <c r="O424" s="273">
        <f>'人员人工-研发人员工资'!O425</f>
        <v>0</v>
      </c>
      <c r="P424" s="274">
        <f>IF($D425=0,0,ROUND(O425/$D425*$C425,2))</f>
        <v>0</v>
      </c>
      <c r="Q424" s="273">
        <f>'人员人工-研发人员工资'!Q425</f>
        <v>0</v>
      </c>
      <c r="R424" s="274">
        <f>IF($D425=0,0,ROUND(Q425/$D425*$C425,2))</f>
        <v>0</v>
      </c>
      <c r="S424" s="273">
        <f>'人员人工-研发人员工资'!S425</f>
        <v>0</v>
      </c>
      <c r="T424" s="274">
        <f>IF($D425=0,0,ROUND(S425/$D425*$C425,2))</f>
        <v>0</v>
      </c>
      <c r="U424" s="273">
        <f>'人员人工-研发人员工资'!U425</f>
        <v>0</v>
      </c>
      <c r="V424" s="274">
        <f>IF($D425=0,0,ROUND(U425/$D425*$C425,2))</f>
        <v>0</v>
      </c>
      <c r="W424" s="273">
        <f>'人员人工-研发人员工资'!W425</f>
        <v>0</v>
      </c>
      <c r="X424" s="274">
        <f>IF($D425=0,0,ROUND(W425/$D425*$C425,2))</f>
        <v>0</v>
      </c>
      <c r="Y424" s="273">
        <f>'人员人工-研发人员工资'!Y425</f>
        <v>0</v>
      </c>
      <c r="Z424" s="274">
        <f>IF($D425=0,0,ROUND(Y425/$D425*$C425,2))</f>
        <v>0</v>
      </c>
    </row>
    <row r="425" s="251" customFormat="1" customHeight="1" spans="1:26">
      <c r="A425" s="270">
        <v>3</v>
      </c>
      <c r="B425" s="271">
        <f>'人员人工-研发人员工资'!B425</f>
        <v>0</v>
      </c>
      <c r="C425" s="272"/>
      <c r="D425" s="272">
        <f>'人员人工-研发人员工资'!D425</f>
        <v>0</v>
      </c>
      <c r="E425" s="272">
        <f t="shared" si="156"/>
        <v>0</v>
      </c>
      <c r="F425" s="272">
        <f t="shared" si="157"/>
        <v>0</v>
      </c>
      <c r="G425" s="273">
        <f>'人员人工-研发人员工资'!G425</f>
        <v>0</v>
      </c>
      <c r="H425" s="274">
        <f t="shared" si="158"/>
        <v>0</v>
      </c>
      <c r="I425" s="273">
        <f>'人员人工-研发人员工资'!I425</f>
        <v>0</v>
      </c>
      <c r="J425" s="274">
        <f t="shared" si="159"/>
        <v>0</v>
      </c>
      <c r="K425" s="275">
        <f>'人员人工-研发人员工资'!K425</f>
        <v>0</v>
      </c>
      <c r="L425" s="274">
        <f t="shared" si="160"/>
        <v>0</v>
      </c>
      <c r="M425" s="273">
        <f>'人员人工-研发人员工资'!M425</f>
        <v>0</v>
      </c>
      <c r="N425" s="274">
        <f t="shared" si="161"/>
        <v>0</v>
      </c>
      <c r="O425" s="273">
        <f>'人员人工-研发人员工资'!O425</f>
        <v>0</v>
      </c>
      <c r="P425" s="274">
        <f t="shared" si="162"/>
        <v>0</v>
      </c>
      <c r="Q425" s="273">
        <f>'人员人工-研发人员工资'!Q425</f>
        <v>0</v>
      </c>
      <c r="R425" s="274">
        <f t="shared" si="163"/>
        <v>0</v>
      </c>
      <c r="S425" s="273">
        <f>'人员人工-研发人员工资'!S425</f>
        <v>0</v>
      </c>
      <c r="T425" s="274">
        <f t="shared" si="164"/>
        <v>0</v>
      </c>
      <c r="U425" s="273">
        <f>'人员人工-研发人员工资'!U425</f>
        <v>0</v>
      </c>
      <c r="V425" s="274">
        <f t="shared" si="165"/>
        <v>0</v>
      </c>
      <c r="W425" s="273">
        <f>'人员人工-研发人员工资'!W425</f>
        <v>0</v>
      </c>
      <c r="X425" s="274">
        <f t="shared" si="166"/>
        <v>0</v>
      </c>
      <c r="Y425" s="273">
        <f>'人员人工-研发人员工资'!Y425</f>
        <v>0</v>
      </c>
      <c r="Z425" s="274">
        <f t="shared" si="167"/>
        <v>0</v>
      </c>
    </row>
    <row r="426" s="251" customFormat="1" customHeight="1" spans="1:26">
      <c r="A426" s="270">
        <v>4</v>
      </c>
      <c r="B426" s="271">
        <f>'人员人工-研发人员工资'!B426</f>
        <v>0</v>
      </c>
      <c r="C426" s="272"/>
      <c r="D426" s="272">
        <f>'人员人工-研发人员工资'!D426</f>
        <v>0</v>
      </c>
      <c r="E426" s="272">
        <f t="shared" si="156"/>
        <v>0</v>
      </c>
      <c r="F426" s="272">
        <f t="shared" si="157"/>
        <v>0</v>
      </c>
      <c r="G426" s="273">
        <f>'人员人工-研发人员工资'!G426</f>
        <v>0</v>
      </c>
      <c r="H426" s="274">
        <f t="shared" si="158"/>
        <v>0</v>
      </c>
      <c r="I426" s="273">
        <f>'人员人工-研发人员工资'!I426</f>
        <v>0</v>
      </c>
      <c r="J426" s="274">
        <f t="shared" si="159"/>
        <v>0</v>
      </c>
      <c r="K426" s="275">
        <f>'人员人工-研发人员工资'!K426</f>
        <v>0</v>
      </c>
      <c r="L426" s="274">
        <f t="shared" si="160"/>
        <v>0</v>
      </c>
      <c r="M426" s="273">
        <f>'人员人工-研发人员工资'!M426</f>
        <v>0</v>
      </c>
      <c r="N426" s="274">
        <f t="shared" si="161"/>
        <v>0</v>
      </c>
      <c r="O426" s="273">
        <f>'人员人工-研发人员工资'!O426</f>
        <v>0</v>
      </c>
      <c r="P426" s="274">
        <f t="shared" si="162"/>
        <v>0</v>
      </c>
      <c r="Q426" s="273">
        <f>'人员人工-研发人员工资'!Q426</f>
        <v>0</v>
      </c>
      <c r="R426" s="274">
        <f t="shared" si="163"/>
        <v>0</v>
      </c>
      <c r="S426" s="273">
        <f>'人员人工-研发人员工资'!S426</f>
        <v>0</v>
      </c>
      <c r="T426" s="274">
        <f t="shared" si="164"/>
        <v>0</v>
      </c>
      <c r="U426" s="273">
        <f>'人员人工-研发人员工资'!U426</f>
        <v>0</v>
      </c>
      <c r="V426" s="274">
        <f t="shared" si="165"/>
        <v>0</v>
      </c>
      <c r="W426" s="273">
        <f>'人员人工-研发人员工资'!W426</f>
        <v>0</v>
      </c>
      <c r="X426" s="274">
        <f t="shared" si="166"/>
        <v>0</v>
      </c>
      <c r="Y426" s="273">
        <f>'人员人工-研发人员工资'!Y426</f>
        <v>0</v>
      </c>
      <c r="Z426" s="274">
        <f t="shared" si="167"/>
        <v>0</v>
      </c>
    </row>
    <row r="427" s="251" customFormat="1" customHeight="1" spans="1:26">
      <c r="A427" s="270">
        <v>5</v>
      </c>
      <c r="B427" s="271">
        <f>'人员人工-研发人员工资'!B427</f>
        <v>0</v>
      </c>
      <c r="C427" s="272"/>
      <c r="D427" s="272">
        <f>'人员人工-研发人员工资'!D427</f>
        <v>0</v>
      </c>
      <c r="E427" s="272">
        <f t="shared" si="156"/>
        <v>0</v>
      </c>
      <c r="F427" s="272">
        <f t="shared" si="157"/>
        <v>0</v>
      </c>
      <c r="G427" s="273">
        <f>'人员人工-研发人员工资'!G427</f>
        <v>0</v>
      </c>
      <c r="H427" s="274">
        <f t="shared" si="158"/>
        <v>0</v>
      </c>
      <c r="I427" s="273">
        <f>'人员人工-研发人员工资'!I427</f>
        <v>0</v>
      </c>
      <c r="J427" s="274">
        <f t="shared" si="159"/>
        <v>0</v>
      </c>
      <c r="K427" s="275">
        <f>'人员人工-研发人员工资'!K427</f>
        <v>0</v>
      </c>
      <c r="L427" s="274">
        <f t="shared" si="160"/>
        <v>0</v>
      </c>
      <c r="M427" s="273">
        <f>'人员人工-研发人员工资'!M427</f>
        <v>0</v>
      </c>
      <c r="N427" s="274">
        <f t="shared" si="161"/>
        <v>0</v>
      </c>
      <c r="O427" s="273">
        <f>'人员人工-研发人员工资'!O427</f>
        <v>0</v>
      </c>
      <c r="P427" s="274">
        <f t="shared" si="162"/>
        <v>0</v>
      </c>
      <c r="Q427" s="273">
        <f>'人员人工-研发人员工资'!Q427</f>
        <v>0</v>
      </c>
      <c r="R427" s="274">
        <f t="shared" si="163"/>
        <v>0</v>
      </c>
      <c r="S427" s="273">
        <f>'人员人工-研发人员工资'!S427</f>
        <v>0</v>
      </c>
      <c r="T427" s="274">
        <f t="shared" si="164"/>
        <v>0</v>
      </c>
      <c r="U427" s="273">
        <f>'人员人工-研发人员工资'!U427</f>
        <v>0</v>
      </c>
      <c r="V427" s="274">
        <f t="shared" si="165"/>
        <v>0</v>
      </c>
      <c r="W427" s="273">
        <f>'人员人工-研发人员工资'!W427</f>
        <v>0</v>
      </c>
      <c r="X427" s="274">
        <f t="shared" si="166"/>
        <v>0</v>
      </c>
      <c r="Y427" s="273">
        <f>'人员人工-研发人员工资'!Y427</f>
        <v>0</v>
      </c>
      <c r="Z427" s="274">
        <f t="shared" si="167"/>
        <v>0</v>
      </c>
    </row>
    <row r="428" s="251" customFormat="1" customHeight="1" spans="1:26">
      <c r="A428" s="270">
        <v>6</v>
      </c>
      <c r="B428" s="271">
        <f>'人员人工-研发人员工资'!B428</f>
        <v>0</v>
      </c>
      <c r="C428" s="274"/>
      <c r="D428" s="272">
        <f>'人员人工-研发人员工资'!D428</f>
        <v>0</v>
      </c>
      <c r="E428" s="272">
        <f t="shared" si="156"/>
        <v>0</v>
      </c>
      <c r="F428" s="272">
        <f t="shared" si="157"/>
        <v>0</v>
      </c>
      <c r="G428" s="273">
        <f>'人员人工-研发人员工资'!G428</f>
        <v>0</v>
      </c>
      <c r="H428" s="274">
        <f t="shared" si="158"/>
        <v>0</v>
      </c>
      <c r="I428" s="273">
        <f>'人员人工-研发人员工资'!I428</f>
        <v>0</v>
      </c>
      <c r="J428" s="274">
        <f t="shared" si="159"/>
        <v>0</v>
      </c>
      <c r="K428" s="275">
        <f>'人员人工-研发人员工资'!K428</f>
        <v>0</v>
      </c>
      <c r="L428" s="274">
        <f t="shared" si="160"/>
        <v>0</v>
      </c>
      <c r="M428" s="273">
        <f>'人员人工-研发人员工资'!M428</f>
        <v>0</v>
      </c>
      <c r="N428" s="274">
        <f t="shared" si="161"/>
        <v>0</v>
      </c>
      <c r="O428" s="273">
        <f>'人员人工-研发人员工资'!O428</f>
        <v>0</v>
      </c>
      <c r="P428" s="274">
        <f t="shared" si="162"/>
        <v>0</v>
      </c>
      <c r="Q428" s="273">
        <f>'人员人工-研发人员工资'!Q428</f>
        <v>0</v>
      </c>
      <c r="R428" s="274">
        <f t="shared" si="163"/>
        <v>0</v>
      </c>
      <c r="S428" s="273">
        <f>'人员人工-研发人员工资'!S428</f>
        <v>0</v>
      </c>
      <c r="T428" s="274">
        <f t="shared" si="164"/>
        <v>0</v>
      </c>
      <c r="U428" s="273">
        <f>'人员人工-研发人员工资'!U428</f>
        <v>0</v>
      </c>
      <c r="V428" s="274">
        <f t="shared" si="165"/>
        <v>0</v>
      </c>
      <c r="W428" s="273">
        <f>'人员人工-研发人员工资'!W428</f>
        <v>0</v>
      </c>
      <c r="X428" s="274">
        <f t="shared" si="166"/>
        <v>0</v>
      </c>
      <c r="Y428" s="273">
        <f>'人员人工-研发人员工资'!Y428</f>
        <v>0</v>
      </c>
      <c r="Z428" s="274">
        <f t="shared" si="167"/>
        <v>0</v>
      </c>
    </row>
    <row r="429" s="251" customFormat="1" customHeight="1" spans="1:26">
      <c r="A429" s="270">
        <v>7</v>
      </c>
      <c r="B429" s="271">
        <f>'人员人工-研发人员工资'!B429</f>
        <v>0</v>
      </c>
      <c r="C429" s="274"/>
      <c r="D429" s="272">
        <f>'人员人工-研发人员工资'!D429</f>
        <v>0</v>
      </c>
      <c r="E429" s="272">
        <f t="shared" si="156"/>
        <v>0</v>
      </c>
      <c r="F429" s="272">
        <f t="shared" si="157"/>
        <v>0</v>
      </c>
      <c r="G429" s="273">
        <f>'人员人工-研发人员工资'!G429</f>
        <v>0</v>
      </c>
      <c r="H429" s="274">
        <f t="shared" si="158"/>
        <v>0</v>
      </c>
      <c r="I429" s="273">
        <f>'人员人工-研发人员工资'!I429</f>
        <v>0</v>
      </c>
      <c r="J429" s="274">
        <f t="shared" si="159"/>
        <v>0</v>
      </c>
      <c r="K429" s="275">
        <f>'人员人工-研发人员工资'!K429</f>
        <v>0</v>
      </c>
      <c r="L429" s="274">
        <f t="shared" si="160"/>
        <v>0</v>
      </c>
      <c r="M429" s="273">
        <f>'人员人工-研发人员工资'!M429</f>
        <v>0</v>
      </c>
      <c r="N429" s="274">
        <f t="shared" si="161"/>
        <v>0</v>
      </c>
      <c r="O429" s="273">
        <f>'人员人工-研发人员工资'!O429</f>
        <v>0</v>
      </c>
      <c r="P429" s="274">
        <f t="shared" si="162"/>
        <v>0</v>
      </c>
      <c r="Q429" s="273">
        <f>'人员人工-研发人员工资'!Q429</f>
        <v>0</v>
      </c>
      <c r="R429" s="274">
        <f t="shared" si="163"/>
        <v>0</v>
      </c>
      <c r="S429" s="273">
        <f>'人员人工-研发人员工资'!S429</f>
        <v>0</v>
      </c>
      <c r="T429" s="274">
        <f t="shared" si="164"/>
        <v>0</v>
      </c>
      <c r="U429" s="273">
        <f>'人员人工-研发人员工资'!U429</f>
        <v>0</v>
      </c>
      <c r="V429" s="274">
        <f t="shared" si="165"/>
        <v>0</v>
      </c>
      <c r="W429" s="273">
        <f>'人员人工-研发人员工资'!W429</f>
        <v>0</v>
      </c>
      <c r="X429" s="274">
        <f t="shared" si="166"/>
        <v>0</v>
      </c>
      <c r="Y429" s="273">
        <f>'人员人工-研发人员工资'!Y429</f>
        <v>0</v>
      </c>
      <c r="Z429" s="274">
        <f t="shared" si="167"/>
        <v>0</v>
      </c>
    </row>
    <row r="430" s="251" customFormat="1" customHeight="1" spans="1:26">
      <c r="A430" s="270">
        <v>8</v>
      </c>
      <c r="B430" s="271">
        <f>'人员人工-研发人员工资'!B430</f>
        <v>0</v>
      </c>
      <c r="C430" s="274"/>
      <c r="D430" s="272">
        <f>'人员人工-研发人员工资'!D430</f>
        <v>0</v>
      </c>
      <c r="E430" s="272">
        <f t="shared" si="156"/>
        <v>0</v>
      </c>
      <c r="F430" s="272">
        <f t="shared" si="157"/>
        <v>0</v>
      </c>
      <c r="G430" s="273">
        <f>'人员人工-研发人员工资'!G430</f>
        <v>0</v>
      </c>
      <c r="H430" s="274">
        <f t="shared" si="158"/>
        <v>0</v>
      </c>
      <c r="I430" s="273">
        <f>'人员人工-研发人员工资'!I430</f>
        <v>0</v>
      </c>
      <c r="J430" s="274">
        <f t="shared" si="159"/>
        <v>0</v>
      </c>
      <c r="K430" s="275">
        <f>'人员人工-研发人员工资'!K430</f>
        <v>0</v>
      </c>
      <c r="L430" s="274">
        <f t="shared" si="160"/>
        <v>0</v>
      </c>
      <c r="M430" s="273">
        <f>'人员人工-研发人员工资'!M430</f>
        <v>0</v>
      </c>
      <c r="N430" s="274">
        <f t="shared" si="161"/>
        <v>0</v>
      </c>
      <c r="O430" s="273">
        <f>'人员人工-研发人员工资'!O430</f>
        <v>0</v>
      </c>
      <c r="P430" s="274">
        <f t="shared" si="162"/>
        <v>0</v>
      </c>
      <c r="Q430" s="273">
        <f>'人员人工-研发人员工资'!Q430</f>
        <v>0</v>
      </c>
      <c r="R430" s="274">
        <f t="shared" si="163"/>
        <v>0</v>
      </c>
      <c r="S430" s="273">
        <f>'人员人工-研发人员工资'!S430</f>
        <v>0</v>
      </c>
      <c r="T430" s="274">
        <f t="shared" si="164"/>
        <v>0</v>
      </c>
      <c r="U430" s="273">
        <f>'人员人工-研发人员工资'!U430</f>
        <v>0</v>
      </c>
      <c r="V430" s="274">
        <f t="shared" si="165"/>
        <v>0</v>
      </c>
      <c r="W430" s="273">
        <f>'人员人工-研发人员工资'!W430</f>
        <v>0</v>
      </c>
      <c r="X430" s="274">
        <f t="shared" si="166"/>
        <v>0</v>
      </c>
      <c r="Y430" s="273">
        <f>'人员人工-研发人员工资'!Y430</f>
        <v>0</v>
      </c>
      <c r="Z430" s="274">
        <f t="shared" si="167"/>
        <v>0</v>
      </c>
    </row>
    <row r="431" s="251" customFormat="1" customHeight="1" spans="1:26">
      <c r="A431" s="270">
        <v>9</v>
      </c>
      <c r="B431" s="271">
        <f>'人员人工-研发人员工资'!B431</f>
        <v>0</v>
      </c>
      <c r="C431" s="274"/>
      <c r="D431" s="272">
        <f>'人员人工-研发人员工资'!D431</f>
        <v>0</v>
      </c>
      <c r="E431" s="272">
        <f t="shared" si="156"/>
        <v>0</v>
      </c>
      <c r="F431" s="272">
        <f t="shared" si="157"/>
        <v>0</v>
      </c>
      <c r="G431" s="273">
        <f>'人员人工-研发人员工资'!G431</f>
        <v>0</v>
      </c>
      <c r="H431" s="274">
        <f t="shared" si="158"/>
        <v>0</v>
      </c>
      <c r="I431" s="273">
        <f>'人员人工-研发人员工资'!I431</f>
        <v>0</v>
      </c>
      <c r="J431" s="274">
        <f t="shared" si="159"/>
        <v>0</v>
      </c>
      <c r="K431" s="275">
        <f>'人员人工-研发人员工资'!K431</f>
        <v>0</v>
      </c>
      <c r="L431" s="274">
        <f t="shared" si="160"/>
        <v>0</v>
      </c>
      <c r="M431" s="273">
        <f>'人员人工-研发人员工资'!M431</f>
        <v>0</v>
      </c>
      <c r="N431" s="274">
        <f t="shared" si="161"/>
        <v>0</v>
      </c>
      <c r="O431" s="273">
        <f>'人员人工-研发人员工资'!O431</f>
        <v>0</v>
      </c>
      <c r="P431" s="274">
        <f t="shared" si="162"/>
        <v>0</v>
      </c>
      <c r="Q431" s="273">
        <f>'人员人工-研发人员工资'!Q431</f>
        <v>0</v>
      </c>
      <c r="R431" s="274">
        <f t="shared" si="163"/>
        <v>0</v>
      </c>
      <c r="S431" s="273">
        <f>'人员人工-研发人员工资'!S431</f>
        <v>0</v>
      </c>
      <c r="T431" s="274">
        <f t="shared" si="164"/>
        <v>0</v>
      </c>
      <c r="U431" s="273">
        <f>'人员人工-研发人员工资'!U431</f>
        <v>0</v>
      </c>
      <c r="V431" s="274">
        <f t="shared" si="165"/>
        <v>0</v>
      </c>
      <c r="W431" s="273">
        <f>'人员人工-研发人员工资'!W431</f>
        <v>0</v>
      </c>
      <c r="X431" s="274">
        <f t="shared" si="166"/>
        <v>0</v>
      </c>
      <c r="Y431" s="273">
        <f>'人员人工-研发人员工资'!Y431</f>
        <v>0</v>
      </c>
      <c r="Z431" s="274">
        <f t="shared" si="167"/>
        <v>0</v>
      </c>
    </row>
    <row r="432" s="251" customFormat="1" customHeight="1" spans="1:26">
      <c r="A432" s="270">
        <v>10</v>
      </c>
      <c r="B432" s="271">
        <f>'人员人工-研发人员工资'!B432</f>
        <v>0</v>
      </c>
      <c r="C432" s="274"/>
      <c r="D432" s="272">
        <f>'人员人工-研发人员工资'!D432</f>
        <v>0</v>
      </c>
      <c r="E432" s="272">
        <f t="shared" si="156"/>
        <v>0</v>
      </c>
      <c r="F432" s="272">
        <f t="shared" si="157"/>
        <v>0</v>
      </c>
      <c r="G432" s="273">
        <f>'人员人工-研发人员工资'!G432</f>
        <v>0</v>
      </c>
      <c r="H432" s="274">
        <f t="shared" si="158"/>
        <v>0</v>
      </c>
      <c r="I432" s="273">
        <f>'人员人工-研发人员工资'!I432</f>
        <v>0</v>
      </c>
      <c r="J432" s="274">
        <f t="shared" si="159"/>
        <v>0</v>
      </c>
      <c r="K432" s="275">
        <f>'人员人工-研发人员工资'!K432</f>
        <v>0</v>
      </c>
      <c r="L432" s="274">
        <f t="shared" si="160"/>
        <v>0</v>
      </c>
      <c r="M432" s="273">
        <f>'人员人工-研发人员工资'!M432</f>
        <v>0</v>
      </c>
      <c r="N432" s="274">
        <f t="shared" si="161"/>
        <v>0</v>
      </c>
      <c r="O432" s="273">
        <f>'人员人工-研发人员工资'!O432</f>
        <v>0</v>
      </c>
      <c r="P432" s="274">
        <f t="shared" si="162"/>
        <v>0</v>
      </c>
      <c r="Q432" s="273">
        <f>'人员人工-研发人员工资'!Q432</f>
        <v>0</v>
      </c>
      <c r="R432" s="274">
        <f t="shared" si="163"/>
        <v>0</v>
      </c>
      <c r="S432" s="273">
        <f>'人员人工-研发人员工资'!S432</f>
        <v>0</v>
      </c>
      <c r="T432" s="274">
        <f t="shared" si="164"/>
        <v>0</v>
      </c>
      <c r="U432" s="273">
        <f>'人员人工-研发人员工资'!U432</f>
        <v>0</v>
      </c>
      <c r="V432" s="274">
        <f t="shared" si="165"/>
        <v>0</v>
      </c>
      <c r="W432" s="273">
        <f>'人员人工-研发人员工资'!W432</f>
        <v>0</v>
      </c>
      <c r="X432" s="274">
        <f t="shared" si="166"/>
        <v>0</v>
      </c>
      <c r="Y432" s="273">
        <f>'人员人工-研发人员工资'!Y432</f>
        <v>0</v>
      </c>
      <c r="Z432" s="274">
        <f t="shared" si="167"/>
        <v>0</v>
      </c>
    </row>
    <row r="433" s="251" customFormat="1" customHeight="1" spans="1:26">
      <c r="A433" s="270">
        <v>11</v>
      </c>
      <c r="B433" s="271">
        <f>'人员人工-研发人员工资'!B433</f>
        <v>0</v>
      </c>
      <c r="C433" s="274"/>
      <c r="D433" s="272">
        <f>'人员人工-研发人员工资'!D433</f>
        <v>0</v>
      </c>
      <c r="E433" s="272">
        <f t="shared" si="156"/>
        <v>0</v>
      </c>
      <c r="F433" s="272">
        <f t="shared" si="157"/>
        <v>0</v>
      </c>
      <c r="G433" s="273">
        <f>'人员人工-研发人员工资'!G433</f>
        <v>0</v>
      </c>
      <c r="H433" s="274">
        <f t="shared" si="158"/>
        <v>0</v>
      </c>
      <c r="I433" s="273">
        <f>'人员人工-研发人员工资'!I433</f>
        <v>0</v>
      </c>
      <c r="J433" s="274">
        <f t="shared" si="159"/>
        <v>0</v>
      </c>
      <c r="K433" s="275">
        <f>'人员人工-研发人员工资'!K433</f>
        <v>0</v>
      </c>
      <c r="L433" s="274">
        <f t="shared" si="160"/>
        <v>0</v>
      </c>
      <c r="M433" s="273">
        <f>'人员人工-研发人员工资'!M433</f>
        <v>0</v>
      </c>
      <c r="N433" s="274">
        <f t="shared" si="161"/>
        <v>0</v>
      </c>
      <c r="O433" s="273">
        <f>'人员人工-研发人员工资'!O433</f>
        <v>0</v>
      </c>
      <c r="P433" s="274">
        <f t="shared" si="162"/>
        <v>0</v>
      </c>
      <c r="Q433" s="273">
        <f>'人员人工-研发人员工资'!Q433</f>
        <v>0</v>
      </c>
      <c r="R433" s="274">
        <f t="shared" si="163"/>
        <v>0</v>
      </c>
      <c r="S433" s="273">
        <f>'人员人工-研发人员工资'!S433</f>
        <v>0</v>
      </c>
      <c r="T433" s="274">
        <f t="shared" si="164"/>
        <v>0</v>
      </c>
      <c r="U433" s="273">
        <f>'人员人工-研发人员工资'!U433</f>
        <v>0</v>
      </c>
      <c r="V433" s="274">
        <f t="shared" si="165"/>
        <v>0</v>
      </c>
      <c r="W433" s="273">
        <f>'人员人工-研发人员工资'!W433</f>
        <v>0</v>
      </c>
      <c r="X433" s="274">
        <f t="shared" si="166"/>
        <v>0</v>
      </c>
      <c r="Y433" s="273">
        <f>'人员人工-研发人员工资'!Y433</f>
        <v>0</v>
      </c>
      <c r="Z433" s="274">
        <f t="shared" si="167"/>
        <v>0</v>
      </c>
    </row>
    <row r="434" s="251" customFormat="1" customHeight="1" spans="1:26">
      <c r="A434" s="270">
        <v>12</v>
      </c>
      <c r="B434" s="271">
        <f>'人员人工-研发人员工资'!B434</f>
        <v>0</v>
      </c>
      <c r="C434" s="274"/>
      <c r="D434" s="272">
        <f>'人员人工-研发人员工资'!D434</f>
        <v>0</v>
      </c>
      <c r="E434" s="272">
        <f t="shared" si="156"/>
        <v>0</v>
      </c>
      <c r="F434" s="272">
        <f t="shared" si="157"/>
        <v>0</v>
      </c>
      <c r="G434" s="273">
        <f>'人员人工-研发人员工资'!G434</f>
        <v>0</v>
      </c>
      <c r="H434" s="274">
        <f t="shared" si="158"/>
        <v>0</v>
      </c>
      <c r="I434" s="273">
        <f>'人员人工-研发人员工资'!I434</f>
        <v>0</v>
      </c>
      <c r="J434" s="274">
        <f t="shared" si="159"/>
        <v>0</v>
      </c>
      <c r="K434" s="275">
        <f>'人员人工-研发人员工资'!K434</f>
        <v>0</v>
      </c>
      <c r="L434" s="274">
        <f t="shared" si="160"/>
        <v>0</v>
      </c>
      <c r="M434" s="273">
        <f>'人员人工-研发人员工资'!M434</f>
        <v>0</v>
      </c>
      <c r="N434" s="274">
        <f t="shared" si="161"/>
        <v>0</v>
      </c>
      <c r="O434" s="273">
        <f>'人员人工-研发人员工资'!O434</f>
        <v>0</v>
      </c>
      <c r="P434" s="274">
        <f t="shared" si="162"/>
        <v>0</v>
      </c>
      <c r="Q434" s="273">
        <f>'人员人工-研发人员工资'!Q434</f>
        <v>0</v>
      </c>
      <c r="R434" s="274">
        <f t="shared" si="163"/>
        <v>0</v>
      </c>
      <c r="S434" s="273">
        <f>'人员人工-研发人员工资'!S434</f>
        <v>0</v>
      </c>
      <c r="T434" s="274">
        <f t="shared" si="164"/>
        <v>0</v>
      </c>
      <c r="U434" s="273">
        <f>'人员人工-研发人员工资'!U434</f>
        <v>0</v>
      </c>
      <c r="V434" s="274">
        <f t="shared" si="165"/>
        <v>0</v>
      </c>
      <c r="W434" s="273">
        <f>'人员人工-研发人员工资'!W434</f>
        <v>0</v>
      </c>
      <c r="X434" s="274">
        <f t="shared" si="166"/>
        <v>0</v>
      </c>
      <c r="Y434" s="273">
        <f>'人员人工-研发人员工资'!Y434</f>
        <v>0</v>
      </c>
      <c r="Z434" s="274">
        <f t="shared" si="167"/>
        <v>0</v>
      </c>
    </row>
    <row r="435" s="251" customFormat="1" customHeight="1" spans="1:26">
      <c r="A435" s="270">
        <v>13</v>
      </c>
      <c r="B435" s="271">
        <f>'人员人工-研发人员工资'!B435</f>
        <v>0</v>
      </c>
      <c r="C435" s="274"/>
      <c r="D435" s="272">
        <f>'人员人工-研发人员工资'!D435</f>
        <v>0</v>
      </c>
      <c r="E435" s="272">
        <f t="shared" si="156"/>
        <v>0</v>
      </c>
      <c r="F435" s="272">
        <f t="shared" si="157"/>
        <v>0</v>
      </c>
      <c r="G435" s="273">
        <f>'人员人工-研发人员工资'!G435</f>
        <v>0</v>
      </c>
      <c r="H435" s="274">
        <f t="shared" si="158"/>
        <v>0</v>
      </c>
      <c r="I435" s="273">
        <f>'人员人工-研发人员工资'!I435</f>
        <v>0</v>
      </c>
      <c r="J435" s="274">
        <f t="shared" si="159"/>
        <v>0</v>
      </c>
      <c r="K435" s="275">
        <f>'人员人工-研发人员工资'!K435</f>
        <v>0</v>
      </c>
      <c r="L435" s="274">
        <f t="shared" si="160"/>
        <v>0</v>
      </c>
      <c r="M435" s="273">
        <f>'人员人工-研发人员工资'!M435</f>
        <v>0</v>
      </c>
      <c r="N435" s="274">
        <f t="shared" si="161"/>
        <v>0</v>
      </c>
      <c r="O435" s="273">
        <f>'人员人工-研发人员工资'!O435</f>
        <v>0</v>
      </c>
      <c r="P435" s="274">
        <f t="shared" si="162"/>
        <v>0</v>
      </c>
      <c r="Q435" s="273">
        <f>'人员人工-研发人员工资'!Q435</f>
        <v>0</v>
      </c>
      <c r="R435" s="274">
        <f t="shared" si="163"/>
        <v>0</v>
      </c>
      <c r="S435" s="273">
        <f>'人员人工-研发人员工资'!S435</f>
        <v>0</v>
      </c>
      <c r="T435" s="274">
        <f t="shared" si="164"/>
        <v>0</v>
      </c>
      <c r="U435" s="273">
        <f>'人员人工-研发人员工资'!U435</f>
        <v>0</v>
      </c>
      <c r="V435" s="274">
        <f t="shared" si="165"/>
        <v>0</v>
      </c>
      <c r="W435" s="273">
        <f>'人员人工-研发人员工资'!W435</f>
        <v>0</v>
      </c>
      <c r="X435" s="274">
        <f t="shared" si="166"/>
        <v>0</v>
      </c>
      <c r="Y435" s="273">
        <f>'人员人工-研发人员工资'!Y435</f>
        <v>0</v>
      </c>
      <c r="Z435" s="274">
        <f t="shared" si="167"/>
        <v>0</v>
      </c>
    </row>
    <row r="436" s="251" customFormat="1" customHeight="1" spans="1:26">
      <c r="A436" s="270">
        <v>14</v>
      </c>
      <c r="B436" s="271">
        <f>'人员人工-研发人员工资'!B436</f>
        <v>0</v>
      </c>
      <c r="C436" s="274"/>
      <c r="D436" s="272">
        <f>'人员人工-研发人员工资'!D436</f>
        <v>0</v>
      </c>
      <c r="E436" s="272">
        <f t="shared" si="156"/>
        <v>0</v>
      </c>
      <c r="F436" s="272">
        <f t="shared" si="157"/>
        <v>0</v>
      </c>
      <c r="G436" s="273">
        <f>'人员人工-研发人员工资'!G436</f>
        <v>0</v>
      </c>
      <c r="H436" s="274">
        <f t="shared" si="158"/>
        <v>0</v>
      </c>
      <c r="I436" s="273">
        <f>'人员人工-研发人员工资'!I436</f>
        <v>0</v>
      </c>
      <c r="J436" s="274">
        <f t="shared" si="159"/>
        <v>0</v>
      </c>
      <c r="K436" s="275">
        <f>'人员人工-研发人员工资'!K436</f>
        <v>0</v>
      </c>
      <c r="L436" s="274">
        <f t="shared" si="160"/>
        <v>0</v>
      </c>
      <c r="M436" s="273">
        <f>'人员人工-研发人员工资'!M436</f>
        <v>0</v>
      </c>
      <c r="N436" s="274">
        <f t="shared" si="161"/>
        <v>0</v>
      </c>
      <c r="O436" s="273">
        <f>'人员人工-研发人员工资'!O436</f>
        <v>0</v>
      </c>
      <c r="P436" s="274">
        <f t="shared" si="162"/>
        <v>0</v>
      </c>
      <c r="Q436" s="273">
        <f>'人员人工-研发人员工资'!Q436</f>
        <v>0</v>
      </c>
      <c r="R436" s="274">
        <f t="shared" si="163"/>
        <v>0</v>
      </c>
      <c r="S436" s="273">
        <f>'人员人工-研发人员工资'!S436</f>
        <v>0</v>
      </c>
      <c r="T436" s="274">
        <f t="shared" si="164"/>
        <v>0</v>
      </c>
      <c r="U436" s="273">
        <f>'人员人工-研发人员工资'!U436</f>
        <v>0</v>
      </c>
      <c r="V436" s="274">
        <f t="shared" si="165"/>
        <v>0</v>
      </c>
      <c r="W436" s="273">
        <f>'人员人工-研发人员工资'!W436</f>
        <v>0</v>
      </c>
      <c r="X436" s="274">
        <f t="shared" si="166"/>
        <v>0</v>
      </c>
      <c r="Y436" s="273">
        <f>'人员人工-研发人员工资'!Y436</f>
        <v>0</v>
      </c>
      <c r="Z436" s="274">
        <f t="shared" si="167"/>
        <v>0</v>
      </c>
    </row>
    <row r="437" s="251" customFormat="1" customHeight="1" spans="1:26">
      <c r="A437" s="270">
        <v>15</v>
      </c>
      <c r="B437" s="271">
        <f>'人员人工-研发人员工资'!B437</f>
        <v>0</v>
      </c>
      <c r="C437" s="274"/>
      <c r="D437" s="272">
        <f>'人员人工-研发人员工资'!D437</f>
        <v>0</v>
      </c>
      <c r="E437" s="272">
        <f t="shared" si="156"/>
        <v>0</v>
      </c>
      <c r="F437" s="272">
        <f t="shared" si="157"/>
        <v>0</v>
      </c>
      <c r="G437" s="273">
        <f>'人员人工-研发人员工资'!G437</f>
        <v>0</v>
      </c>
      <c r="H437" s="274">
        <f t="shared" si="158"/>
        <v>0</v>
      </c>
      <c r="I437" s="273">
        <f>'人员人工-研发人员工资'!I437</f>
        <v>0</v>
      </c>
      <c r="J437" s="274">
        <f t="shared" si="159"/>
        <v>0</v>
      </c>
      <c r="K437" s="275">
        <f>'人员人工-研发人员工资'!K437</f>
        <v>0</v>
      </c>
      <c r="L437" s="274">
        <f t="shared" si="160"/>
        <v>0</v>
      </c>
      <c r="M437" s="273">
        <f>'人员人工-研发人员工资'!M437</f>
        <v>0</v>
      </c>
      <c r="N437" s="274">
        <f t="shared" si="161"/>
        <v>0</v>
      </c>
      <c r="O437" s="273">
        <f>'人员人工-研发人员工资'!O437</f>
        <v>0</v>
      </c>
      <c r="P437" s="274">
        <f t="shared" si="162"/>
        <v>0</v>
      </c>
      <c r="Q437" s="273">
        <f>'人员人工-研发人员工资'!Q437</f>
        <v>0</v>
      </c>
      <c r="R437" s="274">
        <f t="shared" si="163"/>
        <v>0</v>
      </c>
      <c r="S437" s="273">
        <f>'人员人工-研发人员工资'!S437</f>
        <v>0</v>
      </c>
      <c r="T437" s="274">
        <f t="shared" si="164"/>
        <v>0</v>
      </c>
      <c r="U437" s="273">
        <f>'人员人工-研发人员工资'!U437</f>
        <v>0</v>
      </c>
      <c r="V437" s="274">
        <f t="shared" si="165"/>
        <v>0</v>
      </c>
      <c r="W437" s="273">
        <f>'人员人工-研发人员工资'!W437</f>
        <v>0</v>
      </c>
      <c r="X437" s="274">
        <f t="shared" si="166"/>
        <v>0</v>
      </c>
      <c r="Y437" s="273">
        <f>'人员人工-研发人员工资'!Y437</f>
        <v>0</v>
      </c>
      <c r="Z437" s="274">
        <f t="shared" si="167"/>
        <v>0</v>
      </c>
    </row>
    <row r="438" s="251" customFormat="1" customHeight="1" spans="1:26">
      <c r="A438" s="270">
        <v>16</v>
      </c>
      <c r="B438" s="271">
        <f>'人员人工-研发人员工资'!B438</f>
        <v>0</v>
      </c>
      <c r="C438" s="274"/>
      <c r="D438" s="272">
        <f>'人员人工-研发人员工资'!D438</f>
        <v>0</v>
      </c>
      <c r="E438" s="272">
        <f t="shared" si="156"/>
        <v>0</v>
      </c>
      <c r="F438" s="272">
        <f t="shared" si="157"/>
        <v>0</v>
      </c>
      <c r="G438" s="273">
        <f>'人员人工-研发人员工资'!G438</f>
        <v>0</v>
      </c>
      <c r="H438" s="274">
        <f t="shared" si="158"/>
        <v>0</v>
      </c>
      <c r="I438" s="273">
        <f>'人员人工-研发人员工资'!I438</f>
        <v>0</v>
      </c>
      <c r="J438" s="274">
        <f t="shared" si="159"/>
        <v>0</v>
      </c>
      <c r="K438" s="275">
        <f>'人员人工-研发人员工资'!K438</f>
        <v>0</v>
      </c>
      <c r="L438" s="274">
        <f t="shared" si="160"/>
        <v>0</v>
      </c>
      <c r="M438" s="273">
        <f>'人员人工-研发人员工资'!M438</f>
        <v>0</v>
      </c>
      <c r="N438" s="274">
        <f t="shared" si="161"/>
        <v>0</v>
      </c>
      <c r="O438" s="273">
        <f>'人员人工-研发人员工资'!O438</f>
        <v>0</v>
      </c>
      <c r="P438" s="274">
        <f t="shared" si="162"/>
        <v>0</v>
      </c>
      <c r="Q438" s="273">
        <f>'人员人工-研发人员工资'!Q438</f>
        <v>0</v>
      </c>
      <c r="R438" s="274">
        <f t="shared" si="163"/>
        <v>0</v>
      </c>
      <c r="S438" s="273">
        <f>'人员人工-研发人员工资'!S438</f>
        <v>0</v>
      </c>
      <c r="T438" s="274">
        <f t="shared" si="164"/>
        <v>0</v>
      </c>
      <c r="U438" s="273">
        <f>'人员人工-研发人员工资'!U438</f>
        <v>0</v>
      </c>
      <c r="V438" s="274">
        <f t="shared" si="165"/>
        <v>0</v>
      </c>
      <c r="W438" s="273">
        <f>'人员人工-研发人员工资'!W438</f>
        <v>0</v>
      </c>
      <c r="X438" s="274">
        <f t="shared" si="166"/>
        <v>0</v>
      </c>
      <c r="Y438" s="273">
        <f>'人员人工-研发人员工资'!Y438</f>
        <v>0</v>
      </c>
      <c r="Z438" s="274">
        <f t="shared" si="167"/>
        <v>0</v>
      </c>
    </row>
    <row r="439" s="251" customFormat="1" customHeight="1" spans="1:26">
      <c r="A439" s="270">
        <v>17</v>
      </c>
      <c r="B439" s="271">
        <f>'人员人工-研发人员工资'!B439</f>
        <v>0</v>
      </c>
      <c r="C439" s="274"/>
      <c r="D439" s="272">
        <f>'人员人工-研发人员工资'!D439</f>
        <v>0</v>
      </c>
      <c r="E439" s="272">
        <f t="shared" si="156"/>
        <v>0</v>
      </c>
      <c r="F439" s="272">
        <f t="shared" si="157"/>
        <v>0</v>
      </c>
      <c r="G439" s="273">
        <f>'人员人工-研发人员工资'!G439</f>
        <v>0</v>
      </c>
      <c r="H439" s="274">
        <f t="shared" si="158"/>
        <v>0</v>
      </c>
      <c r="I439" s="273">
        <f>'人员人工-研发人员工资'!I439</f>
        <v>0</v>
      </c>
      <c r="J439" s="274">
        <f t="shared" si="159"/>
        <v>0</v>
      </c>
      <c r="K439" s="275">
        <f>'人员人工-研发人员工资'!K439</f>
        <v>0</v>
      </c>
      <c r="L439" s="274">
        <f t="shared" si="160"/>
        <v>0</v>
      </c>
      <c r="M439" s="273">
        <f>'人员人工-研发人员工资'!M439</f>
        <v>0</v>
      </c>
      <c r="N439" s="274">
        <f t="shared" si="161"/>
        <v>0</v>
      </c>
      <c r="O439" s="273">
        <f>'人员人工-研发人员工资'!O439</f>
        <v>0</v>
      </c>
      <c r="P439" s="274">
        <f t="shared" si="162"/>
        <v>0</v>
      </c>
      <c r="Q439" s="273">
        <f>'人员人工-研发人员工资'!Q439</f>
        <v>0</v>
      </c>
      <c r="R439" s="274">
        <f t="shared" si="163"/>
        <v>0</v>
      </c>
      <c r="S439" s="273">
        <f>'人员人工-研发人员工资'!S439</f>
        <v>0</v>
      </c>
      <c r="T439" s="274">
        <f t="shared" si="164"/>
        <v>0</v>
      </c>
      <c r="U439" s="273">
        <f>'人员人工-研发人员工资'!U439</f>
        <v>0</v>
      </c>
      <c r="V439" s="274">
        <f t="shared" si="165"/>
        <v>0</v>
      </c>
      <c r="W439" s="273">
        <f>'人员人工-研发人员工资'!W439</f>
        <v>0</v>
      </c>
      <c r="X439" s="274">
        <f t="shared" si="166"/>
        <v>0</v>
      </c>
      <c r="Y439" s="273">
        <f>'人员人工-研发人员工资'!Y439</f>
        <v>0</v>
      </c>
      <c r="Z439" s="274">
        <f t="shared" si="167"/>
        <v>0</v>
      </c>
    </row>
    <row r="440" s="251" customFormat="1" customHeight="1" spans="1:26">
      <c r="A440" s="270">
        <v>18</v>
      </c>
      <c r="B440" s="271">
        <f>'人员人工-研发人员工资'!B440</f>
        <v>0</v>
      </c>
      <c r="C440" s="274"/>
      <c r="D440" s="272">
        <f>'人员人工-研发人员工资'!D440</f>
        <v>0</v>
      </c>
      <c r="E440" s="272">
        <f t="shared" si="156"/>
        <v>0</v>
      </c>
      <c r="F440" s="272">
        <f t="shared" si="157"/>
        <v>0</v>
      </c>
      <c r="G440" s="273">
        <f>'人员人工-研发人员工资'!G440</f>
        <v>0</v>
      </c>
      <c r="H440" s="274">
        <f t="shared" si="158"/>
        <v>0</v>
      </c>
      <c r="I440" s="273">
        <f>'人员人工-研发人员工资'!I440</f>
        <v>0</v>
      </c>
      <c r="J440" s="274">
        <f t="shared" si="159"/>
        <v>0</v>
      </c>
      <c r="K440" s="275">
        <f>'人员人工-研发人员工资'!K440</f>
        <v>0</v>
      </c>
      <c r="L440" s="274">
        <f t="shared" si="160"/>
        <v>0</v>
      </c>
      <c r="M440" s="273">
        <f>'人员人工-研发人员工资'!M440</f>
        <v>0</v>
      </c>
      <c r="N440" s="274">
        <f t="shared" si="161"/>
        <v>0</v>
      </c>
      <c r="O440" s="273">
        <f>'人员人工-研发人员工资'!O440</f>
        <v>0</v>
      </c>
      <c r="P440" s="274">
        <f t="shared" si="162"/>
        <v>0</v>
      </c>
      <c r="Q440" s="273">
        <f>'人员人工-研发人员工资'!Q440</f>
        <v>0</v>
      </c>
      <c r="R440" s="274">
        <f t="shared" si="163"/>
        <v>0</v>
      </c>
      <c r="S440" s="273">
        <f>'人员人工-研发人员工资'!S440</f>
        <v>0</v>
      </c>
      <c r="T440" s="274">
        <f t="shared" si="164"/>
        <v>0</v>
      </c>
      <c r="U440" s="273">
        <f>'人员人工-研发人员工资'!U440</f>
        <v>0</v>
      </c>
      <c r="V440" s="274">
        <f t="shared" si="165"/>
        <v>0</v>
      </c>
      <c r="W440" s="273">
        <f>'人员人工-研发人员工资'!W440</f>
        <v>0</v>
      </c>
      <c r="X440" s="274">
        <f t="shared" si="166"/>
        <v>0</v>
      </c>
      <c r="Y440" s="273">
        <f>'人员人工-研发人员工资'!Y440</f>
        <v>0</v>
      </c>
      <c r="Z440" s="274">
        <f t="shared" si="167"/>
        <v>0</v>
      </c>
    </row>
    <row r="441" s="251" customFormat="1" customHeight="1" spans="1:26">
      <c r="A441" s="270">
        <v>19</v>
      </c>
      <c r="B441" s="271">
        <f>'人员人工-研发人员工资'!B441</f>
        <v>0</v>
      </c>
      <c r="C441" s="274"/>
      <c r="D441" s="272">
        <f>'人员人工-研发人员工资'!D441</f>
        <v>0</v>
      </c>
      <c r="E441" s="272">
        <f t="shared" si="156"/>
        <v>0</v>
      </c>
      <c r="F441" s="272">
        <f t="shared" si="157"/>
        <v>0</v>
      </c>
      <c r="G441" s="273">
        <f>'人员人工-研发人员工资'!G441</f>
        <v>0</v>
      </c>
      <c r="H441" s="274">
        <f t="shared" si="158"/>
        <v>0</v>
      </c>
      <c r="I441" s="273">
        <f>'人员人工-研发人员工资'!I441</f>
        <v>0</v>
      </c>
      <c r="J441" s="274">
        <f t="shared" si="159"/>
        <v>0</v>
      </c>
      <c r="K441" s="275">
        <f>'人员人工-研发人员工资'!K441</f>
        <v>0</v>
      </c>
      <c r="L441" s="274">
        <f t="shared" si="160"/>
        <v>0</v>
      </c>
      <c r="M441" s="273">
        <f>'人员人工-研发人员工资'!M441</f>
        <v>0</v>
      </c>
      <c r="N441" s="274">
        <f t="shared" si="161"/>
        <v>0</v>
      </c>
      <c r="O441" s="273">
        <f>'人员人工-研发人员工资'!O441</f>
        <v>0</v>
      </c>
      <c r="P441" s="274">
        <f t="shared" si="162"/>
        <v>0</v>
      </c>
      <c r="Q441" s="273">
        <f>'人员人工-研发人员工资'!Q441</f>
        <v>0</v>
      </c>
      <c r="R441" s="274">
        <f t="shared" si="163"/>
        <v>0</v>
      </c>
      <c r="S441" s="273">
        <f>'人员人工-研发人员工资'!S441</f>
        <v>0</v>
      </c>
      <c r="T441" s="274">
        <f t="shared" si="164"/>
        <v>0</v>
      </c>
      <c r="U441" s="273">
        <f>'人员人工-研发人员工资'!U441</f>
        <v>0</v>
      </c>
      <c r="V441" s="274">
        <f t="shared" si="165"/>
        <v>0</v>
      </c>
      <c r="W441" s="273">
        <f>'人员人工-研发人员工资'!W441</f>
        <v>0</v>
      </c>
      <c r="X441" s="274">
        <f t="shared" si="166"/>
        <v>0</v>
      </c>
      <c r="Y441" s="273">
        <f>'人员人工-研发人员工资'!Y441</f>
        <v>0</v>
      </c>
      <c r="Z441" s="274">
        <f t="shared" si="167"/>
        <v>0</v>
      </c>
    </row>
    <row r="442" s="251" customFormat="1" customHeight="1" spans="1:26">
      <c r="A442" s="270">
        <v>20</v>
      </c>
      <c r="B442" s="271">
        <f>'人员人工-研发人员工资'!B442</f>
        <v>0</v>
      </c>
      <c r="C442" s="274"/>
      <c r="D442" s="272">
        <f>'人员人工-研发人员工资'!D442</f>
        <v>0</v>
      </c>
      <c r="E442" s="272">
        <f t="shared" si="156"/>
        <v>0</v>
      </c>
      <c r="F442" s="272">
        <f t="shared" si="157"/>
        <v>0</v>
      </c>
      <c r="G442" s="273">
        <f>'人员人工-研发人员工资'!G442</f>
        <v>0</v>
      </c>
      <c r="H442" s="274">
        <f t="shared" si="158"/>
        <v>0</v>
      </c>
      <c r="I442" s="273">
        <f>'人员人工-研发人员工资'!I442</f>
        <v>0</v>
      </c>
      <c r="J442" s="274">
        <f t="shared" si="159"/>
        <v>0</v>
      </c>
      <c r="K442" s="275">
        <f>'人员人工-研发人员工资'!K442</f>
        <v>0</v>
      </c>
      <c r="L442" s="274">
        <f t="shared" si="160"/>
        <v>0</v>
      </c>
      <c r="M442" s="273">
        <f>'人员人工-研发人员工资'!M442</f>
        <v>0</v>
      </c>
      <c r="N442" s="274">
        <f t="shared" si="161"/>
        <v>0</v>
      </c>
      <c r="O442" s="273">
        <f>'人员人工-研发人员工资'!O442</f>
        <v>0</v>
      </c>
      <c r="P442" s="274">
        <f t="shared" si="162"/>
        <v>0</v>
      </c>
      <c r="Q442" s="273">
        <f>'人员人工-研发人员工资'!Q442</f>
        <v>0</v>
      </c>
      <c r="R442" s="274">
        <f t="shared" si="163"/>
        <v>0</v>
      </c>
      <c r="S442" s="273">
        <f>'人员人工-研发人员工资'!S442</f>
        <v>0</v>
      </c>
      <c r="T442" s="274">
        <f t="shared" si="164"/>
        <v>0</v>
      </c>
      <c r="U442" s="273">
        <f>'人员人工-研发人员工资'!U442</f>
        <v>0</v>
      </c>
      <c r="V442" s="274">
        <f t="shared" si="165"/>
        <v>0</v>
      </c>
      <c r="W442" s="273">
        <f>'人员人工-研发人员工资'!W442</f>
        <v>0</v>
      </c>
      <c r="X442" s="274">
        <f t="shared" si="166"/>
        <v>0</v>
      </c>
      <c r="Y442" s="273">
        <f>'人员人工-研发人员工资'!Y442</f>
        <v>0</v>
      </c>
      <c r="Z442" s="274">
        <f t="shared" si="167"/>
        <v>0</v>
      </c>
    </row>
    <row r="443" s="251" customFormat="1" customHeight="1" spans="1:26">
      <c r="A443" s="270">
        <v>21</v>
      </c>
      <c r="B443" s="271">
        <f>'人员人工-研发人员工资'!B443</f>
        <v>0</v>
      </c>
      <c r="C443" s="274"/>
      <c r="D443" s="272">
        <f>'人员人工-研发人员工资'!D443</f>
        <v>0</v>
      </c>
      <c r="E443" s="272">
        <f t="shared" si="156"/>
        <v>0</v>
      </c>
      <c r="F443" s="272">
        <f t="shared" si="157"/>
        <v>0</v>
      </c>
      <c r="G443" s="273">
        <f>'人员人工-研发人员工资'!G443</f>
        <v>0</v>
      </c>
      <c r="H443" s="274">
        <f t="shared" si="158"/>
        <v>0</v>
      </c>
      <c r="I443" s="273">
        <f>'人员人工-研发人员工资'!I443</f>
        <v>0</v>
      </c>
      <c r="J443" s="274">
        <f t="shared" si="159"/>
        <v>0</v>
      </c>
      <c r="K443" s="275">
        <f>'人员人工-研发人员工资'!K443</f>
        <v>0</v>
      </c>
      <c r="L443" s="274">
        <f t="shared" si="160"/>
        <v>0</v>
      </c>
      <c r="M443" s="273">
        <f>'人员人工-研发人员工资'!M443</f>
        <v>0</v>
      </c>
      <c r="N443" s="274">
        <f t="shared" si="161"/>
        <v>0</v>
      </c>
      <c r="O443" s="273">
        <f>'人员人工-研发人员工资'!O443</f>
        <v>0</v>
      </c>
      <c r="P443" s="274">
        <f t="shared" si="162"/>
        <v>0</v>
      </c>
      <c r="Q443" s="273">
        <f>'人员人工-研发人员工资'!Q443</f>
        <v>0</v>
      </c>
      <c r="R443" s="274">
        <f t="shared" si="163"/>
        <v>0</v>
      </c>
      <c r="S443" s="273">
        <f>'人员人工-研发人员工资'!S443</f>
        <v>0</v>
      </c>
      <c r="T443" s="274">
        <f t="shared" si="164"/>
        <v>0</v>
      </c>
      <c r="U443" s="273">
        <f>'人员人工-研发人员工资'!U443</f>
        <v>0</v>
      </c>
      <c r="V443" s="274">
        <f t="shared" si="165"/>
        <v>0</v>
      </c>
      <c r="W443" s="273">
        <f>'人员人工-研发人员工资'!W443</f>
        <v>0</v>
      </c>
      <c r="X443" s="274">
        <f t="shared" si="166"/>
        <v>0</v>
      </c>
      <c r="Y443" s="273">
        <f>'人员人工-研发人员工资'!Y443</f>
        <v>0</v>
      </c>
      <c r="Z443" s="274">
        <f t="shared" si="167"/>
        <v>0</v>
      </c>
    </row>
    <row r="444" s="251" customFormat="1" customHeight="1" spans="1:26">
      <c r="A444" s="270">
        <v>22</v>
      </c>
      <c r="B444" s="271">
        <f>'人员人工-研发人员工资'!B444</f>
        <v>0</v>
      </c>
      <c r="C444" s="274"/>
      <c r="D444" s="272">
        <f>'人员人工-研发人员工资'!D444</f>
        <v>0</v>
      </c>
      <c r="E444" s="272">
        <f t="shared" si="156"/>
        <v>0</v>
      </c>
      <c r="F444" s="272">
        <f t="shared" si="157"/>
        <v>0</v>
      </c>
      <c r="G444" s="273">
        <f>'人员人工-研发人员工资'!G444</f>
        <v>0</v>
      </c>
      <c r="H444" s="274">
        <f t="shared" si="158"/>
        <v>0</v>
      </c>
      <c r="I444" s="273">
        <f>'人员人工-研发人员工资'!I444</f>
        <v>0</v>
      </c>
      <c r="J444" s="274">
        <f t="shared" si="159"/>
        <v>0</v>
      </c>
      <c r="K444" s="275">
        <f>'人员人工-研发人员工资'!K444</f>
        <v>0</v>
      </c>
      <c r="L444" s="274">
        <f t="shared" si="160"/>
        <v>0</v>
      </c>
      <c r="M444" s="273">
        <f>'人员人工-研发人员工资'!M444</f>
        <v>0</v>
      </c>
      <c r="N444" s="274">
        <f t="shared" si="161"/>
        <v>0</v>
      </c>
      <c r="O444" s="273">
        <f>'人员人工-研发人员工资'!O444</f>
        <v>0</v>
      </c>
      <c r="P444" s="274">
        <f t="shared" si="162"/>
        <v>0</v>
      </c>
      <c r="Q444" s="273">
        <f>'人员人工-研发人员工资'!Q444</f>
        <v>0</v>
      </c>
      <c r="R444" s="274">
        <f t="shared" si="163"/>
        <v>0</v>
      </c>
      <c r="S444" s="273">
        <f>'人员人工-研发人员工资'!S444</f>
        <v>0</v>
      </c>
      <c r="T444" s="274">
        <f t="shared" si="164"/>
        <v>0</v>
      </c>
      <c r="U444" s="273">
        <f>'人员人工-研发人员工资'!U444</f>
        <v>0</v>
      </c>
      <c r="V444" s="274">
        <f t="shared" si="165"/>
        <v>0</v>
      </c>
      <c r="W444" s="273">
        <f>'人员人工-研发人员工资'!W444</f>
        <v>0</v>
      </c>
      <c r="X444" s="274">
        <f t="shared" si="166"/>
        <v>0</v>
      </c>
      <c r="Y444" s="273">
        <f>'人员人工-研发人员工资'!Y444</f>
        <v>0</v>
      </c>
      <c r="Z444" s="274">
        <f t="shared" si="167"/>
        <v>0</v>
      </c>
    </row>
    <row r="445" s="251" customFormat="1" customHeight="1" spans="1:26">
      <c r="A445" s="270">
        <v>23</v>
      </c>
      <c r="B445" s="271">
        <f>'人员人工-研发人员工资'!B445</f>
        <v>0</v>
      </c>
      <c r="C445" s="274"/>
      <c r="D445" s="272">
        <f>'人员人工-研发人员工资'!D445</f>
        <v>0</v>
      </c>
      <c r="E445" s="272">
        <f t="shared" si="156"/>
        <v>0</v>
      </c>
      <c r="F445" s="272">
        <f t="shared" si="157"/>
        <v>0</v>
      </c>
      <c r="G445" s="273">
        <f>'人员人工-研发人员工资'!G445</f>
        <v>0</v>
      </c>
      <c r="H445" s="274">
        <f t="shared" si="158"/>
        <v>0</v>
      </c>
      <c r="I445" s="273">
        <f>'人员人工-研发人员工资'!I445</f>
        <v>0</v>
      </c>
      <c r="J445" s="274">
        <f t="shared" si="159"/>
        <v>0</v>
      </c>
      <c r="K445" s="275">
        <f>'人员人工-研发人员工资'!K445</f>
        <v>0</v>
      </c>
      <c r="L445" s="274">
        <f t="shared" si="160"/>
        <v>0</v>
      </c>
      <c r="M445" s="273">
        <f>'人员人工-研发人员工资'!M445</f>
        <v>0</v>
      </c>
      <c r="N445" s="274">
        <f t="shared" si="161"/>
        <v>0</v>
      </c>
      <c r="O445" s="273">
        <f>'人员人工-研发人员工资'!O445</f>
        <v>0</v>
      </c>
      <c r="P445" s="274">
        <f t="shared" si="162"/>
        <v>0</v>
      </c>
      <c r="Q445" s="273">
        <f>'人员人工-研发人员工资'!Q445</f>
        <v>0</v>
      </c>
      <c r="R445" s="274">
        <f t="shared" si="163"/>
        <v>0</v>
      </c>
      <c r="S445" s="273">
        <f>'人员人工-研发人员工资'!S445</f>
        <v>0</v>
      </c>
      <c r="T445" s="274">
        <f t="shared" si="164"/>
        <v>0</v>
      </c>
      <c r="U445" s="273">
        <f>'人员人工-研发人员工资'!U445</f>
        <v>0</v>
      </c>
      <c r="V445" s="274">
        <f t="shared" si="165"/>
        <v>0</v>
      </c>
      <c r="W445" s="273">
        <f>'人员人工-研发人员工资'!W445</f>
        <v>0</v>
      </c>
      <c r="X445" s="274">
        <f t="shared" si="166"/>
        <v>0</v>
      </c>
      <c r="Y445" s="273">
        <f>'人员人工-研发人员工资'!Y445</f>
        <v>0</v>
      </c>
      <c r="Z445" s="274">
        <f t="shared" si="167"/>
        <v>0</v>
      </c>
    </row>
    <row r="446" s="251" customFormat="1" customHeight="1" spans="1:26">
      <c r="A446" s="270">
        <v>25</v>
      </c>
      <c r="B446" s="271">
        <f>'人员人工-研发人员工资'!B446</f>
        <v>0</v>
      </c>
      <c r="C446" s="274"/>
      <c r="D446" s="272">
        <f>'人员人工-研发人员工资'!D446</f>
        <v>0</v>
      </c>
      <c r="E446" s="272">
        <f t="shared" si="156"/>
        <v>0</v>
      </c>
      <c r="F446" s="272">
        <f t="shared" si="157"/>
        <v>0</v>
      </c>
      <c r="G446" s="273">
        <f>'人员人工-研发人员工资'!G446</f>
        <v>0</v>
      </c>
      <c r="H446" s="274">
        <f t="shared" si="158"/>
        <v>0</v>
      </c>
      <c r="I446" s="273">
        <f>'人员人工-研发人员工资'!I446</f>
        <v>0</v>
      </c>
      <c r="J446" s="274">
        <f t="shared" si="159"/>
        <v>0</v>
      </c>
      <c r="K446" s="275">
        <f>'人员人工-研发人员工资'!K446</f>
        <v>0</v>
      </c>
      <c r="L446" s="274">
        <f t="shared" si="160"/>
        <v>0</v>
      </c>
      <c r="M446" s="273">
        <f>'人员人工-研发人员工资'!M446</f>
        <v>0</v>
      </c>
      <c r="N446" s="274">
        <f t="shared" si="161"/>
        <v>0</v>
      </c>
      <c r="O446" s="273">
        <f>'人员人工-研发人员工资'!O446</f>
        <v>0</v>
      </c>
      <c r="P446" s="274">
        <f t="shared" si="162"/>
        <v>0</v>
      </c>
      <c r="Q446" s="273">
        <f>'人员人工-研发人员工资'!Q446</f>
        <v>0</v>
      </c>
      <c r="R446" s="274">
        <f t="shared" si="163"/>
        <v>0</v>
      </c>
      <c r="S446" s="273">
        <f>'人员人工-研发人员工资'!S446</f>
        <v>0</v>
      </c>
      <c r="T446" s="274">
        <f t="shared" si="164"/>
        <v>0</v>
      </c>
      <c r="U446" s="273">
        <f>'人员人工-研发人员工资'!U446</f>
        <v>0</v>
      </c>
      <c r="V446" s="274">
        <f t="shared" si="165"/>
        <v>0</v>
      </c>
      <c r="W446" s="273">
        <f>'人员人工-研发人员工资'!W446</f>
        <v>0</v>
      </c>
      <c r="X446" s="274">
        <f t="shared" si="166"/>
        <v>0</v>
      </c>
      <c r="Y446" s="273">
        <f>'人员人工-研发人员工资'!Y446</f>
        <v>0</v>
      </c>
      <c r="Z446" s="274">
        <f t="shared" si="167"/>
        <v>0</v>
      </c>
    </row>
    <row r="447" s="251" customFormat="1" customHeight="1" spans="1:26">
      <c r="A447" s="270">
        <v>25</v>
      </c>
      <c r="B447" s="271">
        <f>'人员人工-研发人员工资'!B447</f>
        <v>0</v>
      </c>
      <c r="C447" s="274"/>
      <c r="D447" s="272">
        <f>'人员人工-研发人员工资'!D447</f>
        <v>0</v>
      </c>
      <c r="E447" s="272">
        <f t="shared" si="156"/>
        <v>0</v>
      </c>
      <c r="F447" s="272">
        <f t="shared" si="157"/>
        <v>0</v>
      </c>
      <c r="G447" s="273">
        <f>'人员人工-研发人员工资'!G447</f>
        <v>0</v>
      </c>
      <c r="H447" s="274">
        <f t="shared" si="158"/>
        <v>0</v>
      </c>
      <c r="I447" s="273">
        <f>'人员人工-研发人员工资'!I447</f>
        <v>0</v>
      </c>
      <c r="J447" s="274">
        <f t="shared" si="159"/>
        <v>0</v>
      </c>
      <c r="K447" s="275">
        <f>'人员人工-研发人员工资'!K447</f>
        <v>0</v>
      </c>
      <c r="L447" s="274">
        <f t="shared" si="160"/>
        <v>0</v>
      </c>
      <c r="M447" s="273">
        <f>'人员人工-研发人员工资'!M447</f>
        <v>0</v>
      </c>
      <c r="N447" s="274">
        <f t="shared" si="161"/>
        <v>0</v>
      </c>
      <c r="O447" s="273">
        <f>'人员人工-研发人员工资'!O447</f>
        <v>0</v>
      </c>
      <c r="P447" s="274">
        <f t="shared" si="162"/>
        <v>0</v>
      </c>
      <c r="Q447" s="273">
        <f>'人员人工-研发人员工资'!Q447</f>
        <v>0</v>
      </c>
      <c r="R447" s="274">
        <f t="shared" si="163"/>
        <v>0</v>
      </c>
      <c r="S447" s="273">
        <f>'人员人工-研发人员工资'!S447</f>
        <v>0</v>
      </c>
      <c r="T447" s="274">
        <f t="shared" si="164"/>
        <v>0</v>
      </c>
      <c r="U447" s="273">
        <f>'人员人工-研发人员工资'!U447</f>
        <v>0</v>
      </c>
      <c r="V447" s="274">
        <f t="shared" si="165"/>
        <v>0</v>
      </c>
      <c r="W447" s="273">
        <f>'人员人工-研发人员工资'!W447</f>
        <v>0</v>
      </c>
      <c r="X447" s="274">
        <f t="shared" si="166"/>
        <v>0</v>
      </c>
      <c r="Y447" s="273">
        <f>'人员人工-研发人员工资'!Y447</f>
        <v>0</v>
      </c>
      <c r="Z447" s="274">
        <f t="shared" si="167"/>
        <v>0</v>
      </c>
    </row>
    <row r="448" s="251" customFormat="1" customHeight="1" spans="1:26">
      <c r="A448" s="270">
        <v>26</v>
      </c>
      <c r="B448" s="271">
        <f>'人员人工-研发人员工资'!B448</f>
        <v>0</v>
      </c>
      <c r="C448" s="274"/>
      <c r="D448" s="272">
        <f>'人员人工-研发人员工资'!D448</f>
        <v>0</v>
      </c>
      <c r="E448" s="272">
        <f t="shared" si="156"/>
        <v>0</v>
      </c>
      <c r="F448" s="272">
        <f t="shared" si="157"/>
        <v>0</v>
      </c>
      <c r="G448" s="273">
        <f>'人员人工-研发人员工资'!G448</f>
        <v>0</v>
      </c>
      <c r="H448" s="274">
        <f t="shared" si="158"/>
        <v>0</v>
      </c>
      <c r="I448" s="273">
        <f>'人员人工-研发人员工资'!I448</f>
        <v>0</v>
      </c>
      <c r="J448" s="274">
        <f t="shared" si="159"/>
        <v>0</v>
      </c>
      <c r="K448" s="275">
        <f>'人员人工-研发人员工资'!K448</f>
        <v>0</v>
      </c>
      <c r="L448" s="274">
        <f t="shared" si="160"/>
        <v>0</v>
      </c>
      <c r="M448" s="273">
        <f>'人员人工-研发人员工资'!M448</f>
        <v>0</v>
      </c>
      <c r="N448" s="274">
        <f t="shared" si="161"/>
        <v>0</v>
      </c>
      <c r="O448" s="273">
        <f>'人员人工-研发人员工资'!O448</f>
        <v>0</v>
      </c>
      <c r="P448" s="274">
        <f t="shared" si="162"/>
        <v>0</v>
      </c>
      <c r="Q448" s="273">
        <f>'人员人工-研发人员工资'!Q448</f>
        <v>0</v>
      </c>
      <c r="R448" s="274">
        <f t="shared" si="163"/>
        <v>0</v>
      </c>
      <c r="S448" s="273">
        <f>'人员人工-研发人员工资'!S448</f>
        <v>0</v>
      </c>
      <c r="T448" s="274">
        <f t="shared" si="164"/>
        <v>0</v>
      </c>
      <c r="U448" s="273">
        <f>'人员人工-研发人员工资'!U448</f>
        <v>0</v>
      </c>
      <c r="V448" s="274">
        <f t="shared" si="165"/>
        <v>0</v>
      </c>
      <c r="W448" s="273">
        <f>'人员人工-研发人员工资'!W448</f>
        <v>0</v>
      </c>
      <c r="X448" s="274">
        <f t="shared" si="166"/>
        <v>0</v>
      </c>
      <c r="Y448" s="273">
        <f>'人员人工-研发人员工资'!Y448</f>
        <v>0</v>
      </c>
      <c r="Z448" s="274">
        <f t="shared" si="167"/>
        <v>0</v>
      </c>
    </row>
    <row r="449" s="251" customFormat="1" customHeight="1" spans="1:27">
      <c r="A449" s="270">
        <v>27</v>
      </c>
      <c r="B449" s="271">
        <f>'人员人工-研发人员工资'!B449</f>
        <v>0</v>
      </c>
      <c r="C449" s="274"/>
      <c r="D449" s="272">
        <f>'人员人工-研发人员工资'!D449</f>
        <v>0</v>
      </c>
      <c r="E449" s="272">
        <f t="shared" si="156"/>
        <v>0</v>
      </c>
      <c r="F449" s="272">
        <f t="shared" si="157"/>
        <v>0</v>
      </c>
      <c r="G449" s="273">
        <f>'人员人工-研发人员工资'!G449</f>
        <v>0</v>
      </c>
      <c r="H449" s="274">
        <f t="shared" si="158"/>
        <v>0</v>
      </c>
      <c r="I449" s="273">
        <f>'人员人工-研发人员工资'!I449</f>
        <v>0</v>
      </c>
      <c r="J449" s="274">
        <f t="shared" si="159"/>
        <v>0</v>
      </c>
      <c r="K449" s="275">
        <f>'人员人工-研发人员工资'!K449</f>
        <v>0</v>
      </c>
      <c r="L449" s="274">
        <f t="shared" si="160"/>
        <v>0</v>
      </c>
      <c r="M449" s="273">
        <f>'人员人工-研发人员工资'!M449</f>
        <v>0</v>
      </c>
      <c r="N449" s="274">
        <f t="shared" si="161"/>
        <v>0</v>
      </c>
      <c r="O449" s="273">
        <f>'人员人工-研发人员工资'!O449</f>
        <v>0</v>
      </c>
      <c r="P449" s="274">
        <f t="shared" si="162"/>
        <v>0</v>
      </c>
      <c r="Q449" s="273">
        <f>'人员人工-研发人员工资'!Q449</f>
        <v>0</v>
      </c>
      <c r="R449" s="274">
        <f t="shared" si="163"/>
        <v>0</v>
      </c>
      <c r="S449" s="273">
        <f>'人员人工-研发人员工资'!S449</f>
        <v>0</v>
      </c>
      <c r="T449" s="274">
        <f t="shared" si="164"/>
        <v>0</v>
      </c>
      <c r="U449" s="273">
        <f>'人员人工-研发人员工资'!U449</f>
        <v>0</v>
      </c>
      <c r="V449" s="274">
        <f t="shared" si="165"/>
        <v>0</v>
      </c>
      <c r="W449" s="273">
        <f>'人员人工-研发人员工资'!W449</f>
        <v>0</v>
      </c>
      <c r="X449" s="274">
        <f t="shared" si="166"/>
        <v>0</v>
      </c>
      <c r="Y449" s="273">
        <f>'人员人工-研发人员工资'!Y449</f>
        <v>0</v>
      </c>
      <c r="Z449" s="274">
        <f t="shared" si="167"/>
        <v>0</v>
      </c>
    </row>
    <row r="450" s="251" customFormat="1" customHeight="1" spans="1:27">
      <c r="A450" s="270">
        <v>28</v>
      </c>
      <c r="B450" s="271">
        <f>'人员人工-研发人员工资'!B450</f>
        <v>0</v>
      </c>
      <c r="C450" s="274"/>
      <c r="D450" s="272">
        <f>'人员人工-研发人员工资'!D450</f>
        <v>0</v>
      </c>
      <c r="E450" s="272">
        <f t="shared" si="156"/>
        <v>0</v>
      </c>
      <c r="F450" s="272">
        <f t="shared" si="157"/>
        <v>0</v>
      </c>
      <c r="G450" s="273">
        <f>'人员人工-研发人员工资'!G450</f>
        <v>0</v>
      </c>
      <c r="H450" s="274">
        <f t="shared" si="158"/>
        <v>0</v>
      </c>
      <c r="I450" s="273">
        <f>'人员人工-研发人员工资'!I450</f>
        <v>0</v>
      </c>
      <c r="J450" s="274">
        <f t="shared" si="159"/>
        <v>0</v>
      </c>
      <c r="K450" s="275">
        <f>'人员人工-研发人员工资'!K450</f>
        <v>0</v>
      </c>
      <c r="L450" s="274">
        <f t="shared" si="160"/>
        <v>0</v>
      </c>
      <c r="M450" s="273">
        <f>'人员人工-研发人员工资'!M450</f>
        <v>0</v>
      </c>
      <c r="N450" s="274">
        <f t="shared" si="161"/>
        <v>0</v>
      </c>
      <c r="O450" s="273">
        <f>'人员人工-研发人员工资'!O450</f>
        <v>0</v>
      </c>
      <c r="P450" s="274">
        <f t="shared" si="162"/>
        <v>0</v>
      </c>
      <c r="Q450" s="273">
        <f>'人员人工-研发人员工资'!Q450</f>
        <v>0</v>
      </c>
      <c r="R450" s="274">
        <f t="shared" si="163"/>
        <v>0</v>
      </c>
      <c r="S450" s="273">
        <f>'人员人工-研发人员工资'!S450</f>
        <v>0</v>
      </c>
      <c r="T450" s="274">
        <f t="shared" si="164"/>
        <v>0</v>
      </c>
      <c r="U450" s="273">
        <f>'人员人工-研发人员工资'!U450</f>
        <v>0</v>
      </c>
      <c r="V450" s="274">
        <f t="shared" si="165"/>
        <v>0</v>
      </c>
      <c r="W450" s="273">
        <f>'人员人工-研发人员工资'!W450</f>
        <v>0</v>
      </c>
      <c r="X450" s="274">
        <f t="shared" si="166"/>
        <v>0</v>
      </c>
      <c r="Y450" s="273">
        <f>'人员人工-研发人员工资'!Y450</f>
        <v>0</v>
      </c>
      <c r="Z450" s="274">
        <f t="shared" si="167"/>
        <v>0</v>
      </c>
    </row>
    <row r="451" s="251" customFormat="1" customHeight="1" spans="1:27">
      <c r="A451" s="270">
        <v>29</v>
      </c>
      <c r="B451" s="271">
        <f>'人员人工-研发人员工资'!B451</f>
        <v>0</v>
      </c>
      <c r="C451" s="274"/>
      <c r="D451" s="272">
        <f>'人员人工-研发人员工资'!D451</f>
        <v>0</v>
      </c>
      <c r="E451" s="272">
        <f t="shared" si="156"/>
        <v>0</v>
      </c>
      <c r="F451" s="272">
        <f t="shared" si="157"/>
        <v>0</v>
      </c>
      <c r="G451" s="273">
        <f>'人员人工-研发人员工资'!G451</f>
        <v>0</v>
      </c>
      <c r="H451" s="274">
        <f t="shared" si="158"/>
        <v>0</v>
      </c>
      <c r="I451" s="273">
        <f>'人员人工-研发人员工资'!I451</f>
        <v>0</v>
      </c>
      <c r="J451" s="274">
        <f t="shared" si="159"/>
        <v>0</v>
      </c>
      <c r="K451" s="275">
        <f>'人员人工-研发人员工资'!K451</f>
        <v>0</v>
      </c>
      <c r="L451" s="274">
        <f t="shared" si="160"/>
        <v>0</v>
      </c>
      <c r="M451" s="273">
        <f>'人员人工-研发人员工资'!M451</f>
        <v>0</v>
      </c>
      <c r="N451" s="274">
        <f t="shared" si="161"/>
        <v>0</v>
      </c>
      <c r="O451" s="273">
        <f>'人员人工-研发人员工资'!O451</f>
        <v>0</v>
      </c>
      <c r="P451" s="274">
        <f t="shared" si="162"/>
        <v>0</v>
      </c>
      <c r="Q451" s="273">
        <f>'人员人工-研发人员工资'!Q451</f>
        <v>0</v>
      </c>
      <c r="R451" s="274">
        <f t="shared" si="163"/>
        <v>0</v>
      </c>
      <c r="S451" s="273">
        <f>'人员人工-研发人员工资'!S451</f>
        <v>0</v>
      </c>
      <c r="T451" s="274">
        <f t="shared" si="164"/>
        <v>0</v>
      </c>
      <c r="U451" s="273">
        <f>'人员人工-研发人员工资'!U451</f>
        <v>0</v>
      </c>
      <c r="V451" s="274">
        <f t="shared" si="165"/>
        <v>0</v>
      </c>
      <c r="W451" s="273">
        <f>'人员人工-研发人员工资'!W451</f>
        <v>0</v>
      </c>
      <c r="X451" s="274">
        <f t="shared" si="166"/>
        <v>0</v>
      </c>
      <c r="Y451" s="273">
        <f>'人员人工-研发人员工资'!Y451</f>
        <v>0</v>
      </c>
      <c r="Z451" s="274">
        <f t="shared" si="167"/>
        <v>0</v>
      </c>
    </row>
    <row r="452" s="251" customFormat="1" customHeight="1" spans="1:27">
      <c r="A452" s="270">
        <v>30</v>
      </c>
      <c r="B452" s="271">
        <f>'人员人工-研发人员工资'!B452</f>
        <v>0</v>
      </c>
      <c r="C452" s="274"/>
      <c r="D452" s="272">
        <f>'人员人工-研发人员工资'!D452</f>
        <v>0</v>
      </c>
      <c r="E452" s="272">
        <f t="shared" si="156"/>
        <v>0</v>
      </c>
      <c r="F452" s="272">
        <f t="shared" si="157"/>
        <v>0</v>
      </c>
      <c r="G452" s="273">
        <f>'人员人工-研发人员工资'!G452</f>
        <v>0</v>
      </c>
      <c r="H452" s="274">
        <f t="shared" si="158"/>
        <v>0</v>
      </c>
      <c r="I452" s="273">
        <f>'人员人工-研发人员工资'!I452</f>
        <v>0</v>
      </c>
      <c r="J452" s="274">
        <f t="shared" si="159"/>
        <v>0</v>
      </c>
      <c r="K452" s="275">
        <f>'人员人工-研发人员工资'!K452</f>
        <v>0</v>
      </c>
      <c r="L452" s="274">
        <f t="shared" si="160"/>
        <v>0</v>
      </c>
      <c r="M452" s="273">
        <f>'人员人工-研发人员工资'!M452</f>
        <v>0</v>
      </c>
      <c r="N452" s="274">
        <f t="shared" si="161"/>
        <v>0</v>
      </c>
      <c r="O452" s="273">
        <f>'人员人工-研发人员工资'!O452</f>
        <v>0</v>
      </c>
      <c r="P452" s="274">
        <f t="shared" si="162"/>
        <v>0</v>
      </c>
      <c r="Q452" s="273">
        <f>'人员人工-研发人员工资'!Q452</f>
        <v>0</v>
      </c>
      <c r="R452" s="274">
        <f t="shared" si="163"/>
        <v>0</v>
      </c>
      <c r="S452" s="273">
        <f>'人员人工-研发人员工资'!S452</f>
        <v>0</v>
      </c>
      <c r="T452" s="274">
        <f t="shared" si="164"/>
        <v>0</v>
      </c>
      <c r="U452" s="273">
        <f>'人员人工-研发人员工资'!U452</f>
        <v>0</v>
      </c>
      <c r="V452" s="274">
        <f t="shared" si="165"/>
        <v>0</v>
      </c>
      <c r="W452" s="273">
        <f>'人员人工-研发人员工资'!W452</f>
        <v>0</v>
      </c>
      <c r="X452" s="274">
        <f t="shared" si="166"/>
        <v>0</v>
      </c>
      <c r="Y452" s="273">
        <f>'人员人工-研发人员工资'!Y452</f>
        <v>0</v>
      </c>
      <c r="Z452" s="274">
        <f t="shared" si="167"/>
        <v>0</v>
      </c>
    </row>
    <row r="453" s="251" customFormat="1" customHeight="1" spans="1:27">
      <c r="A453" s="276" t="s">
        <v>22</v>
      </c>
      <c r="B453" s="277"/>
      <c r="C453" s="261">
        <f t="shared" ref="C453:Z453" si="168">SUM(C423:C452)</f>
        <v>0</v>
      </c>
      <c r="D453" s="261">
        <f t="shared" si="168"/>
        <v>0</v>
      </c>
      <c r="E453" s="261">
        <f t="shared" si="168"/>
        <v>0</v>
      </c>
      <c r="F453" s="272">
        <f t="shared" si="168"/>
        <v>0</v>
      </c>
      <c r="G453" s="261">
        <f t="shared" si="168"/>
        <v>0</v>
      </c>
      <c r="H453" s="261">
        <f t="shared" si="168"/>
        <v>0</v>
      </c>
      <c r="I453" s="261">
        <f t="shared" si="168"/>
        <v>0</v>
      </c>
      <c r="J453" s="261">
        <f t="shared" si="168"/>
        <v>0</v>
      </c>
      <c r="K453" s="261">
        <f t="shared" si="168"/>
        <v>0</v>
      </c>
      <c r="L453" s="261">
        <f t="shared" si="168"/>
        <v>0</v>
      </c>
      <c r="M453" s="261">
        <f t="shared" si="168"/>
        <v>0</v>
      </c>
      <c r="N453" s="261">
        <f t="shared" si="168"/>
        <v>0</v>
      </c>
      <c r="O453" s="261">
        <f t="shared" si="168"/>
        <v>0</v>
      </c>
      <c r="P453" s="261">
        <f t="shared" si="168"/>
        <v>0</v>
      </c>
      <c r="Q453" s="261">
        <f t="shared" si="168"/>
        <v>0</v>
      </c>
      <c r="R453" s="261">
        <f t="shared" si="168"/>
        <v>0</v>
      </c>
      <c r="S453" s="261">
        <f t="shared" si="168"/>
        <v>0</v>
      </c>
      <c r="T453" s="261">
        <f t="shared" si="168"/>
        <v>0</v>
      </c>
      <c r="U453" s="261">
        <f t="shared" si="168"/>
        <v>0</v>
      </c>
      <c r="V453" s="261">
        <f t="shared" si="168"/>
        <v>0</v>
      </c>
      <c r="W453" s="261">
        <f t="shared" si="168"/>
        <v>0</v>
      </c>
      <c r="X453" s="261">
        <f t="shared" si="168"/>
        <v>0</v>
      </c>
      <c r="Y453" s="261">
        <f t="shared" si="168"/>
        <v>0</v>
      </c>
      <c r="Z453" s="261">
        <f t="shared" si="168"/>
        <v>0</v>
      </c>
    </row>
    <row r="454" s="251" customFormat="1" customHeight="1" spans="1:27">
      <c r="A454" s="252"/>
      <c r="B454" s="253"/>
      <c r="C454" s="254"/>
      <c r="D454" s="254"/>
      <c r="E454" s="255"/>
      <c r="F454" s="255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</row>
    <row r="455" s="251" customFormat="1" customHeight="1" spans="1:27">
      <c r="A455" s="252"/>
      <c r="B455" s="253"/>
      <c r="C455" s="254"/>
      <c r="D455" s="254"/>
      <c r="E455" s="255"/>
      <c r="F455" s="255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</row>
    <row r="456" s="251" customFormat="1" customHeight="1" spans="1:27">
      <c r="A456" s="252"/>
      <c r="B456" s="253"/>
      <c r="C456" s="254"/>
      <c r="D456" s="254"/>
      <c r="E456" s="255"/>
      <c r="F456" s="255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</row>
    <row r="457" s="251" customFormat="1" customHeight="1" spans="1:27">
      <c r="A457" s="252"/>
      <c r="B457" s="253"/>
      <c r="C457" s="254"/>
      <c r="D457" s="254"/>
      <c r="E457" s="255"/>
      <c r="F457" s="255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</row>
    <row r="458" s="251" customFormat="1" customHeight="1" spans="1:27">
      <c r="A458" s="252"/>
      <c r="B458" s="284"/>
      <c r="C458" s="283"/>
      <c r="D458" s="258" t="s">
        <v>171</v>
      </c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  <c r="Z458" s="258"/>
    </row>
    <row r="459" s="251" customFormat="1" customHeight="1" spans="1:27">
      <c r="A459" s="252"/>
      <c r="B459" s="253"/>
      <c r="C459" s="254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  <c r="Z459" s="258"/>
    </row>
    <row r="460" s="251" customFormat="1" customHeight="1" spans="1:27">
      <c r="A460" s="252"/>
      <c r="B460" s="253"/>
      <c r="C460" s="256"/>
      <c r="D460" s="285" t="s">
        <v>67</v>
      </c>
      <c r="E460" s="262" t="s">
        <v>35</v>
      </c>
      <c r="F460" s="262" t="s">
        <v>158</v>
      </c>
      <c r="G460" s="263" t="str">
        <f>立项!$A$3</f>
        <v>RD01</v>
      </c>
      <c r="H460" s="264"/>
      <c r="I460" s="264" t="str">
        <f>立项!$A$4</f>
        <v>RD02</v>
      </c>
      <c r="J460" s="264"/>
      <c r="K460" s="264" t="str">
        <f>立项!$A$5</f>
        <v>RD03</v>
      </c>
      <c r="L460" s="264"/>
      <c r="M460" s="264" t="str">
        <f>立项!$A$6</f>
        <v>RD04</v>
      </c>
      <c r="N460" s="264"/>
      <c r="O460" s="264" t="str">
        <f>立项!$A$7</f>
        <v>RD05</v>
      </c>
      <c r="P460" s="264"/>
      <c r="Q460" s="264" t="str">
        <f>立项!$A$8</f>
        <v>RD06</v>
      </c>
      <c r="R460" s="264"/>
      <c r="S460" s="264" t="str">
        <f>立项!$A$9</f>
        <v>RD07</v>
      </c>
      <c r="T460" s="264"/>
      <c r="U460" s="264" t="str">
        <f>立项!$A$10</f>
        <v>RD08</v>
      </c>
      <c r="V460" s="264"/>
      <c r="W460" s="264" t="str">
        <f>立项!$A$11</f>
        <v>RD09</v>
      </c>
      <c r="X460" s="264"/>
      <c r="Y460" s="264" t="str">
        <f>立项!$A$12</f>
        <v>RD10</v>
      </c>
      <c r="Z460" s="264"/>
    </row>
    <row r="461" s="251" customFormat="1" customHeight="1" spans="1:27">
      <c r="A461" s="252"/>
      <c r="B461" s="253"/>
      <c r="C461" s="256"/>
      <c r="D461" s="286"/>
      <c r="E461" s="262"/>
      <c r="F461" s="262"/>
      <c r="G461" s="267">
        <f>立项!C3</f>
        <v>0</v>
      </c>
      <c r="H461" s="263"/>
      <c r="I461" s="267">
        <f>立项!C4</f>
        <v>0</v>
      </c>
      <c r="J461" s="263"/>
      <c r="K461" s="267">
        <f>立项!C5</f>
        <v>0</v>
      </c>
      <c r="L461" s="263"/>
      <c r="M461" s="267">
        <f>立项!C6</f>
        <v>0</v>
      </c>
      <c r="N461" s="263"/>
      <c r="O461" s="267">
        <f>立项!C7</f>
        <v>0</v>
      </c>
      <c r="P461" s="263"/>
      <c r="Q461" s="267">
        <f>立项!C8</f>
        <v>0</v>
      </c>
      <c r="R461" s="263"/>
      <c r="S461" s="267">
        <f>立项!C9</f>
        <v>0</v>
      </c>
      <c r="T461" s="263"/>
      <c r="U461" s="267">
        <f>立项!C10</f>
        <v>0</v>
      </c>
      <c r="V461" s="263"/>
      <c r="W461" s="267">
        <f>立项!C11</f>
        <v>0</v>
      </c>
      <c r="X461" s="263"/>
      <c r="Y461" s="264">
        <f>立项!C12</f>
        <v>0</v>
      </c>
      <c r="Z461" s="264"/>
    </row>
    <row r="462" s="251" customFormat="1" customHeight="1" spans="1:27">
      <c r="A462" s="252"/>
      <c r="B462" s="253"/>
      <c r="C462" s="256"/>
      <c r="D462" s="287"/>
      <c r="E462" s="262"/>
      <c r="F462" s="262"/>
      <c r="G462" s="262" t="s">
        <v>39</v>
      </c>
      <c r="H462" s="258" t="s">
        <v>159</v>
      </c>
      <c r="I462" s="264" t="s">
        <v>39</v>
      </c>
      <c r="J462" s="258" t="s">
        <v>159</v>
      </c>
      <c r="K462" s="264" t="s">
        <v>39</v>
      </c>
      <c r="L462" s="258" t="s">
        <v>159</v>
      </c>
      <c r="M462" s="264" t="s">
        <v>39</v>
      </c>
      <c r="N462" s="258" t="s">
        <v>159</v>
      </c>
      <c r="O462" s="264" t="s">
        <v>39</v>
      </c>
      <c r="P462" s="269" t="s">
        <v>159</v>
      </c>
      <c r="Q462" s="264" t="s">
        <v>39</v>
      </c>
      <c r="R462" s="269" t="s">
        <v>159</v>
      </c>
      <c r="S462" s="264" t="s">
        <v>39</v>
      </c>
      <c r="T462" s="269" t="s">
        <v>159</v>
      </c>
      <c r="U462" s="264" t="s">
        <v>39</v>
      </c>
      <c r="V462" s="269" t="s">
        <v>159</v>
      </c>
      <c r="W462" s="264" t="s">
        <v>39</v>
      </c>
      <c r="X462" s="269" t="s">
        <v>159</v>
      </c>
      <c r="Y462" s="264" t="s">
        <v>39</v>
      </c>
      <c r="Z462" s="269" t="s">
        <v>159</v>
      </c>
      <c r="AA462" s="288"/>
    </row>
    <row r="463" s="251" customFormat="1" customHeight="1" spans="1:27">
      <c r="A463" s="252"/>
      <c r="B463" s="253"/>
      <c r="C463" s="256"/>
      <c r="D463" s="289">
        <v>1</v>
      </c>
      <c r="E463" s="269">
        <f>E36</f>
        <v>0</v>
      </c>
      <c r="F463" s="269">
        <f>F36</f>
        <v>0</v>
      </c>
      <c r="G463" s="261">
        <f t="shared" ref="G463:Z463" si="169">G36</f>
        <v>0</v>
      </c>
      <c r="H463" s="261">
        <f t="shared" si="169"/>
        <v>0</v>
      </c>
      <c r="I463" s="261">
        <f t="shared" si="169"/>
        <v>0</v>
      </c>
      <c r="J463" s="261">
        <f t="shared" si="169"/>
        <v>0</v>
      </c>
      <c r="K463" s="261">
        <f t="shared" si="169"/>
        <v>0</v>
      </c>
      <c r="L463" s="261">
        <f t="shared" si="169"/>
        <v>0</v>
      </c>
      <c r="M463" s="261">
        <f t="shared" si="169"/>
        <v>0</v>
      </c>
      <c r="N463" s="261">
        <f t="shared" si="169"/>
        <v>0</v>
      </c>
      <c r="O463" s="261">
        <f t="shared" si="169"/>
        <v>0</v>
      </c>
      <c r="P463" s="261">
        <f t="shared" si="169"/>
        <v>0</v>
      </c>
      <c r="Q463" s="261">
        <f t="shared" si="169"/>
        <v>0</v>
      </c>
      <c r="R463" s="261">
        <f t="shared" si="169"/>
        <v>0</v>
      </c>
      <c r="S463" s="261">
        <f t="shared" si="169"/>
        <v>0</v>
      </c>
      <c r="T463" s="261">
        <f t="shared" si="169"/>
        <v>0</v>
      </c>
      <c r="U463" s="261">
        <f t="shared" si="169"/>
        <v>0</v>
      </c>
      <c r="V463" s="261">
        <f t="shared" si="169"/>
        <v>0</v>
      </c>
      <c r="W463" s="261">
        <f t="shared" si="169"/>
        <v>0</v>
      </c>
      <c r="X463" s="261">
        <f t="shared" si="169"/>
        <v>0</v>
      </c>
      <c r="Y463" s="261">
        <f t="shared" si="169"/>
        <v>0</v>
      </c>
      <c r="Z463" s="261">
        <f t="shared" si="169"/>
        <v>0</v>
      </c>
      <c r="AA463" s="290"/>
    </row>
    <row r="464" s="251" customFormat="1" customHeight="1" spans="1:27">
      <c r="A464" s="252"/>
      <c r="B464" s="253"/>
      <c r="C464" s="256"/>
      <c r="D464" s="289">
        <v>2</v>
      </c>
      <c r="E464" s="269">
        <f>E73</f>
        <v>0</v>
      </c>
      <c r="F464" s="269">
        <f>F73</f>
        <v>0</v>
      </c>
      <c r="G464" s="261">
        <f t="shared" ref="G464:Z464" si="170">G73</f>
        <v>0</v>
      </c>
      <c r="H464" s="261">
        <f t="shared" si="170"/>
        <v>0</v>
      </c>
      <c r="I464" s="261">
        <f t="shared" si="170"/>
        <v>0</v>
      </c>
      <c r="J464" s="261">
        <f t="shared" si="170"/>
        <v>0</v>
      </c>
      <c r="K464" s="261">
        <f t="shared" si="170"/>
        <v>0</v>
      </c>
      <c r="L464" s="261">
        <f t="shared" si="170"/>
        <v>0</v>
      </c>
      <c r="M464" s="261">
        <f t="shared" si="170"/>
        <v>0</v>
      </c>
      <c r="N464" s="261">
        <f t="shared" si="170"/>
        <v>0</v>
      </c>
      <c r="O464" s="261">
        <f t="shared" si="170"/>
        <v>0</v>
      </c>
      <c r="P464" s="261">
        <f t="shared" si="170"/>
        <v>0</v>
      </c>
      <c r="Q464" s="261">
        <f t="shared" si="170"/>
        <v>0</v>
      </c>
      <c r="R464" s="261">
        <f t="shared" si="170"/>
        <v>0</v>
      </c>
      <c r="S464" s="261">
        <f t="shared" si="170"/>
        <v>0</v>
      </c>
      <c r="T464" s="261">
        <f t="shared" si="170"/>
        <v>0</v>
      </c>
      <c r="U464" s="261">
        <f t="shared" si="170"/>
        <v>0</v>
      </c>
      <c r="V464" s="261">
        <f t="shared" si="170"/>
        <v>0</v>
      </c>
      <c r="W464" s="261">
        <f t="shared" si="170"/>
        <v>0</v>
      </c>
      <c r="X464" s="261">
        <f t="shared" si="170"/>
        <v>0</v>
      </c>
      <c r="Y464" s="261">
        <f t="shared" si="170"/>
        <v>0</v>
      </c>
      <c r="Z464" s="261">
        <f t="shared" si="170"/>
        <v>0</v>
      </c>
      <c r="AA464" s="290"/>
    </row>
    <row r="465" s="251" customFormat="1" customHeight="1" spans="1:27">
      <c r="A465" s="252"/>
      <c r="B465" s="253"/>
      <c r="C465" s="256"/>
      <c r="D465" s="289">
        <v>3</v>
      </c>
      <c r="E465" s="269">
        <f>E111</f>
        <v>0</v>
      </c>
      <c r="F465" s="269">
        <f>F111</f>
        <v>0</v>
      </c>
      <c r="G465" s="261">
        <f t="shared" ref="G465:Z465" si="171">G111</f>
        <v>0</v>
      </c>
      <c r="H465" s="261">
        <f t="shared" si="171"/>
        <v>0</v>
      </c>
      <c r="I465" s="261">
        <f t="shared" si="171"/>
        <v>0</v>
      </c>
      <c r="J465" s="261">
        <f t="shared" si="171"/>
        <v>0</v>
      </c>
      <c r="K465" s="261">
        <f t="shared" si="171"/>
        <v>0</v>
      </c>
      <c r="L465" s="261">
        <f t="shared" si="171"/>
        <v>0</v>
      </c>
      <c r="M465" s="261">
        <f t="shared" si="171"/>
        <v>0</v>
      </c>
      <c r="N465" s="261">
        <f t="shared" si="171"/>
        <v>0</v>
      </c>
      <c r="O465" s="261">
        <f t="shared" si="171"/>
        <v>0</v>
      </c>
      <c r="P465" s="261">
        <f t="shared" si="171"/>
        <v>0</v>
      </c>
      <c r="Q465" s="261">
        <f t="shared" si="171"/>
        <v>0</v>
      </c>
      <c r="R465" s="261">
        <f t="shared" si="171"/>
        <v>0</v>
      </c>
      <c r="S465" s="261">
        <f t="shared" si="171"/>
        <v>0</v>
      </c>
      <c r="T465" s="261">
        <f t="shared" si="171"/>
        <v>0</v>
      </c>
      <c r="U465" s="261">
        <f t="shared" si="171"/>
        <v>0</v>
      </c>
      <c r="V465" s="261">
        <f t="shared" si="171"/>
        <v>0</v>
      </c>
      <c r="W465" s="261">
        <f t="shared" si="171"/>
        <v>0</v>
      </c>
      <c r="X465" s="261">
        <f t="shared" si="171"/>
        <v>0</v>
      </c>
      <c r="Y465" s="261">
        <f t="shared" si="171"/>
        <v>0</v>
      </c>
      <c r="Z465" s="261">
        <f t="shared" si="171"/>
        <v>0</v>
      </c>
      <c r="AA465" s="290"/>
    </row>
    <row r="466" s="251" customFormat="1" customHeight="1" spans="1:27">
      <c r="A466" s="252"/>
      <c r="B466" s="253"/>
      <c r="C466" s="256"/>
      <c r="D466" s="289">
        <v>4</v>
      </c>
      <c r="E466" s="269">
        <f>E149</f>
        <v>0</v>
      </c>
      <c r="F466" s="269">
        <f>F149</f>
        <v>0</v>
      </c>
      <c r="G466" s="261">
        <f t="shared" ref="G466:Z466" si="172">G149</f>
        <v>0</v>
      </c>
      <c r="H466" s="261">
        <f t="shared" si="172"/>
        <v>0</v>
      </c>
      <c r="I466" s="261">
        <f t="shared" si="172"/>
        <v>0</v>
      </c>
      <c r="J466" s="261">
        <f t="shared" si="172"/>
        <v>0</v>
      </c>
      <c r="K466" s="261">
        <f t="shared" si="172"/>
        <v>0</v>
      </c>
      <c r="L466" s="261">
        <f t="shared" si="172"/>
        <v>0</v>
      </c>
      <c r="M466" s="261">
        <f t="shared" si="172"/>
        <v>0</v>
      </c>
      <c r="N466" s="261">
        <f t="shared" si="172"/>
        <v>0</v>
      </c>
      <c r="O466" s="261">
        <f t="shared" si="172"/>
        <v>0</v>
      </c>
      <c r="P466" s="261">
        <f t="shared" si="172"/>
        <v>0</v>
      </c>
      <c r="Q466" s="261">
        <f t="shared" si="172"/>
        <v>0</v>
      </c>
      <c r="R466" s="261">
        <f t="shared" si="172"/>
        <v>0</v>
      </c>
      <c r="S466" s="261">
        <f t="shared" si="172"/>
        <v>0</v>
      </c>
      <c r="T466" s="261">
        <f t="shared" si="172"/>
        <v>0</v>
      </c>
      <c r="U466" s="261">
        <f t="shared" si="172"/>
        <v>0</v>
      </c>
      <c r="V466" s="261">
        <f t="shared" si="172"/>
        <v>0</v>
      </c>
      <c r="W466" s="261">
        <f t="shared" si="172"/>
        <v>0</v>
      </c>
      <c r="X466" s="261">
        <f t="shared" si="172"/>
        <v>0</v>
      </c>
      <c r="Y466" s="261">
        <f t="shared" si="172"/>
        <v>0</v>
      </c>
      <c r="Z466" s="261">
        <f t="shared" si="172"/>
        <v>0</v>
      </c>
      <c r="AA466" s="290"/>
    </row>
    <row r="467" s="251" customFormat="1" customHeight="1" spans="1:27">
      <c r="A467" s="252"/>
      <c r="B467" s="253"/>
      <c r="C467" s="256"/>
      <c r="D467" s="289">
        <v>5</v>
      </c>
      <c r="E467" s="269">
        <f>E187</f>
        <v>0</v>
      </c>
      <c r="F467" s="269">
        <f>F187</f>
        <v>0</v>
      </c>
      <c r="G467" s="261">
        <f t="shared" ref="G467:Z467" si="173">G187</f>
        <v>0</v>
      </c>
      <c r="H467" s="261">
        <f t="shared" si="173"/>
        <v>0</v>
      </c>
      <c r="I467" s="261">
        <f t="shared" si="173"/>
        <v>0</v>
      </c>
      <c r="J467" s="261">
        <f t="shared" si="173"/>
        <v>0</v>
      </c>
      <c r="K467" s="261">
        <f t="shared" si="173"/>
        <v>0</v>
      </c>
      <c r="L467" s="261">
        <f t="shared" si="173"/>
        <v>0</v>
      </c>
      <c r="M467" s="261">
        <f t="shared" si="173"/>
        <v>0</v>
      </c>
      <c r="N467" s="261">
        <f t="shared" si="173"/>
        <v>0</v>
      </c>
      <c r="O467" s="261">
        <f t="shared" si="173"/>
        <v>0</v>
      </c>
      <c r="P467" s="261">
        <f t="shared" si="173"/>
        <v>0</v>
      </c>
      <c r="Q467" s="261">
        <f t="shared" si="173"/>
        <v>0</v>
      </c>
      <c r="R467" s="261">
        <f t="shared" si="173"/>
        <v>0</v>
      </c>
      <c r="S467" s="261">
        <f t="shared" si="173"/>
        <v>0</v>
      </c>
      <c r="T467" s="261">
        <f t="shared" si="173"/>
        <v>0</v>
      </c>
      <c r="U467" s="261">
        <f t="shared" si="173"/>
        <v>0</v>
      </c>
      <c r="V467" s="261">
        <f t="shared" si="173"/>
        <v>0</v>
      </c>
      <c r="W467" s="261">
        <f t="shared" si="173"/>
        <v>0</v>
      </c>
      <c r="X467" s="261">
        <f t="shared" si="173"/>
        <v>0</v>
      </c>
      <c r="Y467" s="261">
        <f t="shared" si="173"/>
        <v>0</v>
      </c>
      <c r="Z467" s="261">
        <f t="shared" si="173"/>
        <v>0</v>
      </c>
      <c r="AA467" s="290"/>
    </row>
    <row r="468" s="251" customFormat="1" customHeight="1" spans="1:27">
      <c r="A468" s="252"/>
      <c r="B468" s="253"/>
      <c r="C468" s="256"/>
      <c r="D468" s="289">
        <v>6</v>
      </c>
      <c r="E468" s="269">
        <f t="shared" ref="E468:Z468" si="174">E224</f>
        <v>0</v>
      </c>
      <c r="F468" s="269">
        <f t="shared" si="174"/>
        <v>0</v>
      </c>
      <c r="G468" s="261">
        <f t="shared" si="174"/>
        <v>0</v>
      </c>
      <c r="H468" s="261">
        <f t="shared" si="174"/>
        <v>0</v>
      </c>
      <c r="I468" s="261">
        <f t="shared" si="174"/>
        <v>0</v>
      </c>
      <c r="J468" s="261">
        <f t="shared" si="174"/>
        <v>0</v>
      </c>
      <c r="K468" s="261">
        <f t="shared" si="174"/>
        <v>0</v>
      </c>
      <c r="L468" s="261">
        <f t="shared" si="174"/>
        <v>0</v>
      </c>
      <c r="M468" s="261">
        <f t="shared" si="174"/>
        <v>0</v>
      </c>
      <c r="N468" s="261">
        <f t="shared" si="174"/>
        <v>0</v>
      </c>
      <c r="O468" s="261">
        <f t="shared" si="174"/>
        <v>0</v>
      </c>
      <c r="P468" s="261">
        <f t="shared" si="174"/>
        <v>0</v>
      </c>
      <c r="Q468" s="261">
        <f t="shared" si="174"/>
        <v>0</v>
      </c>
      <c r="R468" s="261">
        <f t="shared" si="174"/>
        <v>0</v>
      </c>
      <c r="S468" s="261">
        <f t="shared" si="174"/>
        <v>0</v>
      </c>
      <c r="T468" s="261">
        <f t="shared" si="174"/>
        <v>0</v>
      </c>
      <c r="U468" s="261">
        <f t="shared" si="174"/>
        <v>0</v>
      </c>
      <c r="V468" s="261">
        <f t="shared" si="174"/>
        <v>0</v>
      </c>
      <c r="W468" s="261">
        <f t="shared" si="174"/>
        <v>0</v>
      </c>
      <c r="X468" s="261">
        <f t="shared" si="174"/>
        <v>0</v>
      </c>
      <c r="Y468" s="261">
        <f t="shared" si="174"/>
        <v>0</v>
      </c>
      <c r="Z468" s="261">
        <f t="shared" si="174"/>
        <v>0</v>
      </c>
      <c r="AA468" s="290"/>
    </row>
    <row r="469" s="251" customFormat="1" customHeight="1" spans="1:27">
      <c r="A469" s="252"/>
      <c r="B469" s="253"/>
      <c r="C469" s="256"/>
      <c r="D469" s="289">
        <v>7</v>
      </c>
      <c r="E469" s="269">
        <f>E262</f>
        <v>0</v>
      </c>
      <c r="F469" s="269">
        <f>F262</f>
        <v>0</v>
      </c>
      <c r="G469" s="261">
        <f t="shared" ref="G469:Z469" si="175">G262</f>
        <v>0</v>
      </c>
      <c r="H469" s="261">
        <f t="shared" si="175"/>
        <v>0</v>
      </c>
      <c r="I469" s="261">
        <f t="shared" si="175"/>
        <v>0</v>
      </c>
      <c r="J469" s="261">
        <f t="shared" si="175"/>
        <v>0</v>
      </c>
      <c r="K469" s="261">
        <f t="shared" si="175"/>
        <v>0</v>
      </c>
      <c r="L469" s="261">
        <f t="shared" si="175"/>
        <v>0</v>
      </c>
      <c r="M469" s="261">
        <f t="shared" si="175"/>
        <v>0</v>
      </c>
      <c r="N469" s="261">
        <f t="shared" si="175"/>
        <v>0</v>
      </c>
      <c r="O469" s="261">
        <f t="shared" si="175"/>
        <v>0</v>
      </c>
      <c r="P469" s="261">
        <f t="shared" si="175"/>
        <v>0</v>
      </c>
      <c r="Q469" s="261">
        <f t="shared" si="175"/>
        <v>0</v>
      </c>
      <c r="R469" s="261">
        <f t="shared" si="175"/>
        <v>0</v>
      </c>
      <c r="S469" s="261">
        <f t="shared" si="175"/>
        <v>0</v>
      </c>
      <c r="T469" s="261">
        <f t="shared" si="175"/>
        <v>0</v>
      </c>
      <c r="U469" s="261">
        <f t="shared" si="175"/>
        <v>0</v>
      </c>
      <c r="V469" s="261">
        <f t="shared" si="175"/>
        <v>0</v>
      </c>
      <c r="W469" s="261">
        <f t="shared" si="175"/>
        <v>0</v>
      </c>
      <c r="X469" s="261">
        <f t="shared" si="175"/>
        <v>0</v>
      </c>
      <c r="Y469" s="261">
        <f t="shared" si="175"/>
        <v>0</v>
      </c>
      <c r="Z469" s="261">
        <f t="shared" si="175"/>
        <v>0</v>
      </c>
      <c r="AA469" s="290"/>
    </row>
    <row r="470" s="251" customFormat="1" customHeight="1" spans="1:27">
      <c r="A470" s="252"/>
      <c r="B470" s="253"/>
      <c r="C470" s="256"/>
      <c r="D470" s="289">
        <v>8</v>
      </c>
      <c r="E470" s="269">
        <f>E300</f>
        <v>0</v>
      </c>
      <c r="F470" s="269">
        <f>F300</f>
        <v>0</v>
      </c>
      <c r="G470" s="261">
        <f t="shared" ref="G470:Z470" si="176">G300</f>
        <v>0</v>
      </c>
      <c r="H470" s="261">
        <f t="shared" si="176"/>
        <v>0</v>
      </c>
      <c r="I470" s="261">
        <f t="shared" si="176"/>
        <v>0</v>
      </c>
      <c r="J470" s="261">
        <f t="shared" si="176"/>
        <v>0</v>
      </c>
      <c r="K470" s="261">
        <f t="shared" si="176"/>
        <v>0</v>
      </c>
      <c r="L470" s="261">
        <f t="shared" si="176"/>
        <v>0</v>
      </c>
      <c r="M470" s="261">
        <f t="shared" si="176"/>
        <v>0</v>
      </c>
      <c r="N470" s="261">
        <f t="shared" si="176"/>
        <v>0</v>
      </c>
      <c r="O470" s="261">
        <f t="shared" si="176"/>
        <v>0</v>
      </c>
      <c r="P470" s="261">
        <f t="shared" si="176"/>
        <v>0</v>
      </c>
      <c r="Q470" s="261">
        <f t="shared" si="176"/>
        <v>0</v>
      </c>
      <c r="R470" s="261">
        <f t="shared" si="176"/>
        <v>0</v>
      </c>
      <c r="S470" s="261">
        <f t="shared" si="176"/>
        <v>0</v>
      </c>
      <c r="T470" s="261">
        <f t="shared" si="176"/>
        <v>0</v>
      </c>
      <c r="U470" s="261">
        <f t="shared" si="176"/>
        <v>0</v>
      </c>
      <c r="V470" s="261">
        <f t="shared" si="176"/>
        <v>0</v>
      </c>
      <c r="W470" s="261">
        <f t="shared" si="176"/>
        <v>0</v>
      </c>
      <c r="X470" s="261">
        <f t="shared" si="176"/>
        <v>0</v>
      </c>
      <c r="Y470" s="261">
        <f t="shared" si="176"/>
        <v>0</v>
      </c>
      <c r="Z470" s="261">
        <f t="shared" si="176"/>
        <v>0</v>
      </c>
      <c r="AA470" s="290"/>
    </row>
    <row r="471" s="251" customFormat="1" customHeight="1" spans="1:27">
      <c r="A471" s="252"/>
      <c r="B471" s="253"/>
      <c r="C471" s="256"/>
      <c r="D471" s="289">
        <v>9</v>
      </c>
      <c r="E471" s="269">
        <f>E338</f>
        <v>0</v>
      </c>
      <c r="F471" s="269">
        <f>F338</f>
        <v>0</v>
      </c>
      <c r="G471" s="261">
        <f t="shared" ref="G471:Z471" si="177">G338</f>
        <v>0</v>
      </c>
      <c r="H471" s="261">
        <f t="shared" si="177"/>
        <v>0</v>
      </c>
      <c r="I471" s="261">
        <f t="shared" si="177"/>
        <v>0</v>
      </c>
      <c r="J471" s="261">
        <f t="shared" si="177"/>
        <v>0</v>
      </c>
      <c r="K471" s="261">
        <f t="shared" si="177"/>
        <v>0</v>
      </c>
      <c r="L471" s="261">
        <f t="shared" si="177"/>
        <v>0</v>
      </c>
      <c r="M471" s="261">
        <f t="shared" si="177"/>
        <v>0</v>
      </c>
      <c r="N471" s="261">
        <f t="shared" si="177"/>
        <v>0</v>
      </c>
      <c r="O471" s="261">
        <f t="shared" si="177"/>
        <v>0</v>
      </c>
      <c r="P471" s="261">
        <f t="shared" si="177"/>
        <v>0</v>
      </c>
      <c r="Q471" s="261">
        <f t="shared" si="177"/>
        <v>0</v>
      </c>
      <c r="R471" s="261">
        <f t="shared" si="177"/>
        <v>0</v>
      </c>
      <c r="S471" s="261">
        <f t="shared" si="177"/>
        <v>0</v>
      </c>
      <c r="T471" s="261">
        <f t="shared" si="177"/>
        <v>0</v>
      </c>
      <c r="U471" s="261">
        <f t="shared" si="177"/>
        <v>0</v>
      </c>
      <c r="V471" s="261">
        <f t="shared" si="177"/>
        <v>0</v>
      </c>
      <c r="W471" s="261">
        <f t="shared" si="177"/>
        <v>0</v>
      </c>
      <c r="X471" s="261">
        <f t="shared" si="177"/>
        <v>0</v>
      </c>
      <c r="Y471" s="261">
        <f t="shared" si="177"/>
        <v>0</v>
      </c>
      <c r="Z471" s="261">
        <f t="shared" si="177"/>
        <v>0</v>
      </c>
      <c r="AA471" s="290"/>
    </row>
    <row r="472" s="251" customFormat="1" customHeight="1" spans="1:27">
      <c r="A472" s="252"/>
      <c r="B472" s="253"/>
      <c r="C472" s="256"/>
      <c r="D472" s="289">
        <v>10</v>
      </c>
      <c r="E472" s="269">
        <f>E376</f>
        <v>0</v>
      </c>
      <c r="F472" s="269">
        <f>F376</f>
        <v>0</v>
      </c>
      <c r="G472" s="261">
        <f t="shared" ref="G472:Z472" si="178">G376</f>
        <v>0</v>
      </c>
      <c r="H472" s="261">
        <f t="shared" si="178"/>
        <v>0</v>
      </c>
      <c r="I472" s="261">
        <f t="shared" si="178"/>
        <v>0</v>
      </c>
      <c r="J472" s="261">
        <f t="shared" si="178"/>
        <v>0</v>
      </c>
      <c r="K472" s="261">
        <f t="shared" si="178"/>
        <v>0</v>
      </c>
      <c r="L472" s="261">
        <f t="shared" si="178"/>
        <v>0</v>
      </c>
      <c r="M472" s="261">
        <f t="shared" si="178"/>
        <v>0</v>
      </c>
      <c r="N472" s="261">
        <f t="shared" si="178"/>
        <v>0</v>
      </c>
      <c r="O472" s="261">
        <f t="shared" si="178"/>
        <v>0</v>
      </c>
      <c r="P472" s="261">
        <f t="shared" si="178"/>
        <v>0</v>
      </c>
      <c r="Q472" s="261">
        <f t="shared" si="178"/>
        <v>0</v>
      </c>
      <c r="R472" s="261">
        <f t="shared" si="178"/>
        <v>0</v>
      </c>
      <c r="S472" s="261">
        <f t="shared" si="178"/>
        <v>0</v>
      </c>
      <c r="T472" s="261">
        <f t="shared" si="178"/>
        <v>0</v>
      </c>
      <c r="U472" s="261">
        <f t="shared" si="178"/>
        <v>0</v>
      </c>
      <c r="V472" s="261">
        <f t="shared" si="178"/>
        <v>0</v>
      </c>
      <c r="W472" s="261">
        <f t="shared" si="178"/>
        <v>0</v>
      </c>
      <c r="X472" s="261">
        <f t="shared" si="178"/>
        <v>0</v>
      </c>
      <c r="Y472" s="261">
        <f t="shared" si="178"/>
        <v>0</v>
      </c>
      <c r="Z472" s="261">
        <f t="shared" si="178"/>
        <v>0</v>
      </c>
      <c r="AA472" s="290"/>
    </row>
    <row r="473" s="251" customFormat="1" customHeight="1" spans="1:27">
      <c r="A473" s="252"/>
      <c r="B473" s="253"/>
      <c r="C473" s="256"/>
      <c r="D473" s="289">
        <v>11</v>
      </c>
      <c r="E473" s="269">
        <f>E414</f>
        <v>0</v>
      </c>
      <c r="F473" s="269">
        <f>F414</f>
        <v>0</v>
      </c>
      <c r="G473" s="261">
        <f t="shared" ref="G473:Z473" si="179">G414</f>
        <v>0</v>
      </c>
      <c r="H473" s="261">
        <f t="shared" si="179"/>
        <v>0</v>
      </c>
      <c r="I473" s="261">
        <f t="shared" si="179"/>
        <v>0</v>
      </c>
      <c r="J473" s="261">
        <f t="shared" si="179"/>
        <v>0</v>
      </c>
      <c r="K473" s="261">
        <f t="shared" si="179"/>
        <v>0</v>
      </c>
      <c r="L473" s="261">
        <f t="shared" si="179"/>
        <v>0</v>
      </c>
      <c r="M473" s="261">
        <f t="shared" si="179"/>
        <v>0</v>
      </c>
      <c r="N473" s="261">
        <f t="shared" si="179"/>
        <v>0</v>
      </c>
      <c r="O473" s="261">
        <f t="shared" si="179"/>
        <v>0</v>
      </c>
      <c r="P473" s="261">
        <f t="shared" si="179"/>
        <v>0</v>
      </c>
      <c r="Q473" s="261">
        <f t="shared" si="179"/>
        <v>0</v>
      </c>
      <c r="R473" s="261">
        <f t="shared" si="179"/>
        <v>0</v>
      </c>
      <c r="S473" s="261">
        <f t="shared" si="179"/>
        <v>0</v>
      </c>
      <c r="T473" s="261">
        <f t="shared" si="179"/>
        <v>0</v>
      </c>
      <c r="U473" s="261">
        <f t="shared" si="179"/>
        <v>0</v>
      </c>
      <c r="V473" s="261">
        <f t="shared" si="179"/>
        <v>0</v>
      </c>
      <c r="W473" s="261">
        <f t="shared" si="179"/>
        <v>0</v>
      </c>
      <c r="X473" s="261">
        <f t="shared" si="179"/>
        <v>0</v>
      </c>
      <c r="Y473" s="261">
        <f t="shared" si="179"/>
        <v>0</v>
      </c>
      <c r="Z473" s="261">
        <f t="shared" si="179"/>
        <v>0</v>
      </c>
      <c r="AA473" s="290"/>
    </row>
    <row r="474" s="251" customFormat="1" customHeight="1" spans="1:27">
      <c r="A474" s="252"/>
      <c r="B474" s="253"/>
      <c r="C474" s="256"/>
      <c r="D474" s="289">
        <v>12</v>
      </c>
      <c r="E474" s="269">
        <f>E453</f>
        <v>0</v>
      </c>
      <c r="F474" s="269">
        <f>F453</f>
        <v>0</v>
      </c>
      <c r="G474" s="261">
        <f t="shared" ref="G474:Z474" si="180">G453</f>
        <v>0</v>
      </c>
      <c r="H474" s="261">
        <f t="shared" si="180"/>
        <v>0</v>
      </c>
      <c r="I474" s="261">
        <f t="shared" si="180"/>
        <v>0</v>
      </c>
      <c r="J474" s="261">
        <f t="shared" si="180"/>
        <v>0</v>
      </c>
      <c r="K474" s="261">
        <f t="shared" si="180"/>
        <v>0</v>
      </c>
      <c r="L474" s="261">
        <f t="shared" si="180"/>
        <v>0</v>
      </c>
      <c r="M474" s="261">
        <f t="shared" si="180"/>
        <v>0</v>
      </c>
      <c r="N474" s="261">
        <f t="shared" si="180"/>
        <v>0</v>
      </c>
      <c r="O474" s="261">
        <f t="shared" si="180"/>
        <v>0</v>
      </c>
      <c r="P474" s="261">
        <f t="shared" si="180"/>
        <v>0</v>
      </c>
      <c r="Q474" s="261">
        <f t="shared" si="180"/>
        <v>0</v>
      </c>
      <c r="R474" s="261">
        <f t="shared" si="180"/>
        <v>0</v>
      </c>
      <c r="S474" s="261">
        <f t="shared" si="180"/>
        <v>0</v>
      </c>
      <c r="T474" s="261">
        <f t="shared" si="180"/>
        <v>0</v>
      </c>
      <c r="U474" s="261">
        <f t="shared" si="180"/>
        <v>0</v>
      </c>
      <c r="V474" s="261">
        <f t="shared" si="180"/>
        <v>0</v>
      </c>
      <c r="W474" s="261">
        <f t="shared" si="180"/>
        <v>0</v>
      </c>
      <c r="X474" s="261">
        <f t="shared" si="180"/>
        <v>0</v>
      </c>
      <c r="Y474" s="261">
        <f t="shared" si="180"/>
        <v>0</v>
      </c>
      <c r="Z474" s="261">
        <f t="shared" si="180"/>
        <v>0</v>
      </c>
      <c r="AA474" s="290"/>
    </row>
    <row r="475" s="251" customFormat="1" customHeight="1" spans="1:27">
      <c r="A475" s="252"/>
      <c r="B475" s="253"/>
      <c r="C475" s="256"/>
      <c r="D475" s="269" t="s">
        <v>22</v>
      </c>
      <c r="E475" s="269">
        <f>SUM(E463:E474)</f>
        <v>0</v>
      </c>
      <c r="F475" s="269">
        <f>SUM(F463:F474)</f>
        <v>0</v>
      </c>
      <c r="G475" s="291">
        <f t="shared" ref="G475:AA475" si="181">SUM(G463:G474)</f>
        <v>0</v>
      </c>
      <c r="H475" s="291">
        <f t="shared" si="181"/>
        <v>0</v>
      </c>
      <c r="I475" s="291">
        <f t="shared" si="181"/>
        <v>0</v>
      </c>
      <c r="J475" s="291">
        <f t="shared" si="181"/>
        <v>0</v>
      </c>
      <c r="K475" s="291">
        <f t="shared" si="181"/>
        <v>0</v>
      </c>
      <c r="L475" s="291">
        <f t="shared" si="181"/>
        <v>0</v>
      </c>
      <c r="M475" s="291">
        <f t="shared" si="181"/>
        <v>0</v>
      </c>
      <c r="N475" s="291">
        <f t="shared" si="181"/>
        <v>0</v>
      </c>
      <c r="O475" s="291">
        <f t="shared" si="181"/>
        <v>0</v>
      </c>
      <c r="P475" s="291">
        <f t="shared" si="181"/>
        <v>0</v>
      </c>
      <c r="Q475" s="291">
        <f t="shared" si="181"/>
        <v>0</v>
      </c>
      <c r="R475" s="291">
        <f t="shared" si="181"/>
        <v>0</v>
      </c>
      <c r="S475" s="291">
        <f t="shared" si="181"/>
        <v>0</v>
      </c>
      <c r="T475" s="291">
        <f t="shared" si="181"/>
        <v>0</v>
      </c>
      <c r="U475" s="291">
        <f t="shared" si="181"/>
        <v>0</v>
      </c>
      <c r="V475" s="291">
        <f t="shared" si="181"/>
        <v>0</v>
      </c>
      <c r="W475" s="291">
        <f t="shared" si="181"/>
        <v>0</v>
      </c>
      <c r="X475" s="291">
        <f t="shared" si="181"/>
        <v>0</v>
      </c>
      <c r="Y475" s="291">
        <f t="shared" si="181"/>
        <v>0</v>
      </c>
      <c r="Z475" s="291">
        <f t="shared" si="181"/>
        <v>0</v>
      </c>
      <c r="AA475" s="292"/>
    </row>
    <row r="476" s="251" customFormat="1" customHeight="1" spans="1:27">
      <c r="A476" s="252"/>
      <c r="B476" s="280"/>
      <c r="C476" s="293"/>
      <c r="D476" s="293"/>
      <c r="E476" s="294"/>
      <c r="F476" s="294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93"/>
      <c r="U476" s="293"/>
      <c r="V476" s="293"/>
      <c r="W476" s="293"/>
      <c r="X476" s="293"/>
      <c r="Y476" s="293"/>
      <c r="Z476" s="293"/>
    </row>
    <row r="477" s="251" customFormat="1" customHeight="1" spans="1:27">
      <c r="A477" s="252"/>
      <c r="B477" s="280"/>
      <c r="C477" s="293"/>
      <c r="D477" s="293"/>
      <c r="E477" s="294"/>
      <c r="F477" s="294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93"/>
      <c r="U477" s="293"/>
      <c r="V477" s="293"/>
      <c r="W477" s="293"/>
      <c r="X477" s="293"/>
      <c r="Y477" s="293"/>
      <c r="Z477" s="293"/>
    </row>
    <row r="478" s="251" customFormat="1" customHeight="1" spans="1:27">
      <c r="A478" s="252"/>
      <c r="B478" s="253"/>
      <c r="C478" s="254"/>
      <c r="D478" s="254"/>
      <c r="E478" s="255"/>
      <c r="F478" s="255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</row>
    <row r="479" s="251" customFormat="1" customHeight="1" spans="1:27">
      <c r="A479" s="252"/>
      <c r="B479" s="253"/>
      <c r="C479" s="254"/>
      <c r="D479" s="254"/>
      <c r="E479" s="255"/>
      <c r="F479" s="255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</row>
    <row r="480" s="251" customFormat="1" customHeight="1" spans="1:27">
      <c r="A480" s="252"/>
      <c r="B480" s="280"/>
      <c r="C480" s="293"/>
      <c r="D480" s="293"/>
      <c r="E480" s="294"/>
      <c r="F480" s="294"/>
      <c r="G480" s="293"/>
      <c r="H480" s="293"/>
      <c r="I480" s="293"/>
      <c r="J480" s="293"/>
      <c r="K480" s="28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</row>
  </sheetData>
  <mergeCells count="360">
    <mergeCell ref="B1:Z1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36:B36"/>
    <mergeCell ref="B38:Z38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73:B73"/>
    <mergeCell ref="B76:Z76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111:B111"/>
    <mergeCell ref="B114:Z114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149:B149"/>
    <mergeCell ref="B152:Z152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187:B187"/>
    <mergeCell ref="B189:Z189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224:B224"/>
    <mergeCell ref="B227:Z227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262:B262"/>
    <mergeCell ref="B265:Z265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300:B300"/>
    <mergeCell ref="B303:Z303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338:B338"/>
    <mergeCell ref="B341:Z341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376:B376"/>
    <mergeCell ref="B379:Z379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414:B414"/>
    <mergeCell ref="B418:Z418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453:B453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3:A5"/>
    <mergeCell ref="A40:A42"/>
    <mergeCell ref="A78:A80"/>
    <mergeCell ref="A116:A118"/>
    <mergeCell ref="A154:A156"/>
    <mergeCell ref="A191:A193"/>
    <mergeCell ref="A229:A231"/>
    <mergeCell ref="A267:A269"/>
    <mergeCell ref="A305:A307"/>
    <mergeCell ref="A343:A345"/>
    <mergeCell ref="A381:A383"/>
    <mergeCell ref="A420:A422"/>
    <mergeCell ref="B3:B5"/>
    <mergeCell ref="B40:B42"/>
    <mergeCell ref="B78:B80"/>
    <mergeCell ref="B116:B118"/>
    <mergeCell ref="B154:B156"/>
    <mergeCell ref="B191:B193"/>
    <mergeCell ref="B229:B231"/>
    <mergeCell ref="B267:B269"/>
    <mergeCell ref="B305:B307"/>
    <mergeCell ref="B343:B345"/>
    <mergeCell ref="B381:B383"/>
    <mergeCell ref="B420:B422"/>
    <mergeCell ref="C3:C5"/>
    <mergeCell ref="C40:C42"/>
    <mergeCell ref="C78:C80"/>
    <mergeCell ref="C116:C118"/>
    <mergeCell ref="C154:C156"/>
    <mergeCell ref="C191:C193"/>
    <mergeCell ref="C229:C231"/>
    <mergeCell ref="C267:C269"/>
    <mergeCell ref="C305:C307"/>
    <mergeCell ref="C343:C345"/>
    <mergeCell ref="C381:C383"/>
    <mergeCell ref="C420:C422"/>
    <mergeCell ref="D3:D5"/>
    <mergeCell ref="D40:D42"/>
    <mergeCell ref="D78:D80"/>
    <mergeCell ref="D116:D118"/>
    <mergeCell ref="D154:D156"/>
    <mergeCell ref="D191:D193"/>
    <mergeCell ref="D229:D231"/>
    <mergeCell ref="D267:D269"/>
    <mergeCell ref="D305:D307"/>
    <mergeCell ref="D343:D345"/>
    <mergeCell ref="D381:D383"/>
    <mergeCell ref="D420:D422"/>
    <mergeCell ref="D460:D462"/>
    <mergeCell ref="E3:E5"/>
    <mergeCell ref="E40:E42"/>
    <mergeCell ref="E78:E80"/>
    <mergeCell ref="E116:E118"/>
    <mergeCell ref="E154:E156"/>
    <mergeCell ref="E191:E193"/>
    <mergeCell ref="E229:E231"/>
    <mergeCell ref="E267:E269"/>
    <mergeCell ref="E305:E307"/>
    <mergeCell ref="E343:E345"/>
    <mergeCell ref="E381:E383"/>
    <mergeCell ref="E420:E422"/>
    <mergeCell ref="E460:E462"/>
    <mergeCell ref="F3:F5"/>
    <mergeCell ref="F40:F42"/>
    <mergeCell ref="F78:F80"/>
    <mergeCell ref="F116:F118"/>
    <mergeCell ref="F154:F156"/>
    <mergeCell ref="F191:F193"/>
    <mergeCell ref="F229:F231"/>
    <mergeCell ref="F267:F269"/>
    <mergeCell ref="F305:F307"/>
    <mergeCell ref="F343:F345"/>
    <mergeCell ref="F381:F383"/>
    <mergeCell ref="F420:F422"/>
    <mergeCell ref="F460:F462"/>
    <mergeCell ref="D458:Z459"/>
  </mergeCells>
  <pageMargins left="0.432638888888889" right="0.472222222222222" top="1" bottom="1" header="0.5" footer="0.5"/>
  <pageSetup paperSize="9" scale="64" fitToHeight="0" orientation="landscape"/>
  <headerFooter/>
  <rowBreaks count="11" manualBreakCount="11">
    <brk id="36" max="25" man="1"/>
    <brk id="73" max="25" man="1"/>
    <brk id="111" max="25" man="1"/>
    <brk id="149" max="25" man="1"/>
    <brk id="187" max="25" man="1"/>
    <brk id="224" max="25" man="1"/>
    <brk id="262" max="25" man="1"/>
    <brk id="300" max="25" man="1"/>
    <brk id="338" max="25" man="1"/>
    <brk id="376" max="25" man="1"/>
    <brk id="414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5"/>
  <sheetViews>
    <sheetView showZeros="0" view="pageBreakPreview" zoomScaleNormal="100" workbookViewId="0">
      <selection activeCell="J24" sqref="J24"/>
    </sheetView>
  </sheetViews>
  <sheetFormatPr defaultColWidth="9" defaultRowHeight="20.1" customHeight="1"/>
  <cols>
    <col min="1" max="1" width="22.1296296296296" style="104" customWidth="1"/>
    <col min="2" max="3" width="11.75" style="104" customWidth="1"/>
    <col min="4" max="17" width="10" style="104" customWidth="1"/>
    <col min="18" max="18" width="15.6203703703704" style="104" customWidth="1"/>
    <col min="19" max="25" width="10" style="104" customWidth="1"/>
    <col min="26" max="16384" width="9" style="104"/>
  </cols>
  <sheetData>
    <row r="1" ht="18" customHeight="1" spans="1:18">
      <c r="A1" s="225" t="s">
        <v>172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</row>
    <row r="2" ht="26" customHeight="1" spans="1:18">
      <c r="A2" s="226" t="s">
        <v>173</v>
      </c>
      <c r="B2" s="226" t="s">
        <v>174</v>
      </c>
      <c r="C2" s="227" t="s">
        <v>175</v>
      </c>
      <c r="D2" s="228" t="s">
        <v>176</v>
      </c>
      <c r="E2" s="229" t="s">
        <v>177</v>
      </c>
      <c r="F2" s="230" t="s">
        <v>178</v>
      </c>
      <c r="G2" s="230" t="s">
        <v>179</v>
      </c>
      <c r="H2" s="230" t="s">
        <v>180</v>
      </c>
      <c r="I2" s="230" t="s">
        <v>181</v>
      </c>
      <c r="J2" s="230" t="s">
        <v>182</v>
      </c>
      <c r="K2" s="230" t="s">
        <v>183</v>
      </c>
      <c r="L2" s="230" t="s">
        <v>184</v>
      </c>
      <c r="M2" s="230" t="s">
        <v>185</v>
      </c>
      <c r="N2" s="230" t="s">
        <v>186</v>
      </c>
      <c r="O2" s="230" t="s">
        <v>187</v>
      </c>
      <c r="P2" s="230" t="s">
        <v>188</v>
      </c>
      <c r="Q2" s="230" t="s">
        <v>189</v>
      </c>
      <c r="R2" s="231" t="s">
        <v>190</v>
      </c>
    </row>
    <row r="3" ht="18" customHeight="1" spans="1:18">
      <c r="A3" s="232"/>
      <c r="B3" s="233"/>
      <c r="C3" s="234"/>
      <c r="D3" s="235"/>
      <c r="E3" s="150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236">
        <f>SUM(F3:Q3)</f>
        <v>0</v>
      </c>
    </row>
    <row r="4" ht="18" customHeight="1" spans="1:18">
      <c r="A4" s="233"/>
      <c r="B4" s="233"/>
      <c r="C4" s="234"/>
      <c r="D4" s="235"/>
      <c r="E4" s="234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6">
        <f t="shared" ref="R4:R18" si="0">SUM(F4:Q4)</f>
        <v>0</v>
      </c>
    </row>
    <row r="5" ht="18" customHeight="1" spans="1:18">
      <c r="A5" s="233"/>
      <c r="B5" s="233"/>
      <c r="C5" s="234"/>
      <c r="D5" s="235"/>
      <c r="E5" s="234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236">
        <f t="shared" si="0"/>
        <v>0</v>
      </c>
    </row>
    <row r="6" ht="18" customHeight="1" spans="1:18">
      <c r="A6" s="233"/>
      <c r="B6" s="233"/>
      <c r="C6" s="234"/>
      <c r="D6" s="235"/>
      <c r="E6" s="234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236">
        <f t="shared" si="0"/>
        <v>0</v>
      </c>
    </row>
    <row r="7" ht="18" customHeight="1" spans="1:18">
      <c r="A7" s="233"/>
      <c r="B7" s="233"/>
      <c r="C7" s="234"/>
      <c r="D7" s="235"/>
      <c r="E7" s="234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236">
        <f t="shared" si="0"/>
        <v>0</v>
      </c>
    </row>
    <row r="8" ht="18" customHeight="1" spans="1:18">
      <c r="A8" s="233"/>
      <c r="B8" s="233"/>
      <c r="C8" s="234"/>
      <c r="D8" s="235"/>
      <c r="E8" s="234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236">
        <f t="shared" si="0"/>
        <v>0</v>
      </c>
    </row>
    <row r="9" ht="18" customHeight="1" spans="1:18">
      <c r="A9" s="233"/>
      <c r="B9" s="233"/>
      <c r="C9" s="234"/>
      <c r="D9" s="235"/>
      <c r="E9" s="234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236">
        <f t="shared" si="0"/>
        <v>0</v>
      </c>
    </row>
    <row r="10" ht="18" customHeight="1" spans="1:18">
      <c r="A10" s="233"/>
      <c r="B10" s="233"/>
      <c r="C10" s="234"/>
      <c r="D10" s="235"/>
      <c r="E10" s="234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>
        <f t="shared" si="0"/>
        <v>0</v>
      </c>
    </row>
    <row r="11" ht="18" customHeight="1" spans="1:18">
      <c r="A11" s="233"/>
      <c r="B11" s="233"/>
      <c r="C11" s="234"/>
      <c r="D11" s="235"/>
      <c r="E11" s="234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236">
        <f t="shared" si="0"/>
        <v>0</v>
      </c>
    </row>
    <row r="12" ht="18" customHeight="1" spans="1:18">
      <c r="A12" s="233"/>
      <c r="B12" s="233"/>
      <c r="C12" s="234"/>
      <c r="D12" s="235"/>
      <c r="E12" s="234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236">
        <f t="shared" si="0"/>
        <v>0</v>
      </c>
    </row>
    <row r="13" ht="18" customHeight="1" spans="1:18">
      <c r="A13" s="233"/>
      <c r="B13" s="233"/>
      <c r="C13" s="234"/>
      <c r="D13" s="235"/>
      <c r="E13" s="234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236">
        <f t="shared" si="0"/>
        <v>0</v>
      </c>
    </row>
    <row r="14" ht="18" customHeight="1" spans="1:18">
      <c r="A14" s="233"/>
      <c r="B14" s="233"/>
      <c r="C14" s="234"/>
      <c r="D14" s="235"/>
      <c r="E14" s="234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236">
        <f t="shared" si="0"/>
        <v>0</v>
      </c>
    </row>
    <row r="15" ht="18" customHeight="1" spans="1:18">
      <c r="A15" s="233"/>
      <c r="B15" s="233"/>
      <c r="C15" s="234"/>
      <c r="D15" s="235"/>
      <c r="E15" s="234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236">
        <f t="shared" si="0"/>
        <v>0</v>
      </c>
    </row>
    <row r="16" ht="18" customHeight="1" spans="1:18">
      <c r="A16" s="233"/>
      <c r="B16" s="233"/>
      <c r="C16" s="234"/>
      <c r="D16" s="235"/>
      <c r="E16" s="234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236">
        <f t="shared" si="0"/>
        <v>0</v>
      </c>
    </row>
    <row r="17" ht="18" customHeight="1" spans="1:19">
      <c r="A17" s="233"/>
      <c r="B17" s="233"/>
      <c r="C17" s="234"/>
      <c r="D17" s="235"/>
      <c r="E17" s="234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236"/>
    </row>
    <row r="18" ht="18" customHeight="1" spans="1:19">
      <c r="A18" s="233"/>
      <c r="B18" s="233"/>
      <c r="C18" s="234"/>
      <c r="D18" s="235"/>
      <c r="E18" s="234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236"/>
    </row>
    <row r="19" ht="18" customHeight="1" spans="1:19">
      <c r="A19" s="233"/>
      <c r="B19" s="233"/>
      <c r="C19" s="234"/>
      <c r="D19" s="235"/>
      <c r="E19" s="234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236"/>
    </row>
    <row r="20" ht="18" customHeight="1" spans="1:19">
      <c r="A20" s="233"/>
      <c r="B20" s="233"/>
      <c r="C20" s="234"/>
      <c r="D20" s="235"/>
      <c r="E20" s="234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236"/>
    </row>
    <row r="21" ht="18" customHeight="1" spans="1:19">
      <c r="A21" s="233"/>
      <c r="B21" s="233"/>
      <c r="C21" s="234"/>
      <c r="D21" s="235"/>
      <c r="E21" s="234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236"/>
    </row>
    <row r="22" ht="18" customHeight="1" spans="1:19">
      <c r="A22" s="233"/>
      <c r="B22" s="233"/>
      <c r="C22" s="234"/>
      <c r="D22" s="235"/>
      <c r="E22" s="234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236"/>
    </row>
    <row r="23" ht="18" customHeight="1" spans="1:19">
      <c r="A23" s="233"/>
      <c r="B23" s="233"/>
      <c r="C23" s="234"/>
      <c r="D23" s="235"/>
      <c r="E23" s="234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236"/>
    </row>
    <row r="24" ht="18" customHeight="1" spans="1:19">
      <c r="A24" s="233"/>
      <c r="B24" s="233"/>
      <c r="C24" s="234"/>
      <c r="D24" s="235"/>
      <c r="E24" s="234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236"/>
    </row>
    <row r="25" ht="18" customHeight="1" spans="1:19">
      <c r="A25" s="233"/>
      <c r="B25" s="233"/>
      <c r="C25" s="234"/>
      <c r="D25" s="235"/>
      <c r="E25" s="234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236"/>
    </row>
    <row r="26" ht="18" customHeight="1" spans="1:19">
      <c r="A26" s="233"/>
      <c r="B26" s="233"/>
      <c r="C26" s="234"/>
      <c r="D26" s="235"/>
      <c r="E26" s="234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236">
        <f>SUM(F26:Q26)</f>
        <v>0</v>
      </c>
    </row>
    <row r="27" ht="18" customHeight="1" spans="1:19">
      <c r="A27" s="233"/>
      <c r="B27" s="233"/>
      <c r="C27" s="234"/>
      <c r="D27" s="235"/>
      <c r="E27" s="234"/>
      <c r="F27" s="136"/>
      <c r="G27" s="136"/>
      <c r="H27" s="136"/>
      <c r="I27" s="236"/>
      <c r="J27" s="236"/>
      <c r="K27" s="236"/>
      <c r="L27" s="236"/>
      <c r="M27" s="236"/>
      <c r="N27" s="236"/>
      <c r="O27" s="236"/>
      <c r="P27" s="236"/>
      <c r="Q27" s="236"/>
      <c r="R27" s="236">
        <f>SUM(F27:Q27)</f>
        <v>0</v>
      </c>
    </row>
    <row r="28" ht="18" customHeight="1" spans="1:19">
      <c r="A28" s="238" t="s">
        <v>191</v>
      </c>
      <c r="B28" s="239"/>
      <c r="C28" s="239"/>
      <c r="D28" s="239"/>
      <c r="E28" s="240"/>
      <c r="F28" s="241">
        <f>SUM(F3:F27)</f>
        <v>0</v>
      </c>
      <c r="G28" s="241">
        <f t="shared" ref="G28:R28" si="1">SUM(G3:G27)</f>
        <v>0</v>
      </c>
      <c r="H28" s="241">
        <f t="shared" si="1"/>
        <v>0</v>
      </c>
      <c r="I28" s="241">
        <f t="shared" si="1"/>
        <v>0</v>
      </c>
      <c r="J28" s="241">
        <f t="shared" si="1"/>
        <v>0</v>
      </c>
      <c r="K28" s="241">
        <f t="shared" si="1"/>
        <v>0</v>
      </c>
      <c r="L28" s="241">
        <f t="shared" si="1"/>
        <v>0</v>
      </c>
      <c r="M28" s="241">
        <f t="shared" si="1"/>
        <v>0</v>
      </c>
      <c r="N28" s="241">
        <f t="shared" si="1"/>
        <v>0</v>
      </c>
      <c r="O28" s="241">
        <f t="shared" si="1"/>
        <v>0</v>
      </c>
      <c r="P28" s="241">
        <f t="shared" si="1"/>
        <v>0</v>
      </c>
      <c r="Q28" s="241">
        <f t="shared" si="1"/>
        <v>0</v>
      </c>
      <c r="R28" s="241">
        <f t="shared" si="1"/>
        <v>0</v>
      </c>
    </row>
    <row r="29" customHeight="1" spans="1:19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3"/>
    </row>
    <row r="30" customHeight="1" spans="1:19">
      <c r="A30" s="2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3"/>
    </row>
    <row r="32" ht="36" customHeight="1" spans="1:19">
      <c r="D32" s="244" t="s">
        <v>192</v>
      </c>
      <c r="E32" s="244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S32" s="246"/>
    </row>
    <row r="33" customHeight="1" spans="4:17">
      <c r="D33" s="247" t="s">
        <v>193</v>
      </c>
      <c r="E33" s="247"/>
      <c r="F33" s="248">
        <f>IF(F28=0,0,F28/F32)</f>
        <v>0</v>
      </c>
      <c r="G33" s="248">
        <f t="shared" ref="G33:Q33" si="2">IF(G28=0,0,G28/G32)</f>
        <v>0</v>
      </c>
      <c r="H33" s="248">
        <f t="shared" si="2"/>
        <v>0</v>
      </c>
      <c r="I33" s="248">
        <f t="shared" si="2"/>
        <v>0</v>
      </c>
      <c r="J33" s="248">
        <f t="shared" si="2"/>
        <v>0</v>
      </c>
      <c r="K33" s="248">
        <f t="shared" si="2"/>
        <v>0</v>
      </c>
      <c r="L33" s="248">
        <f t="shared" si="2"/>
        <v>0</v>
      </c>
      <c r="M33" s="248">
        <f t="shared" si="2"/>
        <v>0</v>
      </c>
      <c r="N33" s="248">
        <f t="shared" si="2"/>
        <v>0</v>
      </c>
      <c r="O33" s="248">
        <f t="shared" si="2"/>
        <v>0</v>
      </c>
      <c r="P33" s="248">
        <f t="shared" si="2"/>
        <v>0</v>
      </c>
      <c r="Q33" s="248">
        <f t="shared" si="2"/>
        <v>0</v>
      </c>
    </row>
    <row r="34" customHeight="1" spans="4:17">
      <c r="D34" s="249" t="s">
        <v>194</v>
      </c>
      <c r="E34" s="250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</row>
    <row r="35" customHeight="1" spans="4:17">
      <c r="D35" s="249" t="s">
        <v>195</v>
      </c>
      <c r="E35" s="250"/>
      <c r="F35" s="245">
        <f>ROUND(F33*F34,2)</f>
        <v>0</v>
      </c>
      <c r="G35" s="245">
        <f t="shared" ref="G35:Q35" si="3">ROUND(G33*G34,2)</f>
        <v>0</v>
      </c>
      <c r="H35" s="245">
        <f t="shared" si="3"/>
        <v>0</v>
      </c>
      <c r="I35" s="245">
        <f t="shared" si="3"/>
        <v>0</v>
      </c>
      <c r="J35" s="245">
        <f t="shared" si="3"/>
        <v>0</v>
      </c>
      <c r="K35" s="245">
        <f t="shared" si="3"/>
        <v>0</v>
      </c>
      <c r="L35" s="245">
        <f t="shared" si="3"/>
        <v>0</v>
      </c>
      <c r="M35" s="245">
        <f t="shared" si="3"/>
        <v>0</v>
      </c>
      <c r="N35" s="245">
        <f t="shared" si="3"/>
        <v>0</v>
      </c>
      <c r="O35" s="245">
        <f t="shared" si="3"/>
        <v>0</v>
      </c>
      <c r="P35" s="245">
        <f t="shared" si="3"/>
        <v>0</v>
      </c>
      <c r="Q35" s="245">
        <f t="shared" si="3"/>
        <v>0</v>
      </c>
    </row>
  </sheetData>
  <mergeCells count="6">
    <mergeCell ref="A1:Q1"/>
    <mergeCell ref="A28:E28"/>
    <mergeCell ref="D32:E32"/>
    <mergeCell ref="D33:E33"/>
    <mergeCell ref="D34:E34"/>
    <mergeCell ref="D35:E35"/>
  </mergeCells>
  <pageMargins left="0.472222222222222" right="0.432638888888889" top="0.75" bottom="0.75" header="0.3" footer="0.3"/>
  <pageSetup paperSize="9" scale="69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30"/>
  <sheetViews>
    <sheetView showZeros="0" view="pageBreakPreview" zoomScale="80" zoomScaleNormal="100" workbookViewId="0">
      <selection activeCell="L24" sqref="L24"/>
    </sheetView>
  </sheetViews>
  <sheetFormatPr defaultColWidth="9" defaultRowHeight="18" customHeight="1"/>
  <cols>
    <col min="1" max="1" width="21.75" style="205" customWidth="1"/>
    <col min="2" max="37" width="10.75" style="205" customWidth="1"/>
    <col min="38" max="16384" width="9" style="205"/>
  </cols>
  <sheetData>
    <row r="1" customHeight="1" spans="1:37">
      <c r="A1" s="206" t="s">
        <v>196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8"/>
      <c r="AA1" s="208"/>
      <c r="AB1" s="208"/>
      <c r="AC1" s="209"/>
      <c r="AD1" s="209"/>
      <c r="AE1" s="209"/>
      <c r="AF1" s="209"/>
      <c r="AG1" s="209"/>
      <c r="AH1" s="209"/>
      <c r="AI1" s="209"/>
      <c r="AJ1" s="209"/>
      <c r="AK1" s="209"/>
    </row>
    <row r="2" customHeight="1" spans="1:37">
      <c r="A2" s="210" t="s">
        <v>197</v>
      </c>
      <c r="B2" s="211" t="s">
        <v>198</v>
      </c>
      <c r="C2" s="212"/>
      <c r="D2" s="213"/>
      <c r="E2" s="211" t="s">
        <v>199</v>
      </c>
      <c r="F2" s="212"/>
      <c r="G2" s="213"/>
      <c r="H2" s="211" t="s">
        <v>200</v>
      </c>
      <c r="I2" s="212"/>
      <c r="J2" s="213"/>
      <c r="K2" s="211" t="s">
        <v>201</v>
      </c>
      <c r="L2" s="212"/>
      <c r="M2" s="213"/>
      <c r="N2" s="211" t="s">
        <v>202</v>
      </c>
      <c r="O2" s="212"/>
      <c r="P2" s="213"/>
      <c r="Q2" s="211" t="s">
        <v>203</v>
      </c>
      <c r="R2" s="212"/>
      <c r="S2" s="213"/>
      <c r="T2" s="211" t="s">
        <v>204</v>
      </c>
      <c r="U2" s="212"/>
      <c r="V2" s="213"/>
      <c r="W2" s="211" t="s">
        <v>205</v>
      </c>
      <c r="X2" s="212"/>
      <c r="Y2" s="213"/>
      <c r="Z2" s="211" t="s">
        <v>206</v>
      </c>
      <c r="AA2" s="212"/>
      <c r="AB2" s="213"/>
      <c r="AC2" s="214" t="s">
        <v>207</v>
      </c>
      <c r="AD2" s="215"/>
      <c r="AE2" s="216"/>
      <c r="AF2" s="214" t="s">
        <v>208</v>
      </c>
      <c r="AG2" s="215"/>
      <c r="AH2" s="216"/>
      <c r="AI2" s="217" t="s">
        <v>209</v>
      </c>
      <c r="AJ2" s="217"/>
      <c r="AK2" s="217"/>
    </row>
    <row r="3" customHeight="1" spans="1:37">
      <c r="A3" s="101" t="s">
        <v>210</v>
      </c>
      <c r="B3" s="218">
        <f>MAX('人员人工-研发人员工资'!D6:D35)</f>
        <v>0</v>
      </c>
      <c r="C3" s="219"/>
      <c r="D3" s="219"/>
      <c r="E3" s="218">
        <f>MAX('人员人工-研发人员工资'!D43:D72)</f>
        <v>0</v>
      </c>
      <c r="F3" s="219"/>
      <c r="G3" s="219"/>
      <c r="H3" s="218">
        <f>MAX('人员人工-研发人员工资'!D81:D110)</f>
        <v>0</v>
      </c>
      <c r="I3" s="219"/>
      <c r="J3" s="219"/>
      <c r="K3" s="218">
        <f>MAX('人员人工-研发人员工资'!D119:D148)</f>
        <v>0</v>
      </c>
      <c r="L3" s="219"/>
      <c r="M3" s="219"/>
      <c r="N3" s="218">
        <f>MAX('人员人工-研发人员工资'!D157:D186)</f>
        <v>0</v>
      </c>
      <c r="O3" s="219"/>
      <c r="P3" s="219"/>
      <c r="Q3" s="218">
        <f>MAX('人员人工-研发人员工资'!D194:D223)</f>
        <v>0</v>
      </c>
      <c r="R3" s="219"/>
      <c r="S3" s="219"/>
      <c r="T3" s="218">
        <f>MAX('人员人工-研发人员工资'!D232:D261)</f>
        <v>0</v>
      </c>
      <c r="U3" s="219"/>
      <c r="V3" s="219"/>
      <c r="W3" s="218">
        <f>MAX('人员人工-研发人员工资'!D270:D299)</f>
        <v>0</v>
      </c>
      <c r="X3" s="219"/>
      <c r="Y3" s="219"/>
      <c r="Z3" s="218">
        <f>MAX('人员人工-研发人员工资'!D308:D337)</f>
        <v>0</v>
      </c>
      <c r="AA3" s="219"/>
      <c r="AB3" s="219"/>
      <c r="AC3" s="218">
        <f>MAX('人员人工-研发人员工资'!D346:D375)</f>
        <v>0</v>
      </c>
      <c r="AD3" s="219"/>
      <c r="AE3" s="219"/>
      <c r="AF3" s="218">
        <f>MAX('人员人工-研发人员工资'!D384:D413)</f>
        <v>0</v>
      </c>
      <c r="AG3" s="219"/>
      <c r="AH3" s="219"/>
      <c r="AI3" s="101">
        <f>MAX('人员人工-研发人员工资'!D423:D452)</f>
        <v>0</v>
      </c>
      <c r="AJ3" s="101"/>
      <c r="AK3" s="101"/>
    </row>
    <row r="4" ht="30" customHeight="1" spans="1:37">
      <c r="A4" s="220" t="s">
        <v>173</v>
      </c>
      <c r="B4" s="221" t="s">
        <v>211</v>
      </c>
      <c r="C4" s="221" t="s">
        <v>212</v>
      </c>
      <c r="D4" s="221" t="s">
        <v>213</v>
      </c>
      <c r="E4" s="221" t="s">
        <v>214</v>
      </c>
      <c r="F4" s="221" t="s">
        <v>215</v>
      </c>
      <c r="G4" s="222" t="s">
        <v>216</v>
      </c>
      <c r="H4" s="221" t="s">
        <v>217</v>
      </c>
      <c r="I4" s="221" t="s">
        <v>218</v>
      </c>
      <c r="J4" s="222" t="s">
        <v>219</v>
      </c>
      <c r="K4" s="221" t="s">
        <v>220</v>
      </c>
      <c r="L4" s="221" t="s">
        <v>221</v>
      </c>
      <c r="M4" s="222" t="s">
        <v>222</v>
      </c>
      <c r="N4" s="221" t="s">
        <v>223</v>
      </c>
      <c r="O4" s="221" t="s">
        <v>224</v>
      </c>
      <c r="P4" s="222" t="s">
        <v>225</v>
      </c>
      <c r="Q4" s="221" t="s">
        <v>226</v>
      </c>
      <c r="R4" s="221" t="s">
        <v>227</v>
      </c>
      <c r="S4" s="222" t="s">
        <v>228</v>
      </c>
      <c r="T4" s="221" t="s">
        <v>229</v>
      </c>
      <c r="U4" s="221" t="s">
        <v>230</v>
      </c>
      <c r="V4" s="222" t="s">
        <v>231</v>
      </c>
      <c r="W4" s="221" t="s">
        <v>232</v>
      </c>
      <c r="X4" s="221" t="s">
        <v>233</v>
      </c>
      <c r="Y4" s="222" t="s">
        <v>234</v>
      </c>
      <c r="Z4" s="221" t="s">
        <v>235</v>
      </c>
      <c r="AA4" s="221" t="s">
        <v>236</v>
      </c>
      <c r="AB4" s="222" t="s">
        <v>237</v>
      </c>
      <c r="AC4" s="221" t="s">
        <v>238</v>
      </c>
      <c r="AD4" s="221" t="s">
        <v>239</v>
      </c>
      <c r="AE4" s="222" t="s">
        <v>240</v>
      </c>
      <c r="AF4" s="221" t="s">
        <v>241</v>
      </c>
      <c r="AG4" s="221" t="s">
        <v>242</v>
      </c>
      <c r="AH4" s="222" t="s">
        <v>243</v>
      </c>
      <c r="AI4" s="221" t="s">
        <v>244</v>
      </c>
      <c r="AJ4" s="221" t="s">
        <v>245</v>
      </c>
      <c r="AK4" s="222" t="s">
        <v>246</v>
      </c>
    </row>
    <row r="5" customHeight="1" spans="1:37">
      <c r="A5" s="223" t="str">
        <f>IF(固定资产台账1!A3="","",固定资产台账1!A3)</f>
        <v/>
      </c>
      <c r="B5" s="223">
        <f>IF($A5="",0,$B$3*8)</f>
        <v>0</v>
      </c>
      <c r="C5" s="223">
        <f>ROUND(B5*0.125,0)</f>
        <v>0</v>
      </c>
      <c r="D5" s="223">
        <f>IF(固定资产台账1!$F3=0,0,ROUND(C5/B5*固定资产台账1!F3,2))</f>
        <v>0</v>
      </c>
      <c r="E5" s="223">
        <f>IF($A5="",0,$E$3*8)</f>
        <v>0</v>
      </c>
      <c r="F5" s="223">
        <f>ROUND(E5*0.113,0)</f>
        <v>0</v>
      </c>
      <c r="G5" s="223">
        <f>IF(固定资产台账1!$G3=0,0,ROUND(F5/E5*固定资产台账1!G3,2))</f>
        <v>0</v>
      </c>
      <c r="H5" s="223">
        <f>IF($A5="",0,$H$3*8)</f>
        <v>0</v>
      </c>
      <c r="I5" s="223">
        <f>ROUND(H5*0.142,0)</f>
        <v>0</v>
      </c>
      <c r="J5" s="223">
        <f>IF(固定资产台账1!$H3=0,0,ROUND(I5/H5*固定资产台账1!H3,2))</f>
        <v>0</v>
      </c>
      <c r="K5" s="223">
        <f>IF($A5="",0,$K$3*8)</f>
        <v>0</v>
      </c>
      <c r="L5" s="223">
        <f>ROUND(K5*0.127,0)</f>
        <v>0</v>
      </c>
      <c r="M5" s="223">
        <f>IF(固定资产台账1!$I3=0,0,ROUND(L5/K5*固定资产台账1!I3,2))</f>
        <v>0</v>
      </c>
      <c r="N5" s="223">
        <f>IF($A5="",0,$N$3*7)</f>
        <v>0</v>
      </c>
      <c r="O5" s="223">
        <f>ROUND(N5*0.105,0)</f>
        <v>0</v>
      </c>
      <c r="P5" s="223">
        <f>IF(固定资产台账1!$J3=0,0,ROUND(O5/N5*固定资产台账1!J3,2))</f>
        <v>0</v>
      </c>
      <c r="Q5" s="223">
        <f>IF($A5="",0,$Q$3*8)</f>
        <v>0</v>
      </c>
      <c r="R5" s="223">
        <f>ROUND(Q5*0.143,0)</f>
        <v>0</v>
      </c>
      <c r="S5" s="223">
        <f>IF(固定资产台账1!$K3=0,0,ROUND(R5/Q5*固定资产台账1!K3,2))</f>
        <v>0</v>
      </c>
      <c r="T5" s="223">
        <f>IF($A5="",0,$T$3*8)</f>
        <v>0</v>
      </c>
      <c r="U5" s="223">
        <f>ROUND(T5*0.128,0)</f>
        <v>0</v>
      </c>
      <c r="V5" s="223">
        <f>IF(固定资产台账1!$L3=0,0,ROUND(U5/T5*固定资产台账1!L3,2))</f>
        <v>0</v>
      </c>
      <c r="W5" s="223">
        <f>IF($A5="",0,$W$3*8)</f>
        <v>0</v>
      </c>
      <c r="X5" s="223">
        <f>ROUND(W5*0.146,0)</f>
        <v>0</v>
      </c>
      <c r="Y5" s="223">
        <f>IF(固定资产台账1!$M3=0,0,ROUND(X5/W5*固定资产台账1!M3,2))</f>
        <v>0</v>
      </c>
      <c r="Z5" s="223">
        <f>IF($A5="",0,$Z$3*8)</f>
        <v>0</v>
      </c>
      <c r="AA5" s="223">
        <f>ROUND(Z5*0.128,0)</f>
        <v>0</v>
      </c>
      <c r="AB5" s="223">
        <f>IF(固定资产台账1!$N3=0,0,ROUND(AA5/Z5*固定资产台账1!N3,2))</f>
        <v>0</v>
      </c>
      <c r="AC5" s="223">
        <f>IF($A5="",0,$AC$3*8)</f>
        <v>0</v>
      </c>
      <c r="AD5" s="223">
        <f>ROUND(AC5*0.135,0)</f>
        <v>0</v>
      </c>
      <c r="AE5" s="223">
        <f>IF(固定资产台账1!$O3=0,0,ROUND(AD5/AC5*固定资产台账1!O3,2))</f>
        <v>0</v>
      </c>
      <c r="AF5" s="223">
        <f>IF($A5="",0,$AF$3*8)</f>
        <v>0</v>
      </c>
      <c r="AG5" s="223">
        <f>ROUND(AF5*0.143,0)</f>
        <v>0</v>
      </c>
      <c r="AH5" s="223">
        <f>IF(固定资产台账1!$P3=0,0,ROUND(AG5/AF5*固定资产台账1!P3,2))</f>
        <v>0</v>
      </c>
      <c r="AI5" s="223">
        <f>IF($A5="",0,$AI$3*9.5)</f>
        <v>0</v>
      </c>
      <c r="AJ5" s="223">
        <f>ROUND(AI5*0.126,0)</f>
        <v>0</v>
      </c>
      <c r="AK5" s="223">
        <f>IF(固定资产台账1!$Q3=0,0,ROUND(AJ5/AI5*固定资产台账1!Q3,2))</f>
        <v>0</v>
      </c>
    </row>
    <row r="6" customHeight="1" spans="1:37">
      <c r="A6" s="223" t="str">
        <f>IF(固定资产台账1!A4="","",固定资产台账1!A4)</f>
        <v/>
      </c>
      <c r="B6" s="223">
        <f>IF($A6="",0,$B$3*6.5)</f>
        <v>0</v>
      </c>
      <c r="C6" s="223">
        <f>ROUND(B6*0.118,0)</f>
        <v>0</v>
      </c>
      <c r="D6" s="223">
        <f>IF(固定资产台账1!$F4=0,0,ROUND(C6/B6*固定资产台账1!F4,2))</f>
        <v>0</v>
      </c>
      <c r="E6" s="223">
        <f>IF($A6="",0,$E$3*6)</f>
        <v>0</v>
      </c>
      <c r="F6" s="223">
        <f>ROUND(E6*0.126,0)</f>
        <v>0</v>
      </c>
      <c r="G6" s="223">
        <f>IF(固定资产台账1!$G4=0,0,ROUND(F6/E6*固定资产台账1!G4,2))</f>
        <v>0</v>
      </c>
      <c r="H6" s="223">
        <f>IF($A6="",0,$H$3*9)</f>
        <v>0</v>
      </c>
      <c r="I6" s="223">
        <f>ROUND(H6*0.136,0)</f>
        <v>0</v>
      </c>
      <c r="J6" s="223">
        <f>IF(固定资产台账1!$H4=0,0,ROUND(I6/H6*固定资产台账1!H4,2))</f>
        <v>0</v>
      </c>
      <c r="K6" s="223">
        <f>IF($A6="",0,$K$3*7)</f>
        <v>0</v>
      </c>
      <c r="L6" s="223">
        <f>ROUND(K6*0.132,0)</f>
        <v>0</v>
      </c>
      <c r="M6" s="223">
        <f>IF(固定资产台账1!$I4=0,0,ROUND(L6/K6*固定资产台账1!I4,2))</f>
        <v>0</v>
      </c>
      <c r="N6" s="223">
        <f>IF($A6="",0,$N$3*8)</f>
        <v>0</v>
      </c>
      <c r="O6" s="223">
        <f>ROUND(N6*0.125,0)</f>
        <v>0</v>
      </c>
      <c r="P6" s="223">
        <f>IF(固定资产台账1!$J4=0,0,ROUND(O6/N6*固定资产台账1!J4,2))</f>
        <v>0</v>
      </c>
      <c r="Q6" s="223">
        <f>IF($A6="",0,$Q$3*9)</f>
        <v>0</v>
      </c>
      <c r="R6" s="223">
        <f>ROUND(Q6*0.14,0)</f>
        <v>0</v>
      </c>
      <c r="S6" s="223">
        <f>IF(固定资产台账1!$K4=0,0,ROUND(R6/Q6*固定资产台账1!K4,2))</f>
        <v>0</v>
      </c>
      <c r="T6" s="223">
        <f>IF($A6="",0,$T$3*9)</f>
        <v>0</v>
      </c>
      <c r="U6" s="223">
        <f>ROUND(T6*0.122,0)</f>
        <v>0</v>
      </c>
      <c r="V6" s="223">
        <f>IF(固定资产台账1!$L4=0,0,ROUND(U6/T6*固定资产台账1!L4,2))</f>
        <v>0</v>
      </c>
      <c r="W6" s="223">
        <f>IF($A6="",0,$W$3*9)</f>
        <v>0</v>
      </c>
      <c r="X6" s="223">
        <f>ROUND(W6*0.128,0)</f>
        <v>0</v>
      </c>
      <c r="Y6" s="223">
        <f>IF(固定资产台账1!$M4=0,0,ROUND(X6/W6*固定资产台账1!M4,2))</f>
        <v>0</v>
      </c>
      <c r="Z6" s="223">
        <f>IF($A6="",0,$Z$3*8)</f>
        <v>0</v>
      </c>
      <c r="AA6" s="223">
        <f>ROUND(Z6*0.138,0)</f>
        <v>0</v>
      </c>
      <c r="AB6" s="223">
        <f>IF(固定资产台账1!$N4=0,0,ROUND(AA6/Z6*固定资产台账1!N4,2))</f>
        <v>0</v>
      </c>
      <c r="AC6" s="223">
        <f>IF($A6="",0,$AC$3*8)</f>
        <v>0</v>
      </c>
      <c r="AD6" s="223">
        <f>ROUND(AC6*0.11,0)</f>
        <v>0</v>
      </c>
      <c r="AE6" s="223">
        <f>IF(固定资产台账1!$O4=0,0,ROUND(AD6/AC6*固定资产台账1!O4,2))</f>
        <v>0</v>
      </c>
      <c r="AF6" s="223">
        <f>IF($A6="",0,$AF$3*9)</f>
        <v>0</v>
      </c>
      <c r="AG6" s="223">
        <f>ROUND(AF6*0.14,0)</f>
        <v>0</v>
      </c>
      <c r="AH6" s="223">
        <f>IF(固定资产台账1!$P4=0,0,ROUND(AG6/AF6*固定资产台账1!P4,2))</f>
        <v>0</v>
      </c>
      <c r="AI6" s="223">
        <f>IF($A6="",0,$AI$3*9)</f>
        <v>0</v>
      </c>
      <c r="AJ6" s="223">
        <f>ROUND(AI6*0.119,0)</f>
        <v>0</v>
      </c>
      <c r="AK6" s="223">
        <f>IF(固定资产台账1!$Q4=0,0,ROUND(AJ6/AI6*固定资产台账1!Q4,2))</f>
        <v>0</v>
      </c>
    </row>
    <row r="7" customHeight="1" spans="1:37">
      <c r="A7" s="223" t="str">
        <f>IF(固定资产台账1!A5="","",固定资产台账1!A5)</f>
        <v/>
      </c>
      <c r="B7" s="223">
        <f>IF($A7="",0,$B$3*7)</f>
        <v>0</v>
      </c>
      <c r="C7" s="223">
        <f>ROUND(B7*0.105,0)</f>
        <v>0</v>
      </c>
      <c r="D7" s="223">
        <f>IF(固定资产台账1!$F5=0,0,ROUND(C7/B7*固定资产台账1!F5,2))</f>
        <v>0</v>
      </c>
      <c r="E7" s="223">
        <f>IF($A7="",0,$E$3*8)</f>
        <v>0</v>
      </c>
      <c r="F7" s="223">
        <f>ROUND(E7*0.128,0)</f>
        <v>0</v>
      </c>
      <c r="G7" s="223">
        <f>IF(固定资产台账1!$G5=0,0,ROUND(F7/E7*固定资产台账1!G5,2))</f>
        <v>0</v>
      </c>
      <c r="H7" s="223">
        <f>IF($A7="",0,$H$3*9)</f>
        <v>0</v>
      </c>
      <c r="I7" s="223">
        <f>ROUND(H7*0.145,0)</f>
        <v>0</v>
      </c>
      <c r="J7" s="223">
        <f>IF(固定资产台账1!$H5=0,0,ROUND(I7/H7*固定资产台账1!H5,2))</f>
        <v>0</v>
      </c>
      <c r="K7" s="223">
        <f>IF($A7="",0,$K$3*9)</f>
        <v>0</v>
      </c>
      <c r="L7" s="223">
        <f>ROUND(K7*0.133,0)</f>
        <v>0</v>
      </c>
      <c r="M7" s="223">
        <f>IF(固定资产台账1!$I5=0,0,ROUND(L7/K7*固定资产台账1!I5,2))</f>
        <v>0</v>
      </c>
      <c r="N7" s="223">
        <f>IF($A7="",0,$N$3*8)</f>
        <v>0</v>
      </c>
      <c r="O7" s="223">
        <f>ROUND(N7*0.13,0)</f>
        <v>0</v>
      </c>
      <c r="P7" s="223">
        <f>IF(固定资产台账1!$J5=0,0,ROUND(O7/N7*固定资产台账1!J5,2))</f>
        <v>0</v>
      </c>
      <c r="Q7" s="223">
        <f>IF($A7="",0,$Q$3*9)</f>
        <v>0</v>
      </c>
      <c r="R7" s="223">
        <f>ROUND(Q7*0.148,0)</f>
        <v>0</v>
      </c>
      <c r="S7" s="223">
        <f>IF(固定资产台账1!$K5=0,0,ROUND(R7/Q7*固定资产台账1!K5,2))</f>
        <v>0</v>
      </c>
      <c r="T7" s="223">
        <f>IF($A7="",0,$T$3*8)</f>
        <v>0</v>
      </c>
      <c r="U7" s="223">
        <f>ROUND(T7*0.135,0)</f>
        <v>0</v>
      </c>
      <c r="V7" s="223">
        <f>IF(固定资产台账1!$L5=0,0,ROUND(U7/T7*固定资产台账1!L5,2))</f>
        <v>0</v>
      </c>
      <c r="W7" s="223">
        <f>IF($A7="",0,$W$3*9)</f>
        <v>0</v>
      </c>
      <c r="X7" s="223">
        <f>ROUND(W7*0.136,0)</f>
        <v>0</v>
      </c>
      <c r="Y7" s="223">
        <f>IF(固定资产台账1!$M5=0,0,ROUND(X7/W7*固定资产台账1!M5,2))</f>
        <v>0</v>
      </c>
      <c r="Z7" s="223">
        <f>IF($A7="",0,$Z$3*9)</f>
        <v>0</v>
      </c>
      <c r="AA7" s="223">
        <f>ROUND(Z7*0.125,0)</f>
        <v>0</v>
      </c>
      <c r="AB7" s="223">
        <f>IF(固定资产台账1!$N5=0,0,ROUND(AA7/Z7*固定资产台账1!N5,2))</f>
        <v>0</v>
      </c>
      <c r="AC7" s="223">
        <f>IF($A7="",0,$AC$3*9)</f>
        <v>0</v>
      </c>
      <c r="AD7" s="223">
        <f>ROUND(AC7*0.103,0)</f>
        <v>0</v>
      </c>
      <c r="AE7" s="223">
        <f>IF(固定资产台账1!$O5=0,0,ROUND(AD7/AC7*固定资产台账1!O5,2))</f>
        <v>0</v>
      </c>
      <c r="AF7" s="223">
        <f>IF($A7="",0,$AF$3*9)</f>
        <v>0</v>
      </c>
      <c r="AG7" s="223">
        <f>ROUND(AF7*0.133,0)</f>
        <v>0</v>
      </c>
      <c r="AH7" s="223">
        <f>IF(固定资产台账1!$P5=0,0,ROUND(AG7/AF7*固定资产台账1!P5,2))</f>
        <v>0</v>
      </c>
      <c r="AI7" s="223">
        <f>IF($A7="",0,$AI$3*9)</f>
        <v>0</v>
      </c>
      <c r="AJ7" s="223">
        <f>ROUND(AI7*0.132,0)</f>
        <v>0</v>
      </c>
      <c r="AK7" s="223">
        <f>IF(固定资产台账1!$Q5=0,0,ROUND(AJ7/AI7*固定资产台账1!Q5,2))</f>
        <v>0</v>
      </c>
    </row>
    <row r="8" customHeight="1" spans="1:37">
      <c r="A8" s="223" t="str">
        <f>IF(固定资产台账1!A6="","",固定资产台账1!A6)</f>
        <v/>
      </c>
      <c r="B8" s="223">
        <f>IF($A8="",0,$B$3*6.5)</f>
        <v>0</v>
      </c>
      <c r="C8" s="223">
        <f>ROUND(B8*0.115,0)</f>
        <v>0</v>
      </c>
      <c r="D8" s="223">
        <f>IF(固定资产台账1!$F6=0,0,ROUND(C8/B8*固定资产台账1!F6,2))</f>
        <v>0</v>
      </c>
      <c r="E8" s="223">
        <f>IF($A8="",0,$E$3*7.5)</f>
        <v>0</v>
      </c>
      <c r="F8" s="223">
        <f>ROUND(E8*0.104,0)</f>
        <v>0</v>
      </c>
      <c r="G8" s="223">
        <f>IF(固定资产台账1!$G6=0,0,ROUND(F8/E8*固定资产台账1!G6,2))</f>
        <v>0</v>
      </c>
      <c r="H8" s="223">
        <f>IF($A8="",0,$H$3*7.5)</f>
        <v>0</v>
      </c>
      <c r="I8" s="223">
        <f>ROUND(H8*0.125,0)</f>
        <v>0</v>
      </c>
      <c r="J8" s="223">
        <f>IF(固定资产台账1!$H6=0,0,ROUND(I8/H8*固定资产台账1!H6,2))</f>
        <v>0</v>
      </c>
      <c r="K8" s="223">
        <f>IF($A8="",0,$K$3*7.5)</f>
        <v>0</v>
      </c>
      <c r="L8" s="223">
        <f>ROUND(K8*0.122,0)</f>
        <v>0</v>
      </c>
      <c r="M8" s="223">
        <f>IF(固定资产台账1!$I6=0,0,ROUND(L8/K8*固定资产台账1!I6,2))</f>
        <v>0</v>
      </c>
      <c r="N8" s="223">
        <f>IF($A8="",0,$N$3*7.5)</f>
        <v>0</v>
      </c>
      <c r="O8" s="223">
        <f>ROUND(N8*0.122,0)</f>
        <v>0</v>
      </c>
      <c r="P8" s="223">
        <f>IF(固定资产台账1!$J6=0,0,ROUND(O8/N8*固定资产台账1!J6,2))</f>
        <v>0</v>
      </c>
      <c r="Q8" s="223">
        <f>IF($A8="",0,$Q$3*7.5)</f>
        <v>0</v>
      </c>
      <c r="R8" s="223">
        <f>ROUND(Q8*0.135,0)</f>
        <v>0</v>
      </c>
      <c r="S8" s="223">
        <f>IF(固定资产台账1!$K6=0,0,ROUND(R8/Q8*固定资产台账1!K6,2))</f>
        <v>0</v>
      </c>
      <c r="T8" s="223">
        <f>IF($A8="",0,$T$3*7.5)</f>
        <v>0</v>
      </c>
      <c r="U8" s="223">
        <f>ROUND(T8*0.138,0)</f>
        <v>0</v>
      </c>
      <c r="V8" s="223">
        <f>IF(固定资产台账1!$L6=0,0,ROUND(U8/T8*固定资产台账1!L6,2))</f>
        <v>0</v>
      </c>
      <c r="W8" s="223">
        <f>IF($A8="",0,$W$3*8.5)</f>
        <v>0</v>
      </c>
      <c r="X8" s="223">
        <f>ROUND(W8*0.142,0)</f>
        <v>0</v>
      </c>
      <c r="Y8" s="223">
        <f>IF(固定资产台账1!$M6=0,0,ROUND(X8/W8*固定资产台账1!M6,2))</f>
        <v>0</v>
      </c>
      <c r="Z8" s="223">
        <f>IF($A8="",0,$Z$3*7.5)</f>
        <v>0</v>
      </c>
      <c r="AA8" s="223">
        <f>ROUND(Z8*0.13,0)</f>
        <v>0</v>
      </c>
      <c r="AB8" s="223">
        <f>IF(固定资产台账1!$N6=0,0,ROUND(AA8/Z8*固定资产台账1!N6,2))</f>
        <v>0</v>
      </c>
      <c r="AC8" s="223">
        <f>IF($A8="",0,$AC$3*7.5)</f>
        <v>0</v>
      </c>
      <c r="AD8" s="223">
        <f>ROUND(AC8*0.113,0)</f>
        <v>0</v>
      </c>
      <c r="AE8" s="223">
        <f>IF(固定资产台账1!$O6=0,0,ROUND(AD8/AC8*固定资产台账1!O6,2))</f>
        <v>0</v>
      </c>
      <c r="AF8" s="223">
        <f>IF($A8="",0,$AF$3*7.5)</f>
        <v>0</v>
      </c>
      <c r="AG8" s="223">
        <f>ROUND(AF8*0.129,0)</f>
        <v>0</v>
      </c>
      <c r="AH8" s="223">
        <f>IF(固定资产台账1!$P6=0,0,ROUND(AG8/AF8*固定资产台账1!P6,2))</f>
        <v>0</v>
      </c>
      <c r="AI8" s="223">
        <f>IF($A8="",0,$AI$3*7.5)</f>
        <v>0</v>
      </c>
      <c r="AJ8" s="223">
        <f>ROUND(AI8*0.13,0)</f>
        <v>0</v>
      </c>
      <c r="AK8" s="223">
        <f>IF(固定资产台账1!$Q6=0,0,ROUND(AJ8/AI8*固定资产台账1!Q6,2))</f>
        <v>0</v>
      </c>
    </row>
    <row r="9" customHeight="1" spans="1:37">
      <c r="A9" s="223" t="str">
        <f>IF(固定资产台账1!A7="","",固定资产台账1!A7)</f>
        <v/>
      </c>
      <c r="B9" s="223">
        <f>IF($A9="",0,$B$3*7.5)</f>
        <v>0</v>
      </c>
      <c r="C9" s="223">
        <f>ROUND(B9*0.13,0)</f>
        <v>0</v>
      </c>
      <c r="D9" s="223">
        <f>IF(固定资产台账1!$F7=0,0,ROUND(C9/B9*固定资产台账1!F7,2))</f>
        <v>0</v>
      </c>
      <c r="E9" s="223">
        <f>IF($A9="",0,$E$3*9.5)</f>
        <v>0</v>
      </c>
      <c r="F9" s="223">
        <f>ROUND(E9*0.132,0)</f>
        <v>0</v>
      </c>
      <c r="G9" s="223">
        <f>IF(固定资产台账1!$G7=0,0,ROUND(F9/E9*固定资产台账1!G7,2))</f>
        <v>0</v>
      </c>
      <c r="H9" s="223">
        <f>IF($A9="",0,$H$3*9.5)</f>
        <v>0</v>
      </c>
      <c r="I9" s="223">
        <f>ROUND(H9*0.116,0)</f>
        <v>0</v>
      </c>
      <c r="J9" s="223">
        <f>IF(固定资产台账1!$H7=0,0,ROUND(I9/H9*固定资产台账1!H7,2))</f>
        <v>0</v>
      </c>
      <c r="K9" s="223">
        <f>IF($A9="",0,$K$3*9)</f>
        <v>0</v>
      </c>
      <c r="L9" s="223">
        <f>ROUND(K9*0.141,0)</f>
        <v>0</v>
      </c>
      <c r="M9" s="223">
        <f>IF(固定资产台账1!$I7=0,0,ROUND(L9/K9*固定资产台账1!I7,2))</f>
        <v>0</v>
      </c>
      <c r="N9" s="223">
        <f>IF($A9="",0,$N$3*7.5)</f>
        <v>0</v>
      </c>
      <c r="O9" s="223">
        <f>ROUND(N9*0.116,0)</f>
        <v>0</v>
      </c>
      <c r="P9" s="223">
        <f>IF(固定资产台账1!$J7=0,0,ROUND(O9/N9*固定资产台账1!J7,2))</f>
        <v>0</v>
      </c>
      <c r="Q9" s="223">
        <f>IF($A9="",0,$Q$3*9.5)</f>
        <v>0</v>
      </c>
      <c r="R9" s="223">
        <f>ROUND(Q9*0.141,0)</f>
        <v>0</v>
      </c>
      <c r="S9" s="223">
        <f>IF(固定资产台账1!$K7=0,0,ROUND(R9/Q9*固定资产台账1!K7,2))</f>
        <v>0</v>
      </c>
      <c r="T9" s="223">
        <f>IF($A9="",0,$T$3*9.5)</f>
        <v>0</v>
      </c>
      <c r="U9" s="223">
        <f>ROUND(T9*0.142,0)</f>
        <v>0</v>
      </c>
      <c r="V9" s="223">
        <f>IF(固定资产台账1!$L7=0,0,ROUND(U9/T9*固定资产台账1!L7,2))</f>
        <v>0</v>
      </c>
      <c r="W9" s="223">
        <f>IF($A9="",0,$W$3*9.5)</f>
        <v>0</v>
      </c>
      <c r="X9" s="223">
        <f>ROUND(W9*0.145,0)</f>
        <v>0</v>
      </c>
      <c r="Y9" s="223">
        <f>IF(固定资产台账1!$M7=0,0,ROUND(X9/W9*固定资产台账1!M7,2))</f>
        <v>0</v>
      </c>
      <c r="Z9" s="223">
        <f>IF($A9="",0,$Z$3*9)</f>
        <v>0</v>
      </c>
      <c r="AA9" s="223">
        <f>ROUND(Z9*0.117,0)</f>
        <v>0</v>
      </c>
      <c r="AB9" s="223">
        <f>IF(固定资产台账1!$N7=0,0,ROUND(AA9/Z9*固定资产台账1!N7,2))</f>
        <v>0</v>
      </c>
      <c r="AC9" s="223">
        <f>IF($A9="",0,$AC$3*6.5)</f>
        <v>0</v>
      </c>
      <c r="AD9" s="223">
        <f>ROUND(AC9*0.12,0)</f>
        <v>0</v>
      </c>
      <c r="AE9" s="223">
        <f>IF(固定资产台账1!$O7=0,0,ROUND(AD9/AC9*固定资产台账1!O7,2))</f>
        <v>0</v>
      </c>
      <c r="AF9" s="223">
        <f>IF($A9="",0,$AF$3*9.5)</f>
        <v>0</v>
      </c>
      <c r="AG9" s="223">
        <f>ROUND(AF9*0.14,0)</f>
        <v>0</v>
      </c>
      <c r="AH9" s="223">
        <f>IF(固定资产台账1!$P7=0,0,ROUND(AG9/AF9*固定资产台账1!P7,2))</f>
        <v>0</v>
      </c>
      <c r="AI9" s="223">
        <f>IF($A9="",0,$AI$3*9.5)</f>
        <v>0</v>
      </c>
      <c r="AJ9" s="223">
        <f>ROUND(AI9*0.137,0)</f>
        <v>0</v>
      </c>
      <c r="AK9" s="223">
        <f>IF(固定资产台账1!$Q7=0,0,ROUND(AJ9/AI9*固定资产台账1!Q7,2))</f>
        <v>0</v>
      </c>
    </row>
    <row r="10" customHeight="1" spans="1:37">
      <c r="A10" s="223" t="str">
        <f>IF(固定资产台账1!A8="","",固定资产台账1!A8)</f>
        <v/>
      </c>
      <c r="B10" s="223">
        <f>IF($A10="",0,$B$3*7)</f>
        <v>0</v>
      </c>
      <c r="C10" s="223">
        <f>ROUND(B10*0.116,0)</f>
        <v>0</v>
      </c>
      <c r="D10" s="223">
        <f>IF(固定资产台账1!$F8=0,0,ROUND(C10/B10*固定资产台账1!F8,2))</f>
        <v>0</v>
      </c>
      <c r="E10" s="223">
        <f>IF($A10="",0,$E$3*7)</f>
        <v>0</v>
      </c>
      <c r="F10" s="223">
        <f>ROUND(E10*0.13,0)</f>
        <v>0</v>
      </c>
      <c r="G10" s="223">
        <f>IF(固定资产台账1!$G8=0,0,ROUND(F10/E10*固定资产台账1!G8,2))</f>
        <v>0</v>
      </c>
      <c r="H10" s="223">
        <f>IF($A10="",0,$H$3*7.5)</f>
        <v>0</v>
      </c>
      <c r="I10" s="223">
        <f>ROUND(H10*0.135,0)</f>
        <v>0</v>
      </c>
      <c r="J10" s="223">
        <f>IF(固定资产台账1!$H8=0,0,ROUND(I10/H10*固定资产台账1!H8,2))</f>
        <v>0</v>
      </c>
      <c r="K10" s="223">
        <f>IF($A10="",0,$K$3*7)</f>
        <v>0</v>
      </c>
      <c r="L10" s="223">
        <f>ROUND(K10*0.135,0)</f>
        <v>0</v>
      </c>
      <c r="M10" s="223">
        <f>IF(固定资产台账1!$I8=0,0,ROUND(L10/K10*固定资产台账1!I8,2))</f>
        <v>0</v>
      </c>
      <c r="N10" s="223">
        <f>IF($A10="",0,$N$3*7)</f>
        <v>0</v>
      </c>
      <c r="O10" s="223">
        <f>ROUND(N10*0.122,0)</f>
        <v>0</v>
      </c>
      <c r="P10" s="223">
        <f>IF(固定资产台账1!$J8=0,0,ROUND(O10/N10*固定资产台账1!J8,2))</f>
        <v>0</v>
      </c>
      <c r="Q10" s="223">
        <f>IF($A10="",0,$Q$3*7)</f>
        <v>0</v>
      </c>
      <c r="R10" s="223">
        <f>ROUND(Q10*0.139,0)</f>
        <v>0</v>
      </c>
      <c r="S10" s="223">
        <f>IF(固定资产台账1!$K8=0,0,ROUND(R10/Q10*固定资产台账1!K8,2))</f>
        <v>0</v>
      </c>
      <c r="T10" s="223">
        <f>IF($A10="",0,$T$3*7)</f>
        <v>0</v>
      </c>
      <c r="U10" s="223">
        <f>ROUND(T10*0.14,0)</f>
        <v>0</v>
      </c>
      <c r="V10" s="223">
        <f>IF(固定资产台账1!$L8=0,0,ROUND(U10/T10*固定资产台账1!L8,2))</f>
        <v>0</v>
      </c>
      <c r="W10" s="223">
        <f>IF($A10="",0,$W$3*8)</f>
        <v>0</v>
      </c>
      <c r="X10" s="223">
        <f>ROUND(W10*0.132,0)</f>
        <v>0</v>
      </c>
      <c r="Y10" s="223">
        <f>IF(固定资产台账1!$M8=0,0,ROUND(X10/W10*固定资产台账1!M8,2))</f>
        <v>0</v>
      </c>
      <c r="Z10" s="223">
        <f>IF($A10="",0,$Z$3*7)</f>
        <v>0</v>
      </c>
      <c r="AA10" s="223">
        <f>ROUND(Z10*0.128,0)</f>
        <v>0</v>
      </c>
      <c r="AB10" s="223">
        <f>IF(固定资产台账1!$N8=0,0,ROUND(AA10/Z10*固定资产台账1!N8,2))</f>
        <v>0</v>
      </c>
      <c r="AC10" s="223">
        <f>IF($A10="",0,$AC$3*7)</f>
        <v>0</v>
      </c>
      <c r="AD10" s="223">
        <f>ROUND(AC10*0.135,0)</f>
        <v>0</v>
      </c>
      <c r="AE10" s="223">
        <f>IF(固定资产台账1!$O8=0,0,ROUND(AD10/AC10*固定资产台账1!O8,2))</f>
        <v>0</v>
      </c>
      <c r="AF10" s="223">
        <f>IF($A10="",0,$AF$3*7)</f>
        <v>0</v>
      </c>
      <c r="AG10" s="223">
        <f>ROUND(AF10*0.138,0)</f>
        <v>0</v>
      </c>
      <c r="AH10" s="223">
        <f>IF(固定资产台账1!$P8=0,0,ROUND(AG10/AF10*固定资产台账1!P8,2))</f>
        <v>0</v>
      </c>
      <c r="AI10" s="223">
        <f>IF($A10="",0,$AI$3*8.5)</f>
        <v>0</v>
      </c>
      <c r="AJ10" s="223">
        <f>ROUND(AI10*0.126,0)</f>
        <v>0</v>
      </c>
      <c r="AK10" s="223">
        <f>IF(固定资产台账1!$Q8=0,0,ROUND(AJ10/AI10*固定资产台账1!Q8,2))</f>
        <v>0</v>
      </c>
    </row>
    <row r="11" customHeight="1" spans="1:37">
      <c r="A11" s="223" t="str">
        <f>IF(固定资产台账1!A9="","",固定资产台账1!A9)</f>
        <v/>
      </c>
      <c r="B11" s="223">
        <f>IF($A11="",0,$B$3*8)</f>
        <v>0</v>
      </c>
      <c r="C11" s="223">
        <f>ROUND(B11*0.122,0)</f>
        <v>0</v>
      </c>
      <c r="D11" s="223">
        <f>IF(固定资产台账1!$F9=0,0,ROUND(C11/B11*固定资产台账1!F9,2))</f>
        <v>0</v>
      </c>
      <c r="E11" s="223">
        <f>IF($A11="",0,$E$3*8)</f>
        <v>0</v>
      </c>
      <c r="F11" s="223">
        <f>ROUND(E11*0.125,0)</f>
        <v>0</v>
      </c>
      <c r="G11" s="223">
        <f>IF(固定资产台账1!$G9=0,0,ROUND(F11/E11*固定资产台账1!G9,2))</f>
        <v>0</v>
      </c>
      <c r="H11" s="223">
        <f>IF($A11="",0,$H$3*8)</f>
        <v>0</v>
      </c>
      <c r="I11" s="223">
        <f>ROUND(H11*0.132,0)</f>
        <v>0</v>
      </c>
      <c r="J11" s="223">
        <f>IF(固定资产台账1!$H9=0,0,ROUND(I11/H11*固定资产台账1!H9,2))</f>
        <v>0</v>
      </c>
      <c r="K11" s="223">
        <f>IF($A11="",0,$K$3*8)</f>
        <v>0</v>
      </c>
      <c r="L11" s="223">
        <f>ROUND(K11*0.141,0)</f>
        <v>0</v>
      </c>
      <c r="M11" s="223">
        <f>IF(固定资产台账1!$I9=0,0,ROUND(L11/K11*固定资产台账1!I9,2))</f>
        <v>0</v>
      </c>
      <c r="N11" s="223">
        <f>IF($A11="",0,$N$3*8)</f>
        <v>0</v>
      </c>
      <c r="O11" s="223">
        <f>ROUND(N11*0.105,0)</f>
        <v>0</v>
      </c>
      <c r="P11" s="223">
        <f>IF(固定资产台账1!$J9=0,0,ROUND(O11/N11*固定资产台账1!J9,2))</f>
        <v>0</v>
      </c>
      <c r="Q11" s="223">
        <f>IF($A11="",0,$Q$3*8)</f>
        <v>0</v>
      </c>
      <c r="R11" s="223">
        <f>ROUND(Q11*0.152,0)</f>
        <v>0</v>
      </c>
      <c r="S11" s="223">
        <f>IF(固定资产台账1!$K9=0,0,ROUND(R11/Q11*固定资产台账1!K9,2))</f>
        <v>0</v>
      </c>
      <c r="T11" s="223">
        <f>IF($A11="",0,$T$3*8)</f>
        <v>0</v>
      </c>
      <c r="U11" s="223">
        <f>ROUND(T11*0.128,0)</f>
        <v>0</v>
      </c>
      <c r="V11" s="223">
        <f>IF(固定资产台账1!$L9=0,0,ROUND(U11/T11*固定资产台账1!L9,2))</f>
        <v>0</v>
      </c>
      <c r="W11" s="223">
        <f>IF($A11="",0,$W$3*8)</f>
        <v>0</v>
      </c>
      <c r="X11" s="223">
        <f>ROUND(W11*0.137,0)</f>
        <v>0</v>
      </c>
      <c r="Y11" s="223">
        <f>IF(固定资产台账1!$M9=0,0,ROUND(X11/W11*固定资产台账1!M9,2))</f>
        <v>0</v>
      </c>
      <c r="Z11" s="223">
        <f>IF($A11="",0,$Z$3*8)</f>
        <v>0</v>
      </c>
      <c r="AA11" s="223">
        <f>ROUND(Z11*0.136,0)</f>
        <v>0</v>
      </c>
      <c r="AB11" s="223">
        <f>IF(固定资产台账1!$N9=0,0,ROUND(AA11/Z11*固定资产台账1!N9,2))</f>
        <v>0</v>
      </c>
      <c r="AC11" s="223">
        <f>IF($A11="",0,$AC$3*8)</f>
        <v>0</v>
      </c>
      <c r="AD11" s="223">
        <f>ROUND(AC11*0.129,0)</f>
        <v>0</v>
      </c>
      <c r="AE11" s="223">
        <f>IF(固定资产台账1!$O9=0,0,ROUND(AD11/AC11*固定资产台账1!O9,2))</f>
        <v>0</v>
      </c>
      <c r="AF11" s="223">
        <f>IF($A11="",0,$AF$3*9)</f>
        <v>0</v>
      </c>
      <c r="AG11" s="223">
        <f>ROUND(AF11*0.142,0)</f>
        <v>0</v>
      </c>
      <c r="AH11" s="223">
        <f>IF(固定资产台账1!$P9=0,0,ROUND(AG11/AF11*固定资产台账1!P9,2))</f>
        <v>0</v>
      </c>
      <c r="AI11" s="223">
        <f>IF($A11="",0,$AI$3*8)</f>
        <v>0</v>
      </c>
      <c r="AJ11" s="223">
        <f>ROUND(AI11*0.12,0)</f>
        <v>0</v>
      </c>
      <c r="AK11" s="223">
        <f>IF(固定资产台账1!$Q9=0,0,ROUND(AJ11/AI11*固定资产台账1!Q9,2))</f>
        <v>0</v>
      </c>
    </row>
    <row r="12" customHeight="1" spans="1:37">
      <c r="A12" s="223" t="str">
        <f>IF(固定资产台账1!A10="","",固定资产台账1!A10)</f>
        <v/>
      </c>
      <c r="B12" s="223">
        <f>IF($A12="",0,$B$3*7)</f>
        <v>0</v>
      </c>
      <c r="C12" s="223">
        <f>ROUND(B12*0.116,0)</f>
        <v>0</v>
      </c>
      <c r="D12" s="223">
        <f>IF(固定资产台账1!$F10=0,0,ROUND(C12/B12*固定资产台账1!F10,2))</f>
        <v>0</v>
      </c>
      <c r="E12" s="223">
        <f>IF($A12="",0,$E$3*9)</f>
        <v>0</v>
      </c>
      <c r="F12" s="223">
        <f>ROUND(E12*0.129,0)</f>
        <v>0</v>
      </c>
      <c r="G12" s="223">
        <f>IF(固定资产台账1!$G10=0,0,ROUND(F12/E12*固定资产台账1!G10,2))</f>
        <v>0</v>
      </c>
      <c r="H12" s="223">
        <f>IF($A12="",0,$H$3*9)</f>
        <v>0</v>
      </c>
      <c r="I12" s="223">
        <f>ROUND(H12*0.112,0)</f>
        <v>0</v>
      </c>
      <c r="J12" s="223">
        <f>IF(固定资产台账1!$H10=0,0,ROUND(I12/H12*固定资产台账1!H10,2))</f>
        <v>0</v>
      </c>
      <c r="K12" s="223">
        <f>IF($A12="",0,$K$3*9)</f>
        <v>0</v>
      </c>
      <c r="L12" s="223">
        <f>ROUND(K12*0.137,0)</f>
        <v>0</v>
      </c>
      <c r="M12" s="223">
        <f>IF(固定资产台账1!$I10=0,0,ROUND(L12/K12*固定资产台账1!I10,2))</f>
        <v>0</v>
      </c>
      <c r="N12" s="223">
        <f>IF($A12="",0,$N$3*8.5)</f>
        <v>0</v>
      </c>
      <c r="O12" s="223">
        <f>ROUND(N12*0.115,0)</f>
        <v>0</v>
      </c>
      <c r="P12" s="223">
        <f>IF(固定资产台账1!$J10=0,0,ROUND(O12/N12*固定资产台账1!J10,2))</f>
        <v>0</v>
      </c>
      <c r="Q12" s="223">
        <f>IF($A12="",0,$Q$3*9)</f>
        <v>0</v>
      </c>
      <c r="R12" s="223">
        <f>ROUND(Q12*0.144,0)</f>
        <v>0</v>
      </c>
      <c r="S12" s="223">
        <f>IF(固定资产台账1!$K10=0,0,ROUND(R12/Q12*固定资产台账1!K10,2))</f>
        <v>0</v>
      </c>
      <c r="T12" s="223">
        <f>IF($A12="",0,$T$3*8)</f>
        <v>0</v>
      </c>
      <c r="U12" s="223">
        <f>ROUND(T12*0.132,0)</f>
        <v>0</v>
      </c>
      <c r="V12" s="223">
        <f>IF(固定资产台账1!$L10=0,0,ROUND(U12/T12*固定资产台账1!L10,2))</f>
        <v>0</v>
      </c>
      <c r="W12" s="223">
        <f>IF($A12="",0,$W$3*9)</f>
        <v>0</v>
      </c>
      <c r="X12" s="223">
        <f>ROUND(W12*0.129,0)</f>
        <v>0</v>
      </c>
      <c r="Y12" s="223">
        <f>IF(固定资产台账1!$M10=0,0,ROUND(X12/W12*固定资产台账1!M10,2))</f>
        <v>0</v>
      </c>
      <c r="Z12" s="223">
        <f>IF($A12="",0,$Z$3*9)</f>
        <v>0</v>
      </c>
      <c r="AA12" s="223">
        <f>ROUND(Z12*0.133,0)</f>
        <v>0</v>
      </c>
      <c r="AB12" s="223">
        <f>IF(固定资产台账1!$N10=0,0,ROUND(AA12/Z12*固定资产台账1!N10,2))</f>
        <v>0</v>
      </c>
      <c r="AC12" s="223">
        <f>IF($A12="",0,$AC$3*7)</f>
        <v>0</v>
      </c>
      <c r="AD12" s="223">
        <f>ROUND(AC12*0.132,0)</f>
        <v>0</v>
      </c>
      <c r="AE12" s="223">
        <f>IF(固定资产台账1!$O10=0,0,ROUND(AD12/AC12*固定资产台账1!O10,2))</f>
        <v>0</v>
      </c>
      <c r="AF12" s="223">
        <f>IF($A12="",0,$AF$3*9)</f>
        <v>0</v>
      </c>
      <c r="AG12" s="223">
        <f>ROUND(AF12*0.133,0)</f>
        <v>0</v>
      </c>
      <c r="AH12" s="223">
        <f>IF(固定资产台账1!$P10=0,0,ROUND(AG12/AF12*固定资产台账1!P10,2))</f>
        <v>0</v>
      </c>
      <c r="AI12" s="223">
        <f>IF($A12="",0,$AI$3*9)</f>
        <v>0</v>
      </c>
      <c r="AJ12" s="223">
        <f>ROUND(AI12*0.119,0)</f>
        <v>0</v>
      </c>
      <c r="AK12" s="223">
        <f>IF(固定资产台账1!$Q10=0,0,ROUND(AJ12/AI12*固定资产台账1!Q10,2))</f>
        <v>0</v>
      </c>
    </row>
    <row r="13" customHeight="1" spans="1:37">
      <c r="A13" s="223" t="str">
        <f>IF(固定资产台账1!A11="","",固定资产台账1!A11)</f>
        <v/>
      </c>
      <c r="B13" s="223">
        <f>IF($A13="",0,$B$3*8.5)</f>
        <v>0</v>
      </c>
      <c r="C13" s="223">
        <f>ROUND(B13*0.11,0)</f>
        <v>0</v>
      </c>
      <c r="D13" s="223">
        <f>IF(固定资产台账1!$F11=0,0,ROUND(C13/B13*固定资产台账1!F11,2))</f>
        <v>0</v>
      </c>
      <c r="E13" s="223">
        <f>IF($A13="",0,$E$3*7.5)</f>
        <v>0</v>
      </c>
      <c r="F13" s="223">
        <f>ROUND(E13*0.103,0)</f>
        <v>0</v>
      </c>
      <c r="G13" s="223">
        <f>IF(固定资产台账1!$G11=0,0,ROUND(F13/E13*固定资产台账1!G11,2))</f>
        <v>0</v>
      </c>
      <c r="H13" s="223">
        <f>IF($A13="",0,$H$3*8.5)</f>
        <v>0</v>
      </c>
      <c r="I13" s="223">
        <f>ROUND(H13*0.145,0)</f>
        <v>0</v>
      </c>
      <c r="J13" s="223">
        <f>IF(固定资产台账1!$H11=0,0,ROUND(I13/H13*固定资产台账1!H11,2))</f>
        <v>0</v>
      </c>
      <c r="K13" s="223">
        <f>IF($A13="",0,$K$3*8.5)</f>
        <v>0</v>
      </c>
      <c r="L13" s="223">
        <f>ROUND(K13*0.142,0)</f>
        <v>0</v>
      </c>
      <c r="M13" s="223">
        <f>IF(固定资产台账1!$I11=0,0,ROUND(L13/K13*固定资产台账1!I11,2))</f>
        <v>0</v>
      </c>
      <c r="N13" s="223">
        <f>IF($A13="",0,$N$3*8.5)</f>
        <v>0</v>
      </c>
      <c r="O13" s="223">
        <f>ROUND(N13*0.106,0)</f>
        <v>0</v>
      </c>
      <c r="P13" s="223">
        <f>IF(固定资产台账1!$J11=0,0,ROUND(O13/N13*固定资产台账1!J11,2))</f>
        <v>0</v>
      </c>
      <c r="Q13" s="223">
        <f>IF($A13="",0,$Q$3*8)</f>
        <v>0</v>
      </c>
      <c r="R13" s="223">
        <f>ROUND(Q13*0.138,0)</f>
        <v>0</v>
      </c>
      <c r="S13" s="223">
        <f>IF(固定资产台账1!$K11=0,0,ROUND(R13/Q13*固定资产台账1!K11,2))</f>
        <v>0</v>
      </c>
      <c r="T13" s="223">
        <f>IF($A13="",0,$T$3*8.5)</f>
        <v>0</v>
      </c>
      <c r="U13" s="223">
        <f>ROUND(T13*0.133,0)</f>
        <v>0</v>
      </c>
      <c r="V13" s="223">
        <f>IF(固定资产台账1!$L11=0,0,ROUND(U13/T13*固定资产台账1!L11,2))</f>
        <v>0</v>
      </c>
      <c r="W13" s="223">
        <f>IF($A13="",0,$W$3*8.5)</f>
        <v>0</v>
      </c>
      <c r="X13" s="223">
        <f>ROUND(W13*0.133,0)</f>
        <v>0</v>
      </c>
      <c r="Y13" s="223">
        <f>IF(固定资产台账1!$M11=0,0,ROUND(X13/W13*固定资产台账1!M11,2))</f>
        <v>0</v>
      </c>
      <c r="Z13" s="223">
        <f>IF($A13="",0,$Z$3*8.5)</f>
        <v>0</v>
      </c>
      <c r="AA13" s="223">
        <f>ROUND(Z13*0.142,0)</f>
        <v>0</v>
      </c>
      <c r="AB13" s="223">
        <f>IF(固定资产台账1!$N11=0,0,ROUND(AA13/Z13*固定资产台账1!N11,2))</f>
        <v>0</v>
      </c>
      <c r="AC13" s="223">
        <f>IF($A13="",0,$AC$3*8.5)</f>
        <v>0</v>
      </c>
      <c r="AD13" s="223">
        <f>ROUND(AC13*0.102,0)</f>
        <v>0</v>
      </c>
      <c r="AE13" s="223">
        <f>IF(固定资产台账1!$O11=0,0,ROUND(AD13/AC13*固定资产台账1!O11,2))</f>
        <v>0</v>
      </c>
      <c r="AF13" s="223">
        <f>IF($A13="",0,$AF$3*8.5)</f>
        <v>0</v>
      </c>
      <c r="AG13" s="223">
        <f>ROUND(AF13*0.128,0)</f>
        <v>0</v>
      </c>
      <c r="AH13" s="223">
        <f>IF(固定资产台账1!$P11=0,0,ROUND(AG13/AF13*固定资产台账1!P11,2))</f>
        <v>0</v>
      </c>
      <c r="AI13" s="223">
        <f>IF($A13="",0,$AI$3*8.5)</f>
        <v>0</v>
      </c>
      <c r="AJ13" s="223">
        <f>ROUND(AI13*0.11,0)</f>
        <v>0</v>
      </c>
      <c r="AK13" s="223">
        <f>IF(固定资产台账1!$Q11=0,0,ROUND(AJ13/AI13*固定资产台账1!Q11,2))</f>
        <v>0</v>
      </c>
    </row>
    <row r="14" customHeight="1" spans="1:37">
      <c r="A14" s="223" t="str">
        <f>IF(固定资产台账1!A12="","",固定资产台账1!A12)</f>
        <v/>
      </c>
      <c r="B14" s="223">
        <f>IF($A14="",0,$B$3*8)</f>
        <v>0</v>
      </c>
      <c r="C14" s="223">
        <f>ROUND(B14*0.114,0)</f>
        <v>0</v>
      </c>
      <c r="D14" s="223">
        <f>IF(固定资产台账1!$F12=0,0,ROUND(C14/B14*固定资产台账1!F12,2))</f>
        <v>0</v>
      </c>
      <c r="E14" s="223">
        <f>IF($A14="",0,$E$3*8)</f>
        <v>0</v>
      </c>
      <c r="F14" s="223">
        <f>ROUND(E14*0.115,0)</f>
        <v>0</v>
      </c>
      <c r="G14" s="223">
        <f>IF(固定资产台账1!$G12=0,0,ROUND(F14/E14*固定资产台账1!G12,2))</f>
        <v>0</v>
      </c>
      <c r="H14" s="223">
        <f>IF($A14="",0,$H$3*8)</f>
        <v>0</v>
      </c>
      <c r="I14" s="223">
        <f>ROUND(H14*0.14,0)</f>
        <v>0</v>
      </c>
      <c r="J14" s="223">
        <f>IF(固定资产台账1!$H12=0,0,ROUND(I14/H14*固定资产台账1!H12,2))</f>
        <v>0</v>
      </c>
      <c r="K14" s="223">
        <f>IF($A14="",0,$K$3*7.5)</f>
        <v>0</v>
      </c>
      <c r="L14" s="223">
        <f>ROUND(K14*0.152,0)</f>
        <v>0</v>
      </c>
      <c r="M14" s="223">
        <f>IF(固定资产台账1!$I12=0,0,ROUND(L14/K14*固定资产台账1!I12,2))</f>
        <v>0</v>
      </c>
      <c r="N14" s="223">
        <f>IF($A14="",0,$N$3*8)</f>
        <v>0</v>
      </c>
      <c r="O14" s="223">
        <f>ROUND(N14*0.118,0)</f>
        <v>0</v>
      </c>
      <c r="P14" s="223">
        <f>IF(固定资产台账1!$J12=0,0,ROUND(O14/N14*固定资产台账1!J12,2))</f>
        <v>0</v>
      </c>
      <c r="Q14" s="223">
        <f>IF($A14="",0,$Q$3*8)</f>
        <v>0</v>
      </c>
      <c r="R14" s="223">
        <f>ROUND(Q14*0.14,0)</f>
        <v>0</v>
      </c>
      <c r="S14" s="223">
        <f>IF(固定资产台账1!$K12=0,0,ROUND(R14/Q14*固定资产台账1!K12,2))</f>
        <v>0</v>
      </c>
      <c r="T14" s="223">
        <f>IF($A14="",0,$T$3*8)</f>
        <v>0</v>
      </c>
      <c r="U14" s="223">
        <f>ROUND(T14*0.142,0)</f>
        <v>0</v>
      </c>
      <c r="V14" s="223">
        <f>IF(固定资产台账1!$L12=0,0,ROUND(U14/T14*固定资产台账1!L12,2))</f>
        <v>0</v>
      </c>
      <c r="W14" s="223">
        <f>IF($A14="",0,$W$3*8)</f>
        <v>0</v>
      </c>
      <c r="X14" s="223">
        <f>ROUND(W14*0.116,0)</f>
        <v>0</v>
      </c>
      <c r="Y14" s="223">
        <f>IF(固定资产台账1!$M12=0,0,ROUND(X14/W14*固定资产台账1!M12,2))</f>
        <v>0</v>
      </c>
      <c r="Z14" s="223">
        <f>IF($A14="",0,$Z$3*8)</f>
        <v>0</v>
      </c>
      <c r="AA14" s="223">
        <f>ROUND(Z14*0.136,0)</f>
        <v>0</v>
      </c>
      <c r="AB14" s="223">
        <f>IF(固定资产台账1!$N12=0,0,ROUND(AA14/Z14*固定资产台账1!N12,2))</f>
        <v>0</v>
      </c>
      <c r="AC14" s="223">
        <f>IF($A14="",0,$AC$3*8)</f>
        <v>0</v>
      </c>
      <c r="AD14" s="223">
        <f>ROUND(AC14*0.115,0)</f>
        <v>0</v>
      </c>
      <c r="AE14" s="223">
        <f>IF(固定资产台账1!$O12=0,0,ROUND(AD14/AC14*固定资产台账1!O12,2))</f>
        <v>0</v>
      </c>
      <c r="AF14" s="223">
        <f>IF($A14="",0,$AF$3*8)</f>
        <v>0</v>
      </c>
      <c r="AG14" s="223">
        <f>ROUND(AF14*0.13,0)</f>
        <v>0</v>
      </c>
      <c r="AH14" s="223">
        <f>IF(固定资产台账1!$P12=0,0,ROUND(AG14/AF14*固定资产台账1!P12,2))</f>
        <v>0</v>
      </c>
      <c r="AI14" s="223">
        <f>IF($A14="",0,$AI$3*8)</f>
        <v>0</v>
      </c>
      <c r="AJ14" s="223">
        <f>ROUND(AI14*0.134,0)</f>
        <v>0</v>
      </c>
      <c r="AK14" s="223">
        <f>IF(固定资产台账1!$Q12=0,0,ROUND(AJ14/AI14*固定资产台账1!Q12,2))</f>
        <v>0</v>
      </c>
    </row>
    <row r="15" customHeight="1" spans="1:37">
      <c r="A15" s="223" t="str">
        <f>IF(固定资产台账1!A13="","",固定资产台账1!A13)</f>
        <v/>
      </c>
      <c r="B15" s="223">
        <f>IF($A15="",0,$B$3*7)</f>
        <v>0</v>
      </c>
      <c r="C15" s="223">
        <f>ROUND(B15*0.108,0)</f>
        <v>0</v>
      </c>
      <c r="D15" s="223">
        <f>IF(固定资产台账1!$F13=0,0,ROUND(C15/B15*固定资产台账1!F13,2))</f>
        <v>0</v>
      </c>
      <c r="E15" s="223">
        <f>IF($A15="",0,$E$3*7)</f>
        <v>0</v>
      </c>
      <c r="F15" s="223">
        <f>ROUND(E15*0.118,0)</f>
        <v>0</v>
      </c>
      <c r="G15" s="223">
        <f>IF(固定资产台账1!$G13=0,0,ROUND(F15/E15*固定资产台账1!G13,2))</f>
        <v>0</v>
      </c>
      <c r="H15" s="223">
        <f>IF($A15="",0,$H$3*7)</f>
        <v>0</v>
      </c>
      <c r="I15" s="223">
        <f>ROUND(H15*0.132,0)</f>
        <v>0</v>
      </c>
      <c r="J15" s="223">
        <f>IF(固定资产台账1!$H13=0,0,ROUND(I15/H15*固定资产台账1!H13,2))</f>
        <v>0</v>
      </c>
      <c r="K15" s="223">
        <f>IF($A15="",0,$K$3*7)</f>
        <v>0</v>
      </c>
      <c r="L15" s="223">
        <f>ROUND(K15*0.136,0)</f>
        <v>0</v>
      </c>
      <c r="M15" s="223">
        <f>IF(固定资产台账1!$I13=0,0,ROUND(L15/K15*固定资产台账1!I13,2))</f>
        <v>0</v>
      </c>
      <c r="N15" s="223">
        <f>IF($A15="",0,$N$3*7)</f>
        <v>0</v>
      </c>
      <c r="O15" s="223">
        <f>ROUND(N15*0.114,0)</f>
        <v>0</v>
      </c>
      <c r="P15" s="223">
        <f>IF(固定资产台账1!$J13=0,0,ROUND(O15/N15*固定资产台账1!J13,2))</f>
        <v>0</v>
      </c>
      <c r="Q15" s="223">
        <f>IF($A15="",0,$Q$3*7)</f>
        <v>0</v>
      </c>
      <c r="R15" s="223">
        <f>ROUND(Q15*0.128,0)</f>
        <v>0</v>
      </c>
      <c r="S15" s="223">
        <f>IF(固定资产台账1!$K13=0,0,ROUND(R15/Q15*固定资产台账1!K13,2))</f>
        <v>0</v>
      </c>
      <c r="T15" s="223">
        <f>IF($A15="",0,$T$3*7)</f>
        <v>0</v>
      </c>
      <c r="U15" s="223">
        <f>ROUND(T15*0.131,0)</f>
        <v>0</v>
      </c>
      <c r="V15" s="223">
        <f>IF(固定资产台账1!$L13=0,0,ROUND(U15/T15*固定资产台账1!L13,2))</f>
        <v>0</v>
      </c>
      <c r="W15" s="223">
        <f>IF($A15="",0,$W$3*7)</f>
        <v>0</v>
      </c>
      <c r="X15" s="223">
        <f>ROUND(W15*0.113,0)</f>
        <v>0</v>
      </c>
      <c r="Y15" s="223">
        <f>IF(固定资产台账1!$M13=0,0,ROUND(X15/W15*固定资产台账1!M13,2))</f>
        <v>0</v>
      </c>
      <c r="Z15" s="223">
        <f>IF($A15="",0,$Z$3*7)</f>
        <v>0</v>
      </c>
      <c r="AA15" s="223">
        <f>ROUND(Z15*0.125,0)</f>
        <v>0</v>
      </c>
      <c r="AB15" s="223">
        <f>IF(固定资产台账1!$N13=0,0,ROUND(AA15/Z15*固定资产台账1!N13,2))</f>
        <v>0</v>
      </c>
      <c r="AC15" s="223">
        <f>IF($A15="",0,$AC$3*7)</f>
        <v>0</v>
      </c>
      <c r="AD15" s="223">
        <f>ROUND(AC15*0.125,0)</f>
        <v>0</v>
      </c>
      <c r="AE15" s="223">
        <f>IF(固定资产台账1!$O13=0,0,ROUND(AD15/AC15*固定资产台账1!O13,2))</f>
        <v>0</v>
      </c>
      <c r="AF15" s="223">
        <f>IF($A15="",0,$AF$3*8)</f>
        <v>0</v>
      </c>
      <c r="AG15" s="223">
        <f>ROUND(AF15*0.135,0)</f>
        <v>0</v>
      </c>
      <c r="AH15" s="223">
        <f>IF(固定资产台账1!$P13=0,0,ROUND(AG15/AF15*固定资产台账1!P13,2))</f>
        <v>0</v>
      </c>
      <c r="AI15" s="223">
        <f>IF($A15="",0,$AI$3*7.5)</f>
        <v>0</v>
      </c>
      <c r="AJ15" s="223">
        <f>ROUND(AI15*0.136,0)</f>
        <v>0</v>
      </c>
      <c r="AK15" s="223">
        <f>IF(固定资产台账1!$Q13=0,0,ROUND(AJ15/AI15*固定资产台账1!Q13,2))</f>
        <v>0</v>
      </c>
    </row>
    <row r="16" customHeight="1" spans="1:37">
      <c r="A16" s="223" t="str">
        <f>IF(固定资产台账1!A14="","",固定资产台账1!A14)</f>
        <v/>
      </c>
      <c r="B16" s="223">
        <f>IF($A16="",0,$B$3*7.5)</f>
        <v>0</v>
      </c>
      <c r="C16" s="223">
        <f>ROUND(B16*0.122,0)</f>
        <v>0</v>
      </c>
      <c r="D16" s="223">
        <f>IF(固定资产台账1!$F14=0,0,ROUND(C16/B16*固定资产台账1!F14,2))</f>
        <v>0</v>
      </c>
      <c r="E16" s="223">
        <f>IF($A16="",0,$E$3*7.5)</f>
        <v>0</v>
      </c>
      <c r="F16" s="223">
        <f>ROUND(E16*0.115,0)</f>
        <v>0</v>
      </c>
      <c r="G16" s="223">
        <f>IF(固定资产台账1!$G14=0,0,ROUND(F16/E16*固定资产台账1!G14,2))</f>
        <v>0</v>
      </c>
      <c r="H16" s="223">
        <f>IF($A16="",0,$H$3*7.5)</f>
        <v>0</v>
      </c>
      <c r="I16" s="223">
        <f>ROUND(H16*0.122,0)</f>
        <v>0</v>
      </c>
      <c r="J16" s="223">
        <f>IF(固定资产台账1!$H14=0,0,ROUND(I16/H16*固定资产台账1!H14,2))</f>
        <v>0</v>
      </c>
      <c r="K16" s="223">
        <f>IF($A16="",0,$K$3*7.5)</f>
        <v>0</v>
      </c>
      <c r="L16" s="223">
        <f>ROUND(K16*0.122,0)</f>
        <v>0</v>
      </c>
      <c r="M16" s="223">
        <f>IF(固定资产台账1!$I14=0,0,ROUND(L16/K16*固定资产台账1!I14,2))</f>
        <v>0</v>
      </c>
      <c r="N16" s="223">
        <f>IF($A16="",0,$N$3*6.5)</f>
        <v>0</v>
      </c>
      <c r="O16" s="223">
        <f>ROUND(N16*0.128,0)</f>
        <v>0</v>
      </c>
      <c r="P16" s="223">
        <f>IF(固定资产台账1!$J14=0,0,ROUND(O16/N16*固定资产台账1!J14,2))</f>
        <v>0</v>
      </c>
      <c r="Q16" s="223">
        <f>IF($A16="",0,$Q$3*7.5)</f>
        <v>0</v>
      </c>
      <c r="R16" s="223">
        <f>ROUND(Q16*0.126,0)</f>
        <v>0</v>
      </c>
      <c r="S16" s="223">
        <f>IF(固定资产台账1!$K14=0,0,ROUND(R16/Q16*固定资产台账1!K14,2))</f>
        <v>0</v>
      </c>
      <c r="T16" s="223">
        <f>IF($A16="",0,$T$3*7.5)</f>
        <v>0</v>
      </c>
      <c r="U16" s="223">
        <f>ROUND(T16*0.141,0)</f>
        <v>0</v>
      </c>
      <c r="V16" s="223">
        <f>IF(固定资产台账1!$L14=0,0,ROUND(U16/T16*固定资产台账1!L14,2))</f>
        <v>0</v>
      </c>
      <c r="W16" s="223">
        <f>IF($A16="",0,$W$3*7.5)</f>
        <v>0</v>
      </c>
      <c r="X16" s="223">
        <f>ROUND(W16*0.126,0)</f>
        <v>0</v>
      </c>
      <c r="Y16" s="223">
        <f>IF(固定资产台账1!$M14=0,0,ROUND(X16/W16*固定资产台账1!M14,2))</f>
        <v>0</v>
      </c>
      <c r="Z16" s="223">
        <f>IF($A16="",0,$Z$3*7.5)</f>
        <v>0</v>
      </c>
      <c r="AA16" s="223">
        <f>ROUND(Z16*0.129,0)</f>
        <v>0</v>
      </c>
      <c r="AB16" s="223">
        <f>IF(固定资产台账1!$N14=0,0,ROUND(AA16/Z16*固定资产台账1!N14,2))</f>
        <v>0</v>
      </c>
      <c r="AC16" s="223">
        <f>IF($A16="",0,$AC$3*7.5)</f>
        <v>0</v>
      </c>
      <c r="AD16" s="223">
        <f>ROUND(AC16*0.13,0)</f>
        <v>0</v>
      </c>
      <c r="AE16" s="223">
        <f>IF(固定资产台账1!$O14=0,0,ROUND(AD16/AC16*固定资产台账1!O14,2))</f>
        <v>0</v>
      </c>
      <c r="AF16" s="223">
        <f>IF($A16="",0,$AF$3*7.5)</f>
        <v>0</v>
      </c>
      <c r="AG16" s="223">
        <f>ROUND(AF16*0.146,0)</f>
        <v>0</v>
      </c>
      <c r="AH16" s="223">
        <f>IF(固定资产台账1!$P14=0,0,ROUND(AG16/AF16*固定资产台账1!P14,2))</f>
        <v>0</v>
      </c>
      <c r="AI16" s="223">
        <f>IF($A16="",0,$AI$3*7.5)</f>
        <v>0</v>
      </c>
      <c r="AJ16" s="223">
        <f>ROUND(AI16*0.142,0)</f>
        <v>0</v>
      </c>
      <c r="AK16" s="223">
        <f>IF(固定资产台账1!$Q14=0,0,ROUND(AJ16/AI16*固定资产台账1!Q14,2))</f>
        <v>0</v>
      </c>
    </row>
    <row r="17" customHeight="1" spans="1:37">
      <c r="A17" s="223" t="str">
        <f>IF(固定资产台账1!A15="","",固定资产台账1!A15)</f>
        <v/>
      </c>
      <c r="B17" s="223">
        <f>IF($A17="",0,$B$3*7)</f>
        <v>0</v>
      </c>
      <c r="C17" s="223">
        <f>ROUND(B17*0.121,0)</f>
        <v>0</v>
      </c>
      <c r="D17" s="223">
        <f>IF(固定资产台账1!$F15=0,0,ROUND(C17/B17*固定资产台账1!F15,2))</f>
        <v>0</v>
      </c>
      <c r="E17" s="223">
        <f>IF($A17="",0,$E$3*6.5)</f>
        <v>0</v>
      </c>
      <c r="F17" s="223">
        <f>ROUND(E17*0.126,0)</f>
        <v>0</v>
      </c>
      <c r="G17" s="223">
        <f>IF(固定资产台账1!$G15=0,0,ROUND(F17/E17*固定资产台账1!G15,2))</f>
        <v>0</v>
      </c>
      <c r="H17" s="223">
        <f>IF($A17="",0,$H$3*9.5)</f>
        <v>0</v>
      </c>
      <c r="I17" s="223">
        <f>ROUND(H17*0.126,0)</f>
        <v>0</v>
      </c>
      <c r="J17" s="223">
        <f>IF(固定资产台账1!$H15=0,0,ROUND(I17/H17*固定资产台账1!H15,2))</f>
        <v>0</v>
      </c>
      <c r="K17" s="223">
        <f>IF($A17="",0,$K$3*9)</f>
        <v>0</v>
      </c>
      <c r="L17" s="223">
        <f>ROUND(K17*0.128,0)</f>
        <v>0</v>
      </c>
      <c r="M17" s="223">
        <f>IF(固定资产台账1!$I15=0,0,ROUND(L17/K17*固定资产台账1!I15,2))</f>
        <v>0</v>
      </c>
      <c r="N17" s="223">
        <f>IF($A17="",0,$N$3*7)</f>
        <v>0</v>
      </c>
      <c r="O17" s="223">
        <f>ROUND(N17*0.131,0)</f>
        <v>0</v>
      </c>
      <c r="P17" s="223">
        <f>IF(固定资产台账1!$J15=0,0,ROUND(O17/N17*固定资产台账1!J15,2))</f>
        <v>0</v>
      </c>
      <c r="Q17" s="223">
        <f>IF($A17="",0,$Q$3*9)</f>
        <v>0</v>
      </c>
      <c r="R17" s="223">
        <f>ROUND(Q17*0.132,0)</f>
        <v>0</v>
      </c>
      <c r="S17" s="223">
        <f>IF(固定资产台账1!$K15=0,0,ROUND(R17/Q17*固定资产台账1!K15,2))</f>
        <v>0</v>
      </c>
      <c r="T17" s="223">
        <f>IF($A17="",0,$T$3*8)</f>
        <v>0</v>
      </c>
      <c r="U17" s="223">
        <f>ROUND(T17*0.145,0)</f>
        <v>0</v>
      </c>
      <c r="V17" s="223">
        <f>IF(固定资产台账1!$L15=0,0,ROUND(U17/T17*固定资产台账1!L15,2))</f>
        <v>0</v>
      </c>
      <c r="W17" s="223">
        <f>IF($A17="",0,$W$3*9)</f>
        <v>0</v>
      </c>
      <c r="X17" s="223">
        <f>ROUND(W17*0.128,0)</f>
        <v>0</v>
      </c>
      <c r="Y17" s="223">
        <f>IF(固定资产台账1!$M15=0,0,ROUND(X17/W17*固定资产台账1!M15,2))</f>
        <v>0</v>
      </c>
      <c r="Z17" s="223">
        <f>IF($A17="",0,$Z$3*6.5)</f>
        <v>0</v>
      </c>
      <c r="AA17" s="223">
        <f>ROUND(Z17*0.142,0)</f>
        <v>0</v>
      </c>
      <c r="AB17" s="223">
        <f>IF(固定资产台账1!$N15=0,0,ROUND(AA17/Z17*固定资产台账1!N15,2))</f>
        <v>0</v>
      </c>
      <c r="AC17" s="223">
        <f>IF($A17="",0,$AC$3*6.5)</f>
        <v>0</v>
      </c>
      <c r="AD17" s="223">
        <f>ROUND(AC17*0.105,0)</f>
        <v>0</v>
      </c>
      <c r="AE17" s="223">
        <f>IF(固定资产台账1!$O15=0,0,ROUND(AD17/AC17*固定资产台账1!O15,2))</f>
        <v>0</v>
      </c>
      <c r="AF17" s="223">
        <f>IF($A17="",0,$AF$3*8.5)</f>
        <v>0</v>
      </c>
      <c r="AG17" s="223">
        <f>ROUND(AF17*0.148,0)</f>
        <v>0</v>
      </c>
      <c r="AH17" s="223">
        <f>IF(固定资产台账1!$P15=0,0,ROUND(AG17/AF17*固定资产台账1!P15,2))</f>
        <v>0</v>
      </c>
      <c r="AI17" s="223">
        <f>IF($A17="",0,$AI$3*9)</f>
        <v>0</v>
      </c>
      <c r="AJ17" s="223">
        <f>ROUND(AI17*0.132,0)</f>
        <v>0</v>
      </c>
      <c r="AK17" s="223">
        <f>IF(固定资产台账1!$Q15=0,0,ROUND(AJ17/AI17*固定资产台账1!Q15,2))</f>
        <v>0</v>
      </c>
    </row>
    <row r="18" customHeight="1" spans="1:37">
      <c r="A18" s="223" t="str">
        <f>IF(固定资产台账1!A16="","",固定资产台账1!A16)</f>
        <v/>
      </c>
      <c r="B18" s="223">
        <f>IF($A18="",0,$B$3*8)</f>
        <v>0</v>
      </c>
      <c r="C18" s="223">
        <f>ROUND(B18*0.105,0)</f>
        <v>0</v>
      </c>
      <c r="D18" s="223">
        <f>IF(固定资产台账1!$F16=0,0,ROUND(C18/B18*固定资产台账1!F16,2))</f>
        <v>0</v>
      </c>
      <c r="E18" s="223">
        <f>IF($A18="",0,$E$3*8)</f>
        <v>0</v>
      </c>
      <c r="F18" s="223">
        <f>ROUND(E18*0.13,0)</f>
        <v>0</v>
      </c>
      <c r="G18" s="223">
        <f>IF(固定资产台账1!$G16=0,0,ROUND(F18/E18*固定资产台账1!G16,2))</f>
        <v>0</v>
      </c>
      <c r="H18" s="223">
        <f>IF($A18="",0,$H$3*8)</f>
        <v>0</v>
      </c>
      <c r="I18" s="223">
        <f>ROUND(H18*0.128,0)</f>
        <v>0</v>
      </c>
      <c r="J18" s="223">
        <f>IF(固定资产台账1!$H16=0,0,ROUND(I18/H18*固定资产台账1!H16,2))</f>
        <v>0</v>
      </c>
      <c r="K18" s="223">
        <f>IF($A18="",0,$K$3*8)</f>
        <v>0</v>
      </c>
      <c r="L18" s="223">
        <f>ROUND(K18*0.137,0)</f>
        <v>0</v>
      </c>
      <c r="M18" s="223">
        <f>IF(固定资产台账1!$I16=0,0,ROUND(L18/K18*固定资产台账1!I16,2))</f>
        <v>0</v>
      </c>
      <c r="N18" s="223">
        <f>IF($A18="",0,$N$3*8)</f>
        <v>0</v>
      </c>
      <c r="O18" s="223">
        <f>ROUND(N18*0.125,0)</f>
        <v>0</v>
      </c>
      <c r="P18" s="223">
        <f>IF(固定资产台账1!$J16=0,0,ROUND(O18/N18*固定资产台账1!J16,2))</f>
        <v>0</v>
      </c>
      <c r="Q18" s="223">
        <f>IF($A18="",0,$Q$3*8)</f>
        <v>0</v>
      </c>
      <c r="R18" s="223">
        <f>ROUND(Q18*0.133,0)</f>
        <v>0</v>
      </c>
      <c r="S18" s="223">
        <f>IF(固定资产台账1!$K16=0,0,ROUND(R18/Q18*固定资产台账1!K16,2))</f>
        <v>0</v>
      </c>
      <c r="T18" s="223">
        <f>IF($A18="",0,$T$3*8)</f>
        <v>0</v>
      </c>
      <c r="U18" s="223">
        <f>ROUND(T18*0.136,0)</f>
        <v>0</v>
      </c>
      <c r="V18" s="223">
        <f>IF(固定资产台账1!$L16=0,0,ROUND(U18/T18*固定资产台账1!L16,2))</f>
        <v>0</v>
      </c>
      <c r="W18" s="223">
        <f>IF($A18="",0,$W$3*8)</f>
        <v>0</v>
      </c>
      <c r="X18" s="223">
        <f>ROUND(W18*0.136,0)</f>
        <v>0</v>
      </c>
      <c r="Y18" s="223">
        <f>IF(固定资产台账1!$M16=0,0,ROUND(X18/W18*固定资产台账1!M16,2))</f>
        <v>0</v>
      </c>
      <c r="Z18" s="223">
        <f>IF($A18="",0,$Z$3*8)</f>
        <v>0</v>
      </c>
      <c r="AA18" s="223">
        <f>ROUND(Z18*0.139,0)</f>
        <v>0</v>
      </c>
      <c r="AB18" s="223">
        <f>IF(固定资产台账1!$N16=0,0,ROUND(AA18/Z18*固定资产台账1!N16,2))</f>
        <v>0</v>
      </c>
      <c r="AC18" s="223">
        <f>IF($A18="",0,$AC$3*8)</f>
        <v>0</v>
      </c>
      <c r="AD18" s="223">
        <f>ROUND(AC18*0.102,0)</f>
        <v>0</v>
      </c>
      <c r="AE18" s="223">
        <f>IF(固定资产台账1!$O16=0,0,ROUND(AD18/AC18*固定资产台账1!O16,2))</f>
        <v>0</v>
      </c>
      <c r="AF18" s="223">
        <f>IF($A18="",0,$AF$3*8)</f>
        <v>0</v>
      </c>
      <c r="AG18" s="223">
        <f>ROUND(AF18*0.129,0)</f>
        <v>0</v>
      </c>
      <c r="AH18" s="223">
        <f>IF(固定资产台账1!$P16=0,0,ROUND(AG18/AF18*固定资产台账1!P16,2))</f>
        <v>0</v>
      </c>
      <c r="AI18" s="223">
        <f>IF($A18="",0,$AI$3*8)</f>
        <v>0</v>
      </c>
      <c r="AJ18" s="223">
        <f>ROUND(AI18*0.129,0)</f>
        <v>0</v>
      </c>
      <c r="AK18" s="223">
        <f>IF(固定资产台账1!$Q16=0,0,ROUND(AJ18/AI18*固定资产台账1!Q16,2))</f>
        <v>0</v>
      </c>
    </row>
    <row r="19" customHeight="1" spans="1:37">
      <c r="A19" s="223" t="str">
        <f>IF(固定资产台账1!A17="","",固定资产台账1!A17)</f>
        <v/>
      </c>
      <c r="B19" s="223">
        <f>IF($A19="",0,$B$3*8.5)</f>
        <v>0</v>
      </c>
      <c r="C19" s="223">
        <f>ROUND(B19*0.118,0)</f>
        <v>0</v>
      </c>
      <c r="D19" s="223">
        <f>IF(固定资产台账1!$F17=0,0,ROUND(C19/B19*固定资产台账1!F17,2))</f>
        <v>0</v>
      </c>
      <c r="E19" s="223">
        <f>IF($A19="",0,$E$3*8.5)</f>
        <v>0</v>
      </c>
      <c r="F19" s="223">
        <f>ROUND(E19*0.101,0)</f>
        <v>0</v>
      </c>
      <c r="G19" s="223">
        <f>IF(固定资产台账1!$G17=0,0,ROUND(F19/E19*固定资产台账1!G17,2))</f>
        <v>0</v>
      </c>
      <c r="H19" s="223">
        <f>IF($A19="",0,$H$3*8.5)</f>
        <v>0</v>
      </c>
      <c r="I19" s="223">
        <f>ROUND(H19*0.136,0)</f>
        <v>0</v>
      </c>
      <c r="J19" s="223">
        <f>IF(固定资产台账1!$H17=0,0,ROUND(I19/H19*固定资产台账1!H17,2))</f>
        <v>0</v>
      </c>
      <c r="K19" s="223">
        <f>IF($A19="",0,$K$3*7.5)</f>
        <v>0</v>
      </c>
      <c r="L19" s="223">
        <f>ROUND(K19*0.147,0)</f>
        <v>0</v>
      </c>
      <c r="M19" s="223">
        <f>IF(固定资产台账1!$I17=0,0,ROUND(L19/K19*固定资产台账1!I17,2))</f>
        <v>0</v>
      </c>
      <c r="N19" s="223">
        <f>IF($A19="",0,$N$3*7.5)</f>
        <v>0</v>
      </c>
      <c r="O19" s="223">
        <f>ROUND(N19*0.127,0)</f>
        <v>0</v>
      </c>
      <c r="P19" s="223">
        <f>IF(固定资产台账1!$J17=0,0,ROUND(O19/N19*固定资产台账1!J17,2))</f>
        <v>0</v>
      </c>
      <c r="Q19" s="223">
        <f>IF($A19="",0,$Q$3*8.5)</f>
        <v>0</v>
      </c>
      <c r="R19" s="223">
        <f>ROUND(Q19*0.142,0)</f>
        <v>0</v>
      </c>
      <c r="S19" s="223">
        <f>IF(固定资产台账1!$K17=0,0,ROUND(R19/Q19*固定资产台账1!K17,2))</f>
        <v>0</v>
      </c>
      <c r="T19" s="223">
        <f>IF($A19="",0,$T$3*8.5)</f>
        <v>0</v>
      </c>
      <c r="U19" s="223">
        <f>ROUND(T19*0.133,0)</f>
        <v>0</v>
      </c>
      <c r="V19" s="223">
        <f>IF(固定资产台账1!$L17=0,0,ROUND(U19/T19*固定资产台账1!L17,2))</f>
        <v>0</v>
      </c>
      <c r="W19" s="223">
        <f>IF($A19="",0,$W$3*8.5)</f>
        <v>0</v>
      </c>
      <c r="X19" s="223">
        <f>ROUND(W19*0.132,0)</f>
        <v>0</v>
      </c>
      <c r="Y19" s="223">
        <f>IF(固定资产台账1!$M17=0,0,ROUND(X19/W19*固定资产台账1!M17,2))</f>
        <v>0</v>
      </c>
      <c r="Z19" s="223">
        <f>IF($A19="",0,$Z$3*8.5)</f>
        <v>0</v>
      </c>
      <c r="AA19" s="223">
        <f>ROUND(Z19*0.138,0)</f>
        <v>0</v>
      </c>
      <c r="AB19" s="223">
        <f>IF(固定资产台账1!$N17=0,0,ROUND(AA19/Z19*固定资产台账1!N17,2))</f>
        <v>0</v>
      </c>
      <c r="AC19" s="223">
        <f>IF($A19="",0,$AC$3*7.5)</f>
        <v>0</v>
      </c>
      <c r="AD19" s="223">
        <f>ROUND(AC19*0.128,0)</f>
        <v>0</v>
      </c>
      <c r="AE19" s="223">
        <f>IF(固定资产台账1!$O17=0,0,ROUND(AD19/AC19*固定资产台账1!O17,2))</f>
        <v>0</v>
      </c>
      <c r="AF19" s="223">
        <f>IF($A19="",0,$AF$3*8.5)</f>
        <v>0</v>
      </c>
      <c r="AG19" s="223">
        <f>ROUND(AF19*0.125,0)</f>
        <v>0</v>
      </c>
      <c r="AH19" s="223">
        <f>IF(固定资产台账1!$P17=0,0,ROUND(AG19/AF19*固定资产台账1!P17,2))</f>
        <v>0</v>
      </c>
      <c r="AI19" s="223">
        <f>IF($A19="",0,$AI$3*8.5)</f>
        <v>0</v>
      </c>
      <c r="AJ19" s="223">
        <f>ROUND(AI19*0.142,0)</f>
        <v>0</v>
      </c>
      <c r="AK19" s="223">
        <f>IF(固定资产台账1!$Q17=0,0,ROUND(AJ19/AI19*固定资产台账1!Q17,2))</f>
        <v>0</v>
      </c>
    </row>
    <row r="20" customHeight="1" spans="1:37">
      <c r="A20" s="223" t="str">
        <f>IF(固定资产台账1!A18="","",固定资产台账1!A18)</f>
        <v/>
      </c>
      <c r="B20" s="223">
        <f>IF($A20="",0,$B$3*6)</f>
        <v>0</v>
      </c>
      <c r="C20" s="223">
        <f>ROUND(B20*0.121,0)</f>
        <v>0</v>
      </c>
      <c r="D20" s="223">
        <f>IF(固定资产台账1!$F18=0,0,ROUND(C20/B20*固定资产台账1!F18,2))</f>
        <v>0</v>
      </c>
      <c r="E20" s="223">
        <f>IF($A20="",0,$E$3*7)</f>
        <v>0</v>
      </c>
      <c r="F20" s="223">
        <f>ROUND(E20*0.12,0)</f>
        <v>0</v>
      </c>
      <c r="G20" s="223">
        <f>IF(固定资产台账1!$G18=0,0,ROUND(F20/E20*固定资产台账1!G18,2))</f>
        <v>0</v>
      </c>
      <c r="H20" s="223">
        <f>IF($A20="",0,$H$3*9)</f>
        <v>0</v>
      </c>
      <c r="I20" s="223">
        <f>ROUND(H20*0.139,0)</f>
        <v>0</v>
      </c>
      <c r="J20" s="223">
        <f>IF(固定资产台账1!$H18=0,0,ROUND(I20/H20*固定资产台账1!H18,2))</f>
        <v>0</v>
      </c>
      <c r="K20" s="223">
        <f>IF($A20="",0,$K$3*9)</f>
        <v>0</v>
      </c>
      <c r="L20" s="223">
        <f>ROUND(K20*0.119,0)</f>
        <v>0</v>
      </c>
      <c r="M20" s="223">
        <f>IF(固定资产台账1!$I18=0,0,ROUND(L20/K20*固定资产台账1!I18,2))</f>
        <v>0</v>
      </c>
      <c r="N20" s="223">
        <f>IF($A20="",0,$N$3*6.5)</f>
        <v>0</v>
      </c>
      <c r="O20" s="223">
        <f>ROUND(N20*0.106,0)</f>
        <v>0</v>
      </c>
      <c r="P20" s="223">
        <f>IF(固定资产台账1!$J18=0,0,ROUND(O20/N20*固定资产台账1!J18,2))</f>
        <v>0</v>
      </c>
      <c r="Q20" s="223">
        <f>IF($A20="",0,$Q$3*9)</f>
        <v>0</v>
      </c>
      <c r="R20" s="223">
        <f>ROUND(Q20*0.148,0)</f>
        <v>0</v>
      </c>
      <c r="S20" s="223">
        <f>IF(固定资产台账1!$K18=0,0,ROUND(R20/Q20*固定资产台账1!K18,2))</f>
        <v>0</v>
      </c>
      <c r="T20" s="223">
        <f>IF($A20="",0,$T$3*9)</f>
        <v>0</v>
      </c>
      <c r="U20" s="223">
        <f>ROUND(T20*0.13,0)</f>
        <v>0</v>
      </c>
      <c r="V20" s="223">
        <f>IF(固定资产台账1!$L18=0,0,ROUND(U20/T20*固定资产台账1!L18,2))</f>
        <v>0</v>
      </c>
      <c r="W20" s="223">
        <f>IF($A20="",0,$W$3*9)</f>
        <v>0</v>
      </c>
      <c r="X20" s="223">
        <f>ROUND(W20*0.13,0)</f>
        <v>0</v>
      </c>
      <c r="Y20" s="223">
        <f>IF(固定资产台账1!$M18=0,0,ROUND(X20/W20*固定资产台账1!M18,2))</f>
        <v>0</v>
      </c>
      <c r="Z20" s="223">
        <f>IF($A20="",0,$Z$3*8)</f>
        <v>0</v>
      </c>
      <c r="AA20" s="223">
        <f>ROUND(Z20*0.142,0)</f>
        <v>0</v>
      </c>
      <c r="AB20" s="223">
        <f>IF(固定资产台账1!$N18=0,0,ROUND(AA20/Z20*固定资产台账1!N18,2))</f>
        <v>0</v>
      </c>
      <c r="AC20" s="223">
        <f>IF($A20="",0,$AC$3*8)</f>
        <v>0</v>
      </c>
      <c r="AD20" s="223">
        <f>ROUND(AC20*0.125,0)</f>
        <v>0</v>
      </c>
      <c r="AE20" s="223">
        <f>IF(固定资产台账1!$O18=0,0,ROUND(AD20/AC20*固定资产台账1!O18,2))</f>
        <v>0</v>
      </c>
      <c r="AF20" s="223">
        <f>IF($A20="",0,$AF$3*9)</f>
        <v>0</v>
      </c>
      <c r="AG20" s="223">
        <f>ROUND(AF20*0.133,0)</f>
        <v>0</v>
      </c>
      <c r="AH20" s="223">
        <f>IF(固定资产台账1!$P18=0,0,ROUND(AG20/AF20*固定资产台账1!P18,2))</f>
        <v>0</v>
      </c>
      <c r="AI20" s="223">
        <f>IF($A20="",0,$AI$3*9)</f>
        <v>0</v>
      </c>
      <c r="AJ20" s="223">
        <f>ROUND(AI20*0.136,0)</f>
        <v>0</v>
      </c>
      <c r="AK20" s="223">
        <f>IF(固定资产台账1!$Q18=0,0,ROUND(AJ20/AI20*固定资产台账1!Q18,2))</f>
        <v>0</v>
      </c>
    </row>
    <row r="21" customHeight="1" spans="1:37">
      <c r="A21" s="223" t="str">
        <f>IF(固定资产台账1!A19="","",固定资产台账1!A19)</f>
        <v/>
      </c>
      <c r="B21" s="223">
        <f>IF($A21="",0,$B$3*8)</f>
        <v>0</v>
      </c>
      <c r="C21" s="223">
        <f>ROUND(B21*0.125,0)</f>
        <v>0</v>
      </c>
      <c r="D21" s="223">
        <f>IF(固定资产台账1!$F19=0,0,ROUND(C21/B21*固定资产台账1!F19,2))</f>
        <v>0</v>
      </c>
      <c r="E21" s="223">
        <f>IF($A21="",0,$E$3*7)</f>
        <v>0</v>
      </c>
      <c r="F21" s="223">
        <f>ROUND(E21*0.118,0)</f>
        <v>0</v>
      </c>
      <c r="G21" s="223">
        <f>IF(固定资产台账1!$G19=0,0,ROUND(F21/E21*固定资产台账1!G19,2))</f>
        <v>0</v>
      </c>
      <c r="H21" s="223">
        <f>IF($A21="",0,$H$3*7)</f>
        <v>0</v>
      </c>
      <c r="I21" s="223">
        <f>ROUND(H21*0.144,0)</f>
        <v>0</v>
      </c>
      <c r="J21" s="223">
        <f>IF(固定资产台账1!$H19=0,0,ROUND(I21/H21*固定资产台账1!H19,2))</f>
        <v>0</v>
      </c>
      <c r="K21" s="223">
        <f>IF($A21="",0,$K$3*8)</f>
        <v>0</v>
      </c>
      <c r="L21" s="223">
        <f>ROUND(K21*0.126,0)</f>
        <v>0</v>
      </c>
      <c r="M21" s="223">
        <f>IF(固定资产台账1!$I19=0,0,ROUND(L21/K21*固定资产台账1!I19,2))</f>
        <v>0</v>
      </c>
      <c r="N21" s="223">
        <f>IF($A21="",0,$N$3*8)</f>
        <v>0</v>
      </c>
      <c r="O21" s="223">
        <f>ROUND(N21*0.119,0)</f>
        <v>0</v>
      </c>
      <c r="P21" s="223">
        <f>IF(固定资产台账1!$J19=0,0,ROUND(O21/N21*固定资产台账1!J19,2))</f>
        <v>0</v>
      </c>
      <c r="Q21" s="223">
        <f>IF($A21="",0,$Q$3*9)</f>
        <v>0</v>
      </c>
      <c r="R21" s="223">
        <f>ROUND(Q21*0.147,0)</f>
        <v>0</v>
      </c>
      <c r="S21" s="223">
        <f>IF(固定资产台账1!$K19=0,0,ROUND(R21/Q21*固定资产台账1!K19,2))</f>
        <v>0</v>
      </c>
      <c r="T21" s="223">
        <f>IF($A21="",0,$T$3*8.5)</f>
        <v>0</v>
      </c>
      <c r="U21" s="223">
        <f>ROUND(T21*0.128,0)</f>
        <v>0</v>
      </c>
      <c r="V21" s="223">
        <f>IF(固定资产台账1!$L19=0,0,ROUND(U21/T21*固定资产台账1!L19,2))</f>
        <v>0</v>
      </c>
      <c r="W21" s="223">
        <f>IF($A21="",0,$W$3*8)</f>
        <v>0</v>
      </c>
      <c r="X21" s="223">
        <f>ROUND(W21*0.145,0)</f>
        <v>0</v>
      </c>
      <c r="Y21" s="223">
        <f>IF(固定资产台账1!$M19=0,0,ROUND(X21/W21*固定资产台账1!M19,2))</f>
        <v>0</v>
      </c>
      <c r="Z21" s="223">
        <f>IF($A21="",0,$Z$3*8)</f>
        <v>0</v>
      </c>
      <c r="AA21" s="223">
        <f>ROUND(Z21*0.129,0)</f>
        <v>0</v>
      </c>
      <c r="AB21" s="223">
        <f>IF(固定资产台账1!$N19=0,0,ROUND(AA21/Z21*固定资产台账1!N19,2))</f>
        <v>0</v>
      </c>
      <c r="AC21" s="223">
        <f>IF($A21="",0,$AC$3*8)</f>
        <v>0</v>
      </c>
      <c r="AD21" s="223">
        <f>ROUND(AC21*0.138,0)</f>
        <v>0</v>
      </c>
      <c r="AE21" s="223">
        <f>IF(固定资产台账1!$O19=0,0,ROUND(AD21/AC21*固定资产台账1!O19,2))</f>
        <v>0</v>
      </c>
      <c r="AF21" s="223">
        <f>IF($A21="",0,$AF$3*8)</f>
        <v>0</v>
      </c>
      <c r="AG21" s="223">
        <f>ROUND(AF21*0.119,0)</f>
        <v>0</v>
      </c>
      <c r="AH21" s="223">
        <f>IF(固定资产台账1!$P19=0,0,ROUND(AG21/AF21*固定资产台账1!P19,2))</f>
        <v>0</v>
      </c>
      <c r="AI21" s="223">
        <f>IF($A21="",0,$AI$3*8)</f>
        <v>0</v>
      </c>
      <c r="AJ21" s="223">
        <f>ROUND(AI21*0.126,0)</f>
        <v>0</v>
      </c>
      <c r="AK21" s="223">
        <f>IF(固定资产台账1!$Q19=0,0,ROUND(AJ21/AI21*固定资产台账1!Q19,2))</f>
        <v>0</v>
      </c>
    </row>
    <row r="22" customHeight="1" spans="1:37">
      <c r="A22" s="223" t="str">
        <f>IF(固定资产台账1!A20="","",固定资产台账1!A20)</f>
        <v/>
      </c>
      <c r="B22" s="223">
        <f>IF($A22="",0,$B$3*8)</f>
        <v>0</v>
      </c>
      <c r="C22" s="223">
        <f>ROUND(B22*0.135,0)</f>
        <v>0</v>
      </c>
      <c r="D22" s="223">
        <f>IF(固定资产台账1!$F20=0,0,ROUND(C22/B22*固定资产台账1!F20,2))</f>
        <v>0</v>
      </c>
      <c r="E22" s="223">
        <f>IF($A22="",0,$E$3*6)</f>
        <v>0</v>
      </c>
      <c r="F22" s="223">
        <f>ROUND(E22*0.115,0)</f>
        <v>0</v>
      </c>
      <c r="G22" s="223">
        <f>IF(固定资产台账1!$G20=0,0,ROUND(F22/E22*固定资产台账1!G20,2))</f>
        <v>0</v>
      </c>
      <c r="H22" s="223">
        <f>IF($A22="",0,$H$3*9)</f>
        <v>0</v>
      </c>
      <c r="I22" s="223">
        <f>ROUND(H22*0.148,0)</f>
        <v>0</v>
      </c>
      <c r="J22" s="223">
        <f>IF(固定资产台账1!$H20=0,0,ROUND(I22/H22*固定资产台账1!H20,2))</f>
        <v>0</v>
      </c>
      <c r="K22" s="223">
        <f>IF($A22="",0,$K$3*9)</f>
        <v>0</v>
      </c>
      <c r="L22" s="223">
        <f>ROUND(K22*0.125,0)</f>
        <v>0</v>
      </c>
      <c r="M22" s="223">
        <f>IF(固定资产台账1!$I20=0,0,ROUND(L22/K22*固定资产台账1!I20,2))</f>
        <v>0</v>
      </c>
      <c r="N22" s="223">
        <f>IF($A22="",0,$N$3*8.5)</f>
        <v>0</v>
      </c>
      <c r="O22" s="223">
        <f>ROUND(N22*0.125,0)</f>
        <v>0</v>
      </c>
      <c r="P22" s="223">
        <f>IF(固定资产台账1!$J20=0,0,ROUND(O22/N22*固定资产台账1!J20,2))</f>
        <v>0</v>
      </c>
      <c r="Q22" s="223">
        <f>IF($A22="",0,$Q$3*9)</f>
        <v>0</v>
      </c>
      <c r="R22" s="223">
        <f>ROUND(Q22*0.138,0)</f>
        <v>0</v>
      </c>
      <c r="S22" s="223">
        <f>IF(固定资产台账1!$K20=0,0,ROUND(R22/Q22*固定资产台账1!K20,2))</f>
        <v>0</v>
      </c>
      <c r="T22" s="223">
        <f>IF($A22="",0,$T$3*9)</f>
        <v>0</v>
      </c>
      <c r="U22" s="223">
        <f>ROUND(T22*0.136,0)</f>
        <v>0</v>
      </c>
      <c r="V22" s="223">
        <f>IF(固定资产台账1!$L20=0,0,ROUND(U22/T22*固定资产台账1!L20,2))</f>
        <v>0</v>
      </c>
      <c r="W22" s="223">
        <f>IF($A22="",0,$W$3*9)</f>
        <v>0</v>
      </c>
      <c r="X22" s="223">
        <f>ROUND(W22*0.14,0)</f>
        <v>0</v>
      </c>
      <c r="Y22" s="223">
        <f>IF(固定资产台账1!$M20=0,0,ROUND(X22/W22*固定资产台账1!M20,2))</f>
        <v>0</v>
      </c>
      <c r="Z22" s="223">
        <f>IF($A22="",0,$Z$3*9)</f>
        <v>0</v>
      </c>
      <c r="AA22" s="223">
        <f>ROUND(Z22*0.132,0)</f>
        <v>0</v>
      </c>
      <c r="AB22" s="223">
        <f>IF(固定资产台账1!$N20=0,0,ROUND(AA22/Z22*固定资产台账1!N20,2))</f>
        <v>0</v>
      </c>
      <c r="AC22" s="223">
        <f>IF($A22="",0,$AC$3*9)</f>
        <v>0</v>
      </c>
      <c r="AD22" s="223">
        <f>ROUND(AC22*0.09,0)</f>
        <v>0</v>
      </c>
      <c r="AE22" s="223">
        <f>IF(固定资产台账1!$O20=0,0,ROUND(AD22/AC22*固定资产台账1!O20,2))</f>
        <v>0</v>
      </c>
      <c r="AF22" s="223">
        <f>IF($A22="",0,$AF$3*9)</f>
        <v>0</v>
      </c>
      <c r="AG22" s="223">
        <f>ROUND(AF22*0.128,0)</f>
        <v>0</v>
      </c>
      <c r="AH22" s="223">
        <f>IF(固定资产台账1!$P20=0,0,ROUND(AG22/AF22*固定资产台账1!P20,2))</f>
        <v>0</v>
      </c>
      <c r="AI22" s="223">
        <f>IF($A22="",0,$AI$3*9)</f>
        <v>0</v>
      </c>
      <c r="AJ22" s="223">
        <f>ROUND(AI22*0.138,0)</f>
        <v>0</v>
      </c>
      <c r="AK22" s="223">
        <f>IF(固定资产台账1!$Q20=0,0,ROUND(AJ22/AI22*固定资产台账1!Q20,2))</f>
        <v>0</v>
      </c>
    </row>
    <row r="23" customHeight="1" spans="1:37">
      <c r="A23" s="223" t="str">
        <f>IF(固定资产台账1!A21="","",固定资产台账1!A21)</f>
        <v/>
      </c>
      <c r="B23" s="223">
        <f>IF($A23="",0,$B$3*6.5)</f>
        <v>0</v>
      </c>
      <c r="C23" s="223">
        <f>ROUND(B23*0.132,0)</f>
        <v>0</v>
      </c>
      <c r="D23" s="223">
        <f>IF(固定资产台账1!$F21=0,0,ROUND(C23/B23*固定资产台账1!F21,2))</f>
        <v>0</v>
      </c>
      <c r="E23" s="223">
        <f>IF($A23="",0,$E$3*6.5)</f>
        <v>0</v>
      </c>
      <c r="F23" s="223">
        <f>ROUND(E23*0.142,0)</f>
        <v>0</v>
      </c>
      <c r="G23" s="223">
        <f>IF(固定资产台账1!$G21=0,0,ROUND(F23/E23*固定资产台账1!G21,2))</f>
        <v>0</v>
      </c>
      <c r="H23" s="223">
        <f>IF($A23="",0,$H$3*9.5)</f>
        <v>0</v>
      </c>
      <c r="I23" s="223">
        <f>ROUND(H23*0.134,0)</f>
        <v>0</v>
      </c>
      <c r="J23" s="223">
        <f>IF(固定资产台账1!$H21=0,0,ROUND(I23/H23*固定资产台账1!H21,2))</f>
        <v>0</v>
      </c>
      <c r="K23" s="223">
        <f>IF($A23="",0,$K$3*9.5)</f>
        <v>0</v>
      </c>
      <c r="L23" s="223">
        <f>ROUND(K23*0.134,0)</f>
        <v>0</v>
      </c>
      <c r="M23" s="223">
        <f>IF(固定资产台账1!$I21=0,0,ROUND(L23/K23*固定资产台账1!I21,2))</f>
        <v>0</v>
      </c>
      <c r="N23" s="223">
        <f>IF($A23="",0,$N$3*7.5)</f>
        <v>0</v>
      </c>
      <c r="O23" s="223">
        <f>ROUND(N23*0.12,0)</f>
        <v>0</v>
      </c>
      <c r="P23" s="223">
        <f>IF(固定资产台账1!$J21=0,0,ROUND(O23/N23*固定资产台账1!J21,2))</f>
        <v>0</v>
      </c>
      <c r="Q23" s="223">
        <f>IF($A23="",0,$Q$3*9)</f>
        <v>0</v>
      </c>
      <c r="R23" s="223">
        <f>ROUND(Q23*0.136,0)</f>
        <v>0</v>
      </c>
      <c r="S23" s="223">
        <f>IF(固定资产台账1!$K21=0,0,ROUND(R23/Q23*固定资产台账1!K21,2))</f>
        <v>0</v>
      </c>
      <c r="T23" s="223">
        <f>IF($A23="",0,$T$3*9.5)</f>
        <v>0</v>
      </c>
      <c r="U23" s="223">
        <f>ROUND(T23*0.142,0)</f>
        <v>0</v>
      </c>
      <c r="V23" s="223">
        <f>IF(固定资产台账1!$L21=0,0,ROUND(U23/T23*固定资产台账1!L21,2))</f>
        <v>0</v>
      </c>
      <c r="W23" s="223">
        <f>IF($A23="",0,$W$3*9.5)</f>
        <v>0</v>
      </c>
      <c r="X23" s="223">
        <f>ROUND(W23*0.132,0)</f>
        <v>0</v>
      </c>
      <c r="Y23" s="223">
        <f>IF(固定资产台账1!$M21=0,0,ROUND(X23/W23*固定资产台账1!M21,2))</f>
        <v>0</v>
      </c>
      <c r="Z23" s="223">
        <f>IF($A23="",0,$Z$3*8.5)</f>
        <v>0</v>
      </c>
      <c r="AA23" s="223">
        <f>ROUND(Z23*0.128,0)</f>
        <v>0</v>
      </c>
      <c r="AB23" s="223">
        <f>IF(固定资产台账1!$N21=0,0,ROUND(AA23/Z23*固定资产台账1!N21,2))</f>
        <v>0</v>
      </c>
      <c r="AC23" s="223">
        <f>IF($A23="",0,$AC$3*7.5)</f>
        <v>0</v>
      </c>
      <c r="AD23" s="223">
        <f>ROUND(AC23*0.135,0)</f>
        <v>0</v>
      </c>
      <c r="AE23" s="223">
        <f>IF(固定资产台账1!$O21=0,0,ROUND(AD23/AC23*固定资产台账1!O21,2))</f>
        <v>0</v>
      </c>
      <c r="AF23" s="223">
        <f>IF($A23="",0,$AF$3*9.5)</f>
        <v>0</v>
      </c>
      <c r="AG23" s="223">
        <f>ROUND(AF23*0.126,0)</f>
        <v>0</v>
      </c>
      <c r="AH23" s="223">
        <f>IF(固定资产台账1!$P21=0,0,ROUND(AG23/AF23*固定资产台账1!P21,2))</f>
        <v>0</v>
      </c>
      <c r="AI23" s="223">
        <f>IF($A23="",0,$AI$3*9.5)</f>
        <v>0</v>
      </c>
      <c r="AJ23" s="223">
        <f>ROUND(AI23*0.142,0)</f>
        <v>0</v>
      </c>
      <c r="AK23" s="223">
        <f>IF(固定资产台账1!$Q21=0,0,ROUND(AJ23/AI23*固定资产台账1!Q21,2))</f>
        <v>0</v>
      </c>
    </row>
    <row r="24" customHeight="1" spans="1:37">
      <c r="A24" s="223" t="str">
        <f>IF(固定资产台账1!A22="","",固定资产台账1!A22)</f>
        <v/>
      </c>
      <c r="B24" s="223">
        <f>IF($A25="",0,$B$3*7.5)</f>
        <v>0</v>
      </c>
      <c r="C24" s="223">
        <f>ROUND(B25*0.137,0)</f>
        <v>0</v>
      </c>
      <c r="D24" s="223">
        <f>IF(固定资产台账1!$F22=0,0,ROUND(C24/B24*固定资产台账1!F22,2))</f>
        <v>0</v>
      </c>
      <c r="E24" s="223">
        <f>IF($A25="",0,$E$3*7.5)</f>
        <v>0</v>
      </c>
      <c r="F24" s="223">
        <f>ROUND(E25*0.135,0)</f>
        <v>0</v>
      </c>
      <c r="G24" s="223">
        <f>IF(固定资产台账1!$G22=0,0,ROUND(F24/E24*固定资产台账1!G22,2))</f>
        <v>0</v>
      </c>
      <c r="H24" s="223">
        <f>IF($A25="",0,$H$3*7.5)</f>
        <v>0</v>
      </c>
      <c r="I24" s="223">
        <f>ROUND(H25*0.138,0)</f>
        <v>0</v>
      </c>
      <c r="J24" s="223">
        <f>IF(固定资产台账1!$H22=0,0,ROUND(I24/H24*固定资产台账1!H22,2))</f>
        <v>0</v>
      </c>
      <c r="K24" s="223">
        <f>IF($A25="",0,$K$3*7.5)</f>
        <v>0</v>
      </c>
      <c r="L24" s="223">
        <f>ROUND(K25*0.136,0)</f>
        <v>0</v>
      </c>
      <c r="M24" s="223">
        <f>IF(固定资产台账1!$I22=0,0,ROUND(L24/K24*固定资产台账1!I22,2))</f>
        <v>0</v>
      </c>
      <c r="N24" s="223">
        <f>IF($A25="",0,$N$3*7.5)</f>
        <v>0</v>
      </c>
      <c r="O24" s="223">
        <f>ROUND(N25*0.133,0)</f>
        <v>0</v>
      </c>
      <c r="P24" s="223">
        <f>IF(固定资产台账1!$J22=0,0,ROUND(O24/N24*固定资产台账1!J22,2))</f>
        <v>0</v>
      </c>
      <c r="Q24" s="223">
        <f>IF($A25="",0,$Q$3*7.5)</f>
        <v>0</v>
      </c>
      <c r="R24" s="223">
        <f>ROUND(Q25*0.135,0)</f>
        <v>0</v>
      </c>
      <c r="S24" s="223">
        <f>IF(固定资产台账1!$K22=0,0,ROUND(R24/Q24*固定资产台账1!K22,2))</f>
        <v>0</v>
      </c>
      <c r="T24" s="223">
        <f>IF($A25="",0,$T$3*7.5)</f>
        <v>0</v>
      </c>
      <c r="U24" s="223">
        <f>ROUND(T25*0.14,0)</f>
        <v>0</v>
      </c>
      <c r="V24" s="223">
        <f>IF(固定资产台账1!$L22=0,0,ROUND(U24/T24*固定资产台账1!L22,2))</f>
        <v>0</v>
      </c>
      <c r="W24" s="223">
        <f>IF($A25="",0,$W$3*8.5)</f>
        <v>0</v>
      </c>
      <c r="X24" s="223">
        <f>ROUND(W25*0.129,0)</f>
        <v>0</v>
      </c>
      <c r="Y24" s="223">
        <f>IF(固定资产台账1!$M22=0,0,ROUND(X24/W24*固定资产台账1!M22,2))</f>
        <v>0</v>
      </c>
      <c r="Z24" s="223">
        <f>IF($A25="",0,$Z$3*7.5)</f>
        <v>0</v>
      </c>
      <c r="AA24" s="223">
        <f>ROUND(Z25*0.118,0)</f>
        <v>0</v>
      </c>
      <c r="AB24" s="223">
        <f>IF(固定资产台账1!$N22=0,0,ROUND(AA24/Z24*固定资产台账1!N22,2))</f>
        <v>0</v>
      </c>
      <c r="AC24" s="223">
        <f>IF($A25="",0,$AC$3*7.5)</f>
        <v>0</v>
      </c>
      <c r="AD24" s="223">
        <f>ROUND(AC25*0.119,0)</f>
        <v>0</v>
      </c>
      <c r="AE24" s="223">
        <f>IF(固定资产台账1!$O22=0,0,ROUND(AD24/AC24*固定资产台账1!O22,2))</f>
        <v>0</v>
      </c>
      <c r="AF24" s="223">
        <f>IF($A25="",0,$AF$3*9.5)</f>
        <v>0</v>
      </c>
      <c r="AG24" s="223">
        <f>ROUND(AF25*0.134,0)</f>
        <v>0</v>
      </c>
      <c r="AH24" s="223">
        <f>IF(固定资产台账1!$P22=0,0,ROUND(AG24/AF24*固定资产台账1!P22,2))</f>
        <v>0</v>
      </c>
      <c r="AI24" s="223">
        <f>IF($A25="",0,$AI$3*8.5)</f>
        <v>0</v>
      </c>
      <c r="AJ24" s="223">
        <f>ROUND(AI25*0.128,0)</f>
        <v>0</v>
      </c>
      <c r="AK24" s="223">
        <f>IF(固定资产台账1!$Q22=0,0,ROUND(AJ24/AI24*固定资产台账1!Q22,2))</f>
        <v>0</v>
      </c>
    </row>
    <row r="25" customHeight="1" spans="1:37">
      <c r="A25" s="223" t="str">
        <f>IF(固定资产台账1!A23="","",固定资产台账1!A23)</f>
        <v/>
      </c>
      <c r="B25" s="223">
        <f>IF($A25="",0,$B$3*8)</f>
        <v>0</v>
      </c>
      <c r="C25" s="223">
        <f>ROUND(B25*0.129,0)</f>
        <v>0</v>
      </c>
      <c r="D25" s="223">
        <f>IF(固定资产台账1!$F23=0,0,ROUND(C25/B25*固定资产台账1!F23,2))</f>
        <v>0</v>
      </c>
      <c r="E25" s="223">
        <f>IF($A25="",0,$E$3*8)</f>
        <v>0</v>
      </c>
      <c r="F25" s="223">
        <f>ROUND(E25*0.095,0)</f>
        <v>0</v>
      </c>
      <c r="G25" s="223">
        <f>IF(固定资产台账1!$G23=0,0,ROUND(F25/E25*固定资产台账1!G23,2))</f>
        <v>0</v>
      </c>
      <c r="H25" s="223">
        <f>IF($A25="",0,$H$3*8.5)</f>
        <v>0</v>
      </c>
      <c r="I25" s="223">
        <f>ROUND(H25*0.127,0)</f>
        <v>0</v>
      </c>
      <c r="J25" s="223">
        <f>IF(固定资产台账1!$H23=0,0,ROUND(I25/H25*固定资产台账1!H23,2))</f>
        <v>0</v>
      </c>
      <c r="K25" s="223">
        <f>IF($A25="",0,$K$3*8.5)</f>
        <v>0</v>
      </c>
      <c r="L25" s="223">
        <f>ROUND(K25*0.133,0)</f>
        <v>0</v>
      </c>
      <c r="M25" s="223">
        <f>IF(固定资产台账1!$I23=0,0,ROUND(L25/K25*固定资产台账1!I23,2))</f>
        <v>0</v>
      </c>
      <c r="N25" s="223">
        <f>IF($A25="",0,$N$3*8)</f>
        <v>0</v>
      </c>
      <c r="O25" s="223">
        <f>ROUND(N25*0.131,0)</f>
        <v>0</v>
      </c>
      <c r="P25" s="223">
        <f>IF(固定资产台账1!$J23=0,0,ROUND(O25/N25*固定资产台账1!J23,2))</f>
        <v>0</v>
      </c>
      <c r="Q25" s="223">
        <f>IF($A25="",0,$Q$3*8)</f>
        <v>0</v>
      </c>
      <c r="R25" s="223">
        <f>ROUND(Q25*0.128,0)</f>
        <v>0</v>
      </c>
      <c r="S25" s="223">
        <f>IF(固定资产台账1!$K23=0,0,ROUND(R25/Q25*固定资产台账1!K23,2))</f>
        <v>0</v>
      </c>
      <c r="T25" s="223">
        <f>IF($A25="",0,$T$3*8)</f>
        <v>0</v>
      </c>
      <c r="U25" s="223">
        <f>ROUND(T25*0.137,0)</f>
        <v>0</v>
      </c>
      <c r="V25" s="223">
        <f>IF(固定资产台账1!$L23=0,0,ROUND(U25/T25*固定资产台账1!L23,2))</f>
        <v>0</v>
      </c>
      <c r="W25" s="223">
        <f>IF($A25="",0,$W$3*8)</f>
        <v>0</v>
      </c>
      <c r="X25" s="223">
        <f>ROUND(W25*0.142,0)</f>
        <v>0</v>
      </c>
      <c r="Y25" s="223">
        <f>IF(固定资产台账1!$M23=0,0,ROUND(X25/W25*固定资产台账1!M23,2))</f>
        <v>0</v>
      </c>
      <c r="Z25" s="223">
        <f>IF($A25="",0,$Z$3*8)</f>
        <v>0</v>
      </c>
      <c r="AA25" s="223">
        <f>ROUND(Z25*0.128,0)</f>
        <v>0</v>
      </c>
      <c r="AB25" s="223">
        <f>IF(固定资产台账1!$N23=0,0,ROUND(AA25/Z25*固定资产台账1!N23,2))</f>
        <v>0</v>
      </c>
      <c r="AC25" s="223">
        <f>IF($A25="",0,$AC$3*8)</f>
        <v>0</v>
      </c>
      <c r="AD25" s="223">
        <f>ROUND(AC25*0.126,0)</f>
        <v>0</v>
      </c>
      <c r="AE25" s="223">
        <f>IF(固定资产台账1!$O23=0,0,ROUND(AD25/AC25*固定资产台账1!O23,2))</f>
        <v>0</v>
      </c>
      <c r="AF25" s="223">
        <f>IF($A25="",0,$AF$3*8)</f>
        <v>0</v>
      </c>
      <c r="AG25" s="223">
        <f>ROUND(AF25*0.135,0)</f>
        <v>0</v>
      </c>
      <c r="AH25" s="223">
        <f>IF(固定资产台账1!$P23=0,0,ROUND(AG25/AF25*固定资产台账1!P23,2))</f>
        <v>0</v>
      </c>
      <c r="AI25" s="223">
        <f>IF($A25="",0,$AI$3*8)</f>
        <v>0</v>
      </c>
      <c r="AJ25" s="223">
        <f>ROUND(AI25*0.119,0)</f>
        <v>0</v>
      </c>
      <c r="AK25" s="223">
        <f>IF(固定资产台账1!$Q23=0,0,ROUND(AJ25/AI25*固定资产台账1!Q23,2))</f>
        <v>0</v>
      </c>
    </row>
    <row r="26" customHeight="1" spans="1:37">
      <c r="A26" s="223" t="str">
        <f>IF(固定资产台账1!A25="","",固定资产台账1!A25)</f>
        <v/>
      </c>
      <c r="B26" s="223">
        <f>IF($A26="",0,$B$3*8)</f>
        <v>0</v>
      </c>
      <c r="C26" s="223">
        <f>ROUND(B26*0.138,0)</f>
        <v>0</v>
      </c>
      <c r="D26" s="223">
        <f>IF(固定资产台账1!$F24=0,0,ROUND(C26/B26*固定资产台账1!F24,2))</f>
        <v>0</v>
      </c>
      <c r="E26" s="223">
        <f>IF($A26="",0,$E$3*8.5)</f>
        <v>0</v>
      </c>
      <c r="F26" s="223">
        <f>ROUND(E26*0.11,0)</f>
        <v>0</v>
      </c>
      <c r="G26" s="223">
        <f>IF(固定资产台账1!$G24=0,0,ROUND(F26/E26*固定资产台账1!G24,2))</f>
        <v>0</v>
      </c>
      <c r="H26" s="223">
        <f>IF($A26="",0,$H$3*8)</f>
        <v>0</v>
      </c>
      <c r="I26" s="223">
        <f>ROUND(H26*0.125,0)</f>
        <v>0</v>
      </c>
      <c r="J26" s="223">
        <f>IF(固定资产台账1!$H24=0,0,ROUND(I26/H26*固定资产台账1!H24,2))</f>
        <v>0</v>
      </c>
      <c r="K26" s="223">
        <f>IF($A26="",0,$K$3*8)</f>
        <v>0</v>
      </c>
      <c r="L26" s="223">
        <f>ROUND(K26*0.142,0)</f>
        <v>0</v>
      </c>
      <c r="M26" s="223">
        <f>IF(固定资产台账1!$I24=0,0,ROUND(L26/K26*固定资产台账1!I24,2))</f>
        <v>0</v>
      </c>
      <c r="N26" s="223">
        <f>IF($A26="",0,$N$3*8)</f>
        <v>0</v>
      </c>
      <c r="O26" s="223">
        <f>ROUND(N26*0.108,0)</f>
        <v>0</v>
      </c>
      <c r="P26" s="223">
        <f>IF(固定资产台账1!$J24=0,0,ROUND(O26/N26*固定资产台账1!J24,2))</f>
        <v>0</v>
      </c>
      <c r="Q26" s="223">
        <f>IF($A26="",0,$Q$3*8)</f>
        <v>0</v>
      </c>
      <c r="R26" s="223">
        <f>ROUND(Q26*0.136,0)</f>
        <v>0</v>
      </c>
      <c r="S26" s="223">
        <f>IF(固定资产台账1!$K24=0,0,ROUND(R26/Q26*固定资产台账1!K24,2))</f>
        <v>0</v>
      </c>
      <c r="T26" s="223">
        <f>IF($A26="",0,$T$3*7.5)</f>
        <v>0</v>
      </c>
      <c r="U26" s="223">
        <f>ROUND(T26*0.132,0)</f>
        <v>0</v>
      </c>
      <c r="V26" s="223">
        <f>IF(固定资产台账1!$L24=0,0,ROUND(U26/T26*固定资产台账1!L24,2))</f>
        <v>0</v>
      </c>
      <c r="W26" s="223">
        <f>IF($A26="",0,$W$3*9)</f>
        <v>0</v>
      </c>
      <c r="X26" s="223">
        <f>ROUND(W26*0.137,0)</f>
        <v>0</v>
      </c>
      <c r="Y26" s="223">
        <f>IF(固定资产台账1!$M24=0,0,ROUND(X26/W26*固定资产台账1!M24,2))</f>
        <v>0</v>
      </c>
      <c r="Z26" s="223">
        <f>IF($A26="",0,$Z$3*8)</f>
        <v>0</v>
      </c>
      <c r="AA26" s="223">
        <f>ROUND(Z26*0.132,0)</f>
        <v>0</v>
      </c>
      <c r="AB26" s="223">
        <f>IF(固定资产台账1!$N24=0,0,ROUND(AA26/Z26*固定资产台账1!N24,2))</f>
        <v>0</v>
      </c>
      <c r="AC26" s="223">
        <f>IF($A26="",0,$AC$3*8)</f>
        <v>0</v>
      </c>
      <c r="AD26" s="223">
        <f>ROUND(AC26*0.123,0)</f>
        <v>0</v>
      </c>
      <c r="AE26" s="223">
        <f>IF(固定资产台账1!$O24=0,0,ROUND(AD26/AC26*固定资产台账1!O24,2))</f>
        <v>0</v>
      </c>
      <c r="AF26" s="223">
        <f>IF($A26="",0,$AF$3*8)</f>
        <v>0</v>
      </c>
      <c r="AG26" s="223">
        <f>ROUND(AF26*0.127,0)</f>
        <v>0</v>
      </c>
      <c r="AH26" s="223">
        <f>IF(固定资产台账1!$P24=0,0,ROUND(AG26/AF26*固定资产台账1!P24,2))</f>
        <v>0</v>
      </c>
      <c r="AI26" s="223">
        <f>IF($A26="",0,$AI$3*8.5)</f>
        <v>0</v>
      </c>
      <c r="AJ26" s="223">
        <f>ROUND(AI26*0.114,0)</f>
        <v>0</v>
      </c>
      <c r="AK26" s="223">
        <f>IF(固定资产台账1!$Q24=0,0,ROUND(AJ26/AI26*固定资产台账1!Q24,2))</f>
        <v>0</v>
      </c>
    </row>
    <row r="27" customHeight="1" spans="1:37">
      <c r="A27" s="223" t="str">
        <f>IF(固定资产台账1!A25="","",固定资产台账1!A25)</f>
        <v/>
      </c>
      <c r="B27" s="223">
        <f>IF($A27="",0,$B$3*6)</f>
        <v>0</v>
      </c>
      <c r="C27" s="223">
        <f>ROUND(B27*0.122,0)</f>
        <v>0</v>
      </c>
      <c r="D27" s="223">
        <f>IF(固定资产台账1!$F25=0,0,ROUND(C27/B27*固定资产台账1!F25,2))</f>
        <v>0</v>
      </c>
      <c r="E27" s="223">
        <f>IF($A27="",0,$E$3*8)</f>
        <v>0</v>
      </c>
      <c r="F27" s="223">
        <f>ROUND(E27*0.14,0)</f>
        <v>0</v>
      </c>
      <c r="G27" s="223">
        <f>IF(固定资产台账1!$G25=0,0,ROUND(F27/E27*固定资产台账1!G25,2))</f>
        <v>0</v>
      </c>
      <c r="H27" s="223">
        <f>IF($A27="",0,$H$3*9)</f>
        <v>0</v>
      </c>
      <c r="I27" s="223">
        <f>ROUND(H27*0.148,0)</f>
        <v>0</v>
      </c>
      <c r="J27" s="223">
        <f>IF(固定资产台账1!$H25=0,0,ROUND(I27/H27*固定资产台账1!H25,2))</f>
        <v>0</v>
      </c>
      <c r="K27" s="223">
        <f>IF($A27="",0,$K$3*9)</f>
        <v>0</v>
      </c>
      <c r="L27" s="223">
        <f>ROUND(K27*0.129,0)</f>
        <v>0</v>
      </c>
      <c r="M27" s="223">
        <f>IF(固定资产台账1!$I25=0,0,ROUND(L27/K27*固定资产台账1!I25,2))</f>
        <v>0</v>
      </c>
      <c r="N27" s="223">
        <f>IF($A27="",0,$N$3*9)</f>
        <v>0</v>
      </c>
      <c r="O27" s="223">
        <f>ROUND(N27*0.114,0)</f>
        <v>0</v>
      </c>
      <c r="P27" s="223">
        <f>IF(固定资产台账1!$J25=0,0,ROUND(O27/N27*固定资产台账1!J25,2))</f>
        <v>0</v>
      </c>
      <c r="Q27" s="223">
        <f>IF($A27="",0,$Q$3*7.5)</f>
        <v>0</v>
      </c>
      <c r="R27" s="223">
        <f>ROUND(Q27*0.118,0)</f>
        <v>0</v>
      </c>
      <c r="S27" s="223">
        <f>IF(固定资产台账1!$K25=0,0,ROUND(R27/Q27*固定资产台账1!K25,2))</f>
        <v>0</v>
      </c>
      <c r="T27" s="223">
        <f>IF($A27="",0,$T$3*9)</f>
        <v>0</v>
      </c>
      <c r="U27" s="223">
        <f>ROUND(T27*0.128,0)</f>
        <v>0</v>
      </c>
      <c r="V27" s="223">
        <f>IF(固定资产台账1!$L25=0,0,ROUND(U27/T27*固定资产台账1!L25,2))</f>
        <v>0</v>
      </c>
      <c r="W27" s="223">
        <f>IF($A27="",0,$W$3*9)</f>
        <v>0</v>
      </c>
      <c r="X27" s="223">
        <f>ROUND(W27*0.133,0)</f>
        <v>0</v>
      </c>
      <c r="Y27" s="223">
        <f>IF(固定资产台账1!$M25=0,0,ROUND(X27/W27*固定资产台账1!M25,2))</f>
        <v>0</v>
      </c>
      <c r="Z27" s="223">
        <f>IF($A27="",0,$Z$3*9)</f>
        <v>0</v>
      </c>
      <c r="AA27" s="223">
        <f>ROUND(Z27*0.137,0)</f>
        <v>0</v>
      </c>
      <c r="AB27" s="223">
        <f>IF(固定资产台账1!$N25=0,0,ROUND(AA27/Z27*固定资产台账1!N25,2))</f>
        <v>0</v>
      </c>
      <c r="AC27" s="223">
        <f>IF($A27="",0,$AC$3*8)</f>
        <v>0</v>
      </c>
      <c r="AD27" s="223">
        <f>ROUND(AC27*0.133,0)</f>
        <v>0</v>
      </c>
      <c r="AE27" s="223">
        <f>IF(固定资产台账1!$O25=0,0,ROUND(AD27/AC27*固定资产台账1!O25,2))</f>
        <v>0</v>
      </c>
      <c r="AF27" s="223">
        <f>IF($A27="",0,$AF$3*9)</f>
        <v>0</v>
      </c>
      <c r="AG27" s="223">
        <f>ROUND(AF27*0.122,0)</f>
        <v>0</v>
      </c>
      <c r="AH27" s="223">
        <f>IF(固定资产台账1!$P25=0,0,ROUND(AG27/AF27*固定资产台账1!P25,2))</f>
        <v>0</v>
      </c>
      <c r="AI27" s="223">
        <f>IF($A27="",0,$AI$3*9)</f>
        <v>0</v>
      </c>
      <c r="AJ27" s="223">
        <f>ROUND(AI27*0.132,0)</f>
        <v>0</v>
      </c>
      <c r="AK27" s="223">
        <f>IF(固定资产台账1!$Q25=0,0,ROUND(AJ27/AI27*固定资产台账1!Q25,2))</f>
        <v>0</v>
      </c>
    </row>
    <row r="28" customHeight="1" spans="1:37">
      <c r="A28" s="223" t="str">
        <f>IF(固定资产台账1!A26="","",固定资产台账1!A26)</f>
        <v/>
      </c>
      <c r="B28" s="223">
        <f>IF($A28="",0,$B$3*7.5)</f>
        <v>0</v>
      </c>
      <c r="C28" s="223">
        <f>ROUND(B28*0.133,0)</f>
        <v>0</v>
      </c>
      <c r="D28" s="223">
        <f>IF(固定资产台账1!$F26=0,0,ROUND(C28/B28*固定资产台账1!F26,2))</f>
        <v>0</v>
      </c>
      <c r="E28" s="223">
        <f>IF($A28="",0,$E$3*8.5)</f>
        <v>0</v>
      </c>
      <c r="F28" s="223">
        <f>ROUND(E28*0.135,0)</f>
        <v>0</v>
      </c>
      <c r="G28" s="223">
        <f>IF(固定资产台账1!$G26=0,0,ROUND(F28/E28*固定资产台账1!G26,2))</f>
        <v>0</v>
      </c>
      <c r="H28" s="223">
        <f>IF($A28="",0,$H$3*8.5)</f>
        <v>0</v>
      </c>
      <c r="I28" s="223">
        <f>ROUND(H28*0.152,0)</f>
        <v>0</v>
      </c>
      <c r="J28" s="223">
        <f>IF(固定资产台账1!$H26=0,0,ROUND(I28/H28*固定资产台账1!H26,2))</f>
        <v>0</v>
      </c>
      <c r="K28" s="223">
        <f>IF($A28="",0,$K$3*8.5)</f>
        <v>0</v>
      </c>
      <c r="L28" s="223">
        <f>ROUND(K28*0.148,0)</f>
        <v>0</v>
      </c>
      <c r="M28" s="223">
        <f>IF(固定资产台账1!$I26=0,0,ROUND(L28/K28*固定资产台账1!I26,2))</f>
        <v>0</v>
      </c>
      <c r="N28" s="223">
        <f>IF($A28="",0,$N$3*7.5)</f>
        <v>0</v>
      </c>
      <c r="O28" s="223">
        <f>ROUND(N28*0.122,0)</f>
        <v>0</v>
      </c>
      <c r="P28" s="223">
        <f>IF(固定资产台账1!$J26=0,0,ROUND(O28/N28*固定资产台账1!J26,2))</f>
        <v>0</v>
      </c>
      <c r="Q28" s="223">
        <f>IF($A28="",0,$Q$3*8.5)</f>
        <v>0</v>
      </c>
      <c r="R28" s="223">
        <f>ROUND(Q28*0.115,0)</f>
        <v>0</v>
      </c>
      <c r="S28" s="223">
        <f>IF(固定资产台账1!$K26=0,0,ROUND(R28/Q28*固定资产台账1!K26,2))</f>
        <v>0</v>
      </c>
      <c r="T28" s="223">
        <f>IF($A28="",0,$T$3*8.5)</f>
        <v>0</v>
      </c>
      <c r="U28" s="223">
        <f>ROUND(T28*0.14,0)</f>
        <v>0</v>
      </c>
      <c r="V28" s="223">
        <f>IF(固定资产台账1!$L26=0,0,ROUND(U28/T28*固定资产台账1!L26,2))</f>
        <v>0</v>
      </c>
      <c r="W28" s="223">
        <f>IF($A28="",0,$W$3*8.5)</f>
        <v>0</v>
      </c>
      <c r="X28" s="223">
        <f>ROUND(W28*0.128,0)</f>
        <v>0</v>
      </c>
      <c r="Y28" s="223">
        <f>IF(固定资产台账1!$M26=0,0,ROUND(X28/W28*固定资产台账1!M26,2))</f>
        <v>0</v>
      </c>
      <c r="Z28" s="223">
        <f>IF($A28="",0,$Z$3*7.5)</f>
        <v>0</v>
      </c>
      <c r="AA28" s="223">
        <f>ROUND(Z28*0.129,0)</f>
        <v>0</v>
      </c>
      <c r="AB28" s="223">
        <f>IF(固定资产台账1!$N26=0,0,ROUND(AA28/Z28*固定资产台账1!N26,2))</f>
        <v>0</v>
      </c>
      <c r="AC28" s="223">
        <f>IF($A28="",0,$AC$3*8.5)</f>
        <v>0</v>
      </c>
      <c r="AD28" s="223">
        <f>ROUND(AC28*0.134,0)</f>
        <v>0</v>
      </c>
      <c r="AE28" s="223">
        <f>IF(固定资产台账1!$O26=0,0,ROUND(AD28/AC28*固定资产台账1!O26,2))</f>
        <v>0</v>
      </c>
      <c r="AF28" s="223">
        <f>IF($A28="",0,$AF$3*8.5)</f>
        <v>0</v>
      </c>
      <c r="AG28" s="223">
        <f>ROUND(AF28*0.136,0)</f>
        <v>0</v>
      </c>
      <c r="AH28" s="223">
        <f>IF(固定资产台账1!$P26=0,0,ROUND(AG28/AF28*固定资产台账1!P26,2))</f>
        <v>0</v>
      </c>
      <c r="AI28" s="223">
        <f>IF($A28="",0,$AI$3*8.5)</f>
        <v>0</v>
      </c>
      <c r="AJ28" s="223">
        <f>ROUND(AI28*0.125,0)</f>
        <v>0</v>
      </c>
      <c r="AK28" s="223">
        <f>IF(固定资产台账1!$Q26=0,0,ROUND(AJ28/AI28*固定资产台账1!Q26,2))</f>
        <v>0</v>
      </c>
    </row>
    <row r="29" customHeight="1" spans="1:37">
      <c r="A29" s="223" t="str">
        <f>IF(固定资产台账1!A27="","",固定资产台账1!A27)</f>
        <v/>
      </c>
      <c r="B29" s="223">
        <f>IF($A29="",0,$B$3*8)</f>
        <v>0</v>
      </c>
      <c r="C29" s="223">
        <f>ROUND(B29*0.115,0)</f>
        <v>0</v>
      </c>
      <c r="D29" s="223">
        <f>IF(固定资产台账1!$F27=0,0,ROUND(C29/B29*固定资产台账1!F27,2))</f>
        <v>0</v>
      </c>
      <c r="E29" s="223">
        <f>IF($A29="",0,$E$3*7.5)</f>
        <v>0</v>
      </c>
      <c r="F29" s="223">
        <f>ROUND(E29*0.126,0)</f>
        <v>0</v>
      </c>
      <c r="G29" s="223">
        <f>IF(固定资产台账1!$G27=0,0,ROUND(F29/E29*固定资产台账1!G27,2))</f>
        <v>0</v>
      </c>
      <c r="H29" s="223">
        <f>IF($A29="",0,$H$3*7)</f>
        <v>0</v>
      </c>
      <c r="I29" s="223">
        <f>ROUND(H29*0.143,0)</f>
        <v>0</v>
      </c>
      <c r="J29" s="223">
        <f>IF(固定资产台账1!$H27=0,0,ROUND(I29/H29*固定资产台账1!H27,2))</f>
        <v>0</v>
      </c>
      <c r="K29" s="223">
        <f>IF($A29="",0,$K$3*7)</f>
        <v>0</v>
      </c>
      <c r="L29" s="223">
        <f>ROUND(K29*0.152,0)</f>
        <v>0</v>
      </c>
      <c r="M29" s="223">
        <f>IF(固定资产台账1!$I27=0,0,ROUND(L29/K29*固定资产台账1!I27,2))</f>
        <v>0</v>
      </c>
      <c r="N29" s="223">
        <f>IF($A29="",0,$N$3*8)</f>
        <v>0</v>
      </c>
      <c r="O29" s="223">
        <f>ROUND(N29*0.128,0)</f>
        <v>0</v>
      </c>
      <c r="P29" s="223">
        <f>IF(固定资产台账1!$J27=0,0,ROUND(O29/N29*固定资产台账1!J27,2))</f>
        <v>0</v>
      </c>
      <c r="Q29" s="223">
        <f>IF($A29="",0,$Q$3*8)</f>
        <v>0</v>
      </c>
      <c r="R29" s="223">
        <f>ROUND(Q29*0.125,0)</f>
        <v>0</v>
      </c>
      <c r="S29" s="223">
        <f>IF(固定资产台账1!$K27=0,0,ROUND(R29/Q29*固定资产台账1!K27,2))</f>
        <v>0</v>
      </c>
      <c r="T29" s="223">
        <f>IF($A29="",0,$T$3*8)</f>
        <v>0</v>
      </c>
      <c r="U29" s="223">
        <f>ROUND(T29*0.129,0)</f>
        <v>0</v>
      </c>
      <c r="V29" s="223">
        <f>IF(固定资产台账1!$L27=0,0,ROUND(U29/T29*固定资产台账1!L27,2))</f>
        <v>0</v>
      </c>
      <c r="W29" s="223">
        <f>IF($A29="",0,$W$3*7)</f>
        <v>0</v>
      </c>
      <c r="X29" s="223">
        <f>ROUND(W29*0.127,0)</f>
        <v>0</v>
      </c>
      <c r="Y29" s="223">
        <f>IF(固定资产台账1!$M27=0,0,ROUND(X29/W29*固定资产台账1!M27,2))</f>
        <v>0</v>
      </c>
      <c r="Z29" s="223">
        <f>IF($A29="",0,$Z$3*8)</f>
        <v>0</v>
      </c>
      <c r="AA29" s="223">
        <f>ROUND(Z29*0.122,0)</f>
        <v>0</v>
      </c>
      <c r="AB29" s="223">
        <f>IF(固定资产台账1!$N27=0,0,ROUND(AA29/Z29*固定资产台账1!N27,2))</f>
        <v>0</v>
      </c>
      <c r="AC29" s="223">
        <f>IF($A29="",0,$AC$3*8)</f>
        <v>0</v>
      </c>
      <c r="AD29" s="223">
        <f>ROUND(AC29*0.142,0)</f>
        <v>0</v>
      </c>
      <c r="AE29" s="223">
        <f>IF(固定资产台账1!$O27=0,0,ROUND(AD29/AC29*固定资产台账1!O27,2))</f>
        <v>0</v>
      </c>
      <c r="AF29" s="223">
        <f>IF($A29="",0,$AF$3*8)</f>
        <v>0</v>
      </c>
      <c r="AG29" s="223">
        <f>ROUND(AF29*0.14,0)</f>
        <v>0</v>
      </c>
      <c r="AH29" s="223">
        <f>IF(固定资产台账1!$P27=0,0,ROUND(AG29/AF29*固定资产台账1!P27,2))</f>
        <v>0</v>
      </c>
      <c r="AI29" s="223">
        <f>IF($A29="",0,$AI$3*9)</f>
        <v>0</v>
      </c>
      <c r="AJ29" s="223">
        <f>ROUND(AI29*0.113,0)</f>
        <v>0</v>
      </c>
      <c r="AK29" s="223">
        <f>IF(固定资产台账1!$Q27=0,0,ROUND(AJ29/AI29*固定资产台账1!Q27,2))</f>
        <v>0</v>
      </c>
    </row>
    <row r="30" customHeight="1" spans="1:37">
      <c r="A30" s="217" t="s">
        <v>247</v>
      </c>
      <c r="B30" s="224">
        <f t="shared" ref="B30:G30" si="0">SUM(B5:B29)</f>
        <v>0</v>
      </c>
      <c r="C30" s="224">
        <f t="shared" si="0"/>
        <v>0</v>
      </c>
      <c r="D30" s="224">
        <f t="shared" si="0"/>
        <v>0</v>
      </c>
      <c r="E30" s="224">
        <f t="shared" si="0"/>
        <v>0</v>
      </c>
      <c r="F30" s="224">
        <f t="shared" si="0"/>
        <v>0</v>
      </c>
      <c r="G30" s="224">
        <f t="shared" si="0"/>
        <v>0</v>
      </c>
      <c r="H30" s="224">
        <f t="shared" ref="H30:J30" si="1">SUM(H5:H29)</f>
        <v>0</v>
      </c>
      <c r="I30" s="224">
        <f t="shared" si="1"/>
        <v>0</v>
      </c>
      <c r="J30" s="224">
        <f t="shared" si="1"/>
        <v>0</v>
      </c>
      <c r="K30" s="224">
        <f t="shared" ref="K30:M30" si="2">SUM(K5:K29)</f>
        <v>0</v>
      </c>
      <c r="L30" s="224">
        <f t="shared" si="2"/>
        <v>0</v>
      </c>
      <c r="M30" s="224">
        <f t="shared" si="2"/>
        <v>0</v>
      </c>
      <c r="N30" s="224">
        <f t="shared" ref="N30:P30" si="3">SUM(N5:N29)</f>
        <v>0</v>
      </c>
      <c r="O30" s="224">
        <f t="shared" si="3"/>
        <v>0</v>
      </c>
      <c r="P30" s="224">
        <f t="shared" si="3"/>
        <v>0</v>
      </c>
      <c r="Q30" s="224">
        <f t="shared" ref="Q30:S30" si="4">SUM(Q5:Q29)</f>
        <v>0</v>
      </c>
      <c r="R30" s="224">
        <f t="shared" si="4"/>
        <v>0</v>
      </c>
      <c r="S30" s="224">
        <f t="shared" si="4"/>
        <v>0</v>
      </c>
      <c r="T30" s="224">
        <f t="shared" ref="T30:V30" si="5">SUM(T5:T29)</f>
        <v>0</v>
      </c>
      <c r="U30" s="224">
        <f t="shared" si="5"/>
        <v>0</v>
      </c>
      <c r="V30" s="224">
        <f t="shared" si="5"/>
        <v>0</v>
      </c>
      <c r="W30" s="224">
        <f t="shared" ref="W30:AB30" si="6">SUM(W5:W29)</f>
        <v>0</v>
      </c>
      <c r="X30" s="224">
        <f t="shared" si="6"/>
        <v>0</v>
      </c>
      <c r="Y30" s="224">
        <f t="shared" si="6"/>
        <v>0</v>
      </c>
      <c r="Z30" s="224">
        <f t="shared" si="6"/>
        <v>0</v>
      </c>
      <c r="AA30" s="224">
        <f t="shared" si="6"/>
        <v>0</v>
      </c>
      <c r="AB30" s="224">
        <f t="shared" si="6"/>
        <v>0</v>
      </c>
      <c r="AC30" s="224">
        <f t="shared" ref="AC30:AE30" si="7">SUM(AC5:AC29)</f>
        <v>0</v>
      </c>
      <c r="AD30" s="224">
        <f t="shared" si="7"/>
        <v>0</v>
      </c>
      <c r="AE30" s="224">
        <f t="shared" si="7"/>
        <v>0</v>
      </c>
      <c r="AF30" s="224">
        <f t="shared" ref="AF30:AH30" si="8">SUM(AF5:AF29)</f>
        <v>0</v>
      </c>
      <c r="AG30" s="224">
        <f t="shared" si="8"/>
        <v>0</v>
      </c>
      <c r="AH30" s="224">
        <f t="shared" si="8"/>
        <v>0</v>
      </c>
      <c r="AI30" s="224">
        <f t="shared" ref="AI30:AK30" si="9">SUM(AI5:AI29)</f>
        <v>0</v>
      </c>
      <c r="AJ30" s="224">
        <f t="shared" si="9"/>
        <v>0</v>
      </c>
      <c r="AK30" s="224">
        <f t="shared" si="9"/>
        <v>0</v>
      </c>
    </row>
  </sheetData>
  <mergeCells count="24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</mergeCells>
  <pageMargins left="0.236111111111111" right="0.196527777777778" top="1" bottom="1" header="0.5" footer="0.5"/>
  <pageSetup paperSize="9" scale="35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F372"/>
  <sheetViews>
    <sheetView showZeros="0" view="pageBreakPreview" zoomScaleNormal="100" topLeftCell="B127" workbookViewId="0">
      <selection activeCell="H151" sqref="H151"/>
    </sheetView>
  </sheetViews>
  <sheetFormatPr defaultColWidth="9" defaultRowHeight="18" customHeight="1"/>
  <cols>
    <col min="1" max="1" width="4.12962962962963" style="142" hidden="1" customWidth="1"/>
    <col min="2" max="2" width="7.62962962962963" style="142" customWidth="1"/>
    <col min="3" max="5" width="13" style="142" customWidth="1"/>
    <col min="6" max="6" width="17.3333333333333" style="142" customWidth="1"/>
    <col min="7" max="7" width="13" style="142" customWidth="1"/>
    <col min="8" max="8" width="17.8888888888889" style="142" customWidth="1"/>
    <col min="9" max="9" width="15.4444444444444" style="142" customWidth="1"/>
    <col min="10" max="10" width="14.6666666666667" style="142" customWidth="1"/>
    <col min="11" max="11" width="14.1111111111111" style="142" customWidth="1"/>
    <col min="12" max="12" width="14" style="142" customWidth="1"/>
    <col min="13" max="13" width="13.8888888888889" style="142" customWidth="1"/>
    <col min="14" max="14" width="14.1111111111111" style="142" customWidth="1"/>
    <col min="15" max="15" width="13.5555555555556" style="142" customWidth="1"/>
    <col min="16" max="16" width="13.8888888888889" style="142" customWidth="1"/>
    <col min="17" max="17" width="14.2222222222222" style="142" customWidth="1"/>
    <col min="18" max="18" width="15" style="142" customWidth="1"/>
    <col min="19" max="19" width="15.1111111111111" style="142" customWidth="1"/>
    <col min="20" max="21" width="16.6666666666667" style="142" customWidth="1"/>
    <col min="22" max="22" width="16.2222222222222" style="142" customWidth="1"/>
    <col min="23" max="25" width="15.5555555555556" style="142" customWidth="1"/>
    <col min="26" max="27" width="15.4444444444444" style="142" customWidth="1"/>
    <col min="28" max="28" width="15.1018518518519" style="142" customWidth="1"/>
    <col min="29" max="30" width="7.5" style="142" customWidth="1"/>
    <col min="31" max="31" width="5.12962962962963" style="142" customWidth="1"/>
    <col min="32" max="32" width="15.1296296296296" style="142" customWidth="1"/>
    <col min="33" max="16384" width="9" style="142"/>
  </cols>
  <sheetData>
    <row r="1" customHeight="1" spans="2:32">
      <c r="B1" s="153"/>
      <c r="C1" s="148"/>
      <c r="D1" s="148"/>
      <c r="E1" s="148"/>
      <c r="F1" s="148"/>
      <c r="G1" s="148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85"/>
      <c r="AD1" s="185"/>
      <c r="AE1" s="151"/>
      <c r="AF1" s="151"/>
    </row>
    <row r="2" customHeight="1" spans="2:32">
      <c r="B2" s="186" t="s">
        <v>248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56"/>
      <c r="AD2" s="156"/>
    </row>
    <row r="3" customHeight="1" spans="2:32">
      <c r="B3" s="187" t="s">
        <v>249</v>
      </c>
      <c r="C3" s="187"/>
      <c r="D3" s="187"/>
      <c r="E3" s="188" t="s">
        <v>250</v>
      </c>
      <c r="F3" s="189" t="s">
        <v>251</v>
      </c>
      <c r="G3" s="190" t="s">
        <v>252</v>
      </c>
      <c r="H3" s="190" t="s">
        <v>251</v>
      </c>
      <c r="I3" s="191" t="str">
        <f>立项!A3</f>
        <v>RD01</v>
      </c>
      <c r="J3" s="191"/>
      <c r="K3" s="191" t="str">
        <f>立项!A4</f>
        <v>RD02</v>
      </c>
      <c r="L3" s="191"/>
      <c r="M3" s="191" t="str">
        <f>立项!A5</f>
        <v>RD03</v>
      </c>
      <c r="N3" s="191"/>
      <c r="O3" s="191" t="str">
        <f>立项!A6</f>
        <v>RD04</v>
      </c>
      <c r="P3" s="191"/>
      <c r="Q3" s="191" t="str">
        <f>立项!A7</f>
        <v>RD05</v>
      </c>
      <c r="R3" s="191"/>
      <c r="S3" s="191" t="str">
        <f>立项!A8</f>
        <v>RD06</v>
      </c>
      <c r="T3" s="191"/>
      <c r="U3" s="191" t="str">
        <f>立项!A9</f>
        <v>RD07</v>
      </c>
      <c r="V3" s="191"/>
      <c r="W3" s="191" t="str">
        <f>立项!A10</f>
        <v>RD08</v>
      </c>
      <c r="X3" s="191"/>
      <c r="Y3" s="191" t="str">
        <f>立项!A11</f>
        <v>RD09</v>
      </c>
      <c r="Z3" s="191"/>
      <c r="AA3" s="191" t="str">
        <f>立项!A12</f>
        <v>RD10</v>
      </c>
      <c r="AB3" s="191"/>
      <c r="AC3" s="156"/>
      <c r="AD3" s="156"/>
    </row>
    <row r="4" customHeight="1" spans="2:32">
      <c r="B4" s="187"/>
      <c r="C4" s="187"/>
      <c r="D4" s="187"/>
      <c r="E4" s="188"/>
      <c r="F4" s="188"/>
      <c r="G4" s="190"/>
      <c r="H4" s="190"/>
      <c r="I4" s="192" t="s">
        <v>253</v>
      </c>
      <c r="J4" s="192" t="s">
        <v>254</v>
      </c>
      <c r="K4" s="192" t="s">
        <v>253</v>
      </c>
      <c r="L4" s="192" t="s">
        <v>254</v>
      </c>
      <c r="M4" s="192" t="s">
        <v>253</v>
      </c>
      <c r="N4" s="192" t="s">
        <v>254</v>
      </c>
      <c r="O4" s="192" t="s">
        <v>253</v>
      </c>
      <c r="P4" s="192" t="s">
        <v>254</v>
      </c>
      <c r="Q4" s="192" t="s">
        <v>253</v>
      </c>
      <c r="R4" s="192" t="s">
        <v>254</v>
      </c>
      <c r="S4" s="192" t="s">
        <v>253</v>
      </c>
      <c r="T4" s="192" t="s">
        <v>254</v>
      </c>
      <c r="U4" s="192" t="s">
        <v>253</v>
      </c>
      <c r="V4" s="192" t="s">
        <v>254</v>
      </c>
      <c r="W4" s="192" t="s">
        <v>253</v>
      </c>
      <c r="X4" s="192" t="s">
        <v>254</v>
      </c>
      <c r="Y4" s="192" t="s">
        <v>253</v>
      </c>
      <c r="Z4" s="192" t="s">
        <v>254</v>
      </c>
      <c r="AA4" s="192" t="s">
        <v>253</v>
      </c>
      <c r="AB4" s="192" t="s">
        <v>254</v>
      </c>
      <c r="AC4" s="156"/>
      <c r="AD4" s="156"/>
    </row>
    <row r="5" customHeight="1" spans="2:32">
      <c r="B5" s="193">
        <f>固定资产台账1!A3</f>
        <v>0</v>
      </c>
      <c r="C5" s="193"/>
      <c r="D5" s="193"/>
      <c r="E5" s="145">
        <f>固定资产台账1!C3</f>
        <v>0</v>
      </c>
      <c r="F5" s="145">
        <f>研发设备工时计算表2!D5</f>
        <v>0</v>
      </c>
      <c r="G5" s="145">
        <f>研发设备工时计算表2!C5</f>
        <v>0</v>
      </c>
      <c r="H5" s="145">
        <f>J5+L5+N5+P5+R5+T5+V5+X5+Z5+AB5</f>
        <v>0</v>
      </c>
      <c r="I5" s="194"/>
      <c r="J5" s="145">
        <f>IF($G5=0,0,ROUND(I5/$G5*F5,2))</f>
        <v>0</v>
      </c>
      <c r="K5" s="195"/>
      <c r="L5" s="145">
        <f>IF($G$5=0,0,ROUND(K5/$G5*F5,2))</f>
        <v>0</v>
      </c>
      <c r="M5" s="194"/>
      <c r="N5" s="145">
        <f>IF($G5=0,0,ROUND(M5/$G5*$F5,2))</f>
        <v>0</v>
      </c>
      <c r="O5" s="194"/>
      <c r="P5" s="145">
        <f>IF($G5=0,0,ROUND(O5/$G5*$F5,2))</f>
        <v>0</v>
      </c>
      <c r="Q5" s="194"/>
      <c r="R5" s="145">
        <f t="shared" ref="R5:V5" si="0">IF($G5=0,0,ROUND(Q5/$G5*$F5,2))</f>
        <v>0</v>
      </c>
      <c r="S5" s="194"/>
      <c r="T5" s="145">
        <f t="shared" si="0"/>
        <v>0</v>
      </c>
      <c r="U5" s="194"/>
      <c r="V5" s="145">
        <f t="shared" si="0"/>
        <v>0</v>
      </c>
      <c r="W5" s="194"/>
      <c r="X5" s="145">
        <f t="shared" ref="X5:AB5" si="1">IF($G5=0,0,ROUND(W5/$G5*$F5,2))</f>
        <v>0</v>
      </c>
      <c r="Y5" s="194"/>
      <c r="Z5" s="145">
        <f t="shared" si="1"/>
        <v>0</v>
      </c>
      <c r="AA5" s="194"/>
      <c r="AB5" s="145">
        <f t="shared" si="1"/>
        <v>0</v>
      </c>
      <c r="AC5" s="156"/>
      <c r="AD5" s="156">
        <f>F5-H5</f>
        <v>0</v>
      </c>
    </row>
    <row r="6" customHeight="1" spans="2:32">
      <c r="B6" s="193">
        <f>固定资产台账1!A4</f>
        <v>0</v>
      </c>
      <c r="C6" s="193"/>
      <c r="D6" s="193"/>
      <c r="E6" s="145">
        <f>固定资产台账1!C4</f>
        <v>0</v>
      </c>
      <c r="F6" s="145">
        <f>研发设备工时计算表2!D6</f>
        <v>0</v>
      </c>
      <c r="G6" s="145">
        <f>研发设备工时计算表2!C6</f>
        <v>0</v>
      </c>
      <c r="H6" s="145">
        <f t="shared" ref="H6:H29" si="2">J6+L6+N6+P6+R6+T6+V6+X6+Z6+AB6</f>
        <v>0</v>
      </c>
      <c r="I6" s="194"/>
      <c r="J6" s="145">
        <f>IF(G6=0,0,ROUND(I6/G6*F6,2))</f>
        <v>0</v>
      </c>
      <c r="K6" s="194"/>
      <c r="L6" s="145">
        <f t="shared" ref="L6:L29" si="3">IF(F6=0,0,ROUND(K6/G6*F6,2))</f>
        <v>0</v>
      </c>
      <c r="M6" s="194"/>
      <c r="N6" s="145">
        <f>IF($G6=0,0,ROUND(M6/$G6*$F6,2))</f>
        <v>0</v>
      </c>
      <c r="O6" s="194"/>
      <c r="P6" s="145">
        <f t="shared" ref="P6:P29" si="4">IF($G6=0,0,ROUND(O6/$G6*$F6,2))</f>
        <v>0</v>
      </c>
      <c r="Q6" s="194"/>
      <c r="R6" s="145">
        <f t="shared" ref="R6:R29" si="5">IF($G6=0,0,ROUND(Q6/$G6*$F6,2))</f>
        <v>0</v>
      </c>
      <c r="S6" s="194"/>
      <c r="T6" s="145">
        <f t="shared" ref="T6:T29" si="6">IF($G6=0,0,ROUND(S6/$G6*$F6,2))</f>
        <v>0</v>
      </c>
      <c r="U6" s="194"/>
      <c r="V6" s="145">
        <f t="shared" ref="V6:V29" si="7">IF($G6=0,0,ROUND(U6/$G6*$F6,2))</f>
        <v>0</v>
      </c>
      <c r="W6" s="194"/>
      <c r="X6" s="145">
        <f t="shared" ref="X6:X29" si="8">IF($G6=0,0,ROUND(W6/$G6*$F6,2))</f>
        <v>0</v>
      </c>
      <c r="Y6" s="194"/>
      <c r="Z6" s="145">
        <f t="shared" ref="Z6:Z29" si="9">IF($G6=0,0,ROUND(Y6/$G6*$F6,2))</f>
        <v>0</v>
      </c>
      <c r="AA6" s="194"/>
      <c r="AB6" s="145">
        <f t="shared" ref="AB6:AB29" si="10">IF($G6=0,0,ROUND(AA6/$G6*$F6,2))</f>
        <v>0</v>
      </c>
      <c r="AC6" s="156"/>
      <c r="AD6" s="156">
        <f t="shared" ref="AD6:AD30" si="11">F6-H6</f>
        <v>0</v>
      </c>
    </row>
    <row r="7" customHeight="1" spans="2:32">
      <c r="B7" s="193">
        <f>固定资产台账1!A5</f>
        <v>0</v>
      </c>
      <c r="C7" s="193"/>
      <c r="D7" s="193"/>
      <c r="E7" s="145">
        <f>固定资产台账1!C5</f>
        <v>0</v>
      </c>
      <c r="F7" s="145">
        <f>研发设备工时计算表2!D7</f>
        <v>0</v>
      </c>
      <c r="G7" s="145">
        <f>研发设备工时计算表2!C7</f>
        <v>0</v>
      </c>
      <c r="H7" s="145">
        <f t="shared" si="2"/>
        <v>0</v>
      </c>
      <c r="I7" s="194"/>
      <c r="J7" s="145">
        <f t="shared" ref="J6:J29" si="12">IF(G7=0,0,ROUND(I7/G7*F7,2))</f>
        <v>0</v>
      </c>
      <c r="K7" s="194"/>
      <c r="L7" s="145">
        <f t="shared" si="3"/>
        <v>0</v>
      </c>
      <c r="M7" s="194"/>
      <c r="N7" s="145">
        <f t="shared" ref="N6:N29" si="13">IF($G7=0,0,ROUND(M7/$G7*$F7,2))</f>
        <v>0</v>
      </c>
      <c r="O7" s="194"/>
      <c r="P7" s="145">
        <f t="shared" si="4"/>
        <v>0</v>
      </c>
      <c r="Q7" s="194"/>
      <c r="R7" s="145">
        <f t="shared" si="5"/>
        <v>0</v>
      </c>
      <c r="S7" s="194"/>
      <c r="T7" s="145">
        <f t="shared" si="6"/>
        <v>0</v>
      </c>
      <c r="U7" s="194"/>
      <c r="V7" s="145">
        <f t="shared" si="7"/>
        <v>0</v>
      </c>
      <c r="W7" s="194"/>
      <c r="X7" s="145">
        <f t="shared" si="8"/>
        <v>0</v>
      </c>
      <c r="Y7" s="194"/>
      <c r="Z7" s="145">
        <f t="shared" si="9"/>
        <v>0</v>
      </c>
      <c r="AA7" s="194"/>
      <c r="AB7" s="145">
        <f t="shared" si="10"/>
        <v>0</v>
      </c>
      <c r="AC7" s="156"/>
      <c r="AD7" s="156">
        <f t="shared" si="11"/>
        <v>0</v>
      </c>
    </row>
    <row r="8" customHeight="1" spans="2:32">
      <c r="B8" s="193">
        <f>固定资产台账1!A6</f>
        <v>0</v>
      </c>
      <c r="C8" s="193"/>
      <c r="D8" s="193"/>
      <c r="E8" s="145">
        <f>固定资产台账1!C6</f>
        <v>0</v>
      </c>
      <c r="F8" s="145">
        <f>研发设备工时计算表2!D8</f>
        <v>0</v>
      </c>
      <c r="G8" s="145">
        <f>研发设备工时计算表2!C8</f>
        <v>0</v>
      </c>
      <c r="H8" s="145">
        <f t="shared" si="2"/>
        <v>0</v>
      </c>
      <c r="I8" s="194"/>
      <c r="J8" s="145">
        <f t="shared" si="12"/>
        <v>0</v>
      </c>
      <c r="K8" s="194"/>
      <c r="L8" s="145">
        <f t="shared" si="3"/>
        <v>0</v>
      </c>
      <c r="M8" s="194"/>
      <c r="N8" s="145">
        <f t="shared" si="13"/>
        <v>0</v>
      </c>
      <c r="O8" s="194"/>
      <c r="P8" s="145">
        <f t="shared" si="4"/>
        <v>0</v>
      </c>
      <c r="Q8" s="194"/>
      <c r="R8" s="145">
        <f t="shared" si="5"/>
        <v>0</v>
      </c>
      <c r="S8" s="194"/>
      <c r="T8" s="145">
        <f t="shared" si="6"/>
        <v>0</v>
      </c>
      <c r="U8" s="194"/>
      <c r="V8" s="145">
        <f t="shared" si="7"/>
        <v>0</v>
      </c>
      <c r="W8" s="194"/>
      <c r="X8" s="145">
        <f t="shared" si="8"/>
        <v>0</v>
      </c>
      <c r="Y8" s="194"/>
      <c r="Z8" s="145">
        <f t="shared" si="9"/>
        <v>0</v>
      </c>
      <c r="AA8" s="194"/>
      <c r="AB8" s="145">
        <f t="shared" si="10"/>
        <v>0</v>
      </c>
      <c r="AC8" s="156"/>
      <c r="AD8" s="156">
        <f t="shared" si="11"/>
        <v>0</v>
      </c>
    </row>
    <row r="9" customHeight="1" spans="2:32">
      <c r="B9" s="193">
        <f>固定资产台账1!A7</f>
        <v>0</v>
      </c>
      <c r="C9" s="193"/>
      <c r="D9" s="193"/>
      <c r="E9" s="145">
        <f>固定资产台账1!C7</f>
        <v>0</v>
      </c>
      <c r="F9" s="145">
        <f>研发设备工时计算表2!D9</f>
        <v>0</v>
      </c>
      <c r="G9" s="145">
        <f>研发设备工时计算表2!C9</f>
        <v>0</v>
      </c>
      <c r="H9" s="145">
        <f t="shared" si="2"/>
        <v>0</v>
      </c>
      <c r="I9" s="194"/>
      <c r="J9" s="145">
        <f t="shared" si="12"/>
        <v>0</v>
      </c>
      <c r="K9" s="194"/>
      <c r="L9" s="145">
        <f t="shared" si="3"/>
        <v>0</v>
      </c>
      <c r="M9" s="194"/>
      <c r="N9" s="145">
        <f t="shared" si="13"/>
        <v>0</v>
      </c>
      <c r="O9" s="194"/>
      <c r="P9" s="145">
        <f t="shared" si="4"/>
        <v>0</v>
      </c>
      <c r="Q9" s="194"/>
      <c r="R9" s="145">
        <f t="shared" si="5"/>
        <v>0</v>
      </c>
      <c r="S9" s="194"/>
      <c r="T9" s="145">
        <f t="shared" si="6"/>
        <v>0</v>
      </c>
      <c r="U9" s="194"/>
      <c r="V9" s="145">
        <f t="shared" si="7"/>
        <v>0</v>
      </c>
      <c r="W9" s="194"/>
      <c r="X9" s="145">
        <f t="shared" si="8"/>
        <v>0</v>
      </c>
      <c r="Y9" s="194"/>
      <c r="Z9" s="145">
        <f t="shared" si="9"/>
        <v>0</v>
      </c>
      <c r="AA9" s="194"/>
      <c r="AB9" s="145">
        <f t="shared" si="10"/>
        <v>0</v>
      </c>
      <c r="AC9" s="156"/>
      <c r="AD9" s="156">
        <f t="shared" si="11"/>
        <v>0</v>
      </c>
    </row>
    <row r="10" customHeight="1" spans="2:32">
      <c r="B10" s="193">
        <f>固定资产台账1!A8</f>
        <v>0</v>
      </c>
      <c r="C10" s="193"/>
      <c r="D10" s="193"/>
      <c r="E10" s="145">
        <f>固定资产台账1!C8</f>
        <v>0</v>
      </c>
      <c r="F10" s="145">
        <f>研发设备工时计算表2!D10</f>
        <v>0</v>
      </c>
      <c r="G10" s="145">
        <f>研发设备工时计算表2!C10</f>
        <v>0</v>
      </c>
      <c r="H10" s="145">
        <f t="shared" si="2"/>
        <v>0</v>
      </c>
      <c r="I10" s="194"/>
      <c r="J10" s="145">
        <f t="shared" si="12"/>
        <v>0</v>
      </c>
      <c r="K10" s="194"/>
      <c r="L10" s="145">
        <f t="shared" si="3"/>
        <v>0</v>
      </c>
      <c r="M10" s="194"/>
      <c r="N10" s="145">
        <f t="shared" si="13"/>
        <v>0</v>
      </c>
      <c r="O10" s="194"/>
      <c r="P10" s="145">
        <f t="shared" si="4"/>
        <v>0</v>
      </c>
      <c r="Q10" s="194"/>
      <c r="R10" s="145">
        <f t="shared" si="5"/>
        <v>0</v>
      </c>
      <c r="S10" s="194"/>
      <c r="T10" s="145">
        <f t="shared" si="6"/>
        <v>0</v>
      </c>
      <c r="U10" s="194"/>
      <c r="V10" s="145">
        <f t="shared" si="7"/>
        <v>0</v>
      </c>
      <c r="W10" s="194"/>
      <c r="X10" s="145">
        <f t="shared" si="8"/>
        <v>0</v>
      </c>
      <c r="Y10" s="194"/>
      <c r="Z10" s="145">
        <f t="shared" si="9"/>
        <v>0</v>
      </c>
      <c r="AA10" s="194"/>
      <c r="AB10" s="145">
        <f t="shared" si="10"/>
        <v>0</v>
      </c>
      <c r="AC10" s="156"/>
      <c r="AD10" s="156">
        <f t="shared" si="11"/>
        <v>0</v>
      </c>
    </row>
    <row r="11" customHeight="1" spans="2:32">
      <c r="B11" s="193">
        <f>固定资产台账1!A9</f>
        <v>0</v>
      </c>
      <c r="C11" s="193"/>
      <c r="D11" s="193"/>
      <c r="E11" s="145">
        <f>固定资产台账1!C9</f>
        <v>0</v>
      </c>
      <c r="F11" s="145">
        <f>研发设备工时计算表2!D11</f>
        <v>0</v>
      </c>
      <c r="G11" s="145">
        <f>研发设备工时计算表2!C11</f>
        <v>0</v>
      </c>
      <c r="H11" s="145">
        <f t="shared" si="2"/>
        <v>0</v>
      </c>
      <c r="I11" s="194"/>
      <c r="J11" s="145">
        <f t="shared" si="12"/>
        <v>0</v>
      </c>
      <c r="K11" s="194"/>
      <c r="L11" s="145">
        <f t="shared" si="3"/>
        <v>0</v>
      </c>
      <c r="M11" s="194"/>
      <c r="N11" s="145">
        <f t="shared" si="13"/>
        <v>0</v>
      </c>
      <c r="O11" s="194"/>
      <c r="P11" s="145">
        <f t="shared" si="4"/>
        <v>0</v>
      </c>
      <c r="Q11" s="194"/>
      <c r="R11" s="145">
        <f t="shared" si="5"/>
        <v>0</v>
      </c>
      <c r="S11" s="194"/>
      <c r="T11" s="145">
        <f t="shared" si="6"/>
        <v>0</v>
      </c>
      <c r="U11" s="194"/>
      <c r="V11" s="145">
        <f t="shared" si="7"/>
        <v>0</v>
      </c>
      <c r="W11" s="194"/>
      <c r="X11" s="145">
        <f t="shared" si="8"/>
        <v>0</v>
      </c>
      <c r="Y11" s="194"/>
      <c r="Z11" s="145">
        <f t="shared" si="9"/>
        <v>0</v>
      </c>
      <c r="AA11" s="194"/>
      <c r="AB11" s="145">
        <f t="shared" si="10"/>
        <v>0</v>
      </c>
      <c r="AC11" s="156"/>
      <c r="AD11" s="156">
        <f t="shared" si="11"/>
        <v>0</v>
      </c>
    </row>
    <row r="12" customHeight="1" spans="2:32">
      <c r="B12" s="193">
        <f>固定资产台账1!A10</f>
        <v>0</v>
      </c>
      <c r="C12" s="193"/>
      <c r="D12" s="193"/>
      <c r="E12" s="145">
        <f>固定资产台账1!C10</f>
        <v>0</v>
      </c>
      <c r="F12" s="145">
        <f>研发设备工时计算表2!D12</f>
        <v>0</v>
      </c>
      <c r="G12" s="145">
        <f>研发设备工时计算表2!C12</f>
        <v>0</v>
      </c>
      <c r="H12" s="145">
        <f t="shared" si="2"/>
        <v>0</v>
      </c>
      <c r="I12" s="194"/>
      <c r="J12" s="145">
        <f t="shared" si="12"/>
        <v>0</v>
      </c>
      <c r="K12" s="194"/>
      <c r="L12" s="145">
        <f t="shared" si="3"/>
        <v>0</v>
      </c>
      <c r="M12" s="194"/>
      <c r="N12" s="145">
        <f t="shared" si="13"/>
        <v>0</v>
      </c>
      <c r="O12" s="194"/>
      <c r="P12" s="145">
        <f t="shared" si="4"/>
        <v>0</v>
      </c>
      <c r="Q12" s="194"/>
      <c r="R12" s="145">
        <f t="shared" si="5"/>
        <v>0</v>
      </c>
      <c r="S12" s="194"/>
      <c r="T12" s="145">
        <f t="shared" si="6"/>
        <v>0</v>
      </c>
      <c r="U12" s="194"/>
      <c r="V12" s="145">
        <f t="shared" si="7"/>
        <v>0</v>
      </c>
      <c r="W12" s="194"/>
      <c r="X12" s="145">
        <f t="shared" si="8"/>
        <v>0</v>
      </c>
      <c r="Y12" s="194"/>
      <c r="Z12" s="145">
        <f t="shared" si="9"/>
        <v>0</v>
      </c>
      <c r="AA12" s="194"/>
      <c r="AB12" s="145">
        <f t="shared" si="10"/>
        <v>0</v>
      </c>
      <c r="AC12" s="156"/>
      <c r="AD12" s="156">
        <f t="shared" si="11"/>
        <v>0</v>
      </c>
    </row>
    <row r="13" customHeight="1" spans="2:32">
      <c r="B13" s="193">
        <f>固定资产台账1!A11</f>
        <v>0</v>
      </c>
      <c r="C13" s="193"/>
      <c r="D13" s="193"/>
      <c r="E13" s="145">
        <f>固定资产台账1!C11</f>
        <v>0</v>
      </c>
      <c r="F13" s="145">
        <f>研发设备工时计算表2!D13</f>
        <v>0</v>
      </c>
      <c r="G13" s="145">
        <f>研发设备工时计算表2!C13</f>
        <v>0</v>
      </c>
      <c r="H13" s="145">
        <f t="shared" si="2"/>
        <v>0</v>
      </c>
      <c r="I13" s="194"/>
      <c r="J13" s="145">
        <f t="shared" si="12"/>
        <v>0</v>
      </c>
      <c r="K13" s="194"/>
      <c r="L13" s="145">
        <f t="shared" si="3"/>
        <v>0</v>
      </c>
      <c r="M13" s="194"/>
      <c r="N13" s="145">
        <f t="shared" si="13"/>
        <v>0</v>
      </c>
      <c r="O13" s="194"/>
      <c r="P13" s="145">
        <f t="shared" si="4"/>
        <v>0</v>
      </c>
      <c r="Q13" s="194"/>
      <c r="R13" s="145">
        <f t="shared" si="5"/>
        <v>0</v>
      </c>
      <c r="S13" s="194"/>
      <c r="T13" s="145">
        <f t="shared" si="6"/>
        <v>0</v>
      </c>
      <c r="U13" s="194"/>
      <c r="V13" s="145">
        <f t="shared" si="7"/>
        <v>0</v>
      </c>
      <c r="W13" s="194"/>
      <c r="X13" s="145">
        <f t="shared" si="8"/>
        <v>0</v>
      </c>
      <c r="Y13" s="194"/>
      <c r="Z13" s="145">
        <f t="shared" si="9"/>
        <v>0</v>
      </c>
      <c r="AA13" s="194"/>
      <c r="AB13" s="145">
        <f t="shared" si="10"/>
        <v>0</v>
      </c>
      <c r="AC13" s="156"/>
      <c r="AD13" s="156">
        <f t="shared" si="11"/>
        <v>0</v>
      </c>
    </row>
    <row r="14" customHeight="1" spans="2:32">
      <c r="B14" s="193">
        <f>固定资产台账1!A12</f>
        <v>0</v>
      </c>
      <c r="C14" s="193"/>
      <c r="D14" s="193"/>
      <c r="E14" s="145">
        <f>固定资产台账1!C12</f>
        <v>0</v>
      </c>
      <c r="F14" s="145">
        <f>研发设备工时计算表2!D14</f>
        <v>0</v>
      </c>
      <c r="G14" s="145">
        <f>研发设备工时计算表2!C14</f>
        <v>0</v>
      </c>
      <c r="H14" s="145">
        <f t="shared" si="2"/>
        <v>0</v>
      </c>
      <c r="I14" s="194"/>
      <c r="J14" s="145">
        <f t="shared" si="12"/>
        <v>0</v>
      </c>
      <c r="K14" s="194"/>
      <c r="L14" s="145">
        <f t="shared" si="3"/>
        <v>0</v>
      </c>
      <c r="M14" s="194"/>
      <c r="N14" s="145">
        <f t="shared" si="13"/>
        <v>0</v>
      </c>
      <c r="O14" s="194"/>
      <c r="P14" s="145">
        <f t="shared" si="4"/>
        <v>0</v>
      </c>
      <c r="Q14" s="194"/>
      <c r="R14" s="145">
        <f t="shared" si="5"/>
        <v>0</v>
      </c>
      <c r="S14" s="194"/>
      <c r="T14" s="145">
        <f t="shared" si="6"/>
        <v>0</v>
      </c>
      <c r="U14" s="194"/>
      <c r="V14" s="145">
        <f t="shared" si="7"/>
        <v>0</v>
      </c>
      <c r="W14" s="194"/>
      <c r="X14" s="145">
        <f t="shared" si="8"/>
        <v>0</v>
      </c>
      <c r="Y14" s="194"/>
      <c r="Z14" s="145">
        <f t="shared" si="9"/>
        <v>0</v>
      </c>
      <c r="AA14" s="194"/>
      <c r="AB14" s="145">
        <f t="shared" si="10"/>
        <v>0</v>
      </c>
      <c r="AC14" s="156"/>
      <c r="AD14" s="156">
        <f t="shared" si="11"/>
        <v>0</v>
      </c>
    </row>
    <row r="15" customHeight="1" spans="2:32">
      <c r="B15" s="193">
        <f>固定资产台账1!A13</f>
        <v>0</v>
      </c>
      <c r="C15" s="193"/>
      <c r="D15" s="193"/>
      <c r="E15" s="145">
        <f>固定资产台账1!C13</f>
        <v>0</v>
      </c>
      <c r="F15" s="145">
        <f>研发设备工时计算表2!D15</f>
        <v>0</v>
      </c>
      <c r="G15" s="145">
        <f>研发设备工时计算表2!C15</f>
        <v>0</v>
      </c>
      <c r="H15" s="145">
        <f t="shared" si="2"/>
        <v>0</v>
      </c>
      <c r="I15" s="194"/>
      <c r="J15" s="145">
        <f t="shared" si="12"/>
        <v>0</v>
      </c>
      <c r="K15" s="194"/>
      <c r="L15" s="145">
        <f t="shared" si="3"/>
        <v>0</v>
      </c>
      <c r="M15" s="194"/>
      <c r="N15" s="145">
        <f t="shared" si="13"/>
        <v>0</v>
      </c>
      <c r="O15" s="194"/>
      <c r="P15" s="145">
        <f t="shared" si="4"/>
        <v>0</v>
      </c>
      <c r="Q15" s="194"/>
      <c r="R15" s="145">
        <f t="shared" si="5"/>
        <v>0</v>
      </c>
      <c r="S15" s="194"/>
      <c r="T15" s="145">
        <f t="shared" si="6"/>
        <v>0</v>
      </c>
      <c r="U15" s="194"/>
      <c r="V15" s="145">
        <f t="shared" si="7"/>
        <v>0</v>
      </c>
      <c r="W15" s="194"/>
      <c r="X15" s="145">
        <f t="shared" si="8"/>
        <v>0</v>
      </c>
      <c r="Y15" s="194"/>
      <c r="Z15" s="145">
        <f t="shared" si="9"/>
        <v>0</v>
      </c>
      <c r="AA15" s="194"/>
      <c r="AB15" s="145">
        <f t="shared" si="10"/>
        <v>0</v>
      </c>
      <c r="AC15" s="156"/>
      <c r="AD15" s="156">
        <f t="shared" si="11"/>
        <v>0</v>
      </c>
    </row>
    <row r="16" customHeight="1" spans="2:32">
      <c r="B16" s="193">
        <f>固定资产台账1!A14</f>
        <v>0</v>
      </c>
      <c r="C16" s="193"/>
      <c r="D16" s="193"/>
      <c r="E16" s="145">
        <f>固定资产台账1!C14</f>
        <v>0</v>
      </c>
      <c r="F16" s="145">
        <f>研发设备工时计算表2!D16</f>
        <v>0</v>
      </c>
      <c r="G16" s="145">
        <f>研发设备工时计算表2!C16</f>
        <v>0</v>
      </c>
      <c r="H16" s="145">
        <f t="shared" si="2"/>
        <v>0</v>
      </c>
      <c r="I16" s="194"/>
      <c r="J16" s="145">
        <f t="shared" si="12"/>
        <v>0</v>
      </c>
      <c r="K16" s="194"/>
      <c r="L16" s="145">
        <f t="shared" si="3"/>
        <v>0</v>
      </c>
      <c r="M16" s="194"/>
      <c r="N16" s="145">
        <f t="shared" si="13"/>
        <v>0</v>
      </c>
      <c r="O16" s="194"/>
      <c r="P16" s="145">
        <f t="shared" si="4"/>
        <v>0</v>
      </c>
      <c r="Q16" s="194"/>
      <c r="R16" s="145">
        <f t="shared" si="5"/>
        <v>0</v>
      </c>
      <c r="S16" s="194"/>
      <c r="T16" s="145">
        <f t="shared" si="6"/>
        <v>0</v>
      </c>
      <c r="U16" s="194"/>
      <c r="V16" s="145">
        <f t="shared" si="7"/>
        <v>0</v>
      </c>
      <c r="W16" s="194"/>
      <c r="X16" s="145">
        <f t="shared" si="8"/>
        <v>0</v>
      </c>
      <c r="Y16" s="194"/>
      <c r="Z16" s="145">
        <f t="shared" si="9"/>
        <v>0</v>
      </c>
      <c r="AA16" s="194"/>
      <c r="AB16" s="145">
        <f t="shared" si="10"/>
        <v>0</v>
      </c>
      <c r="AC16" s="156"/>
      <c r="AD16" s="156">
        <f t="shared" si="11"/>
        <v>0</v>
      </c>
    </row>
    <row r="17" customHeight="1" spans="2:30">
      <c r="B17" s="193">
        <f>固定资产台账1!A15</f>
        <v>0</v>
      </c>
      <c r="C17" s="193"/>
      <c r="D17" s="193"/>
      <c r="E17" s="145">
        <f>固定资产台账1!C15</f>
        <v>0</v>
      </c>
      <c r="F17" s="145">
        <f>研发设备工时计算表2!D17</f>
        <v>0</v>
      </c>
      <c r="G17" s="145">
        <f>研发设备工时计算表2!C17</f>
        <v>0</v>
      </c>
      <c r="H17" s="145">
        <f t="shared" si="2"/>
        <v>0</v>
      </c>
      <c r="I17" s="194"/>
      <c r="J17" s="145">
        <f t="shared" si="12"/>
        <v>0</v>
      </c>
      <c r="K17" s="194"/>
      <c r="L17" s="145">
        <f t="shared" si="3"/>
        <v>0</v>
      </c>
      <c r="M17" s="194"/>
      <c r="N17" s="145">
        <f t="shared" si="13"/>
        <v>0</v>
      </c>
      <c r="O17" s="194"/>
      <c r="P17" s="145">
        <f t="shared" si="4"/>
        <v>0</v>
      </c>
      <c r="Q17" s="194"/>
      <c r="R17" s="145">
        <f t="shared" si="5"/>
        <v>0</v>
      </c>
      <c r="S17" s="194"/>
      <c r="T17" s="145">
        <f t="shared" si="6"/>
        <v>0</v>
      </c>
      <c r="U17" s="194"/>
      <c r="V17" s="145">
        <f t="shared" si="7"/>
        <v>0</v>
      </c>
      <c r="W17" s="194"/>
      <c r="X17" s="145">
        <f t="shared" si="8"/>
        <v>0</v>
      </c>
      <c r="Y17" s="194"/>
      <c r="Z17" s="145">
        <f t="shared" si="9"/>
        <v>0</v>
      </c>
      <c r="AA17" s="194"/>
      <c r="AB17" s="145">
        <f t="shared" si="10"/>
        <v>0</v>
      </c>
      <c r="AC17" s="156"/>
      <c r="AD17" s="156">
        <f t="shared" si="11"/>
        <v>0</v>
      </c>
    </row>
    <row r="18" customHeight="1" spans="2:30">
      <c r="B18" s="193">
        <f>固定资产台账1!A16</f>
        <v>0</v>
      </c>
      <c r="C18" s="193"/>
      <c r="D18" s="193"/>
      <c r="E18" s="145">
        <f>固定资产台账1!C16</f>
        <v>0</v>
      </c>
      <c r="F18" s="145">
        <f>研发设备工时计算表2!D18</f>
        <v>0</v>
      </c>
      <c r="G18" s="145">
        <f>研发设备工时计算表2!C18</f>
        <v>0</v>
      </c>
      <c r="H18" s="145">
        <f t="shared" si="2"/>
        <v>0</v>
      </c>
      <c r="I18" s="194"/>
      <c r="J18" s="145">
        <f t="shared" si="12"/>
        <v>0</v>
      </c>
      <c r="K18" s="194"/>
      <c r="L18" s="145">
        <f t="shared" si="3"/>
        <v>0</v>
      </c>
      <c r="M18" s="194"/>
      <c r="N18" s="145">
        <f t="shared" si="13"/>
        <v>0</v>
      </c>
      <c r="O18" s="194"/>
      <c r="P18" s="145">
        <f t="shared" si="4"/>
        <v>0</v>
      </c>
      <c r="Q18" s="194"/>
      <c r="R18" s="145">
        <f t="shared" si="5"/>
        <v>0</v>
      </c>
      <c r="S18" s="194"/>
      <c r="T18" s="145">
        <f t="shared" si="6"/>
        <v>0</v>
      </c>
      <c r="U18" s="194"/>
      <c r="V18" s="145">
        <f t="shared" si="7"/>
        <v>0</v>
      </c>
      <c r="W18" s="194"/>
      <c r="X18" s="145">
        <f t="shared" si="8"/>
        <v>0</v>
      </c>
      <c r="Y18" s="194"/>
      <c r="Z18" s="145">
        <f t="shared" si="9"/>
        <v>0</v>
      </c>
      <c r="AA18" s="194"/>
      <c r="AB18" s="145">
        <f t="shared" si="10"/>
        <v>0</v>
      </c>
      <c r="AC18" s="156"/>
      <c r="AD18" s="156">
        <f t="shared" si="11"/>
        <v>0</v>
      </c>
    </row>
    <row r="19" customHeight="1" spans="2:30">
      <c r="B19" s="193">
        <f>固定资产台账1!A17</f>
        <v>0</v>
      </c>
      <c r="C19" s="193"/>
      <c r="D19" s="193"/>
      <c r="E19" s="145">
        <f>固定资产台账1!C17</f>
        <v>0</v>
      </c>
      <c r="F19" s="145">
        <f>研发设备工时计算表2!D19</f>
        <v>0</v>
      </c>
      <c r="G19" s="145">
        <f>研发设备工时计算表2!C19</f>
        <v>0</v>
      </c>
      <c r="H19" s="145">
        <f t="shared" si="2"/>
        <v>0</v>
      </c>
      <c r="I19" s="194"/>
      <c r="J19" s="145">
        <f t="shared" si="12"/>
        <v>0</v>
      </c>
      <c r="K19" s="194"/>
      <c r="L19" s="145">
        <f t="shared" si="3"/>
        <v>0</v>
      </c>
      <c r="M19" s="194"/>
      <c r="N19" s="145">
        <f t="shared" si="13"/>
        <v>0</v>
      </c>
      <c r="O19" s="194"/>
      <c r="P19" s="145">
        <f t="shared" si="4"/>
        <v>0</v>
      </c>
      <c r="Q19" s="194"/>
      <c r="R19" s="145">
        <f t="shared" si="5"/>
        <v>0</v>
      </c>
      <c r="S19" s="194"/>
      <c r="T19" s="145">
        <f t="shared" si="6"/>
        <v>0</v>
      </c>
      <c r="U19" s="194"/>
      <c r="V19" s="145">
        <f t="shared" si="7"/>
        <v>0</v>
      </c>
      <c r="W19" s="194"/>
      <c r="X19" s="145">
        <f t="shared" si="8"/>
        <v>0</v>
      </c>
      <c r="Y19" s="194"/>
      <c r="Z19" s="145">
        <f t="shared" si="9"/>
        <v>0</v>
      </c>
      <c r="AA19" s="194"/>
      <c r="AB19" s="145">
        <f t="shared" si="10"/>
        <v>0</v>
      </c>
      <c r="AC19" s="156"/>
      <c r="AD19" s="156">
        <f t="shared" si="11"/>
        <v>0</v>
      </c>
    </row>
    <row r="20" customHeight="1" spans="2:30">
      <c r="B20" s="193">
        <f>固定资产台账1!A18</f>
        <v>0</v>
      </c>
      <c r="C20" s="193"/>
      <c r="D20" s="193"/>
      <c r="E20" s="145">
        <f>固定资产台账1!C18</f>
        <v>0</v>
      </c>
      <c r="F20" s="145">
        <f>研发设备工时计算表2!D20</f>
        <v>0</v>
      </c>
      <c r="G20" s="145">
        <f>研发设备工时计算表2!C20</f>
        <v>0</v>
      </c>
      <c r="H20" s="145">
        <f t="shared" si="2"/>
        <v>0</v>
      </c>
      <c r="I20" s="194"/>
      <c r="J20" s="145">
        <f t="shared" si="12"/>
        <v>0</v>
      </c>
      <c r="K20" s="194"/>
      <c r="L20" s="145">
        <f t="shared" si="3"/>
        <v>0</v>
      </c>
      <c r="M20" s="194"/>
      <c r="N20" s="145">
        <f t="shared" si="13"/>
        <v>0</v>
      </c>
      <c r="O20" s="194"/>
      <c r="P20" s="145">
        <f t="shared" si="4"/>
        <v>0</v>
      </c>
      <c r="Q20" s="194"/>
      <c r="R20" s="145">
        <f t="shared" si="5"/>
        <v>0</v>
      </c>
      <c r="S20" s="194"/>
      <c r="T20" s="145">
        <f t="shared" si="6"/>
        <v>0</v>
      </c>
      <c r="U20" s="194"/>
      <c r="V20" s="145">
        <f t="shared" si="7"/>
        <v>0</v>
      </c>
      <c r="W20" s="194"/>
      <c r="X20" s="145">
        <f t="shared" si="8"/>
        <v>0</v>
      </c>
      <c r="Y20" s="194"/>
      <c r="Z20" s="145">
        <f t="shared" si="9"/>
        <v>0</v>
      </c>
      <c r="AA20" s="194"/>
      <c r="AB20" s="145">
        <f t="shared" si="10"/>
        <v>0</v>
      </c>
      <c r="AC20" s="156"/>
      <c r="AD20" s="156">
        <f t="shared" si="11"/>
        <v>0</v>
      </c>
    </row>
    <row r="21" customHeight="1" spans="2:30">
      <c r="B21" s="193">
        <f>固定资产台账1!A19</f>
        <v>0</v>
      </c>
      <c r="C21" s="193"/>
      <c r="D21" s="193"/>
      <c r="E21" s="145">
        <f>固定资产台账1!C19</f>
        <v>0</v>
      </c>
      <c r="F21" s="145">
        <f>研发设备工时计算表2!D21</f>
        <v>0</v>
      </c>
      <c r="G21" s="145">
        <f>研发设备工时计算表2!C21</f>
        <v>0</v>
      </c>
      <c r="H21" s="145">
        <f t="shared" si="2"/>
        <v>0</v>
      </c>
      <c r="I21" s="194"/>
      <c r="J21" s="145">
        <f t="shared" si="12"/>
        <v>0</v>
      </c>
      <c r="K21" s="194"/>
      <c r="L21" s="145">
        <f t="shared" si="3"/>
        <v>0</v>
      </c>
      <c r="M21" s="194"/>
      <c r="N21" s="145">
        <f t="shared" si="13"/>
        <v>0</v>
      </c>
      <c r="O21" s="194"/>
      <c r="P21" s="145">
        <f t="shared" si="4"/>
        <v>0</v>
      </c>
      <c r="Q21" s="194"/>
      <c r="R21" s="145">
        <f t="shared" si="5"/>
        <v>0</v>
      </c>
      <c r="S21" s="194"/>
      <c r="T21" s="145">
        <f t="shared" si="6"/>
        <v>0</v>
      </c>
      <c r="U21" s="194"/>
      <c r="V21" s="145">
        <f t="shared" si="7"/>
        <v>0</v>
      </c>
      <c r="W21" s="194"/>
      <c r="X21" s="145">
        <f t="shared" si="8"/>
        <v>0</v>
      </c>
      <c r="Y21" s="194"/>
      <c r="Z21" s="145">
        <f t="shared" si="9"/>
        <v>0</v>
      </c>
      <c r="AA21" s="194"/>
      <c r="AB21" s="145">
        <f t="shared" si="10"/>
        <v>0</v>
      </c>
      <c r="AC21" s="156"/>
      <c r="AD21" s="156">
        <f t="shared" si="11"/>
        <v>0</v>
      </c>
    </row>
    <row r="22" customHeight="1" spans="2:30">
      <c r="B22" s="193">
        <f>固定资产台账1!A20</f>
        <v>0</v>
      </c>
      <c r="C22" s="193"/>
      <c r="D22" s="193"/>
      <c r="E22" s="145">
        <f>固定资产台账1!C20</f>
        <v>0</v>
      </c>
      <c r="F22" s="145">
        <f>研发设备工时计算表2!D22</f>
        <v>0</v>
      </c>
      <c r="G22" s="145">
        <f>研发设备工时计算表2!C22</f>
        <v>0</v>
      </c>
      <c r="H22" s="145">
        <f t="shared" si="2"/>
        <v>0</v>
      </c>
      <c r="I22" s="194"/>
      <c r="J22" s="145">
        <f t="shared" si="12"/>
        <v>0</v>
      </c>
      <c r="K22" s="194"/>
      <c r="L22" s="145">
        <f t="shared" si="3"/>
        <v>0</v>
      </c>
      <c r="M22" s="194"/>
      <c r="N22" s="145">
        <f t="shared" si="13"/>
        <v>0</v>
      </c>
      <c r="O22" s="194"/>
      <c r="P22" s="145">
        <f t="shared" si="4"/>
        <v>0</v>
      </c>
      <c r="Q22" s="194"/>
      <c r="R22" s="145">
        <f t="shared" si="5"/>
        <v>0</v>
      </c>
      <c r="S22" s="194"/>
      <c r="T22" s="145">
        <f t="shared" si="6"/>
        <v>0</v>
      </c>
      <c r="U22" s="194"/>
      <c r="V22" s="145">
        <f t="shared" si="7"/>
        <v>0</v>
      </c>
      <c r="W22" s="194"/>
      <c r="X22" s="145">
        <f t="shared" si="8"/>
        <v>0</v>
      </c>
      <c r="Y22" s="194"/>
      <c r="Z22" s="145">
        <f t="shared" si="9"/>
        <v>0</v>
      </c>
      <c r="AA22" s="194"/>
      <c r="AB22" s="145">
        <f t="shared" si="10"/>
        <v>0</v>
      </c>
      <c r="AC22" s="156"/>
      <c r="AD22" s="156">
        <f t="shared" si="11"/>
        <v>0</v>
      </c>
    </row>
    <row r="23" customHeight="1" spans="2:30">
      <c r="B23" s="193">
        <f>固定资产台账1!A21</f>
        <v>0</v>
      </c>
      <c r="C23" s="193"/>
      <c r="D23" s="193"/>
      <c r="E23" s="145">
        <f>固定资产台账1!C21</f>
        <v>0</v>
      </c>
      <c r="F23" s="145">
        <f>研发设备工时计算表2!D23</f>
        <v>0</v>
      </c>
      <c r="G23" s="145">
        <f>研发设备工时计算表2!C23</f>
        <v>0</v>
      </c>
      <c r="H23" s="145">
        <f t="shared" si="2"/>
        <v>0</v>
      </c>
      <c r="I23" s="194"/>
      <c r="J23" s="145">
        <f t="shared" si="12"/>
        <v>0</v>
      </c>
      <c r="K23" s="194"/>
      <c r="L23" s="145">
        <f t="shared" si="3"/>
        <v>0</v>
      </c>
      <c r="M23" s="194"/>
      <c r="N23" s="145">
        <f t="shared" si="13"/>
        <v>0</v>
      </c>
      <c r="O23" s="194"/>
      <c r="P23" s="145">
        <f t="shared" si="4"/>
        <v>0</v>
      </c>
      <c r="Q23" s="194"/>
      <c r="R23" s="145">
        <f t="shared" si="5"/>
        <v>0</v>
      </c>
      <c r="S23" s="194"/>
      <c r="T23" s="145">
        <f t="shared" si="6"/>
        <v>0</v>
      </c>
      <c r="U23" s="194"/>
      <c r="V23" s="145">
        <f t="shared" si="7"/>
        <v>0</v>
      </c>
      <c r="W23" s="194"/>
      <c r="X23" s="145">
        <f t="shared" si="8"/>
        <v>0</v>
      </c>
      <c r="Y23" s="194"/>
      <c r="Z23" s="145">
        <f t="shared" si="9"/>
        <v>0</v>
      </c>
      <c r="AA23" s="194"/>
      <c r="AB23" s="145">
        <f t="shared" si="10"/>
        <v>0</v>
      </c>
      <c r="AC23" s="156"/>
      <c r="AD23" s="156">
        <f t="shared" si="11"/>
        <v>0</v>
      </c>
    </row>
    <row r="24" customHeight="1" spans="2:30">
      <c r="B24" s="193">
        <f>固定资产台账1!A22</f>
        <v>0</v>
      </c>
      <c r="C24" s="193"/>
      <c r="D24" s="193"/>
      <c r="E24" s="145">
        <f>固定资产台账1!C22</f>
        <v>0</v>
      </c>
      <c r="F24" s="145">
        <f>研发设备工时计算表2!D24</f>
        <v>0</v>
      </c>
      <c r="G24" s="145">
        <f>研发设备工时计算表2!C24</f>
        <v>0</v>
      </c>
      <c r="H24" s="145">
        <f t="shared" si="2"/>
        <v>0</v>
      </c>
      <c r="I24" s="194"/>
      <c r="J24" s="145">
        <f t="shared" si="12"/>
        <v>0</v>
      </c>
      <c r="K24" s="194"/>
      <c r="L24" s="145">
        <f t="shared" si="3"/>
        <v>0</v>
      </c>
      <c r="M24" s="194"/>
      <c r="N24" s="145">
        <f t="shared" si="13"/>
        <v>0</v>
      </c>
      <c r="O24" s="194"/>
      <c r="P24" s="145">
        <f t="shared" si="4"/>
        <v>0</v>
      </c>
      <c r="Q24" s="194"/>
      <c r="R24" s="145">
        <f t="shared" si="5"/>
        <v>0</v>
      </c>
      <c r="S24" s="194"/>
      <c r="T24" s="145">
        <f t="shared" si="6"/>
        <v>0</v>
      </c>
      <c r="U24" s="194"/>
      <c r="V24" s="145">
        <f t="shared" si="7"/>
        <v>0</v>
      </c>
      <c r="W24" s="194"/>
      <c r="X24" s="145">
        <f t="shared" si="8"/>
        <v>0</v>
      </c>
      <c r="Y24" s="194"/>
      <c r="Z24" s="145">
        <f t="shared" si="9"/>
        <v>0</v>
      </c>
      <c r="AA24" s="194"/>
      <c r="AB24" s="145">
        <f t="shared" si="10"/>
        <v>0</v>
      </c>
      <c r="AC24" s="156"/>
      <c r="AD24" s="156">
        <f t="shared" si="11"/>
        <v>0</v>
      </c>
    </row>
    <row r="25" customHeight="1" spans="2:30">
      <c r="B25" s="193">
        <f>固定资产台账1!A23</f>
        <v>0</v>
      </c>
      <c r="C25" s="193"/>
      <c r="D25" s="193"/>
      <c r="E25" s="145">
        <f>固定资产台账1!C23</f>
        <v>0</v>
      </c>
      <c r="F25" s="145">
        <f>研发设备工时计算表2!D25</f>
        <v>0</v>
      </c>
      <c r="G25" s="145">
        <f>研发设备工时计算表2!C25</f>
        <v>0</v>
      </c>
      <c r="H25" s="145">
        <f t="shared" si="2"/>
        <v>0</v>
      </c>
      <c r="I25" s="194"/>
      <c r="J25" s="145">
        <f t="shared" si="12"/>
        <v>0</v>
      </c>
      <c r="K25" s="194"/>
      <c r="L25" s="145">
        <f t="shared" si="3"/>
        <v>0</v>
      </c>
      <c r="M25" s="194"/>
      <c r="N25" s="145">
        <f t="shared" si="13"/>
        <v>0</v>
      </c>
      <c r="O25" s="194"/>
      <c r="P25" s="145">
        <f t="shared" si="4"/>
        <v>0</v>
      </c>
      <c r="Q25" s="194"/>
      <c r="R25" s="145">
        <f t="shared" si="5"/>
        <v>0</v>
      </c>
      <c r="S25" s="194"/>
      <c r="T25" s="145">
        <f t="shared" si="6"/>
        <v>0</v>
      </c>
      <c r="U25" s="194"/>
      <c r="V25" s="145">
        <f t="shared" si="7"/>
        <v>0</v>
      </c>
      <c r="W25" s="194"/>
      <c r="X25" s="145">
        <f t="shared" si="8"/>
        <v>0</v>
      </c>
      <c r="Y25" s="194"/>
      <c r="Z25" s="145">
        <f t="shared" si="9"/>
        <v>0</v>
      </c>
      <c r="AA25" s="194"/>
      <c r="AB25" s="145">
        <f t="shared" si="10"/>
        <v>0</v>
      </c>
      <c r="AC25" s="156"/>
      <c r="AD25" s="156">
        <f t="shared" si="11"/>
        <v>0</v>
      </c>
    </row>
    <row r="26" customHeight="1" spans="2:30">
      <c r="B26" s="193">
        <f>固定资产台账1!A25</f>
        <v>0</v>
      </c>
      <c r="C26" s="193"/>
      <c r="D26" s="193"/>
      <c r="E26" s="145">
        <f>固定资产台账1!C25</f>
        <v>0</v>
      </c>
      <c r="F26" s="145">
        <f>研发设备工时计算表2!D26</f>
        <v>0</v>
      </c>
      <c r="G26" s="145">
        <f>研发设备工时计算表2!C26</f>
        <v>0</v>
      </c>
      <c r="H26" s="145">
        <f t="shared" si="2"/>
        <v>0</v>
      </c>
      <c r="I26" s="194"/>
      <c r="J26" s="145">
        <f t="shared" si="12"/>
        <v>0</v>
      </c>
      <c r="K26" s="194"/>
      <c r="L26" s="145">
        <f t="shared" si="3"/>
        <v>0</v>
      </c>
      <c r="M26" s="194"/>
      <c r="N26" s="145">
        <f t="shared" si="13"/>
        <v>0</v>
      </c>
      <c r="O26" s="194"/>
      <c r="P26" s="145">
        <f t="shared" si="4"/>
        <v>0</v>
      </c>
      <c r="Q26" s="194"/>
      <c r="R26" s="145">
        <f t="shared" si="5"/>
        <v>0</v>
      </c>
      <c r="S26" s="194"/>
      <c r="T26" s="145">
        <f t="shared" si="6"/>
        <v>0</v>
      </c>
      <c r="U26" s="194"/>
      <c r="V26" s="145">
        <f t="shared" si="7"/>
        <v>0</v>
      </c>
      <c r="W26" s="194"/>
      <c r="X26" s="145">
        <f t="shared" si="8"/>
        <v>0</v>
      </c>
      <c r="Y26" s="194"/>
      <c r="Z26" s="145">
        <f t="shared" si="9"/>
        <v>0</v>
      </c>
      <c r="AA26" s="194"/>
      <c r="AB26" s="145">
        <f t="shared" si="10"/>
        <v>0</v>
      </c>
      <c r="AC26" s="156"/>
      <c r="AD26" s="156">
        <f t="shared" si="11"/>
        <v>0</v>
      </c>
    </row>
    <row r="27" customHeight="1" spans="2:30">
      <c r="B27" s="193">
        <f>固定资产台账1!A25</f>
        <v>0</v>
      </c>
      <c r="C27" s="193"/>
      <c r="D27" s="193"/>
      <c r="E27" s="145">
        <f>固定资产台账1!C25</f>
        <v>0</v>
      </c>
      <c r="F27" s="145">
        <f>研发设备工时计算表2!D27</f>
        <v>0</v>
      </c>
      <c r="G27" s="145">
        <f>研发设备工时计算表2!C27</f>
        <v>0</v>
      </c>
      <c r="H27" s="145">
        <f t="shared" si="2"/>
        <v>0</v>
      </c>
      <c r="I27" s="194"/>
      <c r="J27" s="145">
        <f t="shared" si="12"/>
        <v>0</v>
      </c>
      <c r="K27" s="194"/>
      <c r="L27" s="145">
        <f t="shared" si="3"/>
        <v>0</v>
      </c>
      <c r="M27" s="194"/>
      <c r="N27" s="145">
        <f t="shared" si="13"/>
        <v>0</v>
      </c>
      <c r="O27" s="194"/>
      <c r="P27" s="145">
        <f t="shared" si="4"/>
        <v>0</v>
      </c>
      <c r="Q27" s="194"/>
      <c r="R27" s="145">
        <f t="shared" si="5"/>
        <v>0</v>
      </c>
      <c r="S27" s="194"/>
      <c r="T27" s="145">
        <f t="shared" si="6"/>
        <v>0</v>
      </c>
      <c r="U27" s="194"/>
      <c r="V27" s="145">
        <f t="shared" si="7"/>
        <v>0</v>
      </c>
      <c r="W27" s="194"/>
      <c r="X27" s="145">
        <f t="shared" si="8"/>
        <v>0</v>
      </c>
      <c r="Y27" s="194"/>
      <c r="Z27" s="145">
        <f t="shared" si="9"/>
        <v>0</v>
      </c>
      <c r="AA27" s="194"/>
      <c r="AB27" s="145">
        <f t="shared" si="10"/>
        <v>0</v>
      </c>
      <c r="AC27" s="156"/>
      <c r="AD27" s="156">
        <f t="shared" si="11"/>
        <v>0</v>
      </c>
    </row>
    <row r="28" customHeight="1" spans="2:30">
      <c r="B28" s="193">
        <f>固定资产台账1!A26</f>
        <v>0</v>
      </c>
      <c r="C28" s="193"/>
      <c r="D28" s="193"/>
      <c r="E28" s="145">
        <f>固定资产台账1!C26</f>
        <v>0</v>
      </c>
      <c r="F28" s="145">
        <f>研发设备工时计算表2!D28</f>
        <v>0</v>
      </c>
      <c r="G28" s="145">
        <f>研发设备工时计算表2!C28</f>
        <v>0</v>
      </c>
      <c r="H28" s="145">
        <f t="shared" si="2"/>
        <v>0</v>
      </c>
      <c r="I28" s="194"/>
      <c r="J28" s="145">
        <f t="shared" si="12"/>
        <v>0</v>
      </c>
      <c r="K28" s="194"/>
      <c r="L28" s="145">
        <f t="shared" si="3"/>
        <v>0</v>
      </c>
      <c r="M28" s="194"/>
      <c r="N28" s="145">
        <f t="shared" si="13"/>
        <v>0</v>
      </c>
      <c r="O28" s="194"/>
      <c r="P28" s="145">
        <f t="shared" si="4"/>
        <v>0</v>
      </c>
      <c r="Q28" s="194"/>
      <c r="R28" s="145">
        <f t="shared" si="5"/>
        <v>0</v>
      </c>
      <c r="S28" s="194"/>
      <c r="T28" s="145">
        <f t="shared" si="6"/>
        <v>0</v>
      </c>
      <c r="U28" s="194"/>
      <c r="V28" s="145">
        <f t="shared" si="7"/>
        <v>0</v>
      </c>
      <c r="W28" s="194"/>
      <c r="X28" s="145">
        <f t="shared" si="8"/>
        <v>0</v>
      </c>
      <c r="Y28" s="194"/>
      <c r="Z28" s="145">
        <f t="shared" si="9"/>
        <v>0</v>
      </c>
      <c r="AA28" s="194"/>
      <c r="AB28" s="145">
        <f t="shared" si="10"/>
        <v>0</v>
      </c>
      <c r="AC28" s="156"/>
      <c r="AD28" s="156">
        <f t="shared" si="11"/>
        <v>0</v>
      </c>
    </row>
    <row r="29" customHeight="1" spans="2:30">
      <c r="B29" s="193">
        <f>固定资产台账1!A27</f>
        <v>0</v>
      </c>
      <c r="C29" s="193"/>
      <c r="D29" s="193"/>
      <c r="E29" s="145">
        <f>固定资产台账1!C27</f>
        <v>0</v>
      </c>
      <c r="F29" s="145">
        <f>研发设备工时计算表2!D29</f>
        <v>0</v>
      </c>
      <c r="G29" s="145">
        <f>研发设备工时计算表2!C29</f>
        <v>0</v>
      </c>
      <c r="H29" s="145">
        <f t="shared" si="2"/>
        <v>0</v>
      </c>
      <c r="I29" s="194"/>
      <c r="J29" s="145">
        <f t="shared" si="12"/>
        <v>0</v>
      </c>
      <c r="K29" s="194"/>
      <c r="L29" s="145">
        <f t="shared" si="3"/>
        <v>0</v>
      </c>
      <c r="M29" s="194"/>
      <c r="N29" s="145">
        <f t="shared" si="13"/>
        <v>0</v>
      </c>
      <c r="O29" s="194"/>
      <c r="P29" s="145">
        <f t="shared" si="4"/>
        <v>0</v>
      </c>
      <c r="Q29" s="194"/>
      <c r="R29" s="145">
        <f t="shared" si="5"/>
        <v>0</v>
      </c>
      <c r="S29" s="194"/>
      <c r="T29" s="145">
        <f t="shared" si="6"/>
        <v>0</v>
      </c>
      <c r="U29" s="194"/>
      <c r="V29" s="145">
        <f t="shared" si="7"/>
        <v>0</v>
      </c>
      <c r="W29" s="194"/>
      <c r="X29" s="145">
        <f t="shared" si="8"/>
        <v>0</v>
      </c>
      <c r="Y29" s="194"/>
      <c r="Z29" s="145">
        <f t="shared" si="9"/>
        <v>0</v>
      </c>
      <c r="AA29" s="194"/>
      <c r="AB29" s="145">
        <f t="shared" si="10"/>
        <v>0</v>
      </c>
      <c r="AC29" s="156"/>
      <c r="AD29" s="156">
        <f t="shared" si="11"/>
        <v>0</v>
      </c>
    </row>
    <row r="30" customHeight="1" spans="2:30">
      <c r="B30" s="196" t="s">
        <v>255</v>
      </c>
      <c r="C30" s="197"/>
      <c r="D30" s="198"/>
      <c r="E30" s="199">
        <f t="shared" ref="E30:I30" si="14">SUM(E5:E29)</f>
        <v>0</v>
      </c>
      <c r="F30" s="188">
        <f t="shared" si="14"/>
        <v>0</v>
      </c>
      <c r="G30" s="188">
        <f t="shared" si="14"/>
        <v>0</v>
      </c>
      <c r="H30" s="188">
        <f t="shared" si="14"/>
        <v>0</v>
      </c>
      <c r="I30" s="188">
        <f t="shared" ref="I30:K30" si="15">SUM(I5:I29)</f>
        <v>0</v>
      </c>
      <c r="J30" s="188">
        <f t="shared" si="15"/>
        <v>0</v>
      </c>
      <c r="K30" s="188">
        <f t="shared" ref="K30:M30" si="16">SUM(K5:K29)</f>
        <v>0</v>
      </c>
      <c r="L30" s="188">
        <f t="shared" si="16"/>
        <v>0</v>
      </c>
      <c r="M30" s="188">
        <f t="shared" si="16"/>
        <v>0</v>
      </c>
      <c r="N30" s="188">
        <f t="shared" ref="N30:Q30" si="17">SUM(N5:N29)</f>
        <v>0</v>
      </c>
      <c r="O30" s="188">
        <f t="shared" si="17"/>
        <v>0</v>
      </c>
      <c r="P30" s="188">
        <f t="shared" si="17"/>
        <v>0</v>
      </c>
      <c r="Q30" s="188">
        <f t="shared" si="17"/>
        <v>0</v>
      </c>
      <c r="R30" s="188">
        <f t="shared" ref="R30:U30" si="18">SUM(R5:R29)</f>
        <v>0</v>
      </c>
      <c r="S30" s="188">
        <f t="shared" si="18"/>
        <v>0</v>
      </c>
      <c r="T30" s="188">
        <f t="shared" si="18"/>
        <v>0</v>
      </c>
      <c r="U30" s="188">
        <f t="shared" si="18"/>
        <v>0</v>
      </c>
      <c r="V30" s="188">
        <f t="shared" ref="V30:AB30" si="19">SUM(V5:V29)</f>
        <v>0</v>
      </c>
      <c r="W30" s="188">
        <f t="shared" si="19"/>
        <v>0</v>
      </c>
      <c r="X30" s="188">
        <f t="shared" si="19"/>
        <v>0</v>
      </c>
      <c r="Y30" s="188">
        <f t="shared" si="19"/>
        <v>0</v>
      </c>
      <c r="Z30" s="188">
        <f t="shared" si="19"/>
        <v>0</v>
      </c>
      <c r="AA30" s="188">
        <f t="shared" si="19"/>
        <v>0</v>
      </c>
      <c r="AB30" s="188">
        <f t="shared" si="19"/>
        <v>0</v>
      </c>
      <c r="AC30" s="156"/>
      <c r="AD30" s="156">
        <f t="shared" si="11"/>
        <v>0</v>
      </c>
    </row>
    <row r="31" customHeight="1" spans="2:30">
      <c r="E31" s="200"/>
      <c r="F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156"/>
      <c r="AD31" s="156"/>
    </row>
    <row r="32" customHeight="1" spans="2:30">
      <c r="E32" s="200"/>
      <c r="G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156"/>
      <c r="AD32" s="156"/>
    </row>
    <row r="33" customHeight="1" spans="2:30">
      <c r="B33" s="186" t="s">
        <v>256</v>
      </c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56"/>
      <c r="AD33" s="156"/>
    </row>
    <row r="34" customHeight="1" spans="2:30">
      <c r="B34" s="187" t="s">
        <v>249</v>
      </c>
      <c r="C34" s="187"/>
      <c r="D34" s="187"/>
      <c r="E34" s="188" t="s">
        <v>250</v>
      </c>
      <c r="F34" s="189" t="s">
        <v>251</v>
      </c>
      <c r="G34" s="190" t="s">
        <v>252</v>
      </c>
      <c r="H34" s="190" t="s">
        <v>251</v>
      </c>
      <c r="I34" s="191" t="str">
        <f>立项!A3</f>
        <v>RD01</v>
      </c>
      <c r="J34" s="191"/>
      <c r="K34" s="191" t="str">
        <f>立项!A4</f>
        <v>RD02</v>
      </c>
      <c r="L34" s="191"/>
      <c r="M34" s="191" t="str">
        <f>立项!A5</f>
        <v>RD03</v>
      </c>
      <c r="N34" s="191"/>
      <c r="O34" s="191" t="str">
        <f>立项!A6</f>
        <v>RD04</v>
      </c>
      <c r="P34" s="191"/>
      <c r="Q34" s="191" t="str">
        <f>立项!A7</f>
        <v>RD05</v>
      </c>
      <c r="R34" s="191"/>
      <c r="S34" s="191" t="str">
        <f>立项!A8</f>
        <v>RD06</v>
      </c>
      <c r="T34" s="191"/>
      <c r="U34" s="191" t="str">
        <f>立项!A9</f>
        <v>RD07</v>
      </c>
      <c r="V34" s="191"/>
      <c r="W34" s="191" t="str">
        <f>立项!A10</f>
        <v>RD08</v>
      </c>
      <c r="X34" s="191"/>
      <c r="Y34" s="191" t="str">
        <f>立项!A11</f>
        <v>RD09</v>
      </c>
      <c r="Z34" s="191"/>
      <c r="AA34" s="191" t="str">
        <f>立项!A12</f>
        <v>RD10</v>
      </c>
      <c r="AB34" s="191"/>
      <c r="AC34" s="156"/>
      <c r="AD34" s="156"/>
    </row>
    <row r="35" customHeight="1" spans="2:30">
      <c r="B35" s="187"/>
      <c r="C35" s="187"/>
      <c r="D35" s="187"/>
      <c r="E35" s="188"/>
      <c r="F35" s="188"/>
      <c r="G35" s="190"/>
      <c r="H35" s="190"/>
      <c r="I35" s="192" t="s">
        <v>253</v>
      </c>
      <c r="J35" s="192" t="s">
        <v>254</v>
      </c>
      <c r="K35" s="192" t="s">
        <v>253</v>
      </c>
      <c r="L35" s="192" t="s">
        <v>254</v>
      </c>
      <c r="M35" s="192" t="s">
        <v>253</v>
      </c>
      <c r="N35" s="192" t="s">
        <v>254</v>
      </c>
      <c r="O35" s="192" t="s">
        <v>253</v>
      </c>
      <c r="P35" s="192" t="s">
        <v>254</v>
      </c>
      <c r="Q35" s="192" t="s">
        <v>253</v>
      </c>
      <c r="R35" s="192" t="s">
        <v>254</v>
      </c>
      <c r="S35" s="192" t="s">
        <v>253</v>
      </c>
      <c r="T35" s="192" t="s">
        <v>254</v>
      </c>
      <c r="U35" s="192" t="s">
        <v>253</v>
      </c>
      <c r="V35" s="192" t="s">
        <v>254</v>
      </c>
      <c r="W35" s="192" t="s">
        <v>253</v>
      </c>
      <c r="X35" s="192" t="s">
        <v>254</v>
      </c>
      <c r="Y35" s="192" t="s">
        <v>253</v>
      </c>
      <c r="Z35" s="192" t="s">
        <v>254</v>
      </c>
      <c r="AA35" s="192" t="s">
        <v>253</v>
      </c>
      <c r="AB35" s="192" t="s">
        <v>254</v>
      </c>
      <c r="AC35" s="156"/>
      <c r="AD35" s="156"/>
    </row>
    <row r="36" customHeight="1" spans="2:30">
      <c r="B36" s="193">
        <f>固定资产台账1!A3</f>
        <v>0</v>
      </c>
      <c r="C36" s="193"/>
      <c r="D36" s="193"/>
      <c r="E36" s="145">
        <f>固定资产台账1!C3</f>
        <v>0</v>
      </c>
      <c r="F36" s="145">
        <f>研发设备工时计算表2!G5</f>
        <v>0</v>
      </c>
      <c r="G36" s="201">
        <f>研发设备工时计算表2!F5</f>
        <v>0</v>
      </c>
      <c r="H36" s="145">
        <f>J36+L36+N36+P36+R36+T36+V36+X36+Z36+AB36</f>
        <v>0</v>
      </c>
      <c r="I36" s="194"/>
      <c r="J36" s="145">
        <f t="shared" ref="J36:N36" si="20">IF($G36=0,0,ROUND(I36/$G36*$F36,2))</f>
        <v>0</v>
      </c>
      <c r="K36" s="194"/>
      <c r="L36" s="145">
        <f t="shared" si="20"/>
        <v>0</v>
      </c>
      <c r="M36" s="194"/>
      <c r="N36" s="145">
        <f t="shared" ref="N36:R36" si="21">IF($G36=0,0,ROUND(M36/$G36*$F36,2))</f>
        <v>0</v>
      </c>
      <c r="O36" s="194"/>
      <c r="P36" s="145">
        <f t="shared" si="21"/>
        <v>0</v>
      </c>
      <c r="Q36" s="194"/>
      <c r="R36" s="145">
        <f t="shared" si="21"/>
        <v>0</v>
      </c>
      <c r="S36" s="194"/>
      <c r="T36" s="145">
        <f t="shared" ref="T36:X36" si="22">IF($G36=0,0,ROUND(S36/$G36*$F36,2))</f>
        <v>0</v>
      </c>
      <c r="U36" s="194"/>
      <c r="V36" s="145">
        <f t="shared" si="22"/>
        <v>0</v>
      </c>
      <c r="W36" s="194"/>
      <c r="X36" s="145">
        <f t="shared" si="22"/>
        <v>0</v>
      </c>
      <c r="Y36" s="194"/>
      <c r="Z36" s="145">
        <f>IF($G36=0,0,ROUND(Y36/$G36*$F36,2))</f>
        <v>0</v>
      </c>
      <c r="AA36" s="194"/>
      <c r="AB36" s="145">
        <f>IF($G36=0,0,ROUND(AA36/$G36*$F36,2))</f>
        <v>0</v>
      </c>
      <c r="AC36" s="156"/>
      <c r="AD36" s="156">
        <f>F36-H36</f>
        <v>0</v>
      </c>
    </row>
    <row r="37" customHeight="1" spans="2:30">
      <c r="B37" s="193">
        <f>固定资产台账1!A4</f>
        <v>0</v>
      </c>
      <c r="C37" s="193"/>
      <c r="D37" s="193"/>
      <c r="E37" s="145">
        <f>固定资产台账1!C4</f>
        <v>0</v>
      </c>
      <c r="F37" s="145">
        <f>研发设备工时计算表2!G6</f>
        <v>0</v>
      </c>
      <c r="G37" s="201">
        <f>研发设备工时计算表2!F6</f>
        <v>0</v>
      </c>
      <c r="H37" s="145">
        <f t="shared" ref="H37:H60" si="23">J37+L37+N37+P37+R37+T37+V37+X37+Z37+AB37</f>
        <v>0</v>
      </c>
      <c r="I37" s="194"/>
      <c r="J37" s="145">
        <f t="shared" ref="J37:J60" si="24">IF($G37=0,0,ROUND(I37/$G37*F37,2))</f>
        <v>0</v>
      </c>
      <c r="K37" s="194"/>
      <c r="L37" s="145">
        <f t="shared" ref="L37:L60" si="25">IF($G37=0,0,ROUND(K37/$G37*$F37,2))</f>
        <v>0</v>
      </c>
      <c r="M37" s="194"/>
      <c r="N37" s="145">
        <f t="shared" ref="N37:N60" si="26">IF($G37=0,0,ROUND(M37/$G37*$F37,2))</f>
        <v>0</v>
      </c>
      <c r="O37" s="194"/>
      <c r="P37" s="145">
        <f t="shared" ref="P37:P60" si="27">IF($G37=0,0,ROUND(O37/$G37*$F37,2))</f>
        <v>0</v>
      </c>
      <c r="Q37" s="194"/>
      <c r="R37" s="145">
        <f t="shared" ref="R37:R60" si="28">IF($G37=0,0,ROUND(Q37/$G37*$F37,2))</f>
        <v>0</v>
      </c>
      <c r="S37" s="194"/>
      <c r="T37" s="145">
        <f t="shared" ref="T37:T60" si="29">IF($G37=0,0,ROUND(S37/$G37*$F37,2))</f>
        <v>0</v>
      </c>
      <c r="U37" s="194"/>
      <c r="V37" s="145">
        <f t="shared" ref="V37:V60" si="30">IF($G37=0,0,ROUND(U37/$G37*$F37,2))</f>
        <v>0</v>
      </c>
      <c r="W37" s="194"/>
      <c r="X37" s="145">
        <f t="shared" ref="X37:X60" si="31">IF($G37=0,0,ROUND(W37/$G37*$F37,2))</f>
        <v>0</v>
      </c>
      <c r="Y37" s="194"/>
      <c r="Z37" s="145">
        <f t="shared" ref="Z37:Z60" si="32">IF($G37=0,0,ROUND(Y37/$G37*$F37,2))</f>
        <v>0</v>
      </c>
      <c r="AA37" s="194"/>
      <c r="AB37" s="145">
        <f t="shared" ref="AB37:AB60" si="33">IF($G37=0,0,ROUND(AA37/$G37*$F37,2))</f>
        <v>0</v>
      </c>
      <c r="AC37" s="156"/>
      <c r="AD37" s="156">
        <f t="shared" ref="AD37:AD61" si="34">F37-H37</f>
        <v>0</v>
      </c>
    </row>
    <row r="38" customHeight="1" spans="2:30">
      <c r="B38" s="193">
        <f>固定资产台账1!A5</f>
        <v>0</v>
      </c>
      <c r="C38" s="193"/>
      <c r="D38" s="193"/>
      <c r="E38" s="145">
        <f>固定资产台账1!C5</f>
        <v>0</v>
      </c>
      <c r="F38" s="145">
        <f>研发设备工时计算表2!G7</f>
        <v>0</v>
      </c>
      <c r="G38" s="201">
        <f>研发设备工时计算表2!F7</f>
        <v>0</v>
      </c>
      <c r="H38" s="145">
        <f t="shared" si="23"/>
        <v>0</v>
      </c>
      <c r="I38" s="194"/>
      <c r="J38" s="145">
        <f t="shared" si="24"/>
        <v>0</v>
      </c>
      <c r="K38" s="194"/>
      <c r="L38" s="145">
        <f t="shared" si="25"/>
        <v>0</v>
      </c>
      <c r="M38" s="194"/>
      <c r="N38" s="145">
        <f t="shared" si="26"/>
        <v>0</v>
      </c>
      <c r="O38" s="194"/>
      <c r="P38" s="145">
        <f t="shared" si="27"/>
        <v>0</v>
      </c>
      <c r="Q38" s="194"/>
      <c r="R38" s="145">
        <f t="shared" si="28"/>
        <v>0</v>
      </c>
      <c r="S38" s="194"/>
      <c r="T38" s="145">
        <f t="shared" si="29"/>
        <v>0</v>
      </c>
      <c r="U38" s="194"/>
      <c r="V38" s="145">
        <f t="shared" si="30"/>
        <v>0</v>
      </c>
      <c r="W38" s="194"/>
      <c r="X38" s="145">
        <f t="shared" si="31"/>
        <v>0</v>
      </c>
      <c r="Y38" s="194"/>
      <c r="Z38" s="145">
        <f t="shared" si="32"/>
        <v>0</v>
      </c>
      <c r="AA38" s="194"/>
      <c r="AB38" s="145">
        <f t="shared" si="33"/>
        <v>0</v>
      </c>
      <c r="AC38" s="156"/>
      <c r="AD38" s="156">
        <f t="shared" si="34"/>
        <v>0</v>
      </c>
    </row>
    <row r="39" customHeight="1" spans="2:30">
      <c r="B39" s="193">
        <f>固定资产台账1!A6</f>
        <v>0</v>
      </c>
      <c r="C39" s="193"/>
      <c r="D39" s="193"/>
      <c r="E39" s="145">
        <f>固定资产台账1!C6</f>
        <v>0</v>
      </c>
      <c r="F39" s="145">
        <f>研发设备工时计算表2!G8</f>
        <v>0</v>
      </c>
      <c r="G39" s="201">
        <f>研发设备工时计算表2!F8</f>
        <v>0</v>
      </c>
      <c r="H39" s="145">
        <f t="shared" si="23"/>
        <v>0</v>
      </c>
      <c r="I39" s="194"/>
      <c r="J39" s="145">
        <f t="shared" si="24"/>
        <v>0</v>
      </c>
      <c r="K39" s="194"/>
      <c r="L39" s="145">
        <f t="shared" si="25"/>
        <v>0</v>
      </c>
      <c r="M39" s="194"/>
      <c r="N39" s="145">
        <f t="shared" si="26"/>
        <v>0</v>
      </c>
      <c r="O39" s="194"/>
      <c r="P39" s="145">
        <f t="shared" si="27"/>
        <v>0</v>
      </c>
      <c r="Q39" s="194"/>
      <c r="R39" s="145">
        <f t="shared" si="28"/>
        <v>0</v>
      </c>
      <c r="S39" s="194"/>
      <c r="T39" s="145">
        <f t="shared" si="29"/>
        <v>0</v>
      </c>
      <c r="U39" s="194"/>
      <c r="V39" s="145">
        <f t="shared" si="30"/>
        <v>0</v>
      </c>
      <c r="W39" s="194"/>
      <c r="X39" s="145">
        <f t="shared" si="31"/>
        <v>0</v>
      </c>
      <c r="Y39" s="194"/>
      <c r="Z39" s="145">
        <f t="shared" si="32"/>
        <v>0</v>
      </c>
      <c r="AA39" s="194"/>
      <c r="AB39" s="145">
        <f t="shared" si="33"/>
        <v>0</v>
      </c>
      <c r="AC39" s="156"/>
      <c r="AD39" s="156">
        <f t="shared" si="34"/>
        <v>0</v>
      </c>
    </row>
    <row r="40" customHeight="1" spans="2:30">
      <c r="B40" s="193">
        <f>固定资产台账1!A7</f>
        <v>0</v>
      </c>
      <c r="C40" s="193"/>
      <c r="D40" s="193"/>
      <c r="E40" s="145">
        <f>固定资产台账1!C7</f>
        <v>0</v>
      </c>
      <c r="F40" s="145">
        <f>研发设备工时计算表2!G9</f>
        <v>0</v>
      </c>
      <c r="G40" s="201">
        <f>研发设备工时计算表2!F9</f>
        <v>0</v>
      </c>
      <c r="H40" s="145">
        <f t="shared" si="23"/>
        <v>0</v>
      </c>
      <c r="I40" s="194"/>
      <c r="J40" s="145">
        <f t="shared" si="24"/>
        <v>0</v>
      </c>
      <c r="K40" s="194"/>
      <c r="L40" s="145">
        <f t="shared" si="25"/>
        <v>0</v>
      </c>
      <c r="M40" s="194"/>
      <c r="N40" s="145">
        <f t="shared" si="26"/>
        <v>0</v>
      </c>
      <c r="O40" s="194"/>
      <c r="P40" s="145">
        <f t="shared" si="27"/>
        <v>0</v>
      </c>
      <c r="Q40" s="194"/>
      <c r="R40" s="145">
        <f t="shared" si="28"/>
        <v>0</v>
      </c>
      <c r="S40" s="194"/>
      <c r="T40" s="145">
        <f t="shared" si="29"/>
        <v>0</v>
      </c>
      <c r="U40" s="194"/>
      <c r="V40" s="145">
        <f t="shared" si="30"/>
        <v>0</v>
      </c>
      <c r="W40" s="194"/>
      <c r="X40" s="145">
        <f t="shared" si="31"/>
        <v>0</v>
      </c>
      <c r="Y40" s="194"/>
      <c r="Z40" s="145">
        <f t="shared" si="32"/>
        <v>0</v>
      </c>
      <c r="AA40" s="194"/>
      <c r="AB40" s="145">
        <f t="shared" si="33"/>
        <v>0</v>
      </c>
      <c r="AC40" s="156"/>
      <c r="AD40" s="156">
        <f t="shared" si="34"/>
        <v>0</v>
      </c>
    </row>
    <row r="41" customHeight="1" spans="2:30">
      <c r="B41" s="193">
        <f>固定资产台账1!A8</f>
        <v>0</v>
      </c>
      <c r="C41" s="193"/>
      <c r="D41" s="193"/>
      <c r="E41" s="145">
        <f>固定资产台账1!C8</f>
        <v>0</v>
      </c>
      <c r="F41" s="145">
        <f>研发设备工时计算表2!G10</f>
        <v>0</v>
      </c>
      <c r="G41" s="201">
        <f>研发设备工时计算表2!F10</f>
        <v>0</v>
      </c>
      <c r="H41" s="145">
        <f t="shared" si="23"/>
        <v>0</v>
      </c>
      <c r="I41" s="194"/>
      <c r="J41" s="145">
        <f t="shared" si="24"/>
        <v>0</v>
      </c>
      <c r="K41" s="194"/>
      <c r="L41" s="145">
        <f t="shared" si="25"/>
        <v>0</v>
      </c>
      <c r="M41" s="194"/>
      <c r="N41" s="145">
        <f t="shared" si="26"/>
        <v>0</v>
      </c>
      <c r="O41" s="194"/>
      <c r="P41" s="145">
        <f t="shared" si="27"/>
        <v>0</v>
      </c>
      <c r="Q41" s="194"/>
      <c r="R41" s="145">
        <f t="shared" si="28"/>
        <v>0</v>
      </c>
      <c r="S41" s="194"/>
      <c r="T41" s="145">
        <f t="shared" si="29"/>
        <v>0</v>
      </c>
      <c r="U41" s="194"/>
      <c r="V41" s="145">
        <f t="shared" si="30"/>
        <v>0</v>
      </c>
      <c r="W41" s="194"/>
      <c r="X41" s="145">
        <f t="shared" si="31"/>
        <v>0</v>
      </c>
      <c r="Y41" s="194"/>
      <c r="Z41" s="145">
        <f t="shared" si="32"/>
        <v>0</v>
      </c>
      <c r="AA41" s="194"/>
      <c r="AB41" s="145">
        <f t="shared" si="33"/>
        <v>0</v>
      </c>
      <c r="AC41" s="156"/>
      <c r="AD41" s="156">
        <f t="shared" si="34"/>
        <v>0</v>
      </c>
    </row>
    <row r="42" customHeight="1" spans="2:30">
      <c r="B42" s="193">
        <f>固定资产台账1!A9</f>
        <v>0</v>
      </c>
      <c r="C42" s="193"/>
      <c r="D42" s="193"/>
      <c r="E42" s="145">
        <f>固定资产台账1!C9</f>
        <v>0</v>
      </c>
      <c r="F42" s="145">
        <f>研发设备工时计算表2!G11</f>
        <v>0</v>
      </c>
      <c r="G42" s="201">
        <f>研发设备工时计算表2!F11</f>
        <v>0</v>
      </c>
      <c r="H42" s="145">
        <f t="shared" si="23"/>
        <v>0</v>
      </c>
      <c r="I42" s="194"/>
      <c r="J42" s="145">
        <f t="shared" si="24"/>
        <v>0</v>
      </c>
      <c r="K42" s="194"/>
      <c r="L42" s="145">
        <f t="shared" si="25"/>
        <v>0</v>
      </c>
      <c r="M42" s="194"/>
      <c r="N42" s="145">
        <f t="shared" si="26"/>
        <v>0</v>
      </c>
      <c r="O42" s="194"/>
      <c r="P42" s="145">
        <f t="shared" si="27"/>
        <v>0</v>
      </c>
      <c r="Q42" s="194"/>
      <c r="R42" s="145">
        <f t="shared" si="28"/>
        <v>0</v>
      </c>
      <c r="S42" s="194"/>
      <c r="T42" s="145">
        <f t="shared" si="29"/>
        <v>0</v>
      </c>
      <c r="U42" s="194"/>
      <c r="V42" s="145">
        <f t="shared" si="30"/>
        <v>0</v>
      </c>
      <c r="W42" s="194"/>
      <c r="X42" s="145">
        <f t="shared" si="31"/>
        <v>0</v>
      </c>
      <c r="Y42" s="194"/>
      <c r="Z42" s="145">
        <f t="shared" si="32"/>
        <v>0</v>
      </c>
      <c r="AA42" s="194"/>
      <c r="AB42" s="145">
        <f t="shared" si="33"/>
        <v>0</v>
      </c>
      <c r="AC42" s="156"/>
      <c r="AD42" s="156">
        <f t="shared" si="34"/>
        <v>0</v>
      </c>
    </row>
    <row r="43" customHeight="1" spans="2:30">
      <c r="B43" s="193">
        <f>固定资产台账1!A10</f>
        <v>0</v>
      </c>
      <c r="C43" s="193"/>
      <c r="D43" s="193"/>
      <c r="E43" s="145">
        <f>固定资产台账1!C10</f>
        <v>0</v>
      </c>
      <c r="F43" s="145">
        <f>研发设备工时计算表2!G12</f>
        <v>0</v>
      </c>
      <c r="G43" s="201">
        <f>研发设备工时计算表2!F12</f>
        <v>0</v>
      </c>
      <c r="H43" s="145">
        <f t="shared" si="23"/>
        <v>0</v>
      </c>
      <c r="I43" s="194"/>
      <c r="J43" s="145">
        <f t="shared" si="24"/>
        <v>0</v>
      </c>
      <c r="K43" s="194"/>
      <c r="L43" s="145">
        <f t="shared" si="25"/>
        <v>0</v>
      </c>
      <c r="M43" s="194"/>
      <c r="N43" s="145">
        <f t="shared" si="26"/>
        <v>0</v>
      </c>
      <c r="O43" s="194"/>
      <c r="P43" s="145">
        <f t="shared" si="27"/>
        <v>0</v>
      </c>
      <c r="Q43" s="194"/>
      <c r="R43" s="145">
        <f t="shared" si="28"/>
        <v>0</v>
      </c>
      <c r="S43" s="194"/>
      <c r="T43" s="145">
        <f t="shared" si="29"/>
        <v>0</v>
      </c>
      <c r="U43" s="194"/>
      <c r="V43" s="145">
        <f t="shared" si="30"/>
        <v>0</v>
      </c>
      <c r="W43" s="194"/>
      <c r="X43" s="145">
        <f t="shared" si="31"/>
        <v>0</v>
      </c>
      <c r="Y43" s="194"/>
      <c r="Z43" s="145">
        <f t="shared" si="32"/>
        <v>0</v>
      </c>
      <c r="AA43" s="194"/>
      <c r="AB43" s="145">
        <f t="shared" si="33"/>
        <v>0</v>
      </c>
      <c r="AC43" s="156"/>
      <c r="AD43" s="156">
        <f t="shared" si="34"/>
        <v>0</v>
      </c>
    </row>
    <row r="44" customHeight="1" spans="2:30">
      <c r="B44" s="193">
        <f>固定资产台账1!A11</f>
        <v>0</v>
      </c>
      <c r="C44" s="193"/>
      <c r="D44" s="193"/>
      <c r="E44" s="145">
        <f>固定资产台账1!C11</f>
        <v>0</v>
      </c>
      <c r="F44" s="145">
        <f>研发设备工时计算表2!G13</f>
        <v>0</v>
      </c>
      <c r="G44" s="201">
        <f>研发设备工时计算表2!F13</f>
        <v>0</v>
      </c>
      <c r="H44" s="145">
        <f t="shared" si="23"/>
        <v>0</v>
      </c>
      <c r="I44" s="194"/>
      <c r="J44" s="145">
        <f t="shared" si="24"/>
        <v>0</v>
      </c>
      <c r="K44" s="194"/>
      <c r="L44" s="145">
        <f t="shared" si="25"/>
        <v>0</v>
      </c>
      <c r="M44" s="194"/>
      <c r="N44" s="145">
        <f t="shared" si="26"/>
        <v>0</v>
      </c>
      <c r="O44" s="194"/>
      <c r="P44" s="145">
        <f t="shared" si="27"/>
        <v>0</v>
      </c>
      <c r="Q44" s="194"/>
      <c r="R44" s="145">
        <f t="shared" si="28"/>
        <v>0</v>
      </c>
      <c r="S44" s="194"/>
      <c r="T44" s="145">
        <f t="shared" si="29"/>
        <v>0</v>
      </c>
      <c r="U44" s="194"/>
      <c r="V44" s="145">
        <f t="shared" si="30"/>
        <v>0</v>
      </c>
      <c r="W44" s="194"/>
      <c r="X44" s="145">
        <f t="shared" si="31"/>
        <v>0</v>
      </c>
      <c r="Y44" s="194"/>
      <c r="Z44" s="145">
        <f t="shared" si="32"/>
        <v>0</v>
      </c>
      <c r="AA44" s="194"/>
      <c r="AB44" s="145">
        <f t="shared" si="33"/>
        <v>0</v>
      </c>
      <c r="AC44" s="156"/>
      <c r="AD44" s="156">
        <f t="shared" si="34"/>
        <v>0</v>
      </c>
    </row>
    <row r="45" customHeight="1" spans="2:30">
      <c r="B45" s="193">
        <f>固定资产台账1!A12</f>
        <v>0</v>
      </c>
      <c r="C45" s="193"/>
      <c r="D45" s="193"/>
      <c r="E45" s="145">
        <f>固定资产台账1!C12</f>
        <v>0</v>
      </c>
      <c r="F45" s="145">
        <f>研发设备工时计算表2!G14</f>
        <v>0</v>
      </c>
      <c r="G45" s="201">
        <f>研发设备工时计算表2!F14</f>
        <v>0</v>
      </c>
      <c r="H45" s="145">
        <f t="shared" si="23"/>
        <v>0</v>
      </c>
      <c r="I45" s="194"/>
      <c r="J45" s="145">
        <f t="shared" si="24"/>
        <v>0</v>
      </c>
      <c r="K45" s="194"/>
      <c r="L45" s="145">
        <f t="shared" si="25"/>
        <v>0</v>
      </c>
      <c r="M45" s="194"/>
      <c r="N45" s="145">
        <f t="shared" si="26"/>
        <v>0</v>
      </c>
      <c r="O45" s="194"/>
      <c r="P45" s="145">
        <f t="shared" si="27"/>
        <v>0</v>
      </c>
      <c r="Q45" s="194"/>
      <c r="R45" s="145">
        <f t="shared" si="28"/>
        <v>0</v>
      </c>
      <c r="S45" s="194"/>
      <c r="T45" s="145">
        <f t="shared" si="29"/>
        <v>0</v>
      </c>
      <c r="U45" s="194"/>
      <c r="V45" s="145">
        <f t="shared" si="30"/>
        <v>0</v>
      </c>
      <c r="W45" s="194"/>
      <c r="X45" s="145">
        <f t="shared" si="31"/>
        <v>0</v>
      </c>
      <c r="Y45" s="194"/>
      <c r="Z45" s="145">
        <f t="shared" si="32"/>
        <v>0</v>
      </c>
      <c r="AA45" s="194"/>
      <c r="AB45" s="145">
        <f t="shared" si="33"/>
        <v>0</v>
      </c>
      <c r="AC45" s="156"/>
      <c r="AD45" s="156">
        <f t="shared" si="34"/>
        <v>0</v>
      </c>
    </row>
    <row r="46" customHeight="1" spans="2:30">
      <c r="B46" s="193">
        <f>固定资产台账1!A13</f>
        <v>0</v>
      </c>
      <c r="C46" s="193"/>
      <c r="D46" s="193"/>
      <c r="E46" s="145">
        <f>固定资产台账1!C13</f>
        <v>0</v>
      </c>
      <c r="F46" s="145">
        <f>研发设备工时计算表2!G15</f>
        <v>0</v>
      </c>
      <c r="G46" s="201">
        <f>研发设备工时计算表2!F15</f>
        <v>0</v>
      </c>
      <c r="H46" s="145">
        <f t="shared" si="23"/>
        <v>0</v>
      </c>
      <c r="I46" s="194"/>
      <c r="J46" s="145">
        <f t="shared" si="24"/>
        <v>0</v>
      </c>
      <c r="K46" s="194"/>
      <c r="L46" s="145">
        <f t="shared" si="25"/>
        <v>0</v>
      </c>
      <c r="M46" s="194"/>
      <c r="N46" s="145">
        <f t="shared" si="26"/>
        <v>0</v>
      </c>
      <c r="O46" s="194"/>
      <c r="P46" s="145">
        <f t="shared" si="27"/>
        <v>0</v>
      </c>
      <c r="Q46" s="194"/>
      <c r="R46" s="145">
        <f t="shared" si="28"/>
        <v>0</v>
      </c>
      <c r="S46" s="194"/>
      <c r="T46" s="145">
        <f t="shared" si="29"/>
        <v>0</v>
      </c>
      <c r="U46" s="194"/>
      <c r="V46" s="145">
        <f t="shared" si="30"/>
        <v>0</v>
      </c>
      <c r="W46" s="194"/>
      <c r="X46" s="145">
        <f t="shared" si="31"/>
        <v>0</v>
      </c>
      <c r="Y46" s="194"/>
      <c r="Z46" s="145">
        <f t="shared" si="32"/>
        <v>0</v>
      </c>
      <c r="AA46" s="194"/>
      <c r="AB46" s="145">
        <f t="shared" si="33"/>
        <v>0</v>
      </c>
      <c r="AC46" s="156"/>
      <c r="AD46" s="156">
        <f t="shared" si="34"/>
        <v>0</v>
      </c>
    </row>
    <row r="47" customHeight="1" spans="2:30">
      <c r="B47" s="193">
        <f>固定资产台账1!A14</f>
        <v>0</v>
      </c>
      <c r="C47" s="193"/>
      <c r="D47" s="193"/>
      <c r="E47" s="145">
        <f>固定资产台账1!C14</f>
        <v>0</v>
      </c>
      <c r="F47" s="145">
        <f>研发设备工时计算表2!G16</f>
        <v>0</v>
      </c>
      <c r="G47" s="201">
        <f>研发设备工时计算表2!F16</f>
        <v>0</v>
      </c>
      <c r="H47" s="145">
        <f t="shared" si="23"/>
        <v>0</v>
      </c>
      <c r="I47" s="194"/>
      <c r="J47" s="145">
        <f t="shared" si="24"/>
        <v>0</v>
      </c>
      <c r="K47" s="194"/>
      <c r="L47" s="145">
        <f t="shared" si="25"/>
        <v>0</v>
      </c>
      <c r="M47" s="194"/>
      <c r="N47" s="145">
        <f t="shared" si="26"/>
        <v>0</v>
      </c>
      <c r="O47" s="194"/>
      <c r="P47" s="145">
        <f t="shared" si="27"/>
        <v>0</v>
      </c>
      <c r="Q47" s="194"/>
      <c r="R47" s="145">
        <f t="shared" si="28"/>
        <v>0</v>
      </c>
      <c r="S47" s="194"/>
      <c r="T47" s="145">
        <f t="shared" si="29"/>
        <v>0</v>
      </c>
      <c r="U47" s="194"/>
      <c r="V47" s="145">
        <f t="shared" si="30"/>
        <v>0</v>
      </c>
      <c r="W47" s="194"/>
      <c r="X47" s="145">
        <f t="shared" si="31"/>
        <v>0</v>
      </c>
      <c r="Y47" s="194"/>
      <c r="Z47" s="145">
        <f t="shared" si="32"/>
        <v>0</v>
      </c>
      <c r="AA47" s="194"/>
      <c r="AB47" s="145">
        <f t="shared" si="33"/>
        <v>0</v>
      </c>
      <c r="AC47" s="156"/>
      <c r="AD47" s="156">
        <f t="shared" si="34"/>
        <v>0</v>
      </c>
    </row>
    <row r="48" customHeight="1" spans="2:30">
      <c r="B48" s="193">
        <f>固定资产台账1!A15</f>
        <v>0</v>
      </c>
      <c r="C48" s="193"/>
      <c r="D48" s="193"/>
      <c r="E48" s="145">
        <f>固定资产台账1!C15</f>
        <v>0</v>
      </c>
      <c r="F48" s="145">
        <f>研发设备工时计算表2!G17</f>
        <v>0</v>
      </c>
      <c r="G48" s="201">
        <f>研发设备工时计算表2!F17</f>
        <v>0</v>
      </c>
      <c r="H48" s="145">
        <f t="shared" si="23"/>
        <v>0</v>
      </c>
      <c r="I48" s="194"/>
      <c r="J48" s="145">
        <f t="shared" si="24"/>
        <v>0</v>
      </c>
      <c r="K48" s="194"/>
      <c r="L48" s="145">
        <f t="shared" si="25"/>
        <v>0</v>
      </c>
      <c r="M48" s="194"/>
      <c r="N48" s="145">
        <f t="shared" si="26"/>
        <v>0</v>
      </c>
      <c r="O48" s="194"/>
      <c r="P48" s="145">
        <f t="shared" si="27"/>
        <v>0</v>
      </c>
      <c r="Q48" s="194"/>
      <c r="R48" s="145">
        <f t="shared" si="28"/>
        <v>0</v>
      </c>
      <c r="S48" s="194"/>
      <c r="T48" s="145">
        <f t="shared" si="29"/>
        <v>0</v>
      </c>
      <c r="U48" s="194"/>
      <c r="V48" s="145">
        <f t="shared" si="30"/>
        <v>0</v>
      </c>
      <c r="W48" s="194"/>
      <c r="X48" s="145">
        <f t="shared" si="31"/>
        <v>0</v>
      </c>
      <c r="Y48" s="194"/>
      <c r="Z48" s="145">
        <f t="shared" si="32"/>
        <v>0</v>
      </c>
      <c r="AA48" s="194"/>
      <c r="AB48" s="145">
        <f t="shared" si="33"/>
        <v>0</v>
      </c>
      <c r="AC48" s="156"/>
      <c r="AD48" s="156">
        <f t="shared" si="34"/>
        <v>0</v>
      </c>
    </row>
    <row r="49" customHeight="1" spans="2:30">
      <c r="B49" s="193">
        <f>固定资产台账1!A16</f>
        <v>0</v>
      </c>
      <c r="C49" s="193"/>
      <c r="D49" s="193"/>
      <c r="E49" s="145">
        <f>固定资产台账1!C16</f>
        <v>0</v>
      </c>
      <c r="F49" s="145">
        <f>研发设备工时计算表2!G18</f>
        <v>0</v>
      </c>
      <c r="G49" s="201">
        <f>研发设备工时计算表2!F18</f>
        <v>0</v>
      </c>
      <c r="H49" s="145">
        <f t="shared" si="23"/>
        <v>0</v>
      </c>
      <c r="I49" s="194"/>
      <c r="J49" s="145">
        <f t="shared" si="24"/>
        <v>0</v>
      </c>
      <c r="K49" s="194"/>
      <c r="L49" s="145">
        <f t="shared" si="25"/>
        <v>0</v>
      </c>
      <c r="M49" s="194"/>
      <c r="N49" s="145">
        <f t="shared" si="26"/>
        <v>0</v>
      </c>
      <c r="O49" s="194"/>
      <c r="P49" s="145">
        <f t="shared" si="27"/>
        <v>0</v>
      </c>
      <c r="Q49" s="194"/>
      <c r="R49" s="145">
        <f t="shared" si="28"/>
        <v>0</v>
      </c>
      <c r="S49" s="194"/>
      <c r="T49" s="145">
        <f t="shared" si="29"/>
        <v>0</v>
      </c>
      <c r="U49" s="194"/>
      <c r="V49" s="145">
        <f t="shared" si="30"/>
        <v>0</v>
      </c>
      <c r="W49" s="194"/>
      <c r="X49" s="145">
        <f t="shared" si="31"/>
        <v>0</v>
      </c>
      <c r="Y49" s="194"/>
      <c r="Z49" s="145">
        <f t="shared" si="32"/>
        <v>0</v>
      </c>
      <c r="AA49" s="194"/>
      <c r="AB49" s="145">
        <f t="shared" si="33"/>
        <v>0</v>
      </c>
      <c r="AC49" s="156"/>
      <c r="AD49" s="156">
        <f t="shared" si="34"/>
        <v>0</v>
      </c>
    </row>
    <row r="50" customHeight="1" spans="2:30">
      <c r="B50" s="193">
        <f>固定资产台账1!A17</f>
        <v>0</v>
      </c>
      <c r="C50" s="193"/>
      <c r="D50" s="193"/>
      <c r="E50" s="145">
        <f>固定资产台账1!C17</f>
        <v>0</v>
      </c>
      <c r="F50" s="145">
        <f>研发设备工时计算表2!G19</f>
        <v>0</v>
      </c>
      <c r="G50" s="201">
        <f>研发设备工时计算表2!F19</f>
        <v>0</v>
      </c>
      <c r="H50" s="145">
        <f t="shared" si="23"/>
        <v>0</v>
      </c>
      <c r="I50" s="194"/>
      <c r="J50" s="145">
        <f t="shared" si="24"/>
        <v>0</v>
      </c>
      <c r="K50" s="194"/>
      <c r="L50" s="145">
        <f t="shared" si="25"/>
        <v>0</v>
      </c>
      <c r="M50" s="194"/>
      <c r="N50" s="145">
        <f t="shared" si="26"/>
        <v>0</v>
      </c>
      <c r="O50" s="194"/>
      <c r="P50" s="145">
        <f t="shared" si="27"/>
        <v>0</v>
      </c>
      <c r="Q50" s="194"/>
      <c r="R50" s="145">
        <f t="shared" si="28"/>
        <v>0</v>
      </c>
      <c r="S50" s="194"/>
      <c r="T50" s="145">
        <f t="shared" si="29"/>
        <v>0</v>
      </c>
      <c r="U50" s="194"/>
      <c r="V50" s="145">
        <f t="shared" si="30"/>
        <v>0</v>
      </c>
      <c r="W50" s="194"/>
      <c r="X50" s="145">
        <f t="shared" si="31"/>
        <v>0</v>
      </c>
      <c r="Y50" s="194"/>
      <c r="Z50" s="145">
        <f t="shared" si="32"/>
        <v>0</v>
      </c>
      <c r="AA50" s="194"/>
      <c r="AB50" s="145">
        <f t="shared" si="33"/>
        <v>0</v>
      </c>
      <c r="AC50" s="156"/>
      <c r="AD50" s="156">
        <f t="shared" si="34"/>
        <v>0</v>
      </c>
    </row>
    <row r="51" customHeight="1" spans="2:30">
      <c r="B51" s="193">
        <f>固定资产台账1!A18</f>
        <v>0</v>
      </c>
      <c r="C51" s="193"/>
      <c r="D51" s="193"/>
      <c r="E51" s="145">
        <f>固定资产台账1!C18</f>
        <v>0</v>
      </c>
      <c r="F51" s="145">
        <f>研发设备工时计算表2!G20</f>
        <v>0</v>
      </c>
      <c r="G51" s="201">
        <f>研发设备工时计算表2!F20</f>
        <v>0</v>
      </c>
      <c r="H51" s="145">
        <f t="shared" si="23"/>
        <v>0</v>
      </c>
      <c r="I51" s="194"/>
      <c r="J51" s="145">
        <f t="shared" si="24"/>
        <v>0</v>
      </c>
      <c r="K51" s="194"/>
      <c r="L51" s="145">
        <f t="shared" si="25"/>
        <v>0</v>
      </c>
      <c r="M51" s="194"/>
      <c r="N51" s="145">
        <f t="shared" si="26"/>
        <v>0</v>
      </c>
      <c r="O51" s="194"/>
      <c r="P51" s="145">
        <f t="shared" si="27"/>
        <v>0</v>
      </c>
      <c r="Q51" s="194"/>
      <c r="R51" s="145">
        <f t="shared" si="28"/>
        <v>0</v>
      </c>
      <c r="S51" s="194"/>
      <c r="T51" s="145">
        <f t="shared" si="29"/>
        <v>0</v>
      </c>
      <c r="U51" s="194"/>
      <c r="V51" s="145">
        <f t="shared" si="30"/>
        <v>0</v>
      </c>
      <c r="W51" s="194"/>
      <c r="X51" s="145">
        <f t="shared" si="31"/>
        <v>0</v>
      </c>
      <c r="Y51" s="194"/>
      <c r="Z51" s="145">
        <f t="shared" si="32"/>
        <v>0</v>
      </c>
      <c r="AA51" s="194"/>
      <c r="AB51" s="145">
        <f t="shared" si="33"/>
        <v>0</v>
      </c>
      <c r="AC51" s="156"/>
      <c r="AD51" s="156">
        <f t="shared" si="34"/>
        <v>0</v>
      </c>
    </row>
    <row r="52" customHeight="1" spans="2:30">
      <c r="B52" s="193">
        <f>固定资产台账1!A19</f>
        <v>0</v>
      </c>
      <c r="C52" s="193"/>
      <c r="D52" s="193"/>
      <c r="E52" s="145">
        <f>固定资产台账1!C19</f>
        <v>0</v>
      </c>
      <c r="F52" s="145">
        <f>研发设备工时计算表2!G21</f>
        <v>0</v>
      </c>
      <c r="G52" s="201">
        <f>研发设备工时计算表2!F21</f>
        <v>0</v>
      </c>
      <c r="H52" s="145">
        <f t="shared" si="23"/>
        <v>0</v>
      </c>
      <c r="I52" s="194"/>
      <c r="J52" s="145">
        <f t="shared" si="24"/>
        <v>0</v>
      </c>
      <c r="K52" s="194"/>
      <c r="L52" s="145">
        <f t="shared" si="25"/>
        <v>0</v>
      </c>
      <c r="M52" s="194"/>
      <c r="N52" s="145">
        <f t="shared" si="26"/>
        <v>0</v>
      </c>
      <c r="O52" s="194"/>
      <c r="P52" s="145">
        <f t="shared" si="27"/>
        <v>0</v>
      </c>
      <c r="Q52" s="194"/>
      <c r="R52" s="145">
        <f t="shared" si="28"/>
        <v>0</v>
      </c>
      <c r="S52" s="194"/>
      <c r="T52" s="145">
        <f t="shared" si="29"/>
        <v>0</v>
      </c>
      <c r="U52" s="194"/>
      <c r="V52" s="145">
        <f t="shared" si="30"/>
        <v>0</v>
      </c>
      <c r="W52" s="194"/>
      <c r="X52" s="145">
        <f t="shared" si="31"/>
        <v>0</v>
      </c>
      <c r="Y52" s="194"/>
      <c r="Z52" s="145">
        <f t="shared" si="32"/>
        <v>0</v>
      </c>
      <c r="AA52" s="194"/>
      <c r="AB52" s="145">
        <f t="shared" si="33"/>
        <v>0</v>
      </c>
      <c r="AC52" s="156"/>
      <c r="AD52" s="156">
        <f t="shared" si="34"/>
        <v>0</v>
      </c>
    </row>
    <row r="53" customHeight="1" spans="2:30">
      <c r="B53" s="193">
        <f>固定资产台账1!A20</f>
        <v>0</v>
      </c>
      <c r="C53" s="193"/>
      <c r="D53" s="193"/>
      <c r="E53" s="145">
        <f>固定资产台账1!C20</f>
        <v>0</v>
      </c>
      <c r="F53" s="145">
        <f>研发设备工时计算表2!G22</f>
        <v>0</v>
      </c>
      <c r="G53" s="201">
        <f>研发设备工时计算表2!F22</f>
        <v>0</v>
      </c>
      <c r="H53" s="145">
        <f t="shared" si="23"/>
        <v>0</v>
      </c>
      <c r="I53" s="194"/>
      <c r="J53" s="145">
        <f t="shared" si="24"/>
        <v>0</v>
      </c>
      <c r="K53" s="194"/>
      <c r="L53" s="145">
        <f t="shared" si="25"/>
        <v>0</v>
      </c>
      <c r="M53" s="194"/>
      <c r="N53" s="145">
        <f t="shared" si="26"/>
        <v>0</v>
      </c>
      <c r="O53" s="194"/>
      <c r="P53" s="145">
        <f t="shared" si="27"/>
        <v>0</v>
      </c>
      <c r="Q53" s="194"/>
      <c r="R53" s="145">
        <f t="shared" si="28"/>
        <v>0</v>
      </c>
      <c r="S53" s="194"/>
      <c r="T53" s="145">
        <f t="shared" si="29"/>
        <v>0</v>
      </c>
      <c r="U53" s="194"/>
      <c r="V53" s="145">
        <f t="shared" si="30"/>
        <v>0</v>
      </c>
      <c r="W53" s="194"/>
      <c r="X53" s="145">
        <f t="shared" si="31"/>
        <v>0</v>
      </c>
      <c r="Y53" s="194"/>
      <c r="Z53" s="145">
        <f t="shared" si="32"/>
        <v>0</v>
      </c>
      <c r="AA53" s="194"/>
      <c r="AB53" s="145">
        <f t="shared" si="33"/>
        <v>0</v>
      </c>
      <c r="AC53" s="156"/>
      <c r="AD53" s="156">
        <f t="shared" si="34"/>
        <v>0</v>
      </c>
    </row>
    <row r="54" customHeight="1" spans="2:30">
      <c r="B54" s="193">
        <f>固定资产台账1!A21</f>
        <v>0</v>
      </c>
      <c r="C54" s="193"/>
      <c r="D54" s="193"/>
      <c r="E54" s="145">
        <f>固定资产台账1!C21</f>
        <v>0</v>
      </c>
      <c r="F54" s="145">
        <f>研发设备工时计算表2!G23</f>
        <v>0</v>
      </c>
      <c r="G54" s="201">
        <f>研发设备工时计算表2!F23</f>
        <v>0</v>
      </c>
      <c r="H54" s="145">
        <f t="shared" si="23"/>
        <v>0</v>
      </c>
      <c r="I54" s="194"/>
      <c r="J54" s="145">
        <f t="shared" si="24"/>
        <v>0</v>
      </c>
      <c r="K54" s="194"/>
      <c r="L54" s="145">
        <f t="shared" si="25"/>
        <v>0</v>
      </c>
      <c r="M54" s="194"/>
      <c r="N54" s="145">
        <f t="shared" si="26"/>
        <v>0</v>
      </c>
      <c r="O54" s="194"/>
      <c r="P54" s="145">
        <f t="shared" si="27"/>
        <v>0</v>
      </c>
      <c r="Q54" s="194"/>
      <c r="R54" s="145">
        <f t="shared" si="28"/>
        <v>0</v>
      </c>
      <c r="S54" s="194"/>
      <c r="T54" s="145">
        <f t="shared" si="29"/>
        <v>0</v>
      </c>
      <c r="U54" s="194"/>
      <c r="V54" s="145">
        <f t="shared" si="30"/>
        <v>0</v>
      </c>
      <c r="W54" s="194"/>
      <c r="X54" s="145">
        <f t="shared" si="31"/>
        <v>0</v>
      </c>
      <c r="Y54" s="194"/>
      <c r="Z54" s="145">
        <f t="shared" si="32"/>
        <v>0</v>
      </c>
      <c r="AA54" s="194"/>
      <c r="AB54" s="145">
        <f t="shared" si="33"/>
        <v>0</v>
      </c>
      <c r="AC54" s="156"/>
      <c r="AD54" s="156">
        <f t="shared" si="34"/>
        <v>0</v>
      </c>
    </row>
    <row r="55" customHeight="1" spans="2:30">
      <c r="B55" s="193">
        <f>固定资产台账1!A22</f>
        <v>0</v>
      </c>
      <c r="C55" s="193"/>
      <c r="D55" s="193"/>
      <c r="E55" s="145">
        <f>固定资产台账1!C22</f>
        <v>0</v>
      </c>
      <c r="F55" s="145">
        <f>研发设备工时计算表2!G24</f>
        <v>0</v>
      </c>
      <c r="G55" s="201">
        <f>研发设备工时计算表2!F24</f>
        <v>0</v>
      </c>
      <c r="H55" s="145">
        <f t="shared" si="23"/>
        <v>0</v>
      </c>
      <c r="I55" s="194"/>
      <c r="J55" s="145">
        <f t="shared" si="24"/>
        <v>0</v>
      </c>
      <c r="K55" s="194"/>
      <c r="L55" s="145">
        <f t="shared" si="25"/>
        <v>0</v>
      </c>
      <c r="M55" s="194"/>
      <c r="N55" s="145">
        <f t="shared" si="26"/>
        <v>0</v>
      </c>
      <c r="O55" s="194"/>
      <c r="P55" s="145">
        <f t="shared" si="27"/>
        <v>0</v>
      </c>
      <c r="Q55" s="194"/>
      <c r="R55" s="145">
        <f t="shared" si="28"/>
        <v>0</v>
      </c>
      <c r="S55" s="194"/>
      <c r="T55" s="145">
        <f t="shared" si="29"/>
        <v>0</v>
      </c>
      <c r="U55" s="194"/>
      <c r="V55" s="145">
        <f t="shared" si="30"/>
        <v>0</v>
      </c>
      <c r="W55" s="194"/>
      <c r="X55" s="145">
        <f t="shared" si="31"/>
        <v>0</v>
      </c>
      <c r="Y55" s="194"/>
      <c r="Z55" s="145">
        <f t="shared" si="32"/>
        <v>0</v>
      </c>
      <c r="AA55" s="194"/>
      <c r="AB55" s="145">
        <f t="shared" si="33"/>
        <v>0</v>
      </c>
      <c r="AC55" s="156"/>
      <c r="AD55" s="156">
        <f t="shared" si="34"/>
        <v>0</v>
      </c>
    </row>
    <row r="56" customHeight="1" spans="2:30">
      <c r="B56" s="193">
        <f>固定资产台账1!A23</f>
        <v>0</v>
      </c>
      <c r="C56" s="193"/>
      <c r="D56" s="193"/>
      <c r="E56" s="145">
        <f>固定资产台账1!C23</f>
        <v>0</v>
      </c>
      <c r="F56" s="145">
        <f>研发设备工时计算表2!G25</f>
        <v>0</v>
      </c>
      <c r="G56" s="201">
        <f>研发设备工时计算表2!F25</f>
        <v>0</v>
      </c>
      <c r="H56" s="145">
        <f t="shared" si="23"/>
        <v>0</v>
      </c>
      <c r="I56" s="194"/>
      <c r="J56" s="145">
        <f t="shared" si="24"/>
        <v>0</v>
      </c>
      <c r="K56" s="194"/>
      <c r="L56" s="145">
        <f t="shared" si="25"/>
        <v>0</v>
      </c>
      <c r="M56" s="194"/>
      <c r="N56" s="145">
        <f t="shared" si="26"/>
        <v>0</v>
      </c>
      <c r="O56" s="194"/>
      <c r="P56" s="145">
        <f t="shared" si="27"/>
        <v>0</v>
      </c>
      <c r="Q56" s="194"/>
      <c r="R56" s="145">
        <f t="shared" si="28"/>
        <v>0</v>
      </c>
      <c r="S56" s="194"/>
      <c r="T56" s="145">
        <f t="shared" si="29"/>
        <v>0</v>
      </c>
      <c r="U56" s="194"/>
      <c r="V56" s="145">
        <f t="shared" si="30"/>
        <v>0</v>
      </c>
      <c r="W56" s="194"/>
      <c r="X56" s="145">
        <f t="shared" si="31"/>
        <v>0</v>
      </c>
      <c r="Y56" s="194"/>
      <c r="Z56" s="145">
        <f t="shared" si="32"/>
        <v>0</v>
      </c>
      <c r="AA56" s="194"/>
      <c r="AB56" s="145">
        <f t="shared" si="33"/>
        <v>0</v>
      </c>
      <c r="AC56" s="156"/>
      <c r="AD56" s="156">
        <f t="shared" si="34"/>
        <v>0</v>
      </c>
    </row>
    <row r="57" customHeight="1" spans="2:30">
      <c r="B57" s="193">
        <f>固定资产台账1!A25</f>
        <v>0</v>
      </c>
      <c r="C57" s="193"/>
      <c r="D57" s="193"/>
      <c r="E57" s="145">
        <f>固定资产台账1!C25</f>
        <v>0</v>
      </c>
      <c r="F57" s="145">
        <f>研发设备工时计算表2!G26</f>
        <v>0</v>
      </c>
      <c r="G57" s="201">
        <f>研发设备工时计算表2!F26</f>
        <v>0</v>
      </c>
      <c r="H57" s="145">
        <f t="shared" si="23"/>
        <v>0</v>
      </c>
      <c r="I57" s="194"/>
      <c r="J57" s="145">
        <f t="shared" si="24"/>
        <v>0</v>
      </c>
      <c r="K57" s="194"/>
      <c r="L57" s="145">
        <f t="shared" si="25"/>
        <v>0</v>
      </c>
      <c r="M57" s="194"/>
      <c r="N57" s="145">
        <f t="shared" si="26"/>
        <v>0</v>
      </c>
      <c r="O57" s="194"/>
      <c r="P57" s="145">
        <f t="shared" si="27"/>
        <v>0</v>
      </c>
      <c r="Q57" s="194"/>
      <c r="R57" s="145">
        <f t="shared" si="28"/>
        <v>0</v>
      </c>
      <c r="S57" s="194"/>
      <c r="T57" s="145">
        <f t="shared" si="29"/>
        <v>0</v>
      </c>
      <c r="U57" s="194"/>
      <c r="V57" s="145">
        <f t="shared" si="30"/>
        <v>0</v>
      </c>
      <c r="W57" s="194"/>
      <c r="X57" s="145">
        <f t="shared" si="31"/>
        <v>0</v>
      </c>
      <c r="Y57" s="194"/>
      <c r="Z57" s="145">
        <f t="shared" si="32"/>
        <v>0</v>
      </c>
      <c r="AA57" s="194"/>
      <c r="AB57" s="145">
        <f t="shared" si="33"/>
        <v>0</v>
      </c>
      <c r="AC57" s="156"/>
      <c r="AD57" s="156">
        <f t="shared" si="34"/>
        <v>0</v>
      </c>
    </row>
    <row r="58" customHeight="1" spans="2:30">
      <c r="B58" s="193">
        <f>固定资产台账1!A25</f>
        <v>0</v>
      </c>
      <c r="C58" s="193"/>
      <c r="D58" s="193"/>
      <c r="E58" s="145">
        <f>固定资产台账1!C25</f>
        <v>0</v>
      </c>
      <c r="F58" s="145">
        <f>研发设备工时计算表2!G27</f>
        <v>0</v>
      </c>
      <c r="G58" s="201">
        <f>研发设备工时计算表2!F27</f>
        <v>0</v>
      </c>
      <c r="H58" s="145">
        <f t="shared" si="23"/>
        <v>0</v>
      </c>
      <c r="I58" s="194"/>
      <c r="J58" s="145">
        <f t="shared" si="24"/>
        <v>0</v>
      </c>
      <c r="K58" s="194"/>
      <c r="L58" s="145">
        <f t="shared" si="25"/>
        <v>0</v>
      </c>
      <c r="M58" s="194"/>
      <c r="N58" s="145">
        <f t="shared" si="26"/>
        <v>0</v>
      </c>
      <c r="O58" s="194"/>
      <c r="P58" s="145">
        <f t="shared" si="27"/>
        <v>0</v>
      </c>
      <c r="Q58" s="194"/>
      <c r="R58" s="145">
        <f t="shared" si="28"/>
        <v>0</v>
      </c>
      <c r="S58" s="194"/>
      <c r="T58" s="145">
        <f t="shared" si="29"/>
        <v>0</v>
      </c>
      <c r="U58" s="194"/>
      <c r="V58" s="145">
        <f t="shared" si="30"/>
        <v>0</v>
      </c>
      <c r="W58" s="194"/>
      <c r="X58" s="145">
        <f t="shared" si="31"/>
        <v>0</v>
      </c>
      <c r="Y58" s="194"/>
      <c r="Z58" s="145">
        <f t="shared" si="32"/>
        <v>0</v>
      </c>
      <c r="AA58" s="194"/>
      <c r="AB58" s="145">
        <f t="shared" si="33"/>
        <v>0</v>
      </c>
      <c r="AC58" s="156"/>
      <c r="AD58" s="156">
        <f t="shared" si="34"/>
        <v>0</v>
      </c>
    </row>
    <row r="59" customHeight="1" spans="2:30">
      <c r="B59" s="193">
        <f>固定资产台账1!A26</f>
        <v>0</v>
      </c>
      <c r="C59" s="193"/>
      <c r="D59" s="193"/>
      <c r="E59" s="145">
        <f>固定资产台账1!C26</f>
        <v>0</v>
      </c>
      <c r="F59" s="145">
        <f>研发设备工时计算表2!G28</f>
        <v>0</v>
      </c>
      <c r="G59" s="201">
        <f>研发设备工时计算表2!F28</f>
        <v>0</v>
      </c>
      <c r="H59" s="145">
        <f t="shared" si="23"/>
        <v>0</v>
      </c>
      <c r="I59" s="194"/>
      <c r="J59" s="145">
        <f t="shared" si="24"/>
        <v>0</v>
      </c>
      <c r="K59" s="194"/>
      <c r="L59" s="145">
        <f t="shared" si="25"/>
        <v>0</v>
      </c>
      <c r="M59" s="194"/>
      <c r="N59" s="145">
        <f t="shared" si="26"/>
        <v>0</v>
      </c>
      <c r="O59" s="194"/>
      <c r="P59" s="145">
        <f t="shared" si="27"/>
        <v>0</v>
      </c>
      <c r="Q59" s="194"/>
      <c r="R59" s="145">
        <f t="shared" si="28"/>
        <v>0</v>
      </c>
      <c r="S59" s="194"/>
      <c r="T59" s="145">
        <f t="shared" si="29"/>
        <v>0</v>
      </c>
      <c r="U59" s="194"/>
      <c r="V59" s="145">
        <f t="shared" si="30"/>
        <v>0</v>
      </c>
      <c r="W59" s="194"/>
      <c r="X59" s="145">
        <f t="shared" si="31"/>
        <v>0</v>
      </c>
      <c r="Y59" s="194"/>
      <c r="Z59" s="145">
        <f t="shared" si="32"/>
        <v>0</v>
      </c>
      <c r="AA59" s="194"/>
      <c r="AB59" s="145">
        <f t="shared" si="33"/>
        <v>0</v>
      </c>
      <c r="AC59" s="156"/>
      <c r="AD59" s="156">
        <f t="shared" si="34"/>
        <v>0</v>
      </c>
    </row>
    <row r="60" customHeight="1" spans="2:30">
      <c r="B60" s="193">
        <f>固定资产台账1!A27</f>
        <v>0</v>
      </c>
      <c r="C60" s="193"/>
      <c r="D60" s="193"/>
      <c r="E60" s="145">
        <f>固定资产台账1!C27</f>
        <v>0</v>
      </c>
      <c r="F60" s="145">
        <f>研发设备工时计算表2!G29</f>
        <v>0</v>
      </c>
      <c r="G60" s="201">
        <f>研发设备工时计算表2!F29</f>
        <v>0</v>
      </c>
      <c r="H60" s="145">
        <f t="shared" si="23"/>
        <v>0</v>
      </c>
      <c r="I60" s="194"/>
      <c r="J60" s="145">
        <f t="shared" si="24"/>
        <v>0</v>
      </c>
      <c r="K60" s="194"/>
      <c r="L60" s="145">
        <f t="shared" si="25"/>
        <v>0</v>
      </c>
      <c r="M60" s="194"/>
      <c r="N60" s="145">
        <f t="shared" si="26"/>
        <v>0</v>
      </c>
      <c r="O60" s="194"/>
      <c r="P60" s="145">
        <f t="shared" si="27"/>
        <v>0</v>
      </c>
      <c r="Q60" s="194"/>
      <c r="R60" s="145">
        <f t="shared" si="28"/>
        <v>0</v>
      </c>
      <c r="S60" s="194"/>
      <c r="T60" s="145">
        <f t="shared" si="29"/>
        <v>0</v>
      </c>
      <c r="U60" s="194"/>
      <c r="V60" s="145">
        <f t="shared" si="30"/>
        <v>0</v>
      </c>
      <c r="W60" s="194"/>
      <c r="X60" s="145">
        <f t="shared" si="31"/>
        <v>0</v>
      </c>
      <c r="Y60" s="194"/>
      <c r="Z60" s="145">
        <f t="shared" si="32"/>
        <v>0</v>
      </c>
      <c r="AA60" s="194"/>
      <c r="AB60" s="145">
        <f t="shared" si="33"/>
        <v>0</v>
      </c>
      <c r="AC60" s="156"/>
      <c r="AD60" s="156">
        <f t="shared" si="34"/>
        <v>0</v>
      </c>
    </row>
    <row r="61" customHeight="1" spans="2:30">
      <c r="B61" s="187" t="s">
        <v>255</v>
      </c>
      <c r="C61" s="187"/>
      <c r="D61" s="187"/>
      <c r="E61" s="199">
        <f>SUM(E36:E60)</f>
        <v>0</v>
      </c>
      <c r="F61" s="188">
        <f t="shared" ref="F61:K61" si="35">SUM(F36:F60)</f>
        <v>0</v>
      </c>
      <c r="G61" s="188">
        <f t="shared" si="35"/>
        <v>0</v>
      </c>
      <c r="H61" s="188">
        <f t="shared" si="35"/>
        <v>0</v>
      </c>
      <c r="I61" s="188">
        <f t="shared" si="35"/>
        <v>0</v>
      </c>
      <c r="J61" s="188">
        <f t="shared" si="35"/>
        <v>0</v>
      </c>
      <c r="K61" s="188">
        <f t="shared" si="35"/>
        <v>0</v>
      </c>
      <c r="L61" s="188">
        <f t="shared" ref="L61:O61" si="36">SUM(L36:L60)</f>
        <v>0</v>
      </c>
      <c r="M61" s="188">
        <f t="shared" si="36"/>
        <v>0</v>
      </c>
      <c r="N61" s="188">
        <f t="shared" si="36"/>
        <v>0</v>
      </c>
      <c r="O61" s="188">
        <f t="shared" si="36"/>
        <v>0</v>
      </c>
      <c r="P61" s="188">
        <f t="shared" ref="P61:S61" si="37">SUM(P36:P60)</f>
        <v>0</v>
      </c>
      <c r="Q61" s="188">
        <f t="shared" si="37"/>
        <v>0</v>
      </c>
      <c r="R61" s="188">
        <f t="shared" si="37"/>
        <v>0</v>
      </c>
      <c r="S61" s="188">
        <f t="shared" si="37"/>
        <v>0</v>
      </c>
      <c r="T61" s="188">
        <f t="shared" ref="T61:W61" si="38">SUM(T36:T60)</f>
        <v>0</v>
      </c>
      <c r="U61" s="188">
        <f t="shared" si="38"/>
        <v>0</v>
      </c>
      <c r="V61" s="188">
        <f t="shared" si="38"/>
        <v>0</v>
      </c>
      <c r="W61" s="188">
        <f t="shared" si="38"/>
        <v>0</v>
      </c>
      <c r="X61" s="188">
        <f t="shared" ref="X61:AB61" si="39">SUM(X36:X60)</f>
        <v>0</v>
      </c>
      <c r="Y61" s="188">
        <f t="shared" si="39"/>
        <v>0</v>
      </c>
      <c r="Z61" s="188">
        <f t="shared" si="39"/>
        <v>0</v>
      </c>
      <c r="AA61" s="188">
        <f t="shared" si="39"/>
        <v>0</v>
      </c>
      <c r="AB61" s="188">
        <f t="shared" si="39"/>
        <v>0</v>
      </c>
      <c r="AC61" s="156"/>
      <c r="AD61" s="156">
        <f t="shared" si="34"/>
        <v>0</v>
      </c>
    </row>
    <row r="62" customHeight="1" spans="2:30">
      <c r="E62" s="200"/>
      <c r="F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156"/>
      <c r="AD62" s="156"/>
    </row>
    <row r="63" customHeight="1" spans="2:30">
      <c r="E63" s="200"/>
      <c r="G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156"/>
      <c r="AD63" s="156"/>
    </row>
    <row r="64" customHeight="1" spans="2:30">
      <c r="B64" s="186" t="s">
        <v>257</v>
      </c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56"/>
      <c r="AD64" s="156"/>
    </row>
    <row r="65" customHeight="1" spans="2:30">
      <c r="B65" s="187" t="s">
        <v>249</v>
      </c>
      <c r="C65" s="187"/>
      <c r="D65" s="187"/>
      <c r="E65" s="188" t="s">
        <v>250</v>
      </c>
      <c r="F65" s="189" t="s">
        <v>251</v>
      </c>
      <c r="G65" s="190" t="s">
        <v>252</v>
      </c>
      <c r="H65" s="190" t="s">
        <v>251</v>
      </c>
      <c r="I65" s="191" t="str">
        <f>立项!A3</f>
        <v>RD01</v>
      </c>
      <c r="J65" s="191"/>
      <c r="K65" s="191" t="str">
        <f>立项!A4</f>
        <v>RD02</v>
      </c>
      <c r="L65" s="191"/>
      <c r="M65" s="191" t="str">
        <f>立项!A5</f>
        <v>RD03</v>
      </c>
      <c r="N65" s="191"/>
      <c r="O65" s="191" t="str">
        <f>立项!A6</f>
        <v>RD04</v>
      </c>
      <c r="P65" s="191"/>
      <c r="Q65" s="191" t="str">
        <f>立项!A7</f>
        <v>RD05</v>
      </c>
      <c r="R65" s="191"/>
      <c r="S65" s="191" t="str">
        <f>立项!A8</f>
        <v>RD06</v>
      </c>
      <c r="T65" s="191"/>
      <c r="U65" s="191" t="str">
        <f>立项!A9</f>
        <v>RD07</v>
      </c>
      <c r="V65" s="191"/>
      <c r="W65" s="191" t="str">
        <f>立项!A10</f>
        <v>RD08</v>
      </c>
      <c r="X65" s="191"/>
      <c r="Y65" s="191" t="str">
        <f>立项!A11</f>
        <v>RD09</v>
      </c>
      <c r="Z65" s="191"/>
      <c r="AA65" s="191" t="str">
        <f>立项!A12</f>
        <v>RD10</v>
      </c>
      <c r="AB65" s="191"/>
      <c r="AC65" s="156"/>
      <c r="AD65" s="156"/>
    </row>
    <row r="66" customHeight="1" spans="2:30">
      <c r="B66" s="187"/>
      <c r="C66" s="187"/>
      <c r="D66" s="187"/>
      <c r="E66" s="188"/>
      <c r="F66" s="188"/>
      <c r="G66" s="190"/>
      <c r="H66" s="190"/>
      <c r="I66" s="192" t="s">
        <v>253</v>
      </c>
      <c r="J66" s="192" t="s">
        <v>254</v>
      </c>
      <c r="K66" s="192" t="s">
        <v>253</v>
      </c>
      <c r="L66" s="192" t="s">
        <v>254</v>
      </c>
      <c r="M66" s="192" t="s">
        <v>253</v>
      </c>
      <c r="N66" s="192" t="s">
        <v>254</v>
      </c>
      <c r="O66" s="192" t="s">
        <v>253</v>
      </c>
      <c r="P66" s="192" t="s">
        <v>254</v>
      </c>
      <c r="Q66" s="192" t="s">
        <v>253</v>
      </c>
      <c r="R66" s="192" t="s">
        <v>254</v>
      </c>
      <c r="S66" s="192" t="s">
        <v>253</v>
      </c>
      <c r="T66" s="192" t="s">
        <v>254</v>
      </c>
      <c r="U66" s="192" t="s">
        <v>253</v>
      </c>
      <c r="V66" s="192" t="s">
        <v>254</v>
      </c>
      <c r="W66" s="192" t="s">
        <v>253</v>
      </c>
      <c r="X66" s="192" t="s">
        <v>254</v>
      </c>
      <c r="Y66" s="192" t="s">
        <v>253</v>
      </c>
      <c r="Z66" s="192" t="s">
        <v>254</v>
      </c>
      <c r="AA66" s="192" t="s">
        <v>253</v>
      </c>
      <c r="AB66" s="192" t="s">
        <v>254</v>
      </c>
      <c r="AC66" s="156"/>
      <c r="AD66" s="156"/>
    </row>
    <row r="67" customHeight="1" spans="2:30">
      <c r="B67" s="193">
        <f>固定资产台账1!A3</f>
        <v>0</v>
      </c>
      <c r="C67" s="193"/>
      <c r="D67" s="193"/>
      <c r="E67" s="145">
        <f>固定资产台账1!C3</f>
        <v>0</v>
      </c>
      <c r="F67" s="145">
        <f>研发设备工时计算表2!J5</f>
        <v>0</v>
      </c>
      <c r="G67" s="201">
        <f>研发设备工时计算表2!F5</f>
        <v>0</v>
      </c>
      <c r="H67" s="145">
        <f>J67+L67+N67+P67+R67+T67+V67+X67+Z67+AB67</f>
        <v>0</v>
      </c>
      <c r="I67" s="145"/>
      <c r="J67" s="145">
        <f t="shared" ref="J67:N67" si="40">IF($G67=0,0,ROUND(I67/$G67*$F67,2))</f>
        <v>0</v>
      </c>
      <c r="K67" s="145"/>
      <c r="L67" s="145">
        <f t="shared" si="40"/>
        <v>0</v>
      </c>
      <c r="M67" s="145"/>
      <c r="N67" s="145">
        <f t="shared" si="40"/>
        <v>0</v>
      </c>
      <c r="O67" s="145"/>
      <c r="P67" s="145">
        <f t="shared" ref="P67:T67" si="41">IF($G67=0,0,ROUND(O67/$G67*$F67,2))</f>
        <v>0</v>
      </c>
      <c r="Q67" s="145"/>
      <c r="R67" s="145">
        <f t="shared" si="41"/>
        <v>0</v>
      </c>
      <c r="S67" s="145"/>
      <c r="T67" s="145">
        <f t="shared" si="41"/>
        <v>0</v>
      </c>
      <c r="U67" s="145"/>
      <c r="V67" s="145">
        <f t="shared" ref="V67:Z67" si="42">IF($G67=0,0,ROUND(U67/$G67*$F67,2))</f>
        <v>0</v>
      </c>
      <c r="W67" s="145"/>
      <c r="X67" s="145">
        <f t="shared" si="42"/>
        <v>0</v>
      </c>
      <c r="Y67" s="145"/>
      <c r="Z67" s="145">
        <f t="shared" si="42"/>
        <v>0</v>
      </c>
      <c r="AA67" s="145"/>
      <c r="AB67" s="145">
        <f>IF($G67=0,0,ROUND(AA67/$G67*$F67,2))</f>
        <v>0</v>
      </c>
      <c r="AC67" s="156"/>
      <c r="AD67" s="156">
        <f t="shared" ref="AD67:AD92" si="43">F67-H67</f>
        <v>0</v>
      </c>
    </row>
    <row r="68" customHeight="1" spans="2:30">
      <c r="B68" s="193">
        <f>固定资产台账1!A4</f>
        <v>0</v>
      </c>
      <c r="C68" s="193"/>
      <c r="D68" s="193"/>
      <c r="E68" s="145">
        <f>固定资产台账1!C4</f>
        <v>0</v>
      </c>
      <c r="F68" s="145">
        <f>研发设备工时计算表2!J6</f>
        <v>0</v>
      </c>
      <c r="G68" s="201">
        <f>研发设备工时计算表2!F6</f>
        <v>0</v>
      </c>
      <c r="H68" s="145">
        <f t="shared" ref="H68:H91" si="44">J68+L68+N68+P68+R68+T68+V68+X68+Z68+AB68</f>
        <v>0</v>
      </c>
      <c r="I68" s="145"/>
      <c r="J68" s="145">
        <f t="shared" ref="J68:J91" si="45">IF($G68=0,0,ROUND(I68/$G68*$F68,2))</f>
        <v>0</v>
      </c>
      <c r="K68" s="145"/>
      <c r="L68" s="145">
        <f t="shared" ref="L68:L91" si="46">IF($G68=0,0,ROUND(K68/$G68*$F68,2))</f>
        <v>0</v>
      </c>
      <c r="M68" s="145"/>
      <c r="N68" s="145">
        <f t="shared" ref="N68:N91" si="47">IF($G68=0,0,ROUND(M68/$G68*$F68,2))</f>
        <v>0</v>
      </c>
      <c r="O68" s="145"/>
      <c r="P68" s="145">
        <f t="shared" ref="P68:P91" si="48">IF($G68=0,0,ROUND(O68/$G68*$F68,2))</f>
        <v>0</v>
      </c>
      <c r="Q68" s="145"/>
      <c r="R68" s="145">
        <f t="shared" ref="R68:R91" si="49">IF($G68=0,0,ROUND(Q68/$G68*$F68,2))</f>
        <v>0</v>
      </c>
      <c r="S68" s="145"/>
      <c r="T68" s="145">
        <f t="shared" ref="T68:T91" si="50">IF($G68=0,0,ROUND(S68/$G68*$F68,2))</f>
        <v>0</v>
      </c>
      <c r="U68" s="145"/>
      <c r="V68" s="145">
        <f t="shared" ref="V68:V91" si="51">IF($G68=0,0,ROUND(U68/$G68*$F68,2))</f>
        <v>0</v>
      </c>
      <c r="W68" s="145"/>
      <c r="X68" s="145">
        <f t="shared" ref="X68:X91" si="52">IF($G68=0,0,ROUND(W68/$G68*$F68,2))</f>
        <v>0</v>
      </c>
      <c r="Y68" s="145"/>
      <c r="Z68" s="145">
        <f t="shared" ref="Z68:Z91" si="53">IF($G68=0,0,ROUND(Y68/$G68*$F68,2))</f>
        <v>0</v>
      </c>
      <c r="AA68" s="145"/>
      <c r="AB68" s="145">
        <f t="shared" ref="AB68:AB91" si="54">IF($G68=0,0,ROUND(AA68/$G68*$F68,2))</f>
        <v>0</v>
      </c>
      <c r="AC68" s="156"/>
      <c r="AD68" s="156">
        <f t="shared" si="43"/>
        <v>0</v>
      </c>
    </row>
    <row r="69" customHeight="1" spans="2:30">
      <c r="B69" s="193">
        <f>固定资产台账1!A5</f>
        <v>0</v>
      </c>
      <c r="C69" s="193"/>
      <c r="D69" s="193"/>
      <c r="E69" s="145">
        <f>固定资产台账1!C5</f>
        <v>0</v>
      </c>
      <c r="F69" s="145">
        <f>研发设备工时计算表2!J7</f>
        <v>0</v>
      </c>
      <c r="G69" s="201">
        <f>研发设备工时计算表2!F7</f>
        <v>0</v>
      </c>
      <c r="H69" s="145">
        <f t="shared" si="44"/>
        <v>0</v>
      </c>
      <c r="I69" s="145"/>
      <c r="J69" s="145">
        <f t="shared" si="45"/>
        <v>0</v>
      </c>
      <c r="K69" s="145"/>
      <c r="L69" s="145">
        <f t="shared" si="46"/>
        <v>0</v>
      </c>
      <c r="M69" s="145"/>
      <c r="N69" s="145">
        <f t="shared" si="47"/>
        <v>0</v>
      </c>
      <c r="O69" s="145"/>
      <c r="P69" s="145">
        <f t="shared" si="48"/>
        <v>0</v>
      </c>
      <c r="Q69" s="145"/>
      <c r="R69" s="145">
        <f t="shared" si="49"/>
        <v>0</v>
      </c>
      <c r="S69" s="145"/>
      <c r="T69" s="145">
        <f t="shared" si="50"/>
        <v>0</v>
      </c>
      <c r="U69" s="145"/>
      <c r="V69" s="145">
        <f t="shared" si="51"/>
        <v>0</v>
      </c>
      <c r="W69" s="145"/>
      <c r="X69" s="145">
        <f t="shared" si="52"/>
        <v>0</v>
      </c>
      <c r="Y69" s="145"/>
      <c r="Z69" s="145">
        <f t="shared" si="53"/>
        <v>0</v>
      </c>
      <c r="AA69" s="145"/>
      <c r="AB69" s="145">
        <f t="shared" si="54"/>
        <v>0</v>
      </c>
      <c r="AC69" s="156"/>
      <c r="AD69" s="156">
        <f t="shared" si="43"/>
        <v>0</v>
      </c>
    </row>
    <row r="70" customHeight="1" spans="2:30">
      <c r="B70" s="193">
        <f>固定资产台账1!A6</f>
        <v>0</v>
      </c>
      <c r="C70" s="193"/>
      <c r="D70" s="193"/>
      <c r="E70" s="145">
        <f>固定资产台账1!C6</f>
        <v>0</v>
      </c>
      <c r="F70" s="145">
        <f>研发设备工时计算表2!J8</f>
        <v>0</v>
      </c>
      <c r="G70" s="201">
        <f>研发设备工时计算表2!F8</f>
        <v>0</v>
      </c>
      <c r="H70" s="145">
        <f t="shared" si="44"/>
        <v>0</v>
      </c>
      <c r="I70" s="145"/>
      <c r="J70" s="145">
        <f t="shared" si="45"/>
        <v>0</v>
      </c>
      <c r="K70" s="145"/>
      <c r="L70" s="145">
        <f t="shared" si="46"/>
        <v>0</v>
      </c>
      <c r="M70" s="145"/>
      <c r="N70" s="145">
        <f t="shared" si="47"/>
        <v>0</v>
      </c>
      <c r="O70" s="145"/>
      <c r="P70" s="145">
        <f t="shared" si="48"/>
        <v>0</v>
      </c>
      <c r="Q70" s="145"/>
      <c r="R70" s="145">
        <f t="shared" si="49"/>
        <v>0</v>
      </c>
      <c r="S70" s="145"/>
      <c r="T70" s="145">
        <f t="shared" si="50"/>
        <v>0</v>
      </c>
      <c r="U70" s="145"/>
      <c r="V70" s="145">
        <f t="shared" si="51"/>
        <v>0</v>
      </c>
      <c r="W70" s="145"/>
      <c r="X70" s="145">
        <f t="shared" si="52"/>
        <v>0</v>
      </c>
      <c r="Y70" s="145"/>
      <c r="Z70" s="145">
        <f t="shared" si="53"/>
        <v>0</v>
      </c>
      <c r="AA70" s="145"/>
      <c r="AB70" s="145">
        <f t="shared" si="54"/>
        <v>0</v>
      </c>
      <c r="AC70" s="156"/>
      <c r="AD70" s="156">
        <f t="shared" si="43"/>
        <v>0</v>
      </c>
    </row>
    <row r="71" customHeight="1" spans="2:30">
      <c r="B71" s="193">
        <f>固定资产台账1!A7</f>
        <v>0</v>
      </c>
      <c r="C71" s="193"/>
      <c r="D71" s="193"/>
      <c r="E71" s="145">
        <f>固定资产台账1!C7</f>
        <v>0</v>
      </c>
      <c r="F71" s="145">
        <f>研发设备工时计算表2!J9</f>
        <v>0</v>
      </c>
      <c r="G71" s="201">
        <f>研发设备工时计算表2!F9</f>
        <v>0</v>
      </c>
      <c r="H71" s="145">
        <f t="shared" si="44"/>
        <v>0</v>
      </c>
      <c r="I71" s="145"/>
      <c r="J71" s="145">
        <f t="shared" si="45"/>
        <v>0</v>
      </c>
      <c r="K71" s="145"/>
      <c r="L71" s="145">
        <f t="shared" si="46"/>
        <v>0</v>
      </c>
      <c r="M71" s="145"/>
      <c r="N71" s="145">
        <f t="shared" si="47"/>
        <v>0</v>
      </c>
      <c r="O71" s="145"/>
      <c r="P71" s="145">
        <f t="shared" si="48"/>
        <v>0</v>
      </c>
      <c r="Q71" s="145"/>
      <c r="R71" s="145">
        <f t="shared" si="49"/>
        <v>0</v>
      </c>
      <c r="S71" s="145"/>
      <c r="T71" s="145">
        <f t="shared" si="50"/>
        <v>0</v>
      </c>
      <c r="U71" s="145"/>
      <c r="V71" s="145">
        <f t="shared" si="51"/>
        <v>0</v>
      </c>
      <c r="W71" s="145"/>
      <c r="X71" s="145">
        <f t="shared" si="52"/>
        <v>0</v>
      </c>
      <c r="Y71" s="145"/>
      <c r="Z71" s="145">
        <f t="shared" si="53"/>
        <v>0</v>
      </c>
      <c r="AA71" s="145"/>
      <c r="AB71" s="145">
        <f t="shared" si="54"/>
        <v>0</v>
      </c>
      <c r="AC71" s="156"/>
      <c r="AD71" s="156">
        <f t="shared" si="43"/>
        <v>0</v>
      </c>
    </row>
    <row r="72" customHeight="1" spans="2:30">
      <c r="B72" s="193">
        <f>固定资产台账1!A8</f>
        <v>0</v>
      </c>
      <c r="C72" s="193"/>
      <c r="D72" s="193"/>
      <c r="E72" s="145">
        <f>固定资产台账1!C8</f>
        <v>0</v>
      </c>
      <c r="F72" s="145">
        <f>研发设备工时计算表2!J10</f>
        <v>0</v>
      </c>
      <c r="G72" s="201">
        <f>研发设备工时计算表2!F10</f>
        <v>0</v>
      </c>
      <c r="H72" s="145">
        <f t="shared" si="44"/>
        <v>0</v>
      </c>
      <c r="I72" s="145"/>
      <c r="J72" s="145">
        <f t="shared" si="45"/>
        <v>0</v>
      </c>
      <c r="K72" s="145"/>
      <c r="L72" s="145">
        <f t="shared" si="46"/>
        <v>0</v>
      </c>
      <c r="M72" s="145"/>
      <c r="N72" s="145">
        <f t="shared" si="47"/>
        <v>0</v>
      </c>
      <c r="O72" s="145"/>
      <c r="P72" s="145">
        <f t="shared" si="48"/>
        <v>0</v>
      </c>
      <c r="Q72" s="145"/>
      <c r="R72" s="145">
        <f t="shared" si="49"/>
        <v>0</v>
      </c>
      <c r="S72" s="145"/>
      <c r="T72" s="145">
        <f t="shared" si="50"/>
        <v>0</v>
      </c>
      <c r="U72" s="145"/>
      <c r="V72" s="145">
        <f t="shared" si="51"/>
        <v>0</v>
      </c>
      <c r="W72" s="145"/>
      <c r="X72" s="145">
        <f t="shared" si="52"/>
        <v>0</v>
      </c>
      <c r="Y72" s="145"/>
      <c r="Z72" s="145">
        <f t="shared" si="53"/>
        <v>0</v>
      </c>
      <c r="AA72" s="145"/>
      <c r="AB72" s="145">
        <f t="shared" si="54"/>
        <v>0</v>
      </c>
      <c r="AC72" s="156"/>
      <c r="AD72" s="156">
        <f t="shared" si="43"/>
        <v>0</v>
      </c>
    </row>
    <row r="73" customHeight="1" spans="2:30">
      <c r="B73" s="193">
        <f>固定资产台账1!A9</f>
        <v>0</v>
      </c>
      <c r="C73" s="193"/>
      <c r="D73" s="193"/>
      <c r="E73" s="145">
        <f>固定资产台账1!C9</f>
        <v>0</v>
      </c>
      <c r="F73" s="145">
        <f>研发设备工时计算表2!J11</f>
        <v>0</v>
      </c>
      <c r="G73" s="201">
        <f>研发设备工时计算表2!F11</f>
        <v>0</v>
      </c>
      <c r="H73" s="145">
        <f t="shared" si="44"/>
        <v>0</v>
      </c>
      <c r="I73" s="145"/>
      <c r="J73" s="145">
        <f t="shared" si="45"/>
        <v>0</v>
      </c>
      <c r="K73" s="145"/>
      <c r="L73" s="145">
        <f t="shared" si="46"/>
        <v>0</v>
      </c>
      <c r="M73" s="145"/>
      <c r="N73" s="145">
        <f t="shared" si="47"/>
        <v>0</v>
      </c>
      <c r="O73" s="145"/>
      <c r="P73" s="145">
        <f t="shared" si="48"/>
        <v>0</v>
      </c>
      <c r="Q73" s="145"/>
      <c r="R73" s="145">
        <f t="shared" si="49"/>
        <v>0</v>
      </c>
      <c r="S73" s="145"/>
      <c r="T73" s="145">
        <f t="shared" si="50"/>
        <v>0</v>
      </c>
      <c r="U73" s="145"/>
      <c r="V73" s="145">
        <f t="shared" si="51"/>
        <v>0</v>
      </c>
      <c r="W73" s="145"/>
      <c r="X73" s="145">
        <f t="shared" si="52"/>
        <v>0</v>
      </c>
      <c r="Y73" s="145"/>
      <c r="Z73" s="145">
        <f t="shared" si="53"/>
        <v>0</v>
      </c>
      <c r="AA73" s="145"/>
      <c r="AB73" s="145">
        <f t="shared" si="54"/>
        <v>0</v>
      </c>
      <c r="AC73" s="156"/>
      <c r="AD73" s="156">
        <f t="shared" si="43"/>
        <v>0</v>
      </c>
    </row>
    <row r="74" customHeight="1" spans="2:30">
      <c r="B74" s="193">
        <f>固定资产台账1!A10</f>
        <v>0</v>
      </c>
      <c r="C74" s="193"/>
      <c r="D74" s="193"/>
      <c r="E74" s="145">
        <f>固定资产台账1!C10</f>
        <v>0</v>
      </c>
      <c r="F74" s="145">
        <f>研发设备工时计算表2!J12</f>
        <v>0</v>
      </c>
      <c r="G74" s="201">
        <f>研发设备工时计算表2!F12</f>
        <v>0</v>
      </c>
      <c r="H74" s="145">
        <f t="shared" si="44"/>
        <v>0</v>
      </c>
      <c r="I74" s="145"/>
      <c r="J74" s="145">
        <f t="shared" si="45"/>
        <v>0</v>
      </c>
      <c r="K74" s="145"/>
      <c r="L74" s="145">
        <f t="shared" si="46"/>
        <v>0</v>
      </c>
      <c r="M74" s="145"/>
      <c r="N74" s="145">
        <f t="shared" si="47"/>
        <v>0</v>
      </c>
      <c r="O74" s="145"/>
      <c r="P74" s="145">
        <f t="shared" si="48"/>
        <v>0</v>
      </c>
      <c r="Q74" s="145"/>
      <c r="R74" s="145">
        <f t="shared" si="49"/>
        <v>0</v>
      </c>
      <c r="S74" s="145"/>
      <c r="T74" s="145">
        <f t="shared" si="50"/>
        <v>0</v>
      </c>
      <c r="U74" s="145"/>
      <c r="V74" s="145">
        <f t="shared" si="51"/>
        <v>0</v>
      </c>
      <c r="W74" s="145"/>
      <c r="X74" s="145">
        <f t="shared" si="52"/>
        <v>0</v>
      </c>
      <c r="Y74" s="145"/>
      <c r="Z74" s="145">
        <f t="shared" si="53"/>
        <v>0</v>
      </c>
      <c r="AA74" s="145"/>
      <c r="AB74" s="145">
        <f t="shared" si="54"/>
        <v>0</v>
      </c>
      <c r="AC74" s="156"/>
      <c r="AD74" s="156">
        <f t="shared" si="43"/>
        <v>0</v>
      </c>
    </row>
    <row r="75" customHeight="1" spans="2:30">
      <c r="B75" s="193">
        <f>固定资产台账1!A11</f>
        <v>0</v>
      </c>
      <c r="C75" s="193"/>
      <c r="D75" s="193"/>
      <c r="E75" s="145">
        <f>固定资产台账1!C11</f>
        <v>0</v>
      </c>
      <c r="F75" s="145">
        <f>研发设备工时计算表2!J13</f>
        <v>0</v>
      </c>
      <c r="G75" s="201">
        <f>研发设备工时计算表2!F13</f>
        <v>0</v>
      </c>
      <c r="H75" s="145">
        <f t="shared" si="44"/>
        <v>0</v>
      </c>
      <c r="I75" s="145"/>
      <c r="J75" s="145">
        <f t="shared" si="45"/>
        <v>0</v>
      </c>
      <c r="K75" s="145"/>
      <c r="L75" s="145">
        <f t="shared" si="46"/>
        <v>0</v>
      </c>
      <c r="M75" s="145"/>
      <c r="N75" s="145">
        <f t="shared" si="47"/>
        <v>0</v>
      </c>
      <c r="O75" s="145"/>
      <c r="P75" s="145">
        <f t="shared" si="48"/>
        <v>0</v>
      </c>
      <c r="Q75" s="145"/>
      <c r="R75" s="145">
        <f t="shared" si="49"/>
        <v>0</v>
      </c>
      <c r="S75" s="145"/>
      <c r="T75" s="145">
        <f t="shared" si="50"/>
        <v>0</v>
      </c>
      <c r="U75" s="145"/>
      <c r="V75" s="145">
        <f t="shared" si="51"/>
        <v>0</v>
      </c>
      <c r="W75" s="145"/>
      <c r="X75" s="145">
        <f t="shared" si="52"/>
        <v>0</v>
      </c>
      <c r="Y75" s="145"/>
      <c r="Z75" s="145">
        <f t="shared" si="53"/>
        <v>0</v>
      </c>
      <c r="AA75" s="145"/>
      <c r="AB75" s="145">
        <f t="shared" si="54"/>
        <v>0</v>
      </c>
      <c r="AC75" s="156"/>
      <c r="AD75" s="156">
        <f t="shared" si="43"/>
        <v>0</v>
      </c>
    </row>
    <row r="76" customHeight="1" spans="2:30">
      <c r="B76" s="193">
        <f>固定资产台账1!A12</f>
        <v>0</v>
      </c>
      <c r="C76" s="193"/>
      <c r="D76" s="193"/>
      <c r="E76" s="145">
        <f>固定资产台账1!C12</f>
        <v>0</v>
      </c>
      <c r="F76" s="145">
        <f>研发设备工时计算表2!J14</f>
        <v>0</v>
      </c>
      <c r="G76" s="201">
        <f>研发设备工时计算表2!F14</f>
        <v>0</v>
      </c>
      <c r="H76" s="145">
        <f t="shared" si="44"/>
        <v>0</v>
      </c>
      <c r="I76" s="145"/>
      <c r="J76" s="145">
        <f t="shared" si="45"/>
        <v>0</v>
      </c>
      <c r="K76" s="145"/>
      <c r="L76" s="145">
        <f t="shared" si="46"/>
        <v>0</v>
      </c>
      <c r="M76" s="145"/>
      <c r="N76" s="145">
        <f t="shared" si="47"/>
        <v>0</v>
      </c>
      <c r="O76" s="145"/>
      <c r="P76" s="145">
        <f t="shared" si="48"/>
        <v>0</v>
      </c>
      <c r="Q76" s="145"/>
      <c r="R76" s="145">
        <f t="shared" si="49"/>
        <v>0</v>
      </c>
      <c r="S76" s="145"/>
      <c r="T76" s="145">
        <f t="shared" si="50"/>
        <v>0</v>
      </c>
      <c r="U76" s="145"/>
      <c r="V76" s="145">
        <f t="shared" si="51"/>
        <v>0</v>
      </c>
      <c r="W76" s="145"/>
      <c r="X76" s="145">
        <f t="shared" si="52"/>
        <v>0</v>
      </c>
      <c r="Y76" s="145"/>
      <c r="Z76" s="145">
        <f t="shared" si="53"/>
        <v>0</v>
      </c>
      <c r="AA76" s="145"/>
      <c r="AB76" s="145">
        <f t="shared" si="54"/>
        <v>0</v>
      </c>
      <c r="AC76" s="156"/>
      <c r="AD76" s="156">
        <f t="shared" si="43"/>
        <v>0</v>
      </c>
    </row>
    <row r="77" customHeight="1" spans="2:30">
      <c r="B77" s="193">
        <f>固定资产台账1!A13</f>
        <v>0</v>
      </c>
      <c r="C77" s="193"/>
      <c r="D77" s="193"/>
      <c r="E77" s="145">
        <f>固定资产台账1!C13</f>
        <v>0</v>
      </c>
      <c r="F77" s="145">
        <f>研发设备工时计算表2!J15</f>
        <v>0</v>
      </c>
      <c r="G77" s="201">
        <f>研发设备工时计算表2!F15</f>
        <v>0</v>
      </c>
      <c r="H77" s="145">
        <f t="shared" si="44"/>
        <v>0</v>
      </c>
      <c r="I77" s="145"/>
      <c r="J77" s="145">
        <f t="shared" si="45"/>
        <v>0</v>
      </c>
      <c r="K77" s="145"/>
      <c r="L77" s="145">
        <f t="shared" si="46"/>
        <v>0</v>
      </c>
      <c r="M77" s="145"/>
      <c r="N77" s="145">
        <f t="shared" si="47"/>
        <v>0</v>
      </c>
      <c r="O77" s="145"/>
      <c r="P77" s="145">
        <f t="shared" si="48"/>
        <v>0</v>
      </c>
      <c r="Q77" s="145"/>
      <c r="R77" s="145">
        <f t="shared" si="49"/>
        <v>0</v>
      </c>
      <c r="S77" s="145"/>
      <c r="T77" s="145">
        <f t="shared" si="50"/>
        <v>0</v>
      </c>
      <c r="U77" s="145"/>
      <c r="V77" s="145">
        <f t="shared" si="51"/>
        <v>0</v>
      </c>
      <c r="W77" s="145"/>
      <c r="X77" s="145">
        <f t="shared" si="52"/>
        <v>0</v>
      </c>
      <c r="Y77" s="145"/>
      <c r="Z77" s="145">
        <f t="shared" si="53"/>
        <v>0</v>
      </c>
      <c r="AA77" s="145"/>
      <c r="AB77" s="145">
        <f t="shared" si="54"/>
        <v>0</v>
      </c>
      <c r="AC77" s="156"/>
      <c r="AD77" s="156">
        <f t="shared" si="43"/>
        <v>0</v>
      </c>
    </row>
    <row r="78" customHeight="1" spans="2:30">
      <c r="B78" s="193">
        <f>固定资产台账1!A14</f>
        <v>0</v>
      </c>
      <c r="C78" s="193"/>
      <c r="D78" s="193"/>
      <c r="E78" s="145">
        <f>固定资产台账1!C14</f>
        <v>0</v>
      </c>
      <c r="F78" s="145">
        <f>研发设备工时计算表2!J16</f>
        <v>0</v>
      </c>
      <c r="G78" s="201">
        <f>研发设备工时计算表2!F16</f>
        <v>0</v>
      </c>
      <c r="H78" s="145">
        <f t="shared" si="44"/>
        <v>0</v>
      </c>
      <c r="I78" s="145"/>
      <c r="J78" s="145">
        <f t="shared" si="45"/>
        <v>0</v>
      </c>
      <c r="K78" s="145"/>
      <c r="L78" s="145">
        <f t="shared" si="46"/>
        <v>0</v>
      </c>
      <c r="M78" s="145"/>
      <c r="N78" s="145">
        <f t="shared" si="47"/>
        <v>0</v>
      </c>
      <c r="O78" s="145"/>
      <c r="P78" s="145">
        <f t="shared" si="48"/>
        <v>0</v>
      </c>
      <c r="Q78" s="145"/>
      <c r="R78" s="145">
        <f t="shared" si="49"/>
        <v>0</v>
      </c>
      <c r="S78" s="145"/>
      <c r="T78" s="145">
        <f t="shared" si="50"/>
        <v>0</v>
      </c>
      <c r="U78" s="145"/>
      <c r="V78" s="145">
        <f t="shared" si="51"/>
        <v>0</v>
      </c>
      <c r="W78" s="145"/>
      <c r="X78" s="145">
        <f t="shared" si="52"/>
        <v>0</v>
      </c>
      <c r="Y78" s="145"/>
      <c r="Z78" s="145">
        <f t="shared" si="53"/>
        <v>0</v>
      </c>
      <c r="AA78" s="145"/>
      <c r="AB78" s="145">
        <f t="shared" si="54"/>
        <v>0</v>
      </c>
      <c r="AC78" s="156"/>
      <c r="AD78" s="156">
        <f t="shared" si="43"/>
        <v>0</v>
      </c>
    </row>
    <row r="79" customHeight="1" spans="2:30">
      <c r="B79" s="193">
        <f>固定资产台账1!A15</f>
        <v>0</v>
      </c>
      <c r="C79" s="193"/>
      <c r="D79" s="193"/>
      <c r="E79" s="145">
        <f>固定资产台账1!C15</f>
        <v>0</v>
      </c>
      <c r="F79" s="145">
        <f>研发设备工时计算表2!J17</f>
        <v>0</v>
      </c>
      <c r="G79" s="201">
        <f>研发设备工时计算表2!F17</f>
        <v>0</v>
      </c>
      <c r="H79" s="145">
        <f t="shared" si="44"/>
        <v>0</v>
      </c>
      <c r="I79" s="145"/>
      <c r="J79" s="145">
        <f t="shared" si="45"/>
        <v>0</v>
      </c>
      <c r="K79" s="145"/>
      <c r="L79" s="145">
        <f t="shared" si="46"/>
        <v>0</v>
      </c>
      <c r="M79" s="145"/>
      <c r="N79" s="145">
        <f t="shared" si="47"/>
        <v>0</v>
      </c>
      <c r="O79" s="145"/>
      <c r="P79" s="145">
        <f t="shared" si="48"/>
        <v>0</v>
      </c>
      <c r="Q79" s="145"/>
      <c r="R79" s="145">
        <f t="shared" si="49"/>
        <v>0</v>
      </c>
      <c r="S79" s="145"/>
      <c r="T79" s="145">
        <f t="shared" si="50"/>
        <v>0</v>
      </c>
      <c r="U79" s="145"/>
      <c r="V79" s="145">
        <f t="shared" si="51"/>
        <v>0</v>
      </c>
      <c r="W79" s="145"/>
      <c r="X79" s="145">
        <f t="shared" si="52"/>
        <v>0</v>
      </c>
      <c r="Y79" s="145"/>
      <c r="Z79" s="145">
        <f t="shared" si="53"/>
        <v>0</v>
      </c>
      <c r="AA79" s="145"/>
      <c r="AB79" s="145">
        <f t="shared" si="54"/>
        <v>0</v>
      </c>
      <c r="AC79" s="156"/>
      <c r="AD79" s="156">
        <f t="shared" si="43"/>
        <v>0</v>
      </c>
    </row>
    <row r="80" customHeight="1" spans="2:30">
      <c r="B80" s="193">
        <f>固定资产台账1!A16</f>
        <v>0</v>
      </c>
      <c r="C80" s="193"/>
      <c r="D80" s="193"/>
      <c r="E80" s="145">
        <f>固定资产台账1!C16</f>
        <v>0</v>
      </c>
      <c r="F80" s="145">
        <f>研发设备工时计算表2!J18</f>
        <v>0</v>
      </c>
      <c r="G80" s="201">
        <f>研发设备工时计算表2!F18</f>
        <v>0</v>
      </c>
      <c r="H80" s="145">
        <f t="shared" si="44"/>
        <v>0</v>
      </c>
      <c r="I80" s="145"/>
      <c r="J80" s="145">
        <f t="shared" si="45"/>
        <v>0</v>
      </c>
      <c r="K80" s="145"/>
      <c r="L80" s="145">
        <f t="shared" si="46"/>
        <v>0</v>
      </c>
      <c r="M80" s="145"/>
      <c r="N80" s="145">
        <f t="shared" si="47"/>
        <v>0</v>
      </c>
      <c r="O80" s="145"/>
      <c r="P80" s="145">
        <f t="shared" si="48"/>
        <v>0</v>
      </c>
      <c r="Q80" s="145"/>
      <c r="R80" s="145">
        <f t="shared" si="49"/>
        <v>0</v>
      </c>
      <c r="S80" s="145"/>
      <c r="T80" s="145">
        <f t="shared" si="50"/>
        <v>0</v>
      </c>
      <c r="U80" s="145"/>
      <c r="V80" s="145">
        <f t="shared" si="51"/>
        <v>0</v>
      </c>
      <c r="W80" s="145"/>
      <c r="X80" s="145">
        <f t="shared" si="52"/>
        <v>0</v>
      </c>
      <c r="Y80" s="145"/>
      <c r="Z80" s="145">
        <f t="shared" si="53"/>
        <v>0</v>
      </c>
      <c r="AA80" s="145"/>
      <c r="AB80" s="145">
        <f t="shared" si="54"/>
        <v>0</v>
      </c>
      <c r="AC80" s="156"/>
      <c r="AD80" s="156">
        <f t="shared" si="43"/>
        <v>0</v>
      </c>
    </row>
    <row r="81" customHeight="1" spans="2:30">
      <c r="B81" s="193">
        <f>固定资产台账1!A17</f>
        <v>0</v>
      </c>
      <c r="C81" s="193"/>
      <c r="D81" s="193"/>
      <c r="E81" s="145">
        <f>固定资产台账1!C17</f>
        <v>0</v>
      </c>
      <c r="F81" s="145">
        <f>研发设备工时计算表2!J19</f>
        <v>0</v>
      </c>
      <c r="G81" s="201">
        <f>研发设备工时计算表2!F19</f>
        <v>0</v>
      </c>
      <c r="H81" s="145">
        <f t="shared" si="44"/>
        <v>0</v>
      </c>
      <c r="I81" s="145"/>
      <c r="J81" s="145">
        <f t="shared" si="45"/>
        <v>0</v>
      </c>
      <c r="K81" s="145"/>
      <c r="L81" s="145">
        <f t="shared" si="46"/>
        <v>0</v>
      </c>
      <c r="M81" s="145"/>
      <c r="N81" s="145">
        <f t="shared" si="47"/>
        <v>0</v>
      </c>
      <c r="O81" s="145"/>
      <c r="P81" s="145">
        <f t="shared" si="48"/>
        <v>0</v>
      </c>
      <c r="Q81" s="145"/>
      <c r="R81" s="145">
        <f t="shared" si="49"/>
        <v>0</v>
      </c>
      <c r="S81" s="145"/>
      <c r="T81" s="145">
        <f t="shared" si="50"/>
        <v>0</v>
      </c>
      <c r="U81" s="145"/>
      <c r="V81" s="145">
        <f t="shared" si="51"/>
        <v>0</v>
      </c>
      <c r="W81" s="145"/>
      <c r="X81" s="145">
        <f t="shared" si="52"/>
        <v>0</v>
      </c>
      <c r="Y81" s="145"/>
      <c r="Z81" s="145">
        <f t="shared" si="53"/>
        <v>0</v>
      </c>
      <c r="AA81" s="145"/>
      <c r="AB81" s="145">
        <f t="shared" si="54"/>
        <v>0</v>
      </c>
      <c r="AC81" s="156"/>
      <c r="AD81" s="156">
        <f t="shared" si="43"/>
        <v>0</v>
      </c>
    </row>
    <row r="82" customHeight="1" spans="2:30">
      <c r="B82" s="193">
        <f>固定资产台账1!A18</f>
        <v>0</v>
      </c>
      <c r="C82" s="193"/>
      <c r="D82" s="193"/>
      <c r="E82" s="145">
        <f>固定资产台账1!C18</f>
        <v>0</v>
      </c>
      <c r="F82" s="145">
        <f>研发设备工时计算表2!J20</f>
        <v>0</v>
      </c>
      <c r="G82" s="201">
        <f>研发设备工时计算表2!F20</f>
        <v>0</v>
      </c>
      <c r="H82" s="145">
        <f t="shared" si="44"/>
        <v>0</v>
      </c>
      <c r="I82" s="145"/>
      <c r="J82" s="145">
        <f t="shared" si="45"/>
        <v>0</v>
      </c>
      <c r="K82" s="145"/>
      <c r="L82" s="145">
        <f t="shared" si="46"/>
        <v>0</v>
      </c>
      <c r="M82" s="145"/>
      <c r="N82" s="145">
        <f t="shared" si="47"/>
        <v>0</v>
      </c>
      <c r="O82" s="145"/>
      <c r="P82" s="145">
        <f t="shared" si="48"/>
        <v>0</v>
      </c>
      <c r="Q82" s="145"/>
      <c r="R82" s="145">
        <f t="shared" si="49"/>
        <v>0</v>
      </c>
      <c r="S82" s="145"/>
      <c r="T82" s="145">
        <f t="shared" si="50"/>
        <v>0</v>
      </c>
      <c r="U82" s="145"/>
      <c r="V82" s="145">
        <f t="shared" si="51"/>
        <v>0</v>
      </c>
      <c r="W82" s="145"/>
      <c r="X82" s="145">
        <f t="shared" si="52"/>
        <v>0</v>
      </c>
      <c r="Y82" s="145"/>
      <c r="Z82" s="145">
        <f t="shared" si="53"/>
        <v>0</v>
      </c>
      <c r="AA82" s="145"/>
      <c r="AB82" s="145">
        <f t="shared" si="54"/>
        <v>0</v>
      </c>
      <c r="AC82" s="156"/>
      <c r="AD82" s="156">
        <f t="shared" si="43"/>
        <v>0</v>
      </c>
    </row>
    <row r="83" customHeight="1" spans="2:30">
      <c r="B83" s="193">
        <f>固定资产台账1!A19</f>
        <v>0</v>
      </c>
      <c r="C83" s="193"/>
      <c r="D83" s="193"/>
      <c r="E83" s="145">
        <f>固定资产台账1!C19</f>
        <v>0</v>
      </c>
      <c r="F83" s="145">
        <f>研发设备工时计算表2!J21</f>
        <v>0</v>
      </c>
      <c r="G83" s="201">
        <f>研发设备工时计算表2!F21</f>
        <v>0</v>
      </c>
      <c r="H83" s="145">
        <f t="shared" si="44"/>
        <v>0</v>
      </c>
      <c r="I83" s="145"/>
      <c r="J83" s="145">
        <f t="shared" si="45"/>
        <v>0</v>
      </c>
      <c r="K83" s="145"/>
      <c r="L83" s="145">
        <f t="shared" si="46"/>
        <v>0</v>
      </c>
      <c r="M83" s="145"/>
      <c r="N83" s="145">
        <f t="shared" si="47"/>
        <v>0</v>
      </c>
      <c r="O83" s="145"/>
      <c r="P83" s="145">
        <f t="shared" si="48"/>
        <v>0</v>
      </c>
      <c r="Q83" s="145"/>
      <c r="R83" s="145">
        <f t="shared" si="49"/>
        <v>0</v>
      </c>
      <c r="S83" s="145"/>
      <c r="T83" s="145">
        <f t="shared" si="50"/>
        <v>0</v>
      </c>
      <c r="U83" s="145"/>
      <c r="V83" s="145">
        <f t="shared" si="51"/>
        <v>0</v>
      </c>
      <c r="W83" s="145"/>
      <c r="X83" s="145">
        <f t="shared" si="52"/>
        <v>0</v>
      </c>
      <c r="Y83" s="145"/>
      <c r="Z83" s="145">
        <f t="shared" si="53"/>
        <v>0</v>
      </c>
      <c r="AA83" s="145"/>
      <c r="AB83" s="145">
        <f t="shared" si="54"/>
        <v>0</v>
      </c>
      <c r="AC83" s="156"/>
      <c r="AD83" s="156">
        <f t="shared" si="43"/>
        <v>0</v>
      </c>
    </row>
    <row r="84" customHeight="1" spans="2:30">
      <c r="B84" s="193">
        <f>固定资产台账1!A20</f>
        <v>0</v>
      </c>
      <c r="C84" s="193"/>
      <c r="D84" s="193"/>
      <c r="E84" s="145">
        <f>固定资产台账1!C20</f>
        <v>0</v>
      </c>
      <c r="F84" s="145">
        <f>研发设备工时计算表2!J22</f>
        <v>0</v>
      </c>
      <c r="G84" s="201">
        <f>研发设备工时计算表2!F22</f>
        <v>0</v>
      </c>
      <c r="H84" s="145">
        <f t="shared" si="44"/>
        <v>0</v>
      </c>
      <c r="I84" s="145"/>
      <c r="J84" s="145">
        <f t="shared" si="45"/>
        <v>0</v>
      </c>
      <c r="K84" s="145"/>
      <c r="L84" s="145">
        <f t="shared" si="46"/>
        <v>0</v>
      </c>
      <c r="M84" s="145"/>
      <c r="N84" s="145">
        <f t="shared" si="47"/>
        <v>0</v>
      </c>
      <c r="O84" s="145"/>
      <c r="P84" s="145">
        <f t="shared" si="48"/>
        <v>0</v>
      </c>
      <c r="Q84" s="145"/>
      <c r="R84" s="145">
        <f t="shared" si="49"/>
        <v>0</v>
      </c>
      <c r="S84" s="145"/>
      <c r="T84" s="145">
        <f t="shared" si="50"/>
        <v>0</v>
      </c>
      <c r="U84" s="145"/>
      <c r="V84" s="145">
        <f t="shared" si="51"/>
        <v>0</v>
      </c>
      <c r="W84" s="145"/>
      <c r="X84" s="145">
        <f t="shared" si="52"/>
        <v>0</v>
      </c>
      <c r="Y84" s="145"/>
      <c r="Z84" s="145">
        <f t="shared" si="53"/>
        <v>0</v>
      </c>
      <c r="AA84" s="145"/>
      <c r="AB84" s="145">
        <f t="shared" si="54"/>
        <v>0</v>
      </c>
      <c r="AC84" s="156"/>
      <c r="AD84" s="156">
        <f t="shared" si="43"/>
        <v>0</v>
      </c>
    </row>
    <row r="85" customHeight="1" spans="2:30">
      <c r="B85" s="193">
        <f>固定资产台账1!A21</f>
        <v>0</v>
      </c>
      <c r="C85" s="193"/>
      <c r="D85" s="193"/>
      <c r="E85" s="145">
        <f>固定资产台账1!C21</f>
        <v>0</v>
      </c>
      <c r="F85" s="145">
        <f>研发设备工时计算表2!J23</f>
        <v>0</v>
      </c>
      <c r="G85" s="201">
        <f>研发设备工时计算表2!F23</f>
        <v>0</v>
      </c>
      <c r="H85" s="145">
        <f t="shared" si="44"/>
        <v>0</v>
      </c>
      <c r="I85" s="145"/>
      <c r="J85" s="145">
        <f t="shared" si="45"/>
        <v>0</v>
      </c>
      <c r="K85" s="145"/>
      <c r="L85" s="145">
        <f t="shared" si="46"/>
        <v>0</v>
      </c>
      <c r="M85" s="145"/>
      <c r="N85" s="145">
        <f t="shared" si="47"/>
        <v>0</v>
      </c>
      <c r="O85" s="145"/>
      <c r="P85" s="145">
        <f t="shared" si="48"/>
        <v>0</v>
      </c>
      <c r="Q85" s="145"/>
      <c r="R85" s="145">
        <f t="shared" si="49"/>
        <v>0</v>
      </c>
      <c r="S85" s="145"/>
      <c r="T85" s="145">
        <f t="shared" si="50"/>
        <v>0</v>
      </c>
      <c r="U85" s="145"/>
      <c r="V85" s="145">
        <f t="shared" si="51"/>
        <v>0</v>
      </c>
      <c r="W85" s="145"/>
      <c r="X85" s="145">
        <f t="shared" si="52"/>
        <v>0</v>
      </c>
      <c r="Y85" s="145"/>
      <c r="Z85" s="145">
        <f t="shared" si="53"/>
        <v>0</v>
      </c>
      <c r="AA85" s="145"/>
      <c r="AB85" s="145">
        <f t="shared" si="54"/>
        <v>0</v>
      </c>
      <c r="AC85" s="156"/>
      <c r="AD85" s="156">
        <f t="shared" si="43"/>
        <v>0</v>
      </c>
    </row>
    <row r="86" customHeight="1" spans="2:30">
      <c r="B86" s="193">
        <f>固定资产台账1!A22</f>
        <v>0</v>
      </c>
      <c r="C86" s="193"/>
      <c r="D86" s="193"/>
      <c r="E86" s="145">
        <f>固定资产台账1!C22</f>
        <v>0</v>
      </c>
      <c r="F86" s="145">
        <f>研发设备工时计算表2!J24</f>
        <v>0</v>
      </c>
      <c r="G86" s="201">
        <f>研发设备工时计算表2!F24</f>
        <v>0</v>
      </c>
      <c r="H86" s="145">
        <f t="shared" si="44"/>
        <v>0</v>
      </c>
      <c r="I86" s="145"/>
      <c r="J86" s="145">
        <f t="shared" si="45"/>
        <v>0</v>
      </c>
      <c r="K86" s="145"/>
      <c r="L86" s="145">
        <f t="shared" si="46"/>
        <v>0</v>
      </c>
      <c r="M86" s="145"/>
      <c r="N86" s="145">
        <f t="shared" si="47"/>
        <v>0</v>
      </c>
      <c r="O86" s="145"/>
      <c r="P86" s="145">
        <f t="shared" si="48"/>
        <v>0</v>
      </c>
      <c r="Q86" s="145"/>
      <c r="R86" s="145">
        <f t="shared" si="49"/>
        <v>0</v>
      </c>
      <c r="S86" s="145"/>
      <c r="T86" s="145">
        <f t="shared" si="50"/>
        <v>0</v>
      </c>
      <c r="U86" s="145"/>
      <c r="V86" s="145">
        <f t="shared" si="51"/>
        <v>0</v>
      </c>
      <c r="W86" s="145"/>
      <c r="X86" s="145">
        <f t="shared" si="52"/>
        <v>0</v>
      </c>
      <c r="Y86" s="145"/>
      <c r="Z86" s="145">
        <f t="shared" si="53"/>
        <v>0</v>
      </c>
      <c r="AA86" s="145"/>
      <c r="AB86" s="145">
        <f t="shared" si="54"/>
        <v>0</v>
      </c>
      <c r="AC86" s="156"/>
      <c r="AD86" s="156">
        <f t="shared" si="43"/>
        <v>0</v>
      </c>
    </row>
    <row r="87" customHeight="1" spans="2:30">
      <c r="B87" s="193">
        <f>固定资产台账1!A23</f>
        <v>0</v>
      </c>
      <c r="C87" s="193"/>
      <c r="D87" s="193"/>
      <c r="E87" s="145">
        <f>固定资产台账1!C23</f>
        <v>0</v>
      </c>
      <c r="F87" s="145">
        <f>研发设备工时计算表2!J25</f>
        <v>0</v>
      </c>
      <c r="G87" s="201">
        <f>研发设备工时计算表2!F25</f>
        <v>0</v>
      </c>
      <c r="H87" s="145">
        <f t="shared" si="44"/>
        <v>0</v>
      </c>
      <c r="I87" s="145"/>
      <c r="J87" s="145">
        <f t="shared" si="45"/>
        <v>0</v>
      </c>
      <c r="K87" s="145"/>
      <c r="L87" s="145">
        <f t="shared" si="46"/>
        <v>0</v>
      </c>
      <c r="M87" s="145"/>
      <c r="N87" s="145">
        <f t="shared" si="47"/>
        <v>0</v>
      </c>
      <c r="O87" s="145"/>
      <c r="P87" s="145">
        <f t="shared" si="48"/>
        <v>0</v>
      </c>
      <c r="Q87" s="145"/>
      <c r="R87" s="145">
        <f t="shared" si="49"/>
        <v>0</v>
      </c>
      <c r="S87" s="145"/>
      <c r="T87" s="145">
        <f t="shared" si="50"/>
        <v>0</v>
      </c>
      <c r="U87" s="145"/>
      <c r="V87" s="145">
        <f t="shared" si="51"/>
        <v>0</v>
      </c>
      <c r="W87" s="145"/>
      <c r="X87" s="145">
        <f t="shared" si="52"/>
        <v>0</v>
      </c>
      <c r="Y87" s="145"/>
      <c r="Z87" s="145">
        <f t="shared" si="53"/>
        <v>0</v>
      </c>
      <c r="AA87" s="145"/>
      <c r="AB87" s="145">
        <f t="shared" si="54"/>
        <v>0</v>
      </c>
      <c r="AC87" s="156"/>
      <c r="AD87" s="156">
        <f t="shared" si="43"/>
        <v>0</v>
      </c>
    </row>
    <row r="88" customHeight="1" spans="2:30">
      <c r="B88" s="193">
        <f>固定资产台账1!A25</f>
        <v>0</v>
      </c>
      <c r="C88" s="193"/>
      <c r="D88" s="193"/>
      <c r="E88" s="145">
        <f>固定资产台账1!C25</f>
        <v>0</v>
      </c>
      <c r="F88" s="145">
        <f>研发设备工时计算表2!J26</f>
        <v>0</v>
      </c>
      <c r="G88" s="201">
        <f>研发设备工时计算表2!F26</f>
        <v>0</v>
      </c>
      <c r="H88" s="145">
        <f t="shared" si="44"/>
        <v>0</v>
      </c>
      <c r="I88" s="145"/>
      <c r="J88" s="145">
        <f t="shared" si="45"/>
        <v>0</v>
      </c>
      <c r="K88" s="145"/>
      <c r="L88" s="145">
        <f t="shared" si="46"/>
        <v>0</v>
      </c>
      <c r="M88" s="145"/>
      <c r="N88" s="145">
        <f t="shared" si="47"/>
        <v>0</v>
      </c>
      <c r="O88" s="145"/>
      <c r="P88" s="145">
        <f t="shared" si="48"/>
        <v>0</v>
      </c>
      <c r="Q88" s="145"/>
      <c r="R88" s="145">
        <f t="shared" si="49"/>
        <v>0</v>
      </c>
      <c r="S88" s="145"/>
      <c r="T88" s="145">
        <f t="shared" si="50"/>
        <v>0</v>
      </c>
      <c r="U88" s="145"/>
      <c r="V88" s="145">
        <f t="shared" si="51"/>
        <v>0</v>
      </c>
      <c r="W88" s="145"/>
      <c r="X88" s="145">
        <f t="shared" si="52"/>
        <v>0</v>
      </c>
      <c r="Y88" s="145"/>
      <c r="Z88" s="145">
        <f t="shared" si="53"/>
        <v>0</v>
      </c>
      <c r="AA88" s="145"/>
      <c r="AB88" s="145">
        <f t="shared" si="54"/>
        <v>0</v>
      </c>
      <c r="AC88" s="156"/>
      <c r="AD88" s="156">
        <f t="shared" si="43"/>
        <v>0</v>
      </c>
    </row>
    <row r="89" customHeight="1" spans="2:30">
      <c r="B89" s="193">
        <f>固定资产台账1!A25</f>
        <v>0</v>
      </c>
      <c r="C89" s="193"/>
      <c r="D89" s="193"/>
      <c r="E89" s="145">
        <f>固定资产台账1!C25</f>
        <v>0</v>
      </c>
      <c r="F89" s="145">
        <f>研发设备工时计算表2!J27</f>
        <v>0</v>
      </c>
      <c r="G89" s="201">
        <f>研发设备工时计算表2!F27</f>
        <v>0</v>
      </c>
      <c r="H89" s="145">
        <f t="shared" si="44"/>
        <v>0</v>
      </c>
      <c r="I89" s="145"/>
      <c r="J89" s="145">
        <f t="shared" si="45"/>
        <v>0</v>
      </c>
      <c r="K89" s="145"/>
      <c r="L89" s="145">
        <f t="shared" si="46"/>
        <v>0</v>
      </c>
      <c r="M89" s="145"/>
      <c r="N89" s="145">
        <f t="shared" si="47"/>
        <v>0</v>
      </c>
      <c r="O89" s="145"/>
      <c r="P89" s="145">
        <f t="shared" si="48"/>
        <v>0</v>
      </c>
      <c r="Q89" s="145"/>
      <c r="R89" s="145">
        <f t="shared" si="49"/>
        <v>0</v>
      </c>
      <c r="S89" s="145"/>
      <c r="T89" s="145">
        <f t="shared" si="50"/>
        <v>0</v>
      </c>
      <c r="U89" s="145"/>
      <c r="V89" s="145">
        <f t="shared" si="51"/>
        <v>0</v>
      </c>
      <c r="W89" s="145"/>
      <c r="X89" s="145">
        <f t="shared" si="52"/>
        <v>0</v>
      </c>
      <c r="Y89" s="145"/>
      <c r="Z89" s="145">
        <f t="shared" si="53"/>
        <v>0</v>
      </c>
      <c r="AA89" s="145"/>
      <c r="AB89" s="145">
        <f t="shared" si="54"/>
        <v>0</v>
      </c>
      <c r="AC89" s="156"/>
      <c r="AD89" s="156">
        <f t="shared" si="43"/>
        <v>0</v>
      </c>
    </row>
    <row r="90" customHeight="1" spans="2:30">
      <c r="B90" s="193">
        <f>固定资产台账1!A26</f>
        <v>0</v>
      </c>
      <c r="C90" s="193"/>
      <c r="D90" s="193"/>
      <c r="E90" s="145">
        <f>固定资产台账1!C26</f>
        <v>0</v>
      </c>
      <c r="F90" s="145">
        <f>研发设备工时计算表2!J28</f>
        <v>0</v>
      </c>
      <c r="G90" s="201">
        <f>研发设备工时计算表2!F28</f>
        <v>0</v>
      </c>
      <c r="H90" s="145">
        <f t="shared" si="44"/>
        <v>0</v>
      </c>
      <c r="I90" s="145"/>
      <c r="J90" s="145">
        <f t="shared" si="45"/>
        <v>0</v>
      </c>
      <c r="K90" s="145"/>
      <c r="L90" s="145">
        <f t="shared" si="46"/>
        <v>0</v>
      </c>
      <c r="M90" s="145"/>
      <c r="N90" s="145">
        <f t="shared" si="47"/>
        <v>0</v>
      </c>
      <c r="O90" s="145"/>
      <c r="P90" s="145">
        <f t="shared" si="48"/>
        <v>0</v>
      </c>
      <c r="Q90" s="145"/>
      <c r="R90" s="145">
        <f t="shared" si="49"/>
        <v>0</v>
      </c>
      <c r="S90" s="145"/>
      <c r="T90" s="145">
        <f t="shared" si="50"/>
        <v>0</v>
      </c>
      <c r="U90" s="145"/>
      <c r="V90" s="145">
        <f t="shared" si="51"/>
        <v>0</v>
      </c>
      <c r="W90" s="145"/>
      <c r="X90" s="145">
        <f t="shared" si="52"/>
        <v>0</v>
      </c>
      <c r="Y90" s="145"/>
      <c r="Z90" s="145">
        <f t="shared" si="53"/>
        <v>0</v>
      </c>
      <c r="AA90" s="145"/>
      <c r="AB90" s="145">
        <f t="shared" si="54"/>
        <v>0</v>
      </c>
      <c r="AC90" s="156"/>
      <c r="AD90" s="156">
        <f t="shared" si="43"/>
        <v>0</v>
      </c>
    </row>
    <row r="91" customHeight="1" spans="2:30">
      <c r="B91" s="193">
        <f>固定资产台账1!A27</f>
        <v>0</v>
      </c>
      <c r="C91" s="193"/>
      <c r="D91" s="193"/>
      <c r="E91" s="145">
        <f>固定资产台账1!C27</f>
        <v>0</v>
      </c>
      <c r="F91" s="145">
        <f>研发设备工时计算表2!J29</f>
        <v>0</v>
      </c>
      <c r="G91" s="201">
        <f>研发设备工时计算表2!F29</f>
        <v>0</v>
      </c>
      <c r="H91" s="145">
        <f t="shared" si="44"/>
        <v>0</v>
      </c>
      <c r="I91" s="145"/>
      <c r="J91" s="145">
        <f t="shared" si="45"/>
        <v>0</v>
      </c>
      <c r="K91" s="145"/>
      <c r="L91" s="145">
        <f t="shared" si="46"/>
        <v>0</v>
      </c>
      <c r="M91" s="145"/>
      <c r="N91" s="145">
        <f t="shared" si="47"/>
        <v>0</v>
      </c>
      <c r="O91" s="145"/>
      <c r="P91" s="145">
        <f t="shared" si="48"/>
        <v>0</v>
      </c>
      <c r="Q91" s="145"/>
      <c r="R91" s="145">
        <f t="shared" si="49"/>
        <v>0</v>
      </c>
      <c r="S91" s="145"/>
      <c r="T91" s="145">
        <f t="shared" si="50"/>
        <v>0</v>
      </c>
      <c r="U91" s="145"/>
      <c r="V91" s="145">
        <f t="shared" si="51"/>
        <v>0</v>
      </c>
      <c r="W91" s="145"/>
      <c r="X91" s="145">
        <f t="shared" si="52"/>
        <v>0</v>
      </c>
      <c r="Y91" s="145"/>
      <c r="Z91" s="145">
        <f t="shared" si="53"/>
        <v>0</v>
      </c>
      <c r="AA91" s="145"/>
      <c r="AB91" s="145">
        <f t="shared" si="54"/>
        <v>0</v>
      </c>
      <c r="AC91" s="156"/>
      <c r="AD91" s="156">
        <f t="shared" si="43"/>
        <v>0</v>
      </c>
    </row>
    <row r="92" customHeight="1" spans="2:30">
      <c r="B92" s="196" t="s">
        <v>255</v>
      </c>
      <c r="C92" s="197"/>
      <c r="D92" s="198"/>
      <c r="E92" s="199">
        <f t="shared" ref="E92:I92" si="55">SUM(E67:E91)</f>
        <v>0</v>
      </c>
      <c r="F92" s="188">
        <f t="shared" si="55"/>
        <v>0</v>
      </c>
      <c r="G92" s="188">
        <f t="shared" si="55"/>
        <v>0</v>
      </c>
      <c r="H92" s="188">
        <f t="shared" si="55"/>
        <v>0</v>
      </c>
      <c r="I92" s="188">
        <f t="shared" si="55"/>
        <v>0</v>
      </c>
      <c r="J92" s="188">
        <f t="shared" ref="J92:M92" si="56">SUM(J67:J91)</f>
        <v>0</v>
      </c>
      <c r="K92" s="188">
        <f t="shared" si="56"/>
        <v>0</v>
      </c>
      <c r="L92" s="188">
        <f t="shared" si="56"/>
        <v>0</v>
      </c>
      <c r="M92" s="188">
        <f t="shared" si="56"/>
        <v>0</v>
      </c>
      <c r="N92" s="188">
        <f t="shared" ref="N92:Q92" si="57">SUM(N67:N91)</f>
        <v>0</v>
      </c>
      <c r="O92" s="188">
        <f t="shared" si="57"/>
        <v>0</v>
      </c>
      <c r="P92" s="188">
        <f t="shared" si="57"/>
        <v>0</v>
      </c>
      <c r="Q92" s="188">
        <f t="shared" si="57"/>
        <v>0</v>
      </c>
      <c r="R92" s="188">
        <f t="shared" ref="R92:U92" si="58">SUM(R67:R91)</f>
        <v>0</v>
      </c>
      <c r="S92" s="188">
        <f t="shared" si="58"/>
        <v>0</v>
      </c>
      <c r="T92" s="188">
        <f t="shared" si="58"/>
        <v>0</v>
      </c>
      <c r="U92" s="188">
        <f t="shared" si="58"/>
        <v>0</v>
      </c>
      <c r="V92" s="188">
        <f t="shared" ref="V92:AB92" si="59">SUM(V67:V91)</f>
        <v>0</v>
      </c>
      <c r="W92" s="188">
        <f t="shared" si="59"/>
        <v>0</v>
      </c>
      <c r="X92" s="188">
        <f t="shared" si="59"/>
        <v>0</v>
      </c>
      <c r="Y92" s="188">
        <f t="shared" si="59"/>
        <v>0</v>
      </c>
      <c r="Z92" s="188">
        <f t="shared" si="59"/>
        <v>0</v>
      </c>
      <c r="AA92" s="188">
        <f t="shared" si="59"/>
        <v>0</v>
      </c>
      <c r="AB92" s="188">
        <f t="shared" si="59"/>
        <v>0</v>
      </c>
      <c r="AC92" s="156"/>
      <c r="AD92" s="156">
        <f t="shared" si="43"/>
        <v>0</v>
      </c>
    </row>
    <row r="93" customHeight="1" spans="2:30">
      <c r="E93" s="200"/>
      <c r="F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156"/>
      <c r="AD93" s="156"/>
    </row>
    <row r="94" customHeight="1" spans="2:30">
      <c r="E94" s="200"/>
      <c r="G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156"/>
      <c r="AD94" s="156"/>
    </row>
    <row r="95" customHeight="1" spans="2:30">
      <c r="B95" s="186" t="s">
        <v>258</v>
      </c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56"/>
      <c r="AD95" s="156"/>
    </row>
    <row r="96" customHeight="1" spans="2:30">
      <c r="B96" s="187" t="s">
        <v>249</v>
      </c>
      <c r="C96" s="187"/>
      <c r="D96" s="187"/>
      <c r="E96" s="188" t="s">
        <v>250</v>
      </c>
      <c r="F96" s="189" t="s">
        <v>251</v>
      </c>
      <c r="G96" s="190" t="s">
        <v>252</v>
      </c>
      <c r="H96" s="190" t="s">
        <v>251</v>
      </c>
      <c r="I96" s="191" t="str">
        <f>立项!A3</f>
        <v>RD01</v>
      </c>
      <c r="J96" s="191"/>
      <c r="K96" s="191" t="str">
        <f>立项!A4</f>
        <v>RD02</v>
      </c>
      <c r="L96" s="191"/>
      <c r="M96" s="191" t="str">
        <f>立项!A5</f>
        <v>RD03</v>
      </c>
      <c r="N96" s="191"/>
      <c r="O96" s="191" t="str">
        <f>立项!A6</f>
        <v>RD04</v>
      </c>
      <c r="P96" s="191"/>
      <c r="Q96" s="191" t="str">
        <f>立项!A7</f>
        <v>RD05</v>
      </c>
      <c r="R96" s="191"/>
      <c r="S96" s="191" t="str">
        <f>立项!A8</f>
        <v>RD06</v>
      </c>
      <c r="T96" s="191"/>
      <c r="U96" s="191" t="str">
        <f>立项!A9</f>
        <v>RD07</v>
      </c>
      <c r="V96" s="191"/>
      <c r="W96" s="191" t="str">
        <f>立项!A10</f>
        <v>RD08</v>
      </c>
      <c r="X96" s="191"/>
      <c r="Y96" s="191" t="str">
        <f>立项!A11</f>
        <v>RD09</v>
      </c>
      <c r="Z96" s="191"/>
      <c r="AA96" s="191" t="str">
        <f>立项!A12</f>
        <v>RD10</v>
      </c>
      <c r="AB96" s="191"/>
      <c r="AC96" s="156"/>
      <c r="AD96" s="156"/>
    </row>
    <row r="97" customHeight="1" spans="2:30">
      <c r="B97" s="187"/>
      <c r="C97" s="187"/>
      <c r="D97" s="187"/>
      <c r="E97" s="188"/>
      <c r="F97" s="188"/>
      <c r="G97" s="190"/>
      <c r="H97" s="190"/>
      <c r="I97" s="192" t="s">
        <v>253</v>
      </c>
      <c r="J97" s="192" t="s">
        <v>254</v>
      </c>
      <c r="K97" s="192" t="s">
        <v>253</v>
      </c>
      <c r="L97" s="192" t="s">
        <v>254</v>
      </c>
      <c r="M97" s="192" t="s">
        <v>253</v>
      </c>
      <c r="N97" s="192" t="s">
        <v>254</v>
      </c>
      <c r="O97" s="192" t="s">
        <v>253</v>
      </c>
      <c r="P97" s="192" t="s">
        <v>254</v>
      </c>
      <c r="Q97" s="192" t="s">
        <v>253</v>
      </c>
      <c r="R97" s="192" t="s">
        <v>254</v>
      </c>
      <c r="S97" s="192" t="s">
        <v>253</v>
      </c>
      <c r="T97" s="192" t="s">
        <v>254</v>
      </c>
      <c r="U97" s="192" t="s">
        <v>253</v>
      </c>
      <c r="V97" s="192" t="s">
        <v>254</v>
      </c>
      <c r="W97" s="192" t="s">
        <v>253</v>
      </c>
      <c r="X97" s="192" t="s">
        <v>254</v>
      </c>
      <c r="Y97" s="192" t="s">
        <v>253</v>
      </c>
      <c r="Z97" s="192" t="s">
        <v>254</v>
      </c>
      <c r="AA97" s="192" t="s">
        <v>253</v>
      </c>
      <c r="AB97" s="192" t="s">
        <v>254</v>
      </c>
      <c r="AC97" s="156"/>
      <c r="AD97" s="156"/>
    </row>
    <row r="98" customHeight="1" spans="2:30">
      <c r="B98" s="193">
        <f>固定资产台账1!A3</f>
        <v>0</v>
      </c>
      <c r="C98" s="193"/>
      <c r="D98" s="193"/>
      <c r="E98" s="145">
        <f>固定资产台账1!C3</f>
        <v>0</v>
      </c>
      <c r="F98" s="145">
        <f>研发设备工时计算表2!M5</f>
        <v>0</v>
      </c>
      <c r="G98" s="201">
        <f>研发设备工时计算表2!L5</f>
        <v>0</v>
      </c>
      <c r="H98" s="145">
        <f>J98+L98+N98+P98+R98+T98+V98+X98+Z98+AB98</f>
        <v>0</v>
      </c>
      <c r="I98" s="145"/>
      <c r="J98" s="145">
        <f t="shared" ref="J98:N98" si="60">IF($G98=0,0,ROUND(I98/$G98*$F98,2))</f>
        <v>0</v>
      </c>
      <c r="K98" s="145"/>
      <c r="L98" s="145">
        <f t="shared" si="60"/>
        <v>0</v>
      </c>
      <c r="M98" s="145"/>
      <c r="N98" s="145">
        <f t="shared" si="60"/>
        <v>0</v>
      </c>
      <c r="O98" s="145"/>
      <c r="P98" s="145">
        <f t="shared" ref="P98:T98" si="61">IF($G98=0,0,ROUND(O98/$G98*$F98,2))</f>
        <v>0</v>
      </c>
      <c r="Q98" s="145"/>
      <c r="R98" s="145">
        <f t="shared" si="61"/>
        <v>0</v>
      </c>
      <c r="S98" s="145"/>
      <c r="T98" s="145">
        <f t="shared" si="61"/>
        <v>0</v>
      </c>
      <c r="U98" s="145"/>
      <c r="V98" s="145">
        <f t="shared" ref="V98:Z98" si="62">IF($G98=0,0,ROUND(U98/$G98*$F98,2))</f>
        <v>0</v>
      </c>
      <c r="W98" s="145"/>
      <c r="X98" s="145">
        <f t="shared" si="62"/>
        <v>0</v>
      </c>
      <c r="Y98" s="145"/>
      <c r="Z98" s="145">
        <f t="shared" si="62"/>
        <v>0</v>
      </c>
      <c r="AA98" s="145"/>
      <c r="AB98" s="145">
        <f>IF($G98=0,0,ROUND(AA98/$G98*$F98,2))</f>
        <v>0</v>
      </c>
      <c r="AC98" s="156"/>
      <c r="AD98" s="156">
        <f t="shared" ref="AD98:AD123" si="63">F98-H98</f>
        <v>0</v>
      </c>
    </row>
    <row r="99" customHeight="1" spans="2:30">
      <c r="B99" s="193">
        <f>固定资产台账1!A4</f>
        <v>0</v>
      </c>
      <c r="C99" s="193"/>
      <c r="D99" s="193"/>
      <c r="E99" s="145">
        <f>固定资产台账1!C4</f>
        <v>0</v>
      </c>
      <c r="F99" s="145">
        <f>研发设备工时计算表2!M6</f>
        <v>0</v>
      </c>
      <c r="G99" s="201">
        <f>研发设备工时计算表2!L6</f>
        <v>0</v>
      </c>
      <c r="H99" s="145">
        <f t="shared" ref="H99:H122" si="64">J99+L99+N99+P99+R99+T99+V99+X99+Z99+AB99</f>
        <v>0</v>
      </c>
      <c r="I99" s="145"/>
      <c r="J99" s="145">
        <f t="shared" ref="J99:J122" si="65">IF($G99=0,0,ROUND(I99/$G99*$F99,2))</f>
        <v>0</v>
      </c>
      <c r="K99" s="145"/>
      <c r="L99" s="145">
        <f t="shared" ref="L99:L122" si="66">IF($G99=0,0,ROUND(K99/$G99*$F99,2))</f>
        <v>0</v>
      </c>
      <c r="M99" s="145"/>
      <c r="N99" s="145">
        <f t="shared" ref="N99:N122" si="67">IF($G99=0,0,ROUND(M99/$G99*$F99,2))</f>
        <v>0</v>
      </c>
      <c r="O99" s="145"/>
      <c r="P99" s="145">
        <f t="shared" ref="P99:P122" si="68">IF($G99=0,0,ROUND(O99/$G99*$F99,2))</f>
        <v>0</v>
      </c>
      <c r="Q99" s="145"/>
      <c r="R99" s="145">
        <f t="shared" ref="R99:R122" si="69">IF($G99=0,0,ROUND(Q99/$G99*$F99,2))</f>
        <v>0</v>
      </c>
      <c r="S99" s="145"/>
      <c r="T99" s="145">
        <f t="shared" ref="T99:T122" si="70">IF($G99=0,0,ROUND(S99/$G99*$F99,2))</f>
        <v>0</v>
      </c>
      <c r="U99" s="145"/>
      <c r="V99" s="145">
        <f t="shared" ref="V99:V122" si="71">IF($G99=0,0,ROUND(U99/$G99*$F99,2))</f>
        <v>0</v>
      </c>
      <c r="W99" s="145"/>
      <c r="X99" s="145">
        <f t="shared" ref="X99:X122" si="72">IF($G99=0,0,ROUND(W99/$G99*$F99,2))</f>
        <v>0</v>
      </c>
      <c r="Y99" s="145"/>
      <c r="Z99" s="145">
        <f t="shared" ref="Z99:Z122" si="73">IF($G99=0,0,ROUND(Y99/$G99*$F99,2))</f>
        <v>0</v>
      </c>
      <c r="AA99" s="145"/>
      <c r="AB99" s="145">
        <f t="shared" ref="AB99:AB122" si="74">IF($G99=0,0,ROUND(AA99/$G99*$F99,2))</f>
        <v>0</v>
      </c>
      <c r="AC99" s="156"/>
      <c r="AD99" s="156">
        <f t="shared" si="63"/>
        <v>0</v>
      </c>
    </row>
    <row r="100" customHeight="1" spans="2:30">
      <c r="B100" s="193">
        <f>固定资产台账1!A5</f>
        <v>0</v>
      </c>
      <c r="C100" s="193"/>
      <c r="D100" s="193"/>
      <c r="E100" s="145">
        <f>固定资产台账1!C5</f>
        <v>0</v>
      </c>
      <c r="F100" s="145">
        <f>研发设备工时计算表2!M7</f>
        <v>0</v>
      </c>
      <c r="G100" s="201">
        <f>研发设备工时计算表2!L7</f>
        <v>0</v>
      </c>
      <c r="H100" s="145">
        <f t="shared" si="64"/>
        <v>0</v>
      </c>
      <c r="I100" s="145"/>
      <c r="J100" s="145">
        <f t="shared" si="65"/>
        <v>0</v>
      </c>
      <c r="K100" s="145"/>
      <c r="L100" s="145">
        <f t="shared" si="66"/>
        <v>0</v>
      </c>
      <c r="M100" s="145"/>
      <c r="N100" s="145">
        <f t="shared" si="67"/>
        <v>0</v>
      </c>
      <c r="O100" s="145"/>
      <c r="P100" s="145">
        <f t="shared" si="68"/>
        <v>0</v>
      </c>
      <c r="Q100" s="145"/>
      <c r="R100" s="145">
        <f t="shared" si="69"/>
        <v>0</v>
      </c>
      <c r="S100" s="145"/>
      <c r="T100" s="145">
        <f t="shared" si="70"/>
        <v>0</v>
      </c>
      <c r="U100" s="145"/>
      <c r="V100" s="145">
        <f t="shared" si="71"/>
        <v>0</v>
      </c>
      <c r="W100" s="145"/>
      <c r="X100" s="145">
        <f t="shared" si="72"/>
        <v>0</v>
      </c>
      <c r="Y100" s="145"/>
      <c r="Z100" s="145">
        <f t="shared" si="73"/>
        <v>0</v>
      </c>
      <c r="AA100" s="145"/>
      <c r="AB100" s="145">
        <f t="shared" si="74"/>
        <v>0</v>
      </c>
      <c r="AC100" s="156"/>
      <c r="AD100" s="156">
        <f t="shared" si="63"/>
        <v>0</v>
      </c>
    </row>
    <row r="101" customHeight="1" spans="2:30">
      <c r="B101" s="193">
        <f>固定资产台账1!A6</f>
        <v>0</v>
      </c>
      <c r="C101" s="193"/>
      <c r="D101" s="193"/>
      <c r="E101" s="145">
        <f>固定资产台账1!C6</f>
        <v>0</v>
      </c>
      <c r="F101" s="145">
        <f>研发设备工时计算表2!M8</f>
        <v>0</v>
      </c>
      <c r="G101" s="201">
        <f>研发设备工时计算表2!L8</f>
        <v>0</v>
      </c>
      <c r="H101" s="145">
        <f t="shared" si="64"/>
        <v>0</v>
      </c>
      <c r="I101" s="145"/>
      <c r="J101" s="145">
        <f t="shared" si="65"/>
        <v>0</v>
      </c>
      <c r="K101" s="145"/>
      <c r="L101" s="145">
        <f t="shared" si="66"/>
        <v>0</v>
      </c>
      <c r="M101" s="145"/>
      <c r="N101" s="145">
        <f t="shared" si="67"/>
        <v>0</v>
      </c>
      <c r="O101" s="145"/>
      <c r="P101" s="145">
        <f t="shared" si="68"/>
        <v>0</v>
      </c>
      <c r="Q101" s="145"/>
      <c r="R101" s="145">
        <f t="shared" si="69"/>
        <v>0</v>
      </c>
      <c r="S101" s="145"/>
      <c r="T101" s="145">
        <f t="shared" si="70"/>
        <v>0</v>
      </c>
      <c r="U101" s="145"/>
      <c r="V101" s="145">
        <f t="shared" si="71"/>
        <v>0</v>
      </c>
      <c r="W101" s="145"/>
      <c r="X101" s="145">
        <f t="shared" si="72"/>
        <v>0</v>
      </c>
      <c r="Y101" s="145"/>
      <c r="Z101" s="145">
        <f t="shared" si="73"/>
        <v>0</v>
      </c>
      <c r="AA101" s="145"/>
      <c r="AB101" s="145">
        <f t="shared" si="74"/>
        <v>0</v>
      </c>
      <c r="AC101" s="156"/>
      <c r="AD101" s="156">
        <f t="shared" si="63"/>
        <v>0</v>
      </c>
    </row>
    <row r="102" customHeight="1" spans="2:30">
      <c r="B102" s="193">
        <f>固定资产台账1!A7</f>
        <v>0</v>
      </c>
      <c r="C102" s="193"/>
      <c r="D102" s="193"/>
      <c r="E102" s="145">
        <f>固定资产台账1!C7</f>
        <v>0</v>
      </c>
      <c r="F102" s="145">
        <f>研发设备工时计算表2!M9</f>
        <v>0</v>
      </c>
      <c r="G102" s="201">
        <f>研发设备工时计算表2!L9</f>
        <v>0</v>
      </c>
      <c r="H102" s="145">
        <f t="shared" si="64"/>
        <v>0</v>
      </c>
      <c r="I102" s="145"/>
      <c r="J102" s="145">
        <f t="shared" si="65"/>
        <v>0</v>
      </c>
      <c r="K102" s="145"/>
      <c r="L102" s="145">
        <f t="shared" si="66"/>
        <v>0</v>
      </c>
      <c r="M102" s="145"/>
      <c r="N102" s="145">
        <f t="shared" si="67"/>
        <v>0</v>
      </c>
      <c r="O102" s="145"/>
      <c r="P102" s="145">
        <f t="shared" si="68"/>
        <v>0</v>
      </c>
      <c r="Q102" s="145"/>
      <c r="R102" s="145">
        <f t="shared" si="69"/>
        <v>0</v>
      </c>
      <c r="S102" s="145"/>
      <c r="T102" s="145">
        <f t="shared" si="70"/>
        <v>0</v>
      </c>
      <c r="U102" s="145"/>
      <c r="V102" s="145">
        <f t="shared" si="71"/>
        <v>0</v>
      </c>
      <c r="W102" s="145"/>
      <c r="X102" s="145">
        <f t="shared" si="72"/>
        <v>0</v>
      </c>
      <c r="Y102" s="145"/>
      <c r="Z102" s="145">
        <f t="shared" si="73"/>
        <v>0</v>
      </c>
      <c r="AA102" s="145"/>
      <c r="AB102" s="145">
        <f t="shared" si="74"/>
        <v>0</v>
      </c>
      <c r="AC102" s="156"/>
      <c r="AD102" s="156">
        <f t="shared" si="63"/>
        <v>0</v>
      </c>
    </row>
    <row r="103" customHeight="1" spans="2:30">
      <c r="B103" s="193">
        <f>固定资产台账1!A8</f>
        <v>0</v>
      </c>
      <c r="C103" s="193"/>
      <c r="D103" s="193"/>
      <c r="E103" s="145">
        <f>固定资产台账1!C8</f>
        <v>0</v>
      </c>
      <c r="F103" s="145">
        <f>研发设备工时计算表2!M10</f>
        <v>0</v>
      </c>
      <c r="G103" s="201">
        <f>研发设备工时计算表2!L10</f>
        <v>0</v>
      </c>
      <c r="H103" s="145">
        <f t="shared" si="64"/>
        <v>0</v>
      </c>
      <c r="I103" s="145"/>
      <c r="J103" s="145">
        <f t="shared" si="65"/>
        <v>0</v>
      </c>
      <c r="K103" s="145"/>
      <c r="L103" s="145">
        <f t="shared" si="66"/>
        <v>0</v>
      </c>
      <c r="M103" s="145"/>
      <c r="N103" s="145">
        <f t="shared" si="67"/>
        <v>0</v>
      </c>
      <c r="O103" s="145"/>
      <c r="P103" s="145">
        <f t="shared" si="68"/>
        <v>0</v>
      </c>
      <c r="Q103" s="145"/>
      <c r="R103" s="145">
        <f t="shared" si="69"/>
        <v>0</v>
      </c>
      <c r="S103" s="145"/>
      <c r="T103" s="145">
        <f t="shared" si="70"/>
        <v>0</v>
      </c>
      <c r="U103" s="145"/>
      <c r="V103" s="145">
        <f t="shared" si="71"/>
        <v>0</v>
      </c>
      <c r="W103" s="145"/>
      <c r="X103" s="145">
        <f t="shared" si="72"/>
        <v>0</v>
      </c>
      <c r="Y103" s="145"/>
      <c r="Z103" s="145">
        <f t="shared" si="73"/>
        <v>0</v>
      </c>
      <c r="AA103" s="145"/>
      <c r="AB103" s="145">
        <f t="shared" si="74"/>
        <v>0</v>
      </c>
      <c r="AC103" s="156"/>
      <c r="AD103" s="156">
        <f t="shared" si="63"/>
        <v>0</v>
      </c>
    </row>
    <row r="104" customHeight="1" spans="2:30">
      <c r="B104" s="193">
        <f>固定资产台账1!A9</f>
        <v>0</v>
      </c>
      <c r="C104" s="193"/>
      <c r="D104" s="193"/>
      <c r="E104" s="145">
        <f>固定资产台账1!C9</f>
        <v>0</v>
      </c>
      <c r="F104" s="145">
        <f>研发设备工时计算表2!M11</f>
        <v>0</v>
      </c>
      <c r="G104" s="201">
        <f>研发设备工时计算表2!L11</f>
        <v>0</v>
      </c>
      <c r="H104" s="145">
        <f t="shared" si="64"/>
        <v>0</v>
      </c>
      <c r="I104" s="145"/>
      <c r="J104" s="145">
        <f t="shared" si="65"/>
        <v>0</v>
      </c>
      <c r="K104" s="145"/>
      <c r="L104" s="145">
        <f t="shared" si="66"/>
        <v>0</v>
      </c>
      <c r="M104" s="145"/>
      <c r="N104" s="145">
        <f t="shared" si="67"/>
        <v>0</v>
      </c>
      <c r="O104" s="145"/>
      <c r="P104" s="145">
        <f t="shared" si="68"/>
        <v>0</v>
      </c>
      <c r="Q104" s="145"/>
      <c r="R104" s="145">
        <f t="shared" si="69"/>
        <v>0</v>
      </c>
      <c r="S104" s="145"/>
      <c r="T104" s="145">
        <f t="shared" si="70"/>
        <v>0</v>
      </c>
      <c r="U104" s="145"/>
      <c r="V104" s="145">
        <f t="shared" si="71"/>
        <v>0</v>
      </c>
      <c r="W104" s="145"/>
      <c r="X104" s="145">
        <f t="shared" si="72"/>
        <v>0</v>
      </c>
      <c r="Y104" s="145"/>
      <c r="Z104" s="145">
        <f t="shared" si="73"/>
        <v>0</v>
      </c>
      <c r="AA104" s="145"/>
      <c r="AB104" s="145">
        <f t="shared" si="74"/>
        <v>0</v>
      </c>
      <c r="AC104" s="156"/>
      <c r="AD104" s="156">
        <f t="shared" si="63"/>
        <v>0</v>
      </c>
    </row>
    <row r="105" customHeight="1" spans="2:30">
      <c r="B105" s="193">
        <f>固定资产台账1!A10</f>
        <v>0</v>
      </c>
      <c r="C105" s="193"/>
      <c r="D105" s="193"/>
      <c r="E105" s="145">
        <f>固定资产台账1!C10</f>
        <v>0</v>
      </c>
      <c r="F105" s="145">
        <f>研发设备工时计算表2!M12</f>
        <v>0</v>
      </c>
      <c r="G105" s="201">
        <f>研发设备工时计算表2!L12</f>
        <v>0</v>
      </c>
      <c r="H105" s="145">
        <f t="shared" si="64"/>
        <v>0</v>
      </c>
      <c r="I105" s="145"/>
      <c r="J105" s="145">
        <f t="shared" si="65"/>
        <v>0</v>
      </c>
      <c r="K105" s="145"/>
      <c r="L105" s="145">
        <f t="shared" si="66"/>
        <v>0</v>
      </c>
      <c r="M105" s="145"/>
      <c r="N105" s="145">
        <f t="shared" si="67"/>
        <v>0</v>
      </c>
      <c r="O105" s="145"/>
      <c r="P105" s="145">
        <f t="shared" si="68"/>
        <v>0</v>
      </c>
      <c r="Q105" s="145"/>
      <c r="R105" s="145">
        <f t="shared" si="69"/>
        <v>0</v>
      </c>
      <c r="S105" s="145"/>
      <c r="T105" s="145">
        <f t="shared" si="70"/>
        <v>0</v>
      </c>
      <c r="U105" s="145"/>
      <c r="V105" s="145">
        <f t="shared" si="71"/>
        <v>0</v>
      </c>
      <c r="W105" s="145"/>
      <c r="X105" s="145">
        <f t="shared" si="72"/>
        <v>0</v>
      </c>
      <c r="Y105" s="145"/>
      <c r="Z105" s="145">
        <f t="shared" si="73"/>
        <v>0</v>
      </c>
      <c r="AA105" s="145"/>
      <c r="AB105" s="145">
        <f t="shared" si="74"/>
        <v>0</v>
      </c>
      <c r="AC105" s="156"/>
      <c r="AD105" s="156">
        <f t="shared" si="63"/>
        <v>0</v>
      </c>
    </row>
    <row r="106" customHeight="1" spans="2:30">
      <c r="B106" s="193">
        <f>固定资产台账1!A11</f>
        <v>0</v>
      </c>
      <c r="C106" s="193"/>
      <c r="D106" s="193"/>
      <c r="E106" s="145">
        <f>固定资产台账1!C11</f>
        <v>0</v>
      </c>
      <c r="F106" s="145">
        <f>研发设备工时计算表2!M13</f>
        <v>0</v>
      </c>
      <c r="G106" s="201">
        <f>研发设备工时计算表2!L13</f>
        <v>0</v>
      </c>
      <c r="H106" s="145">
        <f t="shared" si="64"/>
        <v>0</v>
      </c>
      <c r="I106" s="145"/>
      <c r="J106" s="145">
        <f t="shared" si="65"/>
        <v>0</v>
      </c>
      <c r="K106" s="145"/>
      <c r="L106" s="145">
        <f t="shared" si="66"/>
        <v>0</v>
      </c>
      <c r="M106" s="145"/>
      <c r="N106" s="145">
        <f t="shared" si="67"/>
        <v>0</v>
      </c>
      <c r="O106" s="145"/>
      <c r="P106" s="145">
        <f t="shared" si="68"/>
        <v>0</v>
      </c>
      <c r="Q106" s="145"/>
      <c r="R106" s="145">
        <f t="shared" si="69"/>
        <v>0</v>
      </c>
      <c r="S106" s="145"/>
      <c r="T106" s="145">
        <f t="shared" si="70"/>
        <v>0</v>
      </c>
      <c r="U106" s="145"/>
      <c r="V106" s="145">
        <f t="shared" si="71"/>
        <v>0</v>
      </c>
      <c r="W106" s="145"/>
      <c r="X106" s="145">
        <f t="shared" si="72"/>
        <v>0</v>
      </c>
      <c r="Y106" s="145"/>
      <c r="Z106" s="145">
        <f t="shared" si="73"/>
        <v>0</v>
      </c>
      <c r="AA106" s="145"/>
      <c r="AB106" s="145">
        <f t="shared" si="74"/>
        <v>0</v>
      </c>
      <c r="AC106" s="156"/>
      <c r="AD106" s="156">
        <f t="shared" si="63"/>
        <v>0</v>
      </c>
    </row>
    <row r="107" customHeight="1" spans="2:30">
      <c r="B107" s="193">
        <f>固定资产台账1!A12</f>
        <v>0</v>
      </c>
      <c r="C107" s="193"/>
      <c r="D107" s="193"/>
      <c r="E107" s="145">
        <f>固定资产台账1!C12</f>
        <v>0</v>
      </c>
      <c r="F107" s="145">
        <f>研发设备工时计算表2!M14</f>
        <v>0</v>
      </c>
      <c r="G107" s="201">
        <f>研发设备工时计算表2!L14</f>
        <v>0</v>
      </c>
      <c r="H107" s="145">
        <f t="shared" si="64"/>
        <v>0</v>
      </c>
      <c r="I107" s="145"/>
      <c r="J107" s="145">
        <f t="shared" si="65"/>
        <v>0</v>
      </c>
      <c r="K107" s="145"/>
      <c r="L107" s="145">
        <f t="shared" si="66"/>
        <v>0</v>
      </c>
      <c r="M107" s="145"/>
      <c r="N107" s="145">
        <f t="shared" si="67"/>
        <v>0</v>
      </c>
      <c r="O107" s="145"/>
      <c r="P107" s="145">
        <f t="shared" si="68"/>
        <v>0</v>
      </c>
      <c r="Q107" s="145"/>
      <c r="R107" s="145">
        <f t="shared" si="69"/>
        <v>0</v>
      </c>
      <c r="S107" s="145"/>
      <c r="T107" s="145">
        <f t="shared" si="70"/>
        <v>0</v>
      </c>
      <c r="U107" s="145"/>
      <c r="V107" s="145">
        <f t="shared" si="71"/>
        <v>0</v>
      </c>
      <c r="W107" s="145"/>
      <c r="X107" s="145">
        <f t="shared" si="72"/>
        <v>0</v>
      </c>
      <c r="Y107" s="145"/>
      <c r="Z107" s="145">
        <f t="shared" si="73"/>
        <v>0</v>
      </c>
      <c r="AA107" s="145"/>
      <c r="AB107" s="145">
        <f t="shared" si="74"/>
        <v>0</v>
      </c>
      <c r="AC107" s="156"/>
      <c r="AD107" s="156">
        <f t="shared" si="63"/>
        <v>0</v>
      </c>
    </row>
    <row r="108" customHeight="1" spans="2:30">
      <c r="B108" s="193">
        <f>固定资产台账1!A13</f>
        <v>0</v>
      </c>
      <c r="C108" s="193"/>
      <c r="D108" s="193"/>
      <c r="E108" s="145">
        <f>固定资产台账1!C13</f>
        <v>0</v>
      </c>
      <c r="F108" s="145">
        <f>研发设备工时计算表2!M15</f>
        <v>0</v>
      </c>
      <c r="G108" s="201">
        <f>研发设备工时计算表2!L15</f>
        <v>0</v>
      </c>
      <c r="H108" s="145">
        <f t="shared" si="64"/>
        <v>0</v>
      </c>
      <c r="I108" s="145"/>
      <c r="J108" s="145">
        <f t="shared" si="65"/>
        <v>0</v>
      </c>
      <c r="K108" s="145"/>
      <c r="L108" s="145">
        <f t="shared" si="66"/>
        <v>0</v>
      </c>
      <c r="M108" s="145"/>
      <c r="N108" s="145">
        <f t="shared" si="67"/>
        <v>0</v>
      </c>
      <c r="O108" s="145"/>
      <c r="P108" s="145">
        <f t="shared" si="68"/>
        <v>0</v>
      </c>
      <c r="Q108" s="145"/>
      <c r="R108" s="145">
        <f t="shared" si="69"/>
        <v>0</v>
      </c>
      <c r="S108" s="145"/>
      <c r="T108" s="145">
        <f t="shared" si="70"/>
        <v>0</v>
      </c>
      <c r="U108" s="145"/>
      <c r="V108" s="145">
        <f t="shared" si="71"/>
        <v>0</v>
      </c>
      <c r="W108" s="145"/>
      <c r="X108" s="145">
        <f t="shared" si="72"/>
        <v>0</v>
      </c>
      <c r="Y108" s="145"/>
      <c r="Z108" s="145">
        <f t="shared" si="73"/>
        <v>0</v>
      </c>
      <c r="AA108" s="145"/>
      <c r="AB108" s="145">
        <f t="shared" si="74"/>
        <v>0</v>
      </c>
      <c r="AC108" s="156"/>
      <c r="AD108" s="156">
        <f t="shared" si="63"/>
        <v>0</v>
      </c>
    </row>
    <row r="109" customHeight="1" spans="2:30">
      <c r="B109" s="193">
        <f>固定资产台账1!A14</f>
        <v>0</v>
      </c>
      <c r="C109" s="193"/>
      <c r="D109" s="193"/>
      <c r="E109" s="145">
        <f>固定资产台账1!C14</f>
        <v>0</v>
      </c>
      <c r="F109" s="145">
        <f>研发设备工时计算表2!M16</f>
        <v>0</v>
      </c>
      <c r="G109" s="201">
        <f>研发设备工时计算表2!L16</f>
        <v>0</v>
      </c>
      <c r="H109" s="145">
        <f t="shared" si="64"/>
        <v>0</v>
      </c>
      <c r="I109" s="145"/>
      <c r="J109" s="145">
        <f t="shared" si="65"/>
        <v>0</v>
      </c>
      <c r="K109" s="145"/>
      <c r="L109" s="145">
        <f t="shared" si="66"/>
        <v>0</v>
      </c>
      <c r="M109" s="145"/>
      <c r="N109" s="145">
        <f t="shared" si="67"/>
        <v>0</v>
      </c>
      <c r="O109" s="145"/>
      <c r="P109" s="145">
        <f t="shared" si="68"/>
        <v>0</v>
      </c>
      <c r="Q109" s="145"/>
      <c r="R109" s="145">
        <f t="shared" si="69"/>
        <v>0</v>
      </c>
      <c r="S109" s="145"/>
      <c r="T109" s="145">
        <f t="shared" si="70"/>
        <v>0</v>
      </c>
      <c r="U109" s="145"/>
      <c r="V109" s="145">
        <f t="shared" si="71"/>
        <v>0</v>
      </c>
      <c r="W109" s="145"/>
      <c r="X109" s="145">
        <f t="shared" si="72"/>
        <v>0</v>
      </c>
      <c r="Y109" s="145"/>
      <c r="Z109" s="145">
        <f t="shared" si="73"/>
        <v>0</v>
      </c>
      <c r="AA109" s="145"/>
      <c r="AB109" s="145">
        <f t="shared" si="74"/>
        <v>0</v>
      </c>
      <c r="AC109" s="156"/>
      <c r="AD109" s="156">
        <f t="shared" si="63"/>
        <v>0</v>
      </c>
    </row>
    <row r="110" customHeight="1" spans="2:30">
      <c r="B110" s="193">
        <f>固定资产台账1!A15</f>
        <v>0</v>
      </c>
      <c r="C110" s="193"/>
      <c r="D110" s="193"/>
      <c r="E110" s="145">
        <f>固定资产台账1!C15</f>
        <v>0</v>
      </c>
      <c r="F110" s="145">
        <f>研发设备工时计算表2!M17</f>
        <v>0</v>
      </c>
      <c r="G110" s="201">
        <f>研发设备工时计算表2!L17</f>
        <v>0</v>
      </c>
      <c r="H110" s="145">
        <f t="shared" si="64"/>
        <v>0</v>
      </c>
      <c r="I110" s="145"/>
      <c r="J110" s="145">
        <f t="shared" si="65"/>
        <v>0</v>
      </c>
      <c r="K110" s="145"/>
      <c r="L110" s="145">
        <f t="shared" si="66"/>
        <v>0</v>
      </c>
      <c r="M110" s="145"/>
      <c r="N110" s="145">
        <f t="shared" si="67"/>
        <v>0</v>
      </c>
      <c r="O110" s="145"/>
      <c r="P110" s="145">
        <f t="shared" si="68"/>
        <v>0</v>
      </c>
      <c r="Q110" s="145"/>
      <c r="R110" s="145">
        <f t="shared" si="69"/>
        <v>0</v>
      </c>
      <c r="S110" s="145"/>
      <c r="T110" s="145">
        <f t="shared" si="70"/>
        <v>0</v>
      </c>
      <c r="U110" s="145"/>
      <c r="V110" s="145">
        <f t="shared" si="71"/>
        <v>0</v>
      </c>
      <c r="W110" s="145"/>
      <c r="X110" s="145">
        <f t="shared" si="72"/>
        <v>0</v>
      </c>
      <c r="Y110" s="145"/>
      <c r="Z110" s="145">
        <f t="shared" si="73"/>
        <v>0</v>
      </c>
      <c r="AA110" s="145"/>
      <c r="AB110" s="145">
        <f t="shared" si="74"/>
        <v>0</v>
      </c>
      <c r="AC110" s="156"/>
      <c r="AD110" s="156">
        <f t="shared" si="63"/>
        <v>0</v>
      </c>
    </row>
    <row r="111" customHeight="1" spans="2:30">
      <c r="B111" s="193">
        <f>固定资产台账1!A16</f>
        <v>0</v>
      </c>
      <c r="C111" s="193"/>
      <c r="D111" s="193"/>
      <c r="E111" s="145">
        <f>固定资产台账1!C16</f>
        <v>0</v>
      </c>
      <c r="F111" s="145">
        <f>研发设备工时计算表2!M18</f>
        <v>0</v>
      </c>
      <c r="G111" s="201">
        <f>研发设备工时计算表2!L18</f>
        <v>0</v>
      </c>
      <c r="H111" s="145">
        <f t="shared" si="64"/>
        <v>0</v>
      </c>
      <c r="I111" s="145"/>
      <c r="J111" s="145">
        <f t="shared" si="65"/>
        <v>0</v>
      </c>
      <c r="K111" s="145"/>
      <c r="L111" s="145">
        <f t="shared" si="66"/>
        <v>0</v>
      </c>
      <c r="M111" s="145"/>
      <c r="N111" s="145">
        <f t="shared" si="67"/>
        <v>0</v>
      </c>
      <c r="O111" s="145"/>
      <c r="P111" s="145">
        <f t="shared" si="68"/>
        <v>0</v>
      </c>
      <c r="Q111" s="145"/>
      <c r="R111" s="145">
        <f t="shared" si="69"/>
        <v>0</v>
      </c>
      <c r="S111" s="145"/>
      <c r="T111" s="145">
        <f t="shared" si="70"/>
        <v>0</v>
      </c>
      <c r="U111" s="145"/>
      <c r="V111" s="145">
        <f t="shared" si="71"/>
        <v>0</v>
      </c>
      <c r="W111" s="145"/>
      <c r="X111" s="145">
        <f t="shared" si="72"/>
        <v>0</v>
      </c>
      <c r="Y111" s="145"/>
      <c r="Z111" s="145">
        <f t="shared" si="73"/>
        <v>0</v>
      </c>
      <c r="AA111" s="145"/>
      <c r="AB111" s="145">
        <f t="shared" si="74"/>
        <v>0</v>
      </c>
      <c r="AC111" s="156"/>
      <c r="AD111" s="156">
        <f t="shared" si="63"/>
        <v>0</v>
      </c>
    </row>
    <row r="112" customHeight="1" spans="2:30">
      <c r="B112" s="193">
        <f>固定资产台账1!A17</f>
        <v>0</v>
      </c>
      <c r="C112" s="193"/>
      <c r="D112" s="193"/>
      <c r="E112" s="145">
        <f>固定资产台账1!C17</f>
        <v>0</v>
      </c>
      <c r="F112" s="145">
        <f>研发设备工时计算表2!M19</f>
        <v>0</v>
      </c>
      <c r="G112" s="201">
        <f>研发设备工时计算表2!L19</f>
        <v>0</v>
      </c>
      <c r="H112" s="145">
        <f t="shared" si="64"/>
        <v>0</v>
      </c>
      <c r="I112" s="145"/>
      <c r="J112" s="145">
        <f t="shared" si="65"/>
        <v>0</v>
      </c>
      <c r="K112" s="145"/>
      <c r="L112" s="145">
        <f t="shared" si="66"/>
        <v>0</v>
      </c>
      <c r="M112" s="145"/>
      <c r="N112" s="145">
        <f t="shared" si="67"/>
        <v>0</v>
      </c>
      <c r="O112" s="145"/>
      <c r="P112" s="145">
        <f t="shared" si="68"/>
        <v>0</v>
      </c>
      <c r="Q112" s="145"/>
      <c r="R112" s="145">
        <f t="shared" si="69"/>
        <v>0</v>
      </c>
      <c r="S112" s="145"/>
      <c r="T112" s="145">
        <f t="shared" si="70"/>
        <v>0</v>
      </c>
      <c r="U112" s="145"/>
      <c r="V112" s="145">
        <f t="shared" si="71"/>
        <v>0</v>
      </c>
      <c r="W112" s="145"/>
      <c r="X112" s="145">
        <f t="shared" si="72"/>
        <v>0</v>
      </c>
      <c r="Y112" s="145"/>
      <c r="Z112" s="145">
        <f t="shared" si="73"/>
        <v>0</v>
      </c>
      <c r="AA112" s="145"/>
      <c r="AB112" s="145">
        <f t="shared" si="74"/>
        <v>0</v>
      </c>
      <c r="AC112" s="156"/>
      <c r="AD112" s="156">
        <f t="shared" si="63"/>
        <v>0</v>
      </c>
    </row>
    <row r="113" customHeight="1" spans="2:30">
      <c r="B113" s="193">
        <f>固定资产台账1!A18</f>
        <v>0</v>
      </c>
      <c r="C113" s="193"/>
      <c r="D113" s="193"/>
      <c r="E113" s="145">
        <f>固定资产台账1!C18</f>
        <v>0</v>
      </c>
      <c r="F113" s="145">
        <f>研发设备工时计算表2!M20</f>
        <v>0</v>
      </c>
      <c r="G113" s="201">
        <f>研发设备工时计算表2!L20</f>
        <v>0</v>
      </c>
      <c r="H113" s="145">
        <f t="shared" si="64"/>
        <v>0</v>
      </c>
      <c r="I113" s="145"/>
      <c r="J113" s="145">
        <f t="shared" si="65"/>
        <v>0</v>
      </c>
      <c r="K113" s="145"/>
      <c r="L113" s="145">
        <f t="shared" si="66"/>
        <v>0</v>
      </c>
      <c r="M113" s="145"/>
      <c r="N113" s="145">
        <f t="shared" si="67"/>
        <v>0</v>
      </c>
      <c r="O113" s="145"/>
      <c r="P113" s="145">
        <f t="shared" si="68"/>
        <v>0</v>
      </c>
      <c r="Q113" s="145"/>
      <c r="R113" s="145">
        <f t="shared" si="69"/>
        <v>0</v>
      </c>
      <c r="S113" s="145"/>
      <c r="T113" s="145">
        <f t="shared" si="70"/>
        <v>0</v>
      </c>
      <c r="U113" s="145"/>
      <c r="V113" s="145">
        <f t="shared" si="71"/>
        <v>0</v>
      </c>
      <c r="W113" s="145"/>
      <c r="X113" s="145">
        <f t="shared" si="72"/>
        <v>0</v>
      </c>
      <c r="Y113" s="145"/>
      <c r="Z113" s="145">
        <f t="shared" si="73"/>
        <v>0</v>
      </c>
      <c r="AA113" s="145"/>
      <c r="AB113" s="145">
        <f t="shared" si="74"/>
        <v>0</v>
      </c>
      <c r="AC113" s="156"/>
      <c r="AD113" s="156">
        <f t="shared" si="63"/>
        <v>0</v>
      </c>
    </row>
    <row r="114" customHeight="1" spans="2:30">
      <c r="B114" s="193">
        <f>固定资产台账1!A19</f>
        <v>0</v>
      </c>
      <c r="C114" s="193"/>
      <c r="D114" s="193"/>
      <c r="E114" s="145">
        <f>固定资产台账1!C19</f>
        <v>0</v>
      </c>
      <c r="F114" s="145">
        <f>研发设备工时计算表2!M21</f>
        <v>0</v>
      </c>
      <c r="G114" s="201">
        <f>研发设备工时计算表2!L21</f>
        <v>0</v>
      </c>
      <c r="H114" s="145">
        <f t="shared" si="64"/>
        <v>0</v>
      </c>
      <c r="I114" s="145"/>
      <c r="J114" s="145">
        <f t="shared" si="65"/>
        <v>0</v>
      </c>
      <c r="K114" s="145"/>
      <c r="L114" s="145">
        <f t="shared" si="66"/>
        <v>0</v>
      </c>
      <c r="M114" s="145"/>
      <c r="N114" s="145">
        <f t="shared" si="67"/>
        <v>0</v>
      </c>
      <c r="O114" s="145"/>
      <c r="P114" s="145">
        <f t="shared" si="68"/>
        <v>0</v>
      </c>
      <c r="Q114" s="145"/>
      <c r="R114" s="145">
        <f t="shared" si="69"/>
        <v>0</v>
      </c>
      <c r="S114" s="145"/>
      <c r="T114" s="145">
        <f t="shared" si="70"/>
        <v>0</v>
      </c>
      <c r="U114" s="145"/>
      <c r="V114" s="145">
        <f t="shared" si="71"/>
        <v>0</v>
      </c>
      <c r="W114" s="145"/>
      <c r="X114" s="145">
        <f t="shared" si="72"/>
        <v>0</v>
      </c>
      <c r="Y114" s="145"/>
      <c r="Z114" s="145">
        <f t="shared" si="73"/>
        <v>0</v>
      </c>
      <c r="AA114" s="145"/>
      <c r="AB114" s="145">
        <f t="shared" si="74"/>
        <v>0</v>
      </c>
      <c r="AC114" s="156"/>
      <c r="AD114" s="156">
        <f t="shared" si="63"/>
        <v>0</v>
      </c>
    </row>
    <row r="115" customHeight="1" spans="2:30">
      <c r="B115" s="193">
        <f>固定资产台账1!A20</f>
        <v>0</v>
      </c>
      <c r="C115" s="193"/>
      <c r="D115" s="193"/>
      <c r="E115" s="145">
        <f>固定资产台账1!C20</f>
        <v>0</v>
      </c>
      <c r="F115" s="145">
        <f>研发设备工时计算表2!M22</f>
        <v>0</v>
      </c>
      <c r="G115" s="201">
        <f>研发设备工时计算表2!L22</f>
        <v>0</v>
      </c>
      <c r="H115" s="145">
        <f t="shared" si="64"/>
        <v>0</v>
      </c>
      <c r="I115" s="145"/>
      <c r="J115" s="145">
        <f t="shared" si="65"/>
        <v>0</v>
      </c>
      <c r="K115" s="145"/>
      <c r="L115" s="145">
        <f t="shared" si="66"/>
        <v>0</v>
      </c>
      <c r="M115" s="145"/>
      <c r="N115" s="145">
        <f t="shared" si="67"/>
        <v>0</v>
      </c>
      <c r="O115" s="145"/>
      <c r="P115" s="145">
        <f t="shared" si="68"/>
        <v>0</v>
      </c>
      <c r="Q115" s="145"/>
      <c r="R115" s="145">
        <f t="shared" si="69"/>
        <v>0</v>
      </c>
      <c r="S115" s="145"/>
      <c r="T115" s="145">
        <f t="shared" si="70"/>
        <v>0</v>
      </c>
      <c r="U115" s="145"/>
      <c r="V115" s="145">
        <f t="shared" si="71"/>
        <v>0</v>
      </c>
      <c r="W115" s="145"/>
      <c r="X115" s="145">
        <f t="shared" si="72"/>
        <v>0</v>
      </c>
      <c r="Y115" s="145"/>
      <c r="Z115" s="145">
        <f t="shared" si="73"/>
        <v>0</v>
      </c>
      <c r="AA115" s="145"/>
      <c r="AB115" s="145">
        <f t="shared" si="74"/>
        <v>0</v>
      </c>
      <c r="AC115" s="156"/>
      <c r="AD115" s="156">
        <f t="shared" si="63"/>
        <v>0</v>
      </c>
    </row>
    <row r="116" customHeight="1" spans="2:30">
      <c r="B116" s="193">
        <f>固定资产台账1!A21</f>
        <v>0</v>
      </c>
      <c r="C116" s="193"/>
      <c r="D116" s="193"/>
      <c r="E116" s="145">
        <f>固定资产台账1!C21</f>
        <v>0</v>
      </c>
      <c r="F116" s="145">
        <f>研发设备工时计算表2!M23</f>
        <v>0</v>
      </c>
      <c r="G116" s="201">
        <f>研发设备工时计算表2!L23</f>
        <v>0</v>
      </c>
      <c r="H116" s="145">
        <f t="shared" si="64"/>
        <v>0</v>
      </c>
      <c r="I116" s="145"/>
      <c r="J116" s="145">
        <f t="shared" si="65"/>
        <v>0</v>
      </c>
      <c r="K116" s="145"/>
      <c r="L116" s="145">
        <f t="shared" si="66"/>
        <v>0</v>
      </c>
      <c r="M116" s="145"/>
      <c r="N116" s="145">
        <f t="shared" si="67"/>
        <v>0</v>
      </c>
      <c r="O116" s="145"/>
      <c r="P116" s="145">
        <f t="shared" si="68"/>
        <v>0</v>
      </c>
      <c r="Q116" s="145"/>
      <c r="R116" s="145">
        <f t="shared" si="69"/>
        <v>0</v>
      </c>
      <c r="S116" s="145"/>
      <c r="T116" s="145">
        <f t="shared" si="70"/>
        <v>0</v>
      </c>
      <c r="U116" s="145"/>
      <c r="V116" s="145">
        <f t="shared" si="71"/>
        <v>0</v>
      </c>
      <c r="W116" s="145"/>
      <c r="X116" s="145">
        <f t="shared" si="72"/>
        <v>0</v>
      </c>
      <c r="Y116" s="145"/>
      <c r="Z116" s="145">
        <f t="shared" si="73"/>
        <v>0</v>
      </c>
      <c r="AA116" s="145"/>
      <c r="AB116" s="145">
        <f t="shared" si="74"/>
        <v>0</v>
      </c>
      <c r="AC116" s="156"/>
      <c r="AD116" s="156">
        <f t="shared" si="63"/>
        <v>0</v>
      </c>
    </row>
    <row r="117" customHeight="1" spans="2:30">
      <c r="B117" s="193">
        <f>固定资产台账1!A22</f>
        <v>0</v>
      </c>
      <c r="C117" s="193"/>
      <c r="D117" s="193"/>
      <c r="E117" s="145">
        <f>固定资产台账1!C22</f>
        <v>0</v>
      </c>
      <c r="F117" s="145">
        <f>研发设备工时计算表2!M24</f>
        <v>0</v>
      </c>
      <c r="G117" s="201">
        <f>研发设备工时计算表2!L24</f>
        <v>0</v>
      </c>
      <c r="H117" s="145">
        <f t="shared" si="64"/>
        <v>0</v>
      </c>
      <c r="I117" s="145"/>
      <c r="J117" s="145">
        <f t="shared" si="65"/>
        <v>0</v>
      </c>
      <c r="K117" s="145"/>
      <c r="L117" s="145">
        <f t="shared" si="66"/>
        <v>0</v>
      </c>
      <c r="M117" s="145"/>
      <c r="N117" s="145">
        <f t="shared" si="67"/>
        <v>0</v>
      </c>
      <c r="O117" s="145"/>
      <c r="P117" s="145">
        <f t="shared" si="68"/>
        <v>0</v>
      </c>
      <c r="Q117" s="145"/>
      <c r="R117" s="145">
        <f t="shared" si="69"/>
        <v>0</v>
      </c>
      <c r="S117" s="145"/>
      <c r="T117" s="145">
        <f t="shared" si="70"/>
        <v>0</v>
      </c>
      <c r="U117" s="145"/>
      <c r="V117" s="145">
        <f t="shared" si="71"/>
        <v>0</v>
      </c>
      <c r="W117" s="145"/>
      <c r="X117" s="145">
        <f t="shared" si="72"/>
        <v>0</v>
      </c>
      <c r="Y117" s="145"/>
      <c r="Z117" s="145">
        <f t="shared" si="73"/>
        <v>0</v>
      </c>
      <c r="AA117" s="145"/>
      <c r="AB117" s="145">
        <f t="shared" si="74"/>
        <v>0</v>
      </c>
      <c r="AC117" s="156"/>
      <c r="AD117" s="156">
        <f t="shared" si="63"/>
        <v>0</v>
      </c>
    </row>
    <row r="118" customHeight="1" spans="2:30">
      <c r="B118" s="193">
        <f>固定资产台账1!A23</f>
        <v>0</v>
      </c>
      <c r="C118" s="193"/>
      <c r="D118" s="193"/>
      <c r="E118" s="145">
        <f>固定资产台账1!C23</f>
        <v>0</v>
      </c>
      <c r="F118" s="145">
        <f>研发设备工时计算表2!M25</f>
        <v>0</v>
      </c>
      <c r="G118" s="201">
        <f>研发设备工时计算表2!L25</f>
        <v>0</v>
      </c>
      <c r="H118" s="145">
        <f t="shared" si="64"/>
        <v>0</v>
      </c>
      <c r="I118" s="145"/>
      <c r="J118" s="145">
        <f t="shared" si="65"/>
        <v>0</v>
      </c>
      <c r="K118" s="145"/>
      <c r="L118" s="145">
        <f t="shared" si="66"/>
        <v>0</v>
      </c>
      <c r="M118" s="145"/>
      <c r="N118" s="145">
        <f t="shared" si="67"/>
        <v>0</v>
      </c>
      <c r="O118" s="145"/>
      <c r="P118" s="145">
        <f t="shared" si="68"/>
        <v>0</v>
      </c>
      <c r="Q118" s="145"/>
      <c r="R118" s="145">
        <f t="shared" si="69"/>
        <v>0</v>
      </c>
      <c r="S118" s="145"/>
      <c r="T118" s="145">
        <f t="shared" si="70"/>
        <v>0</v>
      </c>
      <c r="U118" s="145"/>
      <c r="V118" s="145">
        <f t="shared" si="71"/>
        <v>0</v>
      </c>
      <c r="W118" s="145"/>
      <c r="X118" s="145">
        <f t="shared" si="72"/>
        <v>0</v>
      </c>
      <c r="Y118" s="145"/>
      <c r="Z118" s="145">
        <f t="shared" si="73"/>
        <v>0</v>
      </c>
      <c r="AA118" s="145"/>
      <c r="AB118" s="145">
        <f t="shared" si="74"/>
        <v>0</v>
      </c>
      <c r="AC118" s="156"/>
      <c r="AD118" s="156">
        <f t="shared" si="63"/>
        <v>0</v>
      </c>
    </row>
    <row r="119" customHeight="1" spans="2:30">
      <c r="B119" s="193">
        <f>固定资产台账1!A25</f>
        <v>0</v>
      </c>
      <c r="C119" s="193"/>
      <c r="D119" s="193"/>
      <c r="E119" s="145">
        <f>固定资产台账1!C25</f>
        <v>0</v>
      </c>
      <c r="F119" s="145">
        <f>研发设备工时计算表2!M26</f>
        <v>0</v>
      </c>
      <c r="G119" s="201">
        <f>研发设备工时计算表2!L26</f>
        <v>0</v>
      </c>
      <c r="H119" s="145">
        <f t="shared" si="64"/>
        <v>0</v>
      </c>
      <c r="I119" s="145"/>
      <c r="J119" s="145">
        <f t="shared" si="65"/>
        <v>0</v>
      </c>
      <c r="K119" s="145"/>
      <c r="L119" s="145">
        <f t="shared" si="66"/>
        <v>0</v>
      </c>
      <c r="M119" s="145"/>
      <c r="N119" s="145">
        <f t="shared" si="67"/>
        <v>0</v>
      </c>
      <c r="O119" s="145"/>
      <c r="P119" s="145">
        <f t="shared" si="68"/>
        <v>0</v>
      </c>
      <c r="Q119" s="145"/>
      <c r="R119" s="145">
        <f t="shared" si="69"/>
        <v>0</v>
      </c>
      <c r="S119" s="145"/>
      <c r="T119" s="145">
        <f t="shared" si="70"/>
        <v>0</v>
      </c>
      <c r="U119" s="145"/>
      <c r="V119" s="145">
        <f t="shared" si="71"/>
        <v>0</v>
      </c>
      <c r="W119" s="145"/>
      <c r="X119" s="145">
        <f t="shared" si="72"/>
        <v>0</v>
      </c>
      <c r="Y119" s="145"/>
      <c r="Z119" s="145">
        <f t="shared" si="73"/>
        <v>0</v>
      </c>
      <c r="AA119" s="145"/>
      <c r="AB119" s="145">
        <f t="shared" si="74"/>
        <v>0</v>
      </c>
      <c r="AC119" s="156"/>
      <c r="AD119" s="156">
        <f t="shared" si="63"/>
        <v>0</v>
      </c>
    </row>
    <row r="120" customHeight="1" spans="2:30">
      <c r="B120" s="193">
        <f>固定资产台账1!A25</f>
        <v>0</v>
      </c>
      <c r="C120" s="193"/>
      <c r="D120" s="193"/>
      <c r="E120" s="145">
        <f>固定资产台账1!C25</f>
        <v>0</v>
      </c>
      <c r="F120" s="145">
        <f>研发设备工时计算表2!M27</f>
        <v>0</v>
      </c>
      <c r="G120" s="201">
        <f>研发设备工时计算表2!L27</f>
        <v>0</v>
      </c>
      <c r="H120" s="145">
        <f t="shared" si="64"/>
        <v>0</v>
      </c>
      <c r="I120" s="145"/>
      <c r="J120" s="145">
        <f t="shared" si="65"/>
        <v>0</v>
      </c>
      <c r="K120" s="145"/>
      <c r="L120" s="145">
        <f t="shared" si="66"/>
        <v>0</v>
      </c>
      <c r="M120" s="145"/>
      <c r="N120" s="145">
        <f t="shared" si="67"/>
        <v>0</v>
      </c>
      <c r="O120" s="145"/>
      <c r="P120" s="145">
        <f t="shared" si="68"/>
        <v>0</v>
      </c>
      <c r="Q120" s="145"/>
      <c r="R120" s="145">
        <f t="shared" si="69"/>
        <v>0</v>
      </c>
      <c r="S120" s="145"/>
      <c r="T120" s="145">
        <f t="shared" si="70"/>
        <v>0</v>
      </c>
      <c r="U120" s="145"/>
      <c r="V120" s="145">
        <f t="shared" si="71"/>
        <v>0</v>
      </c>
      <c r="W120" s="145"/>
      <c r="X120" s="145">
        <f t="shared" si="72"/>
        <v>0</v>
      </c>
      <c r="Y120" s="145"/>
      <c r="Z120" s="145">
        <f t="shared" si="73"/>
        <v>0</v>
      </c>
      <c r="AA120" s="145"/>
      <c r="AB120" s="145">
        <f t="shared" si="74"/>
        <v>0</v>
      </c>
      <c r="AC120" s="156"/>
      <c r="AD120" s="156">
        <f t="shared" si="63"/>
        <v>0</v>
      </c>
    </row>
    <row r="121" customHeight="1" spans="2:30">
      <c r="B121" s="193">
        <f>固定资产台账1!A26</f>
        <v>0</v>
      </c>
      <c r="C121" s="193"/>
      <c r="D121" s="193"/>
      <c r="E121" s="145">
        <f>固定资产台账1!C26</f>
        <v>0</v>
      </c>
      <c r="F121" s="145">
        <f>研发设备工时计算表2!M28</f>
        <v>0</v>
      </c>
      <c r="G121" s="201">
        <f>研发设备工时计算表2!L28</f>
        <v>0</v>
      </c>
      <c r="H121" s="145">
        <f t="shared" si="64"/>
        <v>0</v>
      </c>
      <c r="I121" s="145"/>
      <c r="J121" s="145">
        <f t="shared" si="65"/>
        <v>0</v>
      </c>
      <c r="K121" s="145"/>
      <c r="L121" s="145">
        <f t="shared" si="66"/>
        <v>0</v>
      </c>
      <c r="M121" s="145"/>
      <c r="N121" s="145">
        <f t="shared" si="67"/>
        <v>0</v>
      </c>
      <c r="O121" s="145"/>
      <c r="P121" s="145">
        <f t="shared" si="68"/>
        <v>0</v>
      </c>
      <c r="Q121" s="145"/>
      <c r="R121" s="145">
        <f t="shared" si="69"/>
        <v>0</v>
      </c>
      <c r="S121" s="145"/>
      <c r="T121" s="145">
        <f t="shared" si="70"/>
        <v>0</v>
      </c>
      <c r="U121" s="145"/>
      <c r="V121" s="145">
        <f t="shared" si="71"/>
        <v>0</v>
      </c>
      <c r="W121" s="145"/>
      <c r="X121" s="145">
        <f t="shared" si="72"/>
        <v>0</v>
      </c>
      <c r="Y121" s="145"/>
      <c r="Z121" s="145">
        <f t="shared" si="73"/>
        <v>0</v>
      </c>
      <c r="AA121" s="145"/>
      <c r="AB121" s="145">
        <f t="shared" si="74"/>
        <v>0</v>
      </c>
      <c r="AC121" s="156"/>
      <c r="AD121" s="156">
        <f t="shared" si="63"/>
        <v>0</v>
      </c>
    </row>
    <row r="122" customHeight="1" spans="2:30">
      <c r="B122" s="193">
        <f>固定资产台账1!A27</f>
        <v>0</v>
      </c>
      <c r="C122" s="193"/>
      <c r="D122" s="193"/>
      <c r="E122" s="145">
        <f>固定资产台账1!C27</f>
        <v>0</v>
      </c>
      <c r="F122" s="145">
        <f>研发设备工时计算表2!M29</f>
        <v>0</v>
      </c>
      <c r="G122" s="201">
        <f>研发设备工时计算表2!L29</f>
        <v>0</v>
      </c>
      <c r="H122" s="145">
        <f t="shared" si="64"/>
        <v>0</v>
      </c>
      <c r="I122" s="145"/>
      <c r="J122" s="145">
        <f t="shared" si="65"/>
        <v>0</v>
      </c>
      <c r="K122" s="145"/>
      <c r="L122" s="145">
        <f t="shared" si="66"/>
        <v>0</v>
      </c>
      <c r="M122" s="145"/>
      <c r="N122" s="145">
        <f t="shared" si="67"/>
        <v>0</v>
      </c>
      <c r="O122" s="145"/>
      <c r="P122" s="145">
        <f t="shared" si="68"/>
        <v>0</v>
      </c>
      <c r="Q122" s="145"/>
      <c r="R122" s="145">
        <f t="shared" si="69"/>
        <v>0</v>
      </c>
      <c r="S122" s="145"/>
      <c r="T122" s="145">
        <f t="shared" si="70"/>
        <v>0</v>
      </c>
      <c r="U122" s="145"/>
      <c r="V122" s="145">
        <f t="shared" si="71"/>
        <v>0</v>
      </c>
      <c r="W122" s="145"/>
      <c r="X122" s="145">
        <f t="shared" si="72"/>
        <v>0</v>
      </c>
      <c r="Y122" s="145"/>
      <c r="Z122" s="145">
        <f t="shared" si="73"/>
        <v>0</v>
      </c>
      <c r="AA122" s="145"/>
      <c r="AB122" s="145">
        <f t="shared" si="74"/>
        <v>0</v>
      </c>
      <c r="AC122" s="156"/>
      <c r="AD122" s="156">
        <f t="shared" si="63"/>
        <v>0</v>
      </c>
    </row>
    <row r="123" customHeight="1" spans="2:30">
      <c r="B123" s="196" t="s">
        <v>255</v>
      </c>
      <c r="C123" s="197"/>
      <c r="D123" s="198"/>
      <c r="E123" s="199">
        <f>SUM(E98:E122)</f>
        <v>0</v>
      </c>
      <c r="F123" s="188">
        <f>SUM(F98:F122)</f>
        <v>0</v>
      </c>
      <c r="G123" s="188">
        <f>SUM(G98:G122)</f>
        <v>0</v>
      </c>
      <c r="H123" s="188">
        <f t="shared" ref="F123:L123" si="75">SUM(H98:H122)</f>
        <v>0</v>
      </c>
      <c r="I123" s="188">
        <f t="shared" si="75"/>
        <v>0</v>
      </c>
      <c r="J123" s="188">
        <f t="shared" si="75"/>
        <v>0</v>
      </c>
      <c r="K123" s="188">
        <f t="shared" si="75"/>
        <v>0</v>
      </c>
      <c r="L123" s="188">
        <f t="shared" si="75"/>
        <v>0</v>
      </c>
      <c r="M123" s="188">
        <f t="shared" ref="M123:R123" si="76">SUM(M98:M122)</f>
        <v>0</v>
      </c>
      <c r="N123" s="188">
        <f t="shared" si="76"/>
        <v>0</v>
      </c>
      <c r="O123" s="188">
        <f t="shared" si="76"/>
        <v>0</v>
      </c>
      <c r="P123" s="188">
        <f t="shared" si="76"/>
        <v>0</v>
      </c>
      <c r="Q123" s="188">
        <f t="shared" si="76"/>
        <v>0</v>
      </c>
      <c r="R123" s="188">
        <f t="shared" si="76"/>
        <v>0</v>
      </c>
      <c r="S123" s="188">
        <f t="shared" ref="S123:AB123" si="77">SUM(S98:S122)</f>
        <v>0</v>
      </c>
      <c r="T123" s="188">
        <f t="shared" si="77"/>
        <v>0</v>
      </c>
      <c r="U123" s="188">
        <f t="shared" si="77"/>
        <v>0</v>
      </c>
      <c r="V123" s="188">
        <f t="shared" si="77"/>
        <v>0</v>
      </c>
      <c r="W123" s="188">
        <f t="shared" si="77"/>
        <v>0</v>
      </c>
      <c r="X123" s="188">
        <f t="shared" si="77"/>
        <v>0</v>
      </c>
      <c r="Y123" s="188">
        <f t="shared" si="77"/>
        <v>0</v>
      </c>
      <c r="Z123" s="188">
        <f t="shared" si="77"/>
        <v>0</v>
      </c>
      <c r="AA123" s="188">
        <f t="shared" si="77"/>
        <v>0</v>
      </c>
      <c r="AB123" s="188">
        <f t="shared" si="77"/>
        <v>0</v>
      </c>
      <c r="AC123" s="156"/>
      <c r="AD123" s="156">
        <f t="shared" si="63"/>
        <v>0</v>
      </c>
    </row>
    <row r="124" customHeight="1" spans="2:30">
      <c r="E124" s="200"/>
      <c r="F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156"/>
      <c r="AD124" s="156"/>
    </row>
    <row r="125" customHeight="1" spans="2:30">
      <c r="E125" s="200"/>
      <c r="G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156"/>
      <c r="AD125" s="156"/>
    </row>
    <row r="126" customHeight="1" spans="2:30">
      <c r="B126" s="186" t="s">
        <v>259</v>
      </c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56"/>
      <c r="AD126" s="156"/>
    </row>
    <row r="127" customHeight="1" spans="2:30">
      <c r="B127" s="187" t="s">
        <v>249</v>
      </c>
      <c r="C127" s="187"/>
      <c r="D127" s="187"/>
      <c r="E127" s="188" t="s">
        <v>250</v>
      </c>
      <c r="F127" s="189" t="s">
        <v>251</v>
      </c>
      <c r="G127" s="190" t="s">
        <v>252</v>
      </c>
      <c r="H127" s="190" t="s">
        <v>251</v>
      </c>
      <c r="I127" s="191" t="str">
        <f>立项!A3</f>
        <v>RD01</v>
      </c>
      <c r="J127" s="191"/>
      <c r="K127" s="191" t="str">
        <f>立项!A4</f>
        <v>RD02</v>
      </c>
      <c r="L127" s="191"/>
      <c r="M127" s="191" t="str">
        <f>立项!A5</f>
        <v>RD03</v>
      </c>
      <c r="N127" s="191"/>
      <c r="O127" s="191" t="str">
        <f>立项!A6</f>
        <v>RD04</v>
      </c>
      <c r="P127" s="191"/>
      <c r="Q127" s="191" t="str">
        <f>立项!A7</f>
        <v>RD05</v>
      </c>
      <c r="R127" s="191"/>
      <c r="S127" s="191" t="str">
        <f>立项!A8</f>
        <v>RD06</v>
      </c>
      <c r="T127" s="191"/>
      <c r="U127" s="191" t="str">
        <f>立项!A9</f>
        <v>RD07</v>
      </c>
      <c r="V127" s="191"/>
      <c r="W127" s="191" t="str">
        <f>立项!A10</f>
        <v>RD08</v>
      </c>
      <c r="X127" s="191"/>
      <c r="Y127" s="191" t="str">
        <f>立项!A11</f>
        <v>RD09</v>
      </c>
      <c r="Z127" s="191"/>
      <c r="AA127" s="191" t="str">
        <f>立项!A12</f>
        <v>RD10</v>
      </c>
      <c r="AB127" s="191"/>
      <c r="AC127" s="156"/>
      <c r="AD127" s="156"/>
    </row>
    <row r="128" customHeight="1" spans="2:30">
      <c r="B128" s="187"/>
      <c r="C128" s="187"/>
      <c r="D128" s="187"/>
      <c r="E128" s="188"/>
      <c r="F128" s="188"/>
      <c r="G128" s="190"/>
      <c r="H128" s="190"/>
      <c r="I128" s="192" t="s">
        <v>253</v>
      </c>
      <c r="J128" s="192" t="s">
        <v>254</v>
      </c>
      <c r="K128" s="192" t="s">
        <v>253</v>
      </c>
      <c r="L128" s="192" t="s">
        <v>254</v>
      </c>
      <c r="M128" s="192" t="s">
        <v>253</v>
      </c>
      <c r="N128" s="192" t="s">
        <v>254</v>
      </c>
      <c r="O128" s="192" t="s">
        <v>253</v>
      </c>
      <c r="P128" s="192" t="s">
        <v>254</v>
      </c>
      <c r="Q128" s="192" t="s">
        <v>253</v>
      </c>
      <c r="R128" s="192" t="s">
        <v>254</v>
      </c>
      <c r="S128" s="192" t="s">
        <v>253</v>
      </c>
      <c r="T128" s="192" t="s">
        <v>254</v>
      </c>
      <c r="U128" s="192" t="s">
        <v>253</v>
      </c>
      <c r="V128" s="192" t="s">
        <v>254</v>
      </c>
      <c r="W128" s="192" t="s">
        <v>253</v>
      </c>
      <c r="X128" s="192" t="s">
        <v>254</v>
      </c>
      <c r="Y128" s="192" t="s">
        <v>253</v>
      </c>
      <c r="Z128" s="192" t="s">
        <v>254</v>
      </c>
      <c r="AA128" s="192" t="s">
        <v>253</v>
      </c>
      <c r="AB128" s="192" t="s">
        <v>254</v>
      </c>
      <c r="AC128" s="156"/>
      <c r="AD128" s="156"/>
    </row>
    <row r="129" customHeight="1" spans="2:30">
      <c r="B129" s="193">
        <f>固定资产台账1!A3</f>
        <v>0</v>
      </c>
      <c r="C129" s="193"/>
      <c r="D129" s="193"/>
      <c r="E129" s="145">
        <f>固定资产台账1!C3</f>
        <v>0</v>
      </c>
      <c r="F129" s="145">
        <f>研发设备工时计算表2!P5</f>
        <v>0</v>
      </c>
      <c r="G129" s="201">
        <f>研发设备工时计算表2!O5</f>
        <v>0</v>
      </c>
      <c r="H129" s="145">
        <f>J129+L129+N129+P129+R129+T129+V129+X129+Z129+AB129</f>
        <v>0</v>
      </c>
      <c r="I129" s="145"/>
      <c r="J129" s="145">
        <f t="shared" ref="J129:N129" si="78">IF($G129=0,0,ROUND(I129/$G129*$F129,2))</f>
        <v>0</v>
      </c>
      <c r="K129" s="145"/>
      <c r="L129" s="145">
        <f t="shared" si="78"/>
        <v>0</v>
      </c>
      <c r="M129" s="145"/>
      <c r="N129" s="145">
        <f t="shared" si="78"/>
        <v>0</v>
      </c>
      <c r="O129" s="145"/>
      <c r="P129" s="145">
        <f t="shared" ref="P129:T129" si="79">IF($G129=0,0,ROUND(O129/$G129*$F129,2))</f>
        <v>0</v>
      </c>
      <c r="Q129" s="145"/>
      <c r="R129" s="145">
        <f t="shared" si="79"/>
        <v>0</v>
      </c>
      <c r="S129" s="145"/>
      <c r="T129" s="145">
        <f t="shared" si="79"/>
        <v>0</v>
      </c>
      <c r="U129" s="145"/>
      <c r="V129" s="145">
        <f t="shared" ref="V129:Z129" si="80">IF($G129=0,0,ROUND(U129/$G129*$F129,2))</f>
        <v>0</v>
      </c>
      <c r="W129" s="145"/>
      <c r="X129" s="145">
        <f t="shared" si="80"/>
        <v>0</v>
      </c>
      <c r="Y129" s="145"/>
      <c r="Z129" s="145">
        <f t="shared" si="80"/>
        <v>0</v>
      </c>
      <c r="AA129" s="145"/>
      <c r="AB129" s="145">
        <f>IF($G129=0,0,ROUND(AA129/$G129*$F129,2))</f>
        <v>0</v>
      </c>
      <c r="AC129" s="156"/>
      <c r="AD129" s="156">
        <f t="shared" ref="AD129:AD154" si="81">F129-H129</f>
        <v>0</v>
      </c>
    </row>
    <row r="130" customHeight="1" spans="2:30">
      <c r="B130" s="193">
        <f>固定资产台账1!A4</f>
        <v>0</v>
      </c>
      <c r="C130" s="193"/>
      <c r="D130" s="193"/>
      <c r="E130" s="145">
        <f>固定资产台账1!C4</f>
        <v>0</v>
      </c>
      <c r="F130" s="145">
        <f>研发设备工时计算表2!P6</f>
        <v>0</v>
      </c>
      <c r="G130" s="201">
        <f>研发设备工时计算表2!O6</f>
        <v>0</v>
      </c>
      <c r="H130" s="145">
        <f t="shared" ref="H130:H153" si="82">J130+L130+N130+P130+R130+T130+V130+X130+Z130+AB130</f>
        <v>0</v>
      </c>
      <c r="I130" s="145"/>
      <c r="J130" s="145">
        <f t="shared" ref="J130:J153" si="83">IF($G130=0,0,ROUND(I130/$G130*$F130,2))</f>
        <v>0</v>
      </c>
      <c r="K130" s="145"/>
      <c r="L130" s="145">
        <f t="shared" ref="L130:L153" si="84">IF($G130=0,0,ROUND(K130/$G130*$F130,2))</f>
        <v>0</v>
      </c>
      <c r="M130" s="145"/>
      <c r="N130" s="145">
        <f t="shared" ref="N130:N153" si="85">IF($G130=0,0,ROUND(M130/$G130*$F130,2))</f>
        <v>0</v>
      </c>
      <c r="O130" s="145"/>
      <c r="P130" s="145">
        <f t="shared" ref="P130:P153" si="86">IF($G130=0,0,ROUND(O130/$G130*$F130,2))</f>
        <v>0</v>
      </c>
      <c r="Q130" s="145"/>
      <c r="R130" s="145">
        <f t="shared" ref="R130:R153" si="87">IF($G130=0,0,ROUND(Q130/$G130*$F130,2))</f>
        <v>0</v>
      </c>
      <c r="S130" s="145"/>
      <c r="T130" s="145">
        <f t="shared" ref="T130:T153" si="88">IF($G130=0,0,ROUND(S130/$G130*$F130,2))</f>
        <v>0</v>
      </c>
      <c r="U130" s="145"/>
      <c r="V130" s="145">
        <f t="shared" ref="V130:V153" si="89">IF($G130=0,0,ROUND(U130/$G130*$F130,2))</f>
        <v>0</v>
      </c>
      <c r="W130" s="145"/>
      <c r="X130" s="145">
        <f t="shared" ref="X130:X153" si="90">IF($G130=0,0,ROUND(W130/$G130*$F130,2))</f>
        <v>0</v>
      </c>
      <c r="Y130" s="145"/>
      <c r="Z130" s="145">
        <f t="shared" ref="Z130:Z153" si="91">IF($G130=0,0,ROUND(Y130/$G130*$F130,2))</f>
        <v>0</v>
      </c>
      <c r="AA130" s="145"/>
      <c r="AB130" s="145">
        <f t="shared" ref="AB130:AB153" si="92">IF($G130=0,0,ROUND(AA130/$G130*$F130,2))</f>
        <v>0</v>
      </c>
      <c r="AC130" s="156"/>
      <c r="AD130" s="156">
        <f t="shared" si="81"/>
        <v>0</v>
      </c>
    </row>
    <row r="131" customHeight="1" spans="2:30">
      <c r="B131" s="193">
        <f>固定资产台账1!A5</f>
        <v>0</v>
      </c>
      <c r="C131" s="193"/>
      <c r="D131" s="193"/>
      <c r="E131" s="145">
        <f>固定资产台账1!C5</f>
        <v>0</v>
      </c>
      <c r="F131" s="145">
        <f>研发设备工时计算表2!P7</f>
        <v>0</v>
      </c>
      <c r="G131" s="201">
        <f>研发设备工时计算表2!O7</f>
        <v>0</v>
      </c>
      <c r="H131" s="145">
        <f t="shared" si="82"/>
        <v>0</v>
      </c>
      <c r="I131" s="145"/>
      <c r="J131" s="145">
        <f t="shared" si="83"/>
        <v>0</v>
      </c>
      <c r="K131" s="145"/>
      <c r="L131" s="145">
        <f t="shared" si="84"/>
        <v>0</v>
      </c>
      <c r="M131" s="145"/>
      <c r="N131" s="145">
        <f t="shared" si="85"/>
        <v>0</v>
      </c>
      <c r="O131" s="145"/>
      <c r="P131" s="145">
        <f t="shared" si="86"/>
        <v>0</v>
      </c>
      <c r="Q131" s="145"/>
      <c r="R131" s="145">
        <f t="shared" si="87"/>
        <v>0</v>
      </c>
      <c r="S131" s="145"/>
      <c r="T131" s="145">
        <f t="shared" si="88"/>
        <v>0</v>
      </c>
      <c r="U131" s="145"/>
      <c r="V131" s="145">
        <f t="shared" si="89"/>
        <v>0</v>
      </c>
      <c r="W131" s="145"/>
      <c r="X131" s="145">
        <f t="shared" si="90"/>
        <v>0</v>
      </c>
      <c r="Y131" s="145"/>
      <c r="Z131" s="145">
        <f t="shared" si="91"/>
        <v>0</v>
      </c>
      <c r="AA131" s="145"/>
      <c r="AB131" s="145">
        <f t="shared" si="92"/>
        <v>0</v>
      </c>
      <c r="AC131" s="156"/>
      <c r="AD131" s="156">
        <f t="shared" si="81"/>
        <v>0</v>
      </c>
    </row>
    <row r="132" customHeight="1" spans="2:30">
      <c r="B132" s="193">
        <f>固定资产台账1!A6</f>
        <v>0</v>
      </c>
      <c r="C132" s="193"/>
      <c r="D132" s="193"/>
      <c r="E132" s="145">
        <f>固定资产台账1!C6</f>
        <v>0</v>
      </c>
      <c r="F132" s="145">
        <f>研发设备工时计算表2!P8</f>
        <v>0</v>
      </c>
      <c r="G132" s="201">
        <f>研发设备工时计算表2!O8</f>
        <v>0</v>
      </c>
      <c r="H132" s="145">
        <f t="shared" si="82"/>
        <v>0</v>
      </c>
      <c r="I132" s="145"/>
      <c r="J132" s="145">
        <f t="shared" si="83"/>
        <v>0</v>
      </c>
      <c r="K132" s="145"/>
      <c r="L132" s="145">
        <f t="shared" si="84"/>
        <v>0</v>
      </c>
      <c r="M132" s="145"/>
      <c r="N132" s="145">
        <f t="shared" si="85"/>
        <v>0</v>
      </c>
      <c r="O132" s="145"/>
      <c r="P132" s="145">
        <f t="shared" si="86"/>
        <v>0</v>
      </c>
      <c r="Q132" s="145"/>
      <c r="R132" s="145">
        <f t="shared" si="87"/>
        <v>0</v>
      </c>
      <c r="S132" s="145"/>
      <c r="T132" s="145">
        <f t="shared" si="88"/>
        <v>0</v>
      </c>
      <c r="U132" s="145"/>
      <c r="V132" s="145">
        <f t="shared" si="89"/>
        <v>0</v>
      </c>
      <c r="W132" s="145"/>
      <c r="X132" s="145">
        <f t="shared" si="90"/>
        <v>0</v>
      </c>
      <c r="Y132" s="145"/>
      <c r="Z132" s="145">
        <f t="shared" si="91"/>
        <v>0</v>
      </c>
      <c r="AA132" s="145"/>
      <c r="AB132" s="145">
        <f t="shared" si="92"/>
        <v>0</v>
      </c>
      <c r="AC132" s="156"/>
      <c r="AD132" s="156">
        <f t="shared" si="81"/>
        <v>0</v>
      </c>
    </row>
    <row r="133" customHeight="1" spans="2:30">
      <c r="B133" s="193">
        <f>固定资产台账1!A7</f>
        <v>0</v>
      </c>
      <c r="C133" s="193"/>
      <c r="D133" s="193"/>
      <c r="E133" s="145">
        <f>固定资产台账1!C7</f>
        <v>0</v>
      </c>
      <c r="F133" s="145">
        <f>研发设备工时计算表2!P9</f>
        <v>0</v>
      </c>
      <c r="G133" s="201">
        <f>研发设备工时计算表2!O9</f>
        <v>0</v>
      </c>
      <c r="H133" s="145">
        <f t="shared" si="82"/>
        <v>0</v>
      </c>
      <c r="I133" s="145"/>
      <c r="J133" s="145">
        <f t="shared" si="83"/>
        <v>0</v>
      </c>
      <c r="K133" s="145"/>
      <c r="L133" s="145">
        <f t="shared" si="84"/>
        <v>0</v>
      </c>
      <c r="M133" s="145"/>
      <c r="N133" s="145">
        <f t="shared" si="85"/>
        <v>0</v>
      </c>
      <c r="O133" s="145"/>
      <c r="P133" s="145">
        <f t="shared" si="86"/>
        <v>0</v>
      </c>
      <c r="Q133" s="145"/>
      <c r="R133" s="145">
        <f t="shared" si="87"/>
        <v>0</v>
      </c>
      <c r="S133" s="145"/>
      <c r="T133" s="145">
        <f t="shared" si="88"/>
        <v>0</v>
      </c>
      <c r="U133" s="145"/>
      <c r="V133" s="145">
        <f t="shared" si="89"/>
        <v>0</v>
      </c>
      <c r="W133" s="145"/>
      <c r="X133" s="145">
        <f t="shared" si="90"/>
        <v>0</v>
      </c>
      <c r="Y133" s="145"/>
      <c r="Z133" s="145">
        <f t="shared" si="91"/>
        <v>0</v>
      </c>
      <c r="AA133" s="145"/>
      <c r="AB133" s="145">
        <f t="shared" si="92"/>
        <v>0</v>
      </c>
      <c r="AC133" s="156"/>
      <c r="AD133" s="156">
        <f t="shared" si="81"/>
        <v>0</v>
      </c>
    </row>
    <row r="134" customHeight="1" spans="2:30">
      <c r="B134" s="193">
        <f>固定资产台账1!A8</f>
        <v>0</v>
      </c>
      <c r="C134" s="193"/>
      <c r="D134" s="193"/>
      <c r="E134" s="145">
        <f>固定资产台账1!C8</f>
        <v>0</v>
      </c>
      <c r="F134" s="145">
        <f>研发设备工时计算表2!P10</f>
        <v>0</v>
      </c>
      <c r="G134" s="201">
        <f>研发设备工时计算表2!O10</f>
        <v>0</v>
      </c>
      <c r="H134" s="145">
        <f t="shared" si="82"/>
        <v>0</v>
      </c>
      <c r="I134" s="145"/>
      <c r="J134" s="145">
        <f t="shared" si="83"/>
        <v>0</v>
      </c>
      <c r="K134" s="145"/>
      <c r="L134" s="145">
        <f t="shared" si="84"/>
        <v>0</v>
      </c>
      <c r="M134" s="145"/>
      <c r="N134" s="145">
        <f t="shared" si="85"/>
        <v>0</v>
      </c>
      <c r="O134" s="145"/>
      <c r="P134" s="145">
        <f t="shared" si="86"/>
        <v>0</v>
      </c>
      <c r="Q134" s="145"/>
      <c r="R134" s="145">
        <f t="shared" si="87"/>
        <v>0</v>
      </c>
      <c r="S134" s="145"/>
      <c r="T134" s="145">
        <f t="shared" si="88"/>
        <v>0</v>
      </c>
      <c r="U134" s="145"/>
      <c r="V134" s="145">
        <f t="shared" si="89"/>
        <v>0</v>
      </c>
      <c r="W134" s="145"/>
      <c r="X134" s="145">
        <f t="shared" si="90"/>
        <v>0</v>
      </c>
      <c r="Y134" s="145"/>
      <c r="Z134" s="145">
        <f t="shared" si="91"/>
        <v>0</v>
      </c>
      <c r="AA134" s="145"/>
      <c r="AB134" s="145">
        <f t="shared" si="92"/>
        <v>0</v>
      </c>
      <c r="AC134" s="156"/>
      <c r="AD134" s="156">
        <f t="shared" si="81"/>
        <v>0</v>
      </c>
    </row>
    <row r="135" customHeight="1" spans="2:30">
      <c r="B135" s="193">
        <f>固定资产台账1!A9</f>
        <v>0</v>
      </c>
      <c r="C135" s="193"/>
      <c r="D135" s="193"/>
      <c r="E135" s="145">
        <f>固定资产台账1!C9</f>
        <v>0</v>
      </c>
      <c r="F135" s="145">
        <f>研发设备工时计算表2!P11</f>
        <v>0</v>
      </c>
      <c r="G135" s="201">
        <f>研发设备工时计算表2!O11</f>
        <v>0</v>
      </c>
      <c r="H135" s="145">
        <f t="shared" si="82"/>
        <v>0</v>
      </c>
      <c r="I135" s="145"/>
      <c r="J135" s="145">
        <f t="shared" si="83"/>
        <v>0</v>
      </c>
      <c r="K135" s="145"/>
      <c r="L135" s="145">
        <f t="shared" si="84"/>
        <v>0</v>
      </c>
      <c r="M135" s="145"/>
      <c r="N135" s="145">
        <f t="shared" si="85"/>
        <v>0</v>
      </c>
      <c r="O135" s="145"/>
      <c r="P135" s="145">
        <f t="shared" si="86"/>
        <v>0</v>
      </c>
      <c r="Q135" s="145"/>
      <c r="R135" s="145">
        <f t="shared" si="87"/>
        <v>0</v>
      </c>
      <c r="S135" s="145"/>
      <c r="T135" s="145">
        <f t="shared" si="88"/>
        <v>0</v>
      </c>
      <c r="U135" s="145"/>
      <c r="V135" s="145">
        <f t="shared" si="89"/>
        <v>0</v>
      </c>
      <c r="W135" s="145"/>
      <c r="X135" s="145">
        <f t="shared" si="90"/>
        <v>0</v>
      </c>
      <c r="Y135" s="145"/>
      <c r="Z135" s="145">
        <f t="shared" si="91"/>
        <v>0</v>
      </c>
      <c r="AA135" s="145"/>
      <c r="AB135" s="145">
        <f t="shared" si="92"/>
        <v>0</v>
      </c>
      <c r="AC135" s="156"/>
      <c r="AD135" s="156">
        <f t="shared" si="81"/>
        <v>0</v>
      </c>
    </row>
    <row r="136" customHeight="1" spans="2:30">
      <c r="B136" s="193">
        <f>固定资产台账1!A10</f>
        <v>0</v>
      </c>
      <c r="C136" s="193"/>
      <c r="D136" s="193"/>
      <c r="E136" s="145">
        <f>固定资产台账1!C10</f>
        <v>0</v>
      </c>
      <c r="F136" s="145">
        <f>研发设备工时计算表2!P12</f>
        <v>0</v>
      </c>
      <c r="G136" s="201">
        <f>研发设备工时计算表2!O12</f>
        <v>0</v>
      </c>
      <c r="H136" s="145">
        <f t="shared" si="82"/>
        <v>0</v>
      </c>
      <c r="I136" s="145"/>
      <c r="J136" s="145">
        <f t="shared" si="83"/>
        <v>0</v>
      </c>
      <c r="K136" s="145"/>
      <c r="L136" s="145">
        <f t="shared" si="84"/>
        <v>0</v>
      </c>
      <c r="M136" s="145"/>
      <c r="N136" s="145">
        <f t="shared" si="85"/>
        <v>0</v>
      </c>
      <c r="O136" s="145"/>
      <c r="P136" s="145">
        <f t="shared" si="86"/>
        <v>0</v>
      </c>
      <c r="Q136" s="145"/>
      <c r="R136" s="145">
        <f t="shared" si="87"/>
        <v>0</v>
      </c>
      <c r="S136" s="145"/>
      <c r="T136" s="145">
        <f t="shared" si="88"/>
        <v>0</v>
      </c>
      <c r="U136" s="145"/>
      <c r="V136" s="145">
        <f t="shared" si="89"/>
        <v>0</v>
      </c>
      <c r="W136" s="145"/>
      <c r="X136" s="145">
        <f t="shared" si="90"/>
        <v>0</v>
      </c>
      <c r="Y136" s="145"/>
      <c r="Z136" s="145">
        <f t="shared" si="91"/>
        <v>0</v>
      </c>
      <c r="AA136" s="145"/>
      <c r="AB136" s="145">
        <f t="shared" si="92"/>
        <v>0</v>
      </c>
      <c r="AC136" s="156"/>
      <c r="AD136" s="156">
        <f t="shared" si="81"/>
        <v>0</v>
      </c>
    </row>
    <row r="137" customHeight="1" spans="2:30">
      <c r="B137" s="193">
        <f>固定资产台账1!A11</f>
        <v>0</v>
      </c>
      <c r="C137" s="193"/>
      <c r="D137" s="193"/>
      <c r="E137" s="145">
        <f>固定资产台账1!C11</f>
        <v>0</v>
      </c>
      <c r="F137" s="145">
        <f>研发设备工时计算表2!P13</f>
        <v>0</v>
      </c>
      <c r="G137" s="201">
        <f>研发设备工时计算表2!O13</f>
        <v>0</v>
      </c>
      <c r="H137" s="145">
        <f t="shared" si="82"/>
        <v>0</v>
      </c>
      <c r="I137" s="145"/>
      <c r="J137" s="145">
        <f t="shared" si="83"/>
        <v>0</v>
      </c>
      <c r="K137" s="145"/>
      <c r="L137" s="145">
        <f t="shared" si="84"/>
        <v>0</v>
      </c>
      <c r="M137" s="145"/>
      <c r="N137" s="145">
        <f t="shared" si="85"/>
        <v>0</v>
      </c>
      <c r="O137" s="145"/>
      <c r="P137" s="145">
        <f t="shared" si="86"/>
        <v>0</v>
      </c>
      <c r="Q137" s="145"/>
      <c r="R137" s="145">
        <f t="shared" si="87"/>
        <v>0</v>
      </c>
      <c r="S137" s="145"/>
      <c r="T137" s="145">
        <f t="shared" si="88"/>
        <v>0</v>
      </c>
      <c r="U137" s="145"/>
      <c r="V137" s="145">
        <f t="shared" si="89"/>
        <v>0</v>
      </c>
      <c r="W137" s="145"/>
      <c r="X137" s="145">
        <f t="shared" si="90"/>
        <v>0</v>
      </c>
      <c r="Y137" s="145"/>
      <c r="Z137" s="145">
        <f t="shared" si="91"/>
        <v>0</v>
      </c>
      <c r="AA137" s="145"/>
      <c r="AB137" s="145">
        <f t="shared" si="92"/>
        <v>0</v>
      </c>
      <c r="AC137" s="156"/>
      <c r="AD137" s="156">
        <f t="shared" si="81"/>
        <v>0</v>
      </c>
    </row>
    <row r="138" customHeight="1" spans="2:30">
      <c r="B138" s="193">
        <f>固定资产台账1!A12</f>
        <v>0</v>
      </c>
      <c r="C138" s="193"/>
      <c r="D138" s="193"/>
      <c r="E138" s="145">
        <f>固定资产台账1!C12</f>
        <v>0</v>
      </c>
      <c r="F138" s="145">
        <f>研发设备工时计算表2!P14</f>
        <v>0</v>
      </c>
      <c r="G138" s="201">
        <f>研发设备工时计算表2!O14</f>
        <v>0</v>
      </c>
      <c r="H138" s="145">
        <f t="shared" si="82"/>
        <v>0</v>
      </c>
      <c r="I138" s="145"/>
      <c r="J138" s="145">
        <f t="shared" si="83"/>
        <v>0</v>
      </c>
      <c r="K138" s="145"/>
      <c r="L138" s="145">
        <f t="shared" si="84"/>
        <v>0</v>
      </c>
      <c r="M138" s="145"/>
      <c r="N138" s="145">
        <f t="shared" si="85"/>
        <v>0</v>
      </c>
      <c r="O138" s="145"/>
      <c r="P138" s="145">
        <f t="shared" si="86"/>
        <v>0</v>
      </c>
      <c r="Q138" s="145"/>
      <c r="R138" s="145">
        <f t="shared" si="87"/>
        <v>0</v>
      </c>
      <c r="S138" s="145"/>
      <c r="T138" s="145">
        <f t="shared" si="88"/>
        <v>0</v>
      </c>
      <c r="U138" s="145"/>
      <c r="V138" s="145">
        <f t="shared" si="89"/>
        <v>0</v>
      </c>
      <c r="W138" s="145"/>
      <c r="X138" s="145">
        <f t="shared" si="90"/>
        <v>0</v>
      </c>
      <c r="Y138" s="145"/>
      <c r="Z138" s="145">
        <f t="shared" si="91"/>
        <v>0</v>
      </c>
      <c r="AA138" s="145"/>
      <c r="AB138" s="145">
        <f t="shared" si="92"/>
        <v>0</v>
      </c>
      <c r="AC138" s="156"/>
      <c r="AD138" s="156">
        <f t="shared" si="81"/>
        <v>0</v>
      </c>
    </row>
    <row r="139" customHeight="1" spans="2:30">
      <c r="B139" s="193">
        <f>固定资产台账1!A13</f>
        <v>0</v>
      </c>
      <c r="C139" s="193"/>
      <c r="D139" s="193"/>
      <c r="E139" s="145">
        <f>固定资产台账1!C13</f>
        <v>0</v>
      </c>
      <c r="F139" s="145">
        <f>研发设备工时计算表2!P15</f>
        <v>0</v>
      </c>
      <c r="G139" s="201">
        <f>研发设备工时计算表2!O15</f>
        <v>0</v>
      </c>
      <c r="H139" s="145">
        <f t="shared" si="82"/>
        <v>0</v>
      </c>
      <c r="I139" s="145"/>
      <c r="J139" s="145">
        <f t="shared" si="83"/>
        <v>0</v>
      </c>
      <c r="K139" s="145"/>
      <c r="L139" s="145">
        <f t="shared" si="84"/>
        <v>0</v>
      </c>
      <c r="M139" s="145"/>
      <c r="N139" s="145">
        <f t="shared" si="85"/>
        <v>0</v>
      </c>
      <c r="O139" s="145"/>
      <c r="P139" s="145">
        <f t="shared" si="86"/>
        <v>0</v>
      </c>
      <c r="Q139" s="145"/>
      <c r="R139" s="145">
        <f t="shared" si="87"/>
        <v>0</v>
      </c>
      <c r="S139" s="145"/>
      <c r="T139" s="145">
        <f t="shared" si="88"/>
        <v>0</v>
      </c>
      <c r="U139" s="145"/>
      <c r="V139" s="145">
        <f t="shared" si="89"/>
        <v>0</v>
      </c>
      <c r="W139" s="145"/>
      <c r="X139" s="145">
        <f t="shared" si="90"/>
        <v>0</v>
      </c>
      <c r="Y139" s="145"/>
      <c r="Z139" s="145">
        <f t="shared" si="91"/>
        <v>0</v>
      </c>
      <c r="AA139" s="145"/>
      <c r="AB139" s="145">
        <f t="shared" si="92"/>
        <v>0</v>
      </c>
      <c r="AC139" s="156"/>
      <c r="AD139" s="156">
        <f t="shared" si="81"/>
        <v>0</v>
      </c>
    </row>
    <row r="140" customHeight="1" spans="2:30">
      <c r="B140" s="193">
        <f>固定资产台账1!A14</f>
        <v>0</v>
      </c>
      <c r="C140" s="193"/>
      <c r="D140" s="193"/>
      <c r="E140" s="145">
        <f>固定资产台账1!C14</f>
        <v>0</v>
      </c>
      <c r="F140" s="145">
        <f>研发设备工时计算表2!P16</f>
        <v>0</v>
      </c>
      <c r="G140" s="201">
        <f>研发设备工时计算表2!O16</f>
        <v>0</v>
      </c>
      <c r="H140" s="145">
        <f t="shared" si="82"/>
        <v>0</v>
      </c>
      <c r="I140" s="145"/>
      <c r="J140" s="145">
        <f t="shared" si="83"/>
        <v>0</v>
      </c>
      <c r="K140" s="145"/>
      <c r="L140" s="145">
        <f t="shared" si="84"/>
        <v>0</v>
      </c>
      <c r="M140" s="145"/>
      <c r="N140" s="145">
        <f t="shared" si="85"/>
        <v>0</v>
      </c>
      <c r="O140" s="145"/>
      <c r="P140" s="145">
        <f t="shared" si="86"/>
        <v>0</v>
      </c>
      <c r="Q140" s="145"/>
      <c r="R140" s="145">
        <f t="shared" si="87"/>
        <v>0</v>
      </c>
      <c r="S140" s="145"/>
      <c r="T140" s="145">
        <f t="shared" si="88"/>
        <v>0</v>
      </c>
      <c r="U140" s="145"/>
      <c r="V140" s="145">
        <f t="shared" si="89"/>
        <v>0</v>
      </c>
      <c r="W140" s="145"/>
      <c r="X140" s="145">
        <f t="shared" si="90"/>
        <v>0</v>
      </c>
      <c r="Y140" s="145"/>
      <c r="Z140" s="145">
        <f t="shared" si="91"/>
        <v>0</v>
      </c>
      <c r="AA140" s="145"/>
      <c r="AB140" s="145">
        <f t="shared" si="92"/>
        <v>0</v>
      </c>
      <c r="AC140" s="156"/>
      <c r="AD140" s="156">
        <f t="shared" si="81"/>
        <v>0</v>
      </c>
    </row>
    <row r="141" customHeight="1" spans="2:30">
      <c r="B141" s="193">
        <f>固定资产台账1!A15</f>
        <v>0</v>
      </c>
      <c r="C141" s="193"/>
      <c r="D141" s="193"/>
      <c r="E141" s="145">
        <f>固定资产台账1!C15</f>
        <v>0</v>
      </c>
      <c r="F141" s="145">
        <f>研发设备工时计算表2!P17</f>
        <v>0</v>
      </c>
      <c r="G141" s="201">
        <f>研发设备工时计算表2!O17</f>
        <v>0</v>
      </c>
      <c r="H141" s="145">
        <f t="shared" si="82"/>
        <v>0</v>
      </c>
      <c r="I141" s="145"/>
      <c r="J141" s="145">
        <f t="shared" si="83"/>
        <v>0</v>
      </c>
      <c r="K141" s="145"/>
      <c r="L141" s="145">
        <f t="shared" si="84"/>
        <v>0</v>
      </c>
      <c r="M141" s="145"/>
      <c r="N141" s="145">
        <f t="shared" si="85"/>
        <v>0</v>
      </c>
      <c r="O141" s="145"/>
      <c r="P141" s="145">
        <f t="shared" si="86"/>
        <v>0</v>
      </c>
      <c r="Q141" s="145"/>
      <c r="R141" s="145">
        <f t="shared" si="87"/>
        <v>0</v>
      </c>
      <c r="S141" s="145"/>
      <c r="T141" s="145">
        <f t="shared" si="88"/>
        <v>0</v>
      </c>
      <c r="U141" s="145"/>
      <c r="V141" s="145">
        <f t="shared" si="89"/>
        <v>0</v>
      </c>
      <c r="W141" s="145"/>
      <c r="X141" s="145">
        <f t="shared" si="90"/>
        <v>0</v>
      </c>
      <c r="Y141" s="145"/>
      <c r="Z141" s="145">
        <f t="shared" si="91"/>
        <v>0</v>
      </c>
      <c r="AA141" s="145"/>
      <c r="AB141" s="145">
        <f t="shared" si="92"/>
        <v>0</v>
      </c>
      <c r="AC141" s="156"/>
      <c r="AD141" s="156">
        <f t="shared" si="81"/>
        <v>0</v>
      </c>
    </row>
    <row r="142" customHeight="1" spans="2:30">
      <c r="B142" s="193">
        <f>固定资产台账1!A16</f>
        <v>0</v>
      </c>
      <c r="C142" s="193"/>
      <c r="D142" s="193"/>
      <c r="E142" s="145">
        <f>固定资产台账1!C16</f>
        <v>0</v>
      </c>
      <c r="F142" s="145">
        <f>研发设备工时计算表2!P18</f>
        <v>0</v>
      </c>
      <c r="G142" s="201">
        <f>研发设备工时计算表2!O18</f>
        <v>0</v>
      </c>
      <c r="H142" s="145">
        <f t="shared" si="82"/>
        <v>0</v>
      </c>
      <c r="I142" s="145"/>
      <c r="J142" s="145">
        <f t="shared" si="83"/>
        <v>0</v>
      </c>
      <c r="K142" s="145"/>
      <c r="L142" s="145">
        <f t="shared" si="84"/>
        <v>0</v>
      </c>
      <c r="M142" s="145"/>
      <c r="N142" s="145">
        <f t="shared" si="85"/>
        <v>0</v>
      </c>
      <c r="O142" s="145"/>
      <c r="P142" s="145">
        <f t="shared" si="86"/>
        <v>0</v>
      </c>
      <c r="Q142" s="145"/>
      <c r="R142" s="145">
        <f t="shared" si="87"/>
        <v>0</v>
      </c>
      <c r="S142" s="145"/>
      <c r="T142" s="145">
        <f t="shared" si="88"/>
        <v>0</v>
      </c>
      <c r="U142" s="145"/>
      <c r="V142" s="145">
        <f t="shared" si="89"/>
        <v>0</v>
      </c>
      <c r="W142" s="145"/>
      <c r="X142" s="145">
        <f t="shared" si="90"/>
        <v>0</v>
      </c>
      <c r="Y142" s="145"/>
      <c r="Z142" s="145">
        <f t="shared" si="91"/>
        <v>0</v>
      </c>
      <c r="AA142" s="145"/>
      <c r="AB142" s="145">
        <f t="shared" si="92"/>
        <v>0</v>
      </c>
      <c r="AC142" s="156"/>
      <c r="AD142" s="156">
        <f t="shared" si="81"/>
        <v>0</v>
      </c>
    </row>
    <row r="143" customHeight="1" spans="2:30">
      <c r="B143" s="193">
        <f>固定资产台账1!A17</f>
        <v>0</v>
      </c>
      <c r="C143" s="193"/>
      <c r="D143" s="193"/>
      <c r="E143" s="145">
        <f>固定资产台账1!C17</f>
        <v>0</v>
      </c>
      <c r="F143" s="145">
        <f>研发设备工时计算表2!P19</f>
        <v>0</v>
      </c>
      <c r="G143" s="201">
        <f>研发设备工时计算表2!O19</f>
        <v>0</v>
      </c>
      <c r="H143" s="145">
        <f t="shared" si="82"/>
        <v>0</v>
      </c>
      <c r="I143" s="145"/>
      <c r="J143" s="145">
        <f t="shared" si="83"/>
        <v>0</v>
      </c>
      <c r="K143" s="145"/>
      <c r="L143" s="145">
        <f t="shared" si="84"/>
        <v>0</v>
      </c>
      <c r="M143" s="145"/>
      <c r="N143" s="145">
        <f t="shared" si="85"/>
        <v>0</v>
      </c>
      <c r="O143" s="145"/>
      <c r="P143" s="145">
        <f t="shared" si="86"/>
        <v>0</v>
      </c>
      <c r="Q143" s="145"/>
      <c r="R143" s="145">
        <f t="shared" si="87"/>
        <v>0</v>
      </c>
      <c r="S143" s="145"/>
      <c r="T143" s="145">
        <f t="shared" si="88"/>
        <v>0</v>
      </c>
      <c r="U143" s="145"/>
      <c r="V143" s="145">
        <f t="shared" si="89"/>
        <v>0</v>
      </c>
      <c r="W143" s="145"/>
      <c r="X143" s="145">
        <f t="shared" si="90"/>
        <v>0</v>
      </c>
      <c r="Y143" s="145"/>
      <c r="Z143" s="145">
        <f t="shared" si="91"/>
        <v>0</v>
      </c>
      <c r="AA143" s="145"/>
      <c r="AB143" s="145">
        <f t="shared" si="92"/>
        <v>0</v>
      </c>
      <c r="AC143" s="156"/>
      <c r="AD143" s="156">
        <f t="shared" si="81"/>
        <v>0</v>
      </c>
    </row>
    <row r="144" customHeight="1" spans="2:30">
      <c r="B144" s="193">
        <f>固定资产台账1!A18</f>
        <v>0</v>
      </c>
      <c r="C144" s="193"/>
      <c r="D144" s="193"/>
      <c r="E144" s="145">
        <f>固定资产台账1!C18</f>
        <v>0</v>
      </c>
      <c r="F144" s="145">
        <f>研发设备工时计算表2!P20</f>
        <v>0</v>
      </c>
      <c r="G144" s="201">
        <f>研发设备工时计算表2!O20</f>
        <v>0</v>
      </c>
      <c r="H144" s="145">
        <f t="shared" si="82"/>
        <v>0</v>
      </c>
      <c r="I144" s="145"/>
      <c r="J144" s="145">
        <f t="shared" si="83"/>
        <v>0</v>
      </c>
      <c r="K144" s="145"/>
      <c r="L144" s="145">
        <f t="shared" si="84"/>
        <v>0</v>
      </c>
      <c r="M144" s="145"/>
      <c r="N144" s="145">
        <f t="shared" si="85"/>
        <v>0</v>
      </c>
      <c r="O144" s="145"/>
      <c r="P144" s="145">
        <f t="shared" si="86"/>
        <v>0</v>
      </c>
      <c r="Q144" s="145"/>
      <c r="R144" s="145">
        <f t="shared" si="87"/>
        <v>0</v>
      </c>
      <c r="S144" s="145"/>
      <c r="T144" s="145">
        <f t="shared" si="88"/>
        <v>0</v>
      </c>
      <c r="U144" s="145"/>
      <c r="V144" s="145">
        <f t="shared" si="89"/>
        <v>0</v>
      </c>
      <c r="W144" s="145"/>
      <c r="X144" s="145">
        <f t="shared" si="90"/>
        <v>0</v>
      </c>
      <c r="Y144" s="145"/>
      <c r="Z144" s="145">
        <f t="shared" si="91"/>
        <v>0</v>
      </c>
      <c r="AA144" s="145"/>
      <c r="AB144" s="145">
        <f t="shared" si="92"/>
        <v>0</v>
      </c>
      <c r="AC144" s="156"/>
      <c r="AD144" s="156">
        <f t="shared" si="81"/>
        <v>0</v>
      </c>
    </row>
    <row r="145" customHeight="1" spans="2:30">
      <c r="B145" s="193">
        <f>固定资产台账1!A19</f>
        <v>0</v>
      </c>
      <c r="C145" s="193"/>
      <c r="D145" s="193"/>
      <c r="E145" s="145">
        <f>固定资产台账1!C19</f>
        <v>0</v>
      </c>
      <c r="F145" s="145">
        <f>研发设备工时计算表2!P21</f>
        <v>0</v>
      </c>
      <c r="G145" s="201">
        <f>研发设备工时计算表2!O21</f>
        <v>0</v>
      </c>
      <c r="H145" s="145">
        <f t="shared" si="82"/>
        <v>0</v>
      </c>
      <c r="I145" s="145"/>
      <c r="J145" s="145">
        <f t="shared" si="83"/>
        <v>0</v>
      </c>
      <c r="K145" s="145"/>
      <c r="L145" s="145">
        <f t="shared" si="84"/>
        <v>0</v>
      </c>
      <c r="M145" s="145"/>
      <c r="N145" s="145">
        <f t="shared" si="85"/>
        <v>0</v>
      </c>
      <c r="O145" s="145"/>
      <c r="P145" s="145">
        <f t="shared" si="86"/>
        <v>0</v>
      </c>
      <c r="Q145" s="145"/>
      <c r="R145" s="145">
        <f t="shared" si="87"/>
        <v>0</v>
      </c>
      <c r="S145" s="145"/>
      <c r="T145" s="145">
        <f t="shared" si="88"/>
        <v>0</v>
      </c>
      <c r="U145" s="145"/>
      <c r="V145" s="145">
        <f t="shared" si="89"/>
        <v>0</v>
      </c>
      <c r="W145" s="145"/>
      <c r="X145" s="145">
        <f t="shared" si="90"/>
        <v>0</v>
      </c>
      <c r="Y145" s="145"/>
      <c r="Z145" s="145">
        <f t="shared" si="91"/>
        <v>0</v>
      </c>
      <c r="AA145" s="145"/>
      <c r="AB145" s="145">
        <f t="shared" si="92"/>
        <v>0</v>
      </c>
      <c r="AC145" s="156"/>
      <c r="AD145" s="156">
        <f t="shared" si="81"/>
        <v>0</v>
      </c>
    </row>
    <row r="146" customHeight="1" spans="2:30">
      <c r="B146" s="193">
        <f>固定资产台账1!A20</f>
        <v>0</v>
      </c>
      <c r="C146" s="193"/>
      <c r="D146" s="193"/>
      <c r="E146" s="145">
        <f>固定资产台账1!C20</f>
        <v>0</v>
      </c>
      <c r="F146" s="145">
        <f>研发设备工时计算表2!P22</f>
        <v>0</v>
      </c>
      <c r="G146" s="201">
        <f>研发设备工时计算表2!O22</f>
        <v>0</v>
      </c>
      <c r="H146" s="145">
        <f t="shared" si="82"/>
        <v>0</v>
      </c>
      <c r="I146" s="145"/>
      <c r="J146" s="145">
        <f t="shared" si="83"/>
        <v>0</v>
      </c>
      <c r="K146" s="145"/>
      <c r="L146" s="145">
        <f t="shared" si="84"/>
        <v>0</v>
      </c>
      <c r="M146" s="145"/>
      <c r="N146" s="145">
        <f t="shared" si="85"/>
        <v>0</v>
      </c>
      <c r="O146" s="145"/>
      <c r="P146" s="145">
        <f t="shared" si="86"/>
        <v>0</v>
      </c>
      <c r="Q146" s="145"/>
      <c r="R146" s="145">
        <f t="shared" si="87"/>
        <v>0</v>
      </c>
      <c r="S146" s="145"/>
      <c r="T146" s="145">
        <f t="shared" si="88"/>
        <v>0</v>
      </c>
      <c r="U146" s="145"/>
      <c r="V146" s="145">
        <f t="shared" si="89"/>
        <v>0</v>
      </c>
      <c r="W146" s="145"/>
      <c r="X146" s="145">
        <f t="shared" si="90"/>
        <v>0</v>
      </c>
      <c r="Y146" s="145"/>
      <c r="Z146" s="145">
        <f t="shared" si="91"/>
        <v>0</v>
      </c>
      <c r="AA146" s="145"/>
      <c r="AB146" s="145">
        <f t="shared" si="92"/>
        <v>0</v>
      </c>
      <c r="AC146" s="156"/>
      <c r="AD146" s="156">
        <f t="shared" si="81"/>
        <v>0</v>
      </c>
    </row>
    <row r="147" customHeight="1" spans="2:30">
      <c r="B147" s="193">
        <f>固定资产台账1!A21</f>
        <v>0</v>
      </c>
      <c r="C147" s="193"/>
      <c r="D147" s="193"/>
      <c r="E147" s="145">
        <f>固定资产台账1!C21</f>
        <v>0</v>
      </c>
      <c r="F147" s="145">
        <f>研发设备工时计算表2!P23</f>
        <v>0</v>
      </c>
      <c r="G147" s="201">
        <f>研发设备工时计算表2!O23</f>
        <v>0</v>
      </c>
      <c r="H147" s="145">
        <f t="shared" si="82"/>
        <v>0</v>
      </c>
      <c r="I147" s="145"/>
      <c r="J147" s="145">
        <f t="shared" si="83"/>
        <v>0</v>
      </c>
      <c r="K147" s="145"/>
      <c r="L147" s="145">
        <f t="shared" si="84"/>
        <v>0</v>
      </c>
      <c r="M147" s="145"/>
      <c r="N147" s="145">
        <f t="shared" si="85"/>
        <v>0</v>
      </c>
      <c r="O147" s="145"/>
      <c r="P147" s="145">
        <f t="shared" si="86"/>
        <v>0</v>
      </c>
      <c r="Q147" s="145"/>
      <c r="R147" s="145">
        <f t="shared" si="87"/>
        <v>0</v>
      </c>
      <c r="S147" s="145"/>
      <c r="T147" s="145">
        <f t="shared" si="88"/>
        <v>0</v>
      </c>
      <c r="U147" s="145"/>
      <c r="V147" s="145">
        <f t="shared" si="89"/>
        <v>0</v>
      </c>
      <c r="W147" s="145"/>
      <c r="X147" s="145">
        <f t="shared" si="90"/>
        <v>0</v>
      </c>
      <c r="Y147" s="145"/>
      <c r="Z147" s="145">
        <f t="shared" si="91"/>
        <v>0</v>
      </c>
      <c r="AA147" s="145"/>
      <c r="AB147" s="145">
        <f t="shared" si="92"/>
        <v>0</v>
      </c>
      <c r="AC147" s="156"/>
      <c r="AD147" s="156">
        <f t="shared" si="81"/>
        <v>0</v>
      </c>
    </row>
    <row r="148" customHeight="1" spans="2:30">
      <c r="B148" s="193">
        <f>固定资产台账1!A22</f>
        <v>0</v>
      </c>
      <c r="C148" s="193"/>
      <c r="D148" s="193"/>
      <c r="E148" s="145">
        <f>固定资产台账1!C22</f>
        <v>0</v>
      </c>
      <c r="F148" s="145">
        <f>研发设备工时计算表2!P24</f>
        <v>0</v>
      </c>
      <c r="G148" s="201">
        <f>研发设备工时计算表2!O24</f>
        <v>0</v>
      </c>
      <c r="H148" s="145">
        <f t="shared" si="82"/>
        <v>0</v>
      </c>
      <c r="I148" s="145"/>
      <c r="J148" s="145">
        <f t="shared" si="83"/>
        <v>0</v>
      </c>
      <c r="K148" s="145"/>
      <c r="L148" s="145">
        <f t="shared" si="84"/>
        <v>0</v>
      </c>
      <c r="M148" s="145"/>
      <c r="N148" s="145">
        <f t="shared" si="85"/>
        <v>0</v>
      </c>
      <c r="O148" s="145"/>
      <c r="P148" s="145">
        <f t="shared" si="86"/>
        <v>0</v>
      </c>
      <c r="Q148" s="145"/>
      <c r="R148" s="145">
        <f t="shared" si="87"/>
        <v>0</v>
      </c>
      <c r="S148" s="145"/>
      <c r="T148" s="145">
        <f t="shared" si="88"/>
        <v>0</v>
      </c>
      <c r="U148" s="145"/>
      <c r="V148" s="145">
        <f t="shared" si="89"/>
        <v>0</v>
      </c>
      <c r="W148" s="145"/>
      <c r="X148" s="145">
        <f t="shared" si="90"/>
        <v>0</v>
      </c>
      <c r="Y148" s="145"/>
      <c r="Z148" s="145">
        <f t="shared" si="91"/>
        <v>0</v>
      </c>
      <c r="AA148" s="145"/>
      <c r="AB148" s="145">
        <f t="shared" si="92"/>
        <v>0</v>
      </c>
      <c r="AC148" s="156"/>
      <c r="AD148" s="156">
        <f t="shared" si="81"/>
        <v>0</v>
      </c>
    </row>
    <row r="149" customHeight="1" spans="2:30">
      <c r="B149" s="193">
        <f>固定资产台账1!A23</f>
        <v>0</v>
      </c>
      <c r="C149" s="193"/>
      <c r="D149" s="193"/>
      <c r="E149" s="145">
        <f>固定资产台账1!C23</f>
        <v>0</v>
      </c>
      <c r="F149" s="145">
        <f>研发设备工时计算表2!P25</f>
        <v>0</v>
      </c>
      <c r="G149" s="201">
        <f>研发设备工时计算表2!O25</f>
        <v>0</v>
      </c>
      <c r="H149" s="145">
        <f t="shared" si="82"/>
        <v>0</v>
      </c>
      <c r="I149" s="145"/>
      <c r="J149" s="145">
        <f t="shared" si="83"/>
        <v>0</v>
      </c>
      <c r="K149" s="145"/>
      <c r="L149" s="145">
        <f t="shared" si="84"/>
        <v>0</v>
      </c>
      <c r="M149" s="145"/>
      <c r="N149" s="145">
        <f t="shared" si="85"/>
        <v>0</v>
      </c>
      <c r="O149" s="145"/>
      <c r="P149" s="145">
        <f t="shared" si="86"/>
        <v>0</v>
      </c>
      <c r="Q149" s="145"/>
      <c r="R149" s="145">
        <f t="shared" si="87"/>
        <v>0</v>
      </c>
      <c r="S149" s="145"/>
      <c r="T149" s="145">
        <f t="shared" si="88"/>
        <v>0</v>
      </c>
      <c r="U149" s="145"/>
      <c r="V149" s="145">
        <f t="shared" si="89"/>
        <v>0</v>
      </c>
      <c r="W149" s="145"/>
      <c r="X149" s="145">
        <f t="shared" si="90"/>
        <v>0</v>
      </c>
      <c r="Y149" s="145"/>
      <c r="Z149" s="145">
        <f t="shared" si="91"/>
        <v>0</v>
      </c>
      <c r="AA149" s="145"/>
      <c r="AB149" s="145">
        <f t="shared" si="92"/>
        <v>0</v>
      </c>
      <c r="AC149" s="156"/>
      <c r="AD149" s="156">
        <f t="shared" si="81"/>
        <v>0</v>
      </c>
    </row>
    <row r="150" customHeight="1" spans="2:30">
      <c r="B150" s="193">
        <f>固定资产台账1!A25</f>
        <v>0</v>
      </c>
      <c r="C150" s="193"/>
      <c r="D150" s="193"/>
      <c r="E150" s="145">
        <f>固定资产台账1!C25</f>
        <v>0</v>
      </c>
      <c r="F150" s="145">
        <f>研发设备工时计算表2!P26</f>
        <v>0</v>
      </c>
      <c r="G150" s="201">
        <f>研发设备工时计算表2!O26</f>
        <v>0</v>
      </c>
      <c r="H150" s="145">
        <f t="shared" si="82"/>
        <v>0</v>
      </c>
      <c r="I150" s="145"/>
      <c r="J150" s="145">
        <f t="shared" si="83"/>
        <v>0</v>
      </c>
      <c r="K150" s="145"/>
      <c r="L150" s="145">
        <f t="shared" si="84"/>
        <v>0</v>
      </c>
      <c r="M150" s="145"/>
      <c r="N150" s="145">
        <f t="shared" si="85"/>
        <v>0</v>
      </c>
      <c r="O150" s="145"/>
      <c r="P150" s="145">
        <f t="shared" si="86"/>
        <v>0</v>
      </c>
      <c r="Q150" s="145"/>
      <c r="R150" s="145">
        <f t="shared" si="87"/>
        <v>0</v>
      </c>
      <c r="S150" s="145"/>
      <c r="T150" s="145">
        <f t="shared" si="88"/>
        <v>0</v>
      </c>
      <c r="U150" s="145"/>
      <c r="V150" s="145">
        <f t="shared" si="89"/>
        <v>0</v>
      </c>
      <c r="W150" s="145"/>
      <c r="X150" s="145">
        <f t="shared" si="90"/>
        <v>0</v>
      </c>
      <c r="Y150" s="145"/>
      <c r="Z150" s="145">
        <f t="shared" si="91"/>
        <v>0</v>
      </c>
      <c r="AA150" s="145"/>
      <c r="AB150" s="145">
        <f t="shared" si="92"/>
        <v>0</v>
      </c>
      <c r="AC150" s="156"/>
      <c r="AD150" s="156">
        <f t="shared" si="81"/>
        <v>0</v>
      </c>
    </row>
    <row r="151" customHeight="1" spans="2:30">
      <c r="B151" s="193">
        <f>固定资产台账1!A25</f>
        <v>0</v>
      </c>
      <c r="C151" s="193"/>
      <c r="D151" s="193"/>
      <c r="E151" s="145">
        <f>固定资产台账1!C25</f>
        <v>0</v>
      </c>
      <c r="F151" s="145">
        <f>研发设备工时计算表2!P27</f>
        <v>0</v>
      </c>
      <c r="G151" s="201">
        <f>研发设备工时计算表2!O27</f>
        <v>0</v>
      </c>
      <c r="H151" s="145">
        <f t="shared" si="82"/>
        <v>0</v>
      </c>
      <c r="I151" s="145"/>
      <c r="J151" s="145">
        <f t="shared" si="83"/>
        <v>0</v>
      </c>
      <c r="K151" s="145"/>
      <c r="L151" s="145">
        <f t="shared" si="84"/>
        <v>0</v>
      </c>
      <c r="M151" s="145"/>
      <c r="N151" s="145">
        <f t="shared" si="85"/>
        <v>0</v>
      </c>
      <c r="O151" s="145"/>
      <c r="P151" s="145">
        <f t="shared" si="86"/>
        <v>0</v>
      </c>
      <c r="Q151" s="145"/>
      <c r="R151" s="145">
        <f t="shared" si="87"/>
        <v>0</v>
      </c>
      <c r="S151" s="145"/>
      <c r="T151" s="145">
        <f t="shared" si="88"/>
        <v>0</v>
      </c>
      <c r="U151" s="145"/>
      <c r="V151" s="145">
        <f t="shared" si="89"/>
        <v>0</v>
      </c>
      <c r="W151" s="145"/>
      <c r="X151" s="145">
        <f t="shared" si="90"/>
        <v>0</v>
      </c>
      <c r="Y151" s="145"/>
      <c r="Z151" s="145">
        <f t="shared" si="91"/>
        <v>0</v>
      </c>
      <c r="AA151" s="145"/>
      <c r="AB151" s="145">
        <f t="shared" si="92"/>
        <v>0</v>
      </c>
      <c r="AC151" s="156"/>
      <c r="AD151" s="156">
        <f t="shared" si="81"/>
        <v>0</v>
      </c>
    </row>
    <row r="152" customHeight="1" spans="2:30">
      <c r="B152" s="193">
        <f>固定资产台账1!A26</f>
        <v>0</v>
      </c>
      <c r="C152" s="193"/>
      <c r="D152" s="193"/>
      <c r="E152" s="145">
        <f>固定资产台账1!C26</f>
        <v>0</v>
      </c>
      <c r="F152" s="145">
        <f>研发设备工时计算表2!P28</f>
        <v>0</v>
      </c>
      <c r="G152" s="201">
        <f>研发设备工时计算表2!O28</f>
        <v>0</v>
      </c>
      <c r="H152" s="145">
        <f t="shared" si="82"/>
        <v>0</v>
      </c>
      <c r="I152" s="145"/>
      <c r="J152" s="145">
        <f t="shared" si="83"/>
        <v>0</v>
      </c>
      <c r="K152" s="145"/>
      <c r="L152" s="145">
        <f t="shared" si="84"/>
        <v>0</v>
      </c>
      <c r="M152" s="145"/>
      <c r="N152" s="145">
        <f t="shared" si="85"/>
        <v>0</v>
      </c>
      <c r="O152" s="145"/>
      <c r="P152" s="145">
        <f t="shared" si="86"/>
        <v>0</v>
      </c>
      <c r="Q152" s="145"/>
      <c r="R152" s="145">
        <f t="shared" si="87"/>
        <v>0</v>
      </c>
      <c r="S152" s="145"/>
      <c r="T152" s="145">
        <f t="shared" si="88"/>
        <v>0</v>
      </c>
      <c r="U152" s="145"/>
      <c r="V152" s="145">
        <f t="shared" si="89"/>
        <v>0</v>
      </c>
      <c r="W152" s="145"/>
      <c r="X152" s="145">
        <f t="shared" si="90"/>
        <v>0</v>
      </c>
      <c r="Y152" s="145"/>
      <c r="Z152" s="145">
        <f t="shared" si="91"/>
        <v>0</v>
      </c>
      <c r="AA152" s="145"/>
      <c r="AB152" s="145">
        <f t="shared" si="92"/>
        <v>0</v>
      </c>
      <c r="AC152" s="156"/>
      <c r="AD152" s="156">
        <f t="shared" si="81"/>
        <v>0</v>
      </c>
    </row>
    <row r="153" customHeight="1" spans="2:30">
      <c r="B153" s="193">
        <f>固定资产台账1!A27</f>
        <v>0</v>
      </c>
      <c r="C153" s="193"/>
      <c r="D153" s="193"/>
      <c r="E153" s="145">
        <f>固定资产台账1!C27</f>
        <v>0</v>
      </c>
      <c r="F153" s="145">
        <f>研发设备工时计算表2!P29</f>
        <v>0</v>
      </c>
      <c r="G153" s="201">
        <f>研发设备工时计算表2!O29</f>
        <v>0</v>
      </c>
      <c r="H153" s="145">
        <f t="shared" si="82"/>
        <v>0</v>
      </c>
      <c r="I153" s="145"/>
      <c r="J153" s="145">
        <f t="shared" si="83"/>
        <v>0</v>
      </c>
      <c r="K153" s="145"/>
      <c r="L153" s="145">
        <f t="shared" si="84"/>
        <v>0</v>
      </c>
      <c r="M153" s="145"/>
      <c r="N153" s="145">
        <f t="shared" si="85"/>
        <v>0</v>
      </c>
      <c r="O153" s="145"/>
      <c r="P153" s="145">
        <f t="shared" si="86"/>
        <v>0</v>
      </c>
      <c r="Q153" s="145"/>
      <c r="R153" s="145">
        <f t="shared" si="87"/>
        <v>0</v>
      </c>
      <c r="S153" s="145"/>
      <c r="T153" s="145">
        <f t="shared" si="88"/>
        <v>0</v>
      </c>
      <c r="U153" s="145"/>
      <c r="V153" s="145">
        <f t="shared" si="89"/>
        <v>0</v>
      </c>
      <c r="W153" s="145"/>
      <c r="X153" s="145">
        <f t="shared" si="90"/>
        <v>0</v>
      </c>
      <c r="Y153" s="145"/>
      <c r="Z153" s="145">
        <f t="shared" si="91"/>
        <v>0</v>
      </c>
      <c r="AA153" s="145"/>
      <c r="AB153" s="145">
        <f t="shared" si="92"/>
        <v>0</v>
      </c>
      <c r="AC153" s="156"/>
      <c r="AD153" s="156">
        <f t="shared" si="81"/>
        <v>0</v>
      </c>
    </row>
    <row r="154" customHeight="1" spans="2:30">
      <c r="B154" s="196" t="s">
        <v>255</v>
      </c>
      <c r="C154" s="197"/>
      <c r="D154" s="198"/>
      <c r="E154" s="199">
        <f t="shared" ref="E154:G154" si="93">SUM(E129:E153)</f>
        <v>0</v>
      </c>
      <c r="F154" s="188">
        <f t="shared" si="93"/>
        <v>0</v>
      </c>
      <c r="G154" s="188">
        <f t="shared" si="93"/>
        <v>0</v>
      </c>
      <c r="H154" s="188">
        <f t="shared" ref="H154:K154" si="94">SUM(H129:H153)</f>
        <v>0</v>
      </c>
      <c r="I154" s="188">
        <f t="shared" si="94"/>
        <v>0</v>
      </c>
      <c r="J154" s="188">
        <f t="shared" si="94"/>
        <v>0</v>
      </c>
      <c r="K154" s="188">
        <f t="shared" si="94"/>
        <v>0</v>
      </c>
      <c r="L154" s="188">
        <f t="shared" ref="L154:O154" si="95">SUM(L129:L153)</f>
        <v>0</v>
      </c>
      <c r="M154" s="188">
        <f t="shared" si="95"/>
        <v>0</v>
      </c>
      <c r="N154" s="188">
        <f t="shared" si="95"/>
        <v>0</v>
      </c>
      <c r="O154" s="188">
        <f t="shared" si="95"/>
        <v>0</v>
      </c>
      <c r="P154" s="188">
        <f t="shared" ref="P154:S154" si="96">SUM(P129:P153)</f>
        <v>0</v>
      </c>
      <c r="Q154" s="188">
        <f t="shared" si="96"/>
        <v>0</v>
      </c>
      <c r="R154" s="188">
        <f t="shared" si="96"/>
        <v>0</v>
      </c>
      <c r="S154" s="188">
        <f t="shared" si="96"/>
        <v>0</v>
      </c>
      <c r="T154" s="188">
        <f t="shared" ref="T154:W154" si="97">SUM(T129:T153)</f>
        <v>0</v>
      </c>
      <c r="U154" s="188">
        <f t="shared" si="97"/>
        <v>0</v>
      </c>
      <c r="V154" s="188">
        <f t="shared" si="97"/>
        <v>0</v>
      </c>
      <c r="W154" s="188">
        <f t="shared" si="97"/>
        <v>0</v>
      </c>
      <c r="X154" s="188">
        <f t="shared" ref="X154:AB154" si="98">SUM(X129:X153)</f>
        <v>0</v>
      </c>
      <c r="Y154" s="188">
        <f t="shared" si="98"/>
        <v>0</v>
      </c>
      <c r="Z154" s="188">
        <f t="shared" si="98"/>
        <v>0</v>
      </c>
      <c r="AA154" s="188">
        <f t="shared" si="98"/>
        <v>0</v>
      </c>
      <c r="AB154" s="188">
        <f t="shared" si="98"/>
        <v>0</v>
      </c>
      <c r="AC154" s="156"/>
      <c r="AD154" s="156">
        <f t="shared" si="81"/>
        <v>0</v>
      </c>
    </row>
    <row r="155" customHeight="1" spans="2:30">
      <c r="E155" s="200"/>
      <c r="F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156"/>
      <c r="AD155" s="156"/>
    </row>
    <row r="156" customHeight="1" spans="2:30">
      <c r="E156" s="200"/>
      <c r="G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156"/>
      <c r="AD156" s="156"/>
    </row>
    <row r="157" customHeight="1" spans="2:30">
      <c r="B157" s="186" t="s">
        <v>260</v>
      </c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56"/>
      <c r="AD157" s="156"/>
    </row>
    <row r="158" customHeight="1" spans="2:30">
      <c r="B158" s="187" t="s">
        <v>249</v>
      </c>
      <c r="C158" s="187"/>
      <c r="D158" s="187"/>
      <c r="E158" s="188" t="s">
        <v>250</v>
      </c>
      <c r="F158" s="189" t="s">
        <v>251</v>
      </c>
      <c r="G158" s="190" t="s">
        <v>252</v>
      </c>
      <c r="H158" s="190" t="s">
        <v>251</v>
      </c>
      <c r="I158" s="191" t="str">
        <f>立项!A3</f>
        <v>RD01</v>
      </c>
      <c r="J158" s="191"/>
      <c r="K158" s="191" t="str">
        <f>立项!A4</f>
        <v>RD02</v>
      </c>
      <c r="L158" s="191"/>
      <c r="M158" s="191" t="str">
        <f>立项!A5</f>
        <v>RD03</v>
      </c>
      <c r="N158" s="191"/>
      <c r="O158" s="191" t="str">
        <f>立项!A6</f>
        <v>RD04</v>
      </c>
      <c r="P158" s="191"/>
      <c r="Q158" s="191" t="str">
        <f>立项!A7</f>
        <v>RD05</v>
      </c>
      <c r="R158" s="191"/>
      <c r="S158" s="191" t="str">
        <f>立项!A8</f>
        <v>RD06</v>
      </c>
      <c r="T158" s="191"/>
      <c r="U158" s="191" t="str">
        <f>立项!A9</f>
        <v>RD07</v>
      </c>
      <c r="V158" s="191"/>
      <c r="W158" s="191" t="str">
        <f>立项!A10</f>
        <v>RD08</v>
      </c>
      <c r="X158" s="191"/>
      <c r="Y158" s="191" t="str">
        <f>立项!A11</f>
        <v>RD09</v>
      </c>
      <c r="Z158" s="191"/>
      <c r="AA158" s="191" t="str">
        <f>立项!A12</f>
        <v>RD10</v>
      </c>
      <c r="AB158" s="191"/>
      <c r="AC158" s="156"/>
      <c r="AD158" s="156"/>
    </row>
    <row r="159" customHeight="1" spans="2:30">
      <c r="B159" s="187"/>
      <c r="C159" s="187"/>
      <c r="D159" s="187"/>
      <c r="E159" s="188"/>
      <c r="F159" s="188"/>
      <c r="G159" s="190"/>
      <c r="H159" s="190"/>
      <c r="I159" s="192" t="s">
        <v>253</v>
      </c>
      <c r="J159" s="192" t="s">
        <v>254</v>
      </c>
      <c r="K159" s="192" t="s">
        <v>253</v>
      </c>
      <c r="L159" s="192" t="s">
        <v>254</v>
      </c>
      <c r="M159" s="192" t="s">
        <v>253</v>
      </c>
      <c r="N159" s="192" t="s">
        <v>254</v>
      </c>
      <c r="O159" s="192" t="s">
        <v>253</v>
      </c>
      <c r="P159" s="192" t="s">
        <v>254</v>
      </c>
      <c r="Q159" s="192" t="s">
        <v>253</v>
      </c>
      <c r="R159" s="192" t="s">
        <v>254</v>
      </c>
      <c r="S159" s="192" t="s">
        <v>253</v>
      </c>
      <c r="T159" s="192" t="s">
        <v>254</v>
      </c>
      <c r="U159" s="192" t="s">
        <v>253</v>
      </c>
      <c r="V159" s="192" t="s">
        <v>254</v>
      </c>
      <c r="W159" s="192" t="s">
        <v>253</v>
      </c>
      <c r="X159" s="192" t="s">
        <v>254</v>
      </c>
      <c r="Y159" s="192" t="s">
        <v>253</v>
      </c>
      <c r="Z159" s="192" t="s">
        <v>254</v>
      </c>
      <c r="AA159" s="192" t="s">
        <v>253</v>
      </c>
      <c r="AB159" s="192" t="s">
        <v>254</v>
      </c>
      <c r="AC159" s="156"/>
      <c r="AD159" s="156"/>
    </row>
    <row r="160" customHeight="1" spans="2:30">
      <c r="B160" s="193">
        <f>固定资产台账1!A3</f>
        <v>0</v>
      </c>
      <c r="C160" s="193"/>
      <c r="D160" s="193"/>
      <c r="E160" s="145">
        <f>固定资产台账1!C3</f>
        <v>0</v>
      </c>
      <c r="F160" s="145">
        <f>研发设备工时计算表2!S5</f>
        <v>0</v>
      </c>
      <c r="G160" s="201">
        <f>研发设备工时计算表2!R5</f>
        <v>0</v>
      </c>
      <c r="H160" s="145">
        <f>J160+L160+N160+P160+R160+T160+V160+X160+Z160+AB160</f>
        <v>0</v>
      </c>
      <c r="I160" s="145"/>
      <c r="J160" s="145">
        <f t="shared" ref="J160:N160" si="99">IF($G160=0,0,ROUND(I160/$G160*$F160,2))</f>
        <v>0</v>
      </c>
      <c r="K160" s="145"/>
      <c r="L160" s="145">
        <f t="shared" si="99"/>
        <v>0</v>
      </c>
      <c r="M160" s="145"/>
      <c r="N160" s="145">
        <f t="shared" si="99"/>
        <v>0</v>
      </c>
      <c r="O160" s="145"/>
      <c r="P160" s="145">
        <f t="shared" ref="P160:T160" si="100">IF($G160=0,0,ROUND(O160/$G160*$F160,2))</f>
        <v>0</v>
      </c>
      <c r="Q160" s="145"/>
      <c r="R160" s="145">
        <f t="shared" si="100"/>
        <v>0</v>
      </c>
      <c r="S160" s="145"/>
      <c r="T160" s="145">
        <f t="shared" si="100"/>
        <v>0</v>
      </c>
      <c r="U160" s="145"/>
      <c r="V160" s="145">
        <f t="shared" ref="V160:Z160" si="101">IF($G160=0,0,ROUND(U160/$G160*$F160,2))</f>
        <v>0</v>
      </c>
      <c r="W160" s="145"/>
      <c r="X160" s="145">
        <f t="shared" si="101"/>
        <v>0</v>
      </c>
      <c r="Y160" s="145"/>
      <c r="Z160" s="145">
        <f t="shared" si="101"/>
        <v>0</v>
      </c>
      <c r="AA160" s="145"/>
      <c r="AB160" s="145">
        <f>IF($G160=0,0,ROUND(AA160/$G160*$F160,2))</f>
        <v>0</v>
      </c>
      <c r="AC160" s="156"/>
      <c r="AD160" s="156">
        <f t="shared" ref="AD160:AD185" si="102">F160-H160</f>
        <v>0</v>
      </c>
    </row>
    <row r="161" customHeight="1" spans="2:30">
      <c r="B161" s="193">
        <f>固定资产台账1!A4</f>
        <v>0</v>
      </c>
      <c r="C161" s="193"/>
      <c r="D161" s="193"/>
      <c r="E161" s="145">
        <f>固定资产台账1!C4</f>
        <v>0</v>
      </c>
      <c r="F161" s="145">
        <f>研发设备工时计算表2!S6</f>
        <v>0</v>
      </c>
      <c r="G161" s="201">
        <f>研发设备工时计算表2!R6</f>
        <v>0</v>
      </c>
      <c r="H161" s="145">
        <f t="shared" ref="H161:H184" si="103">J161+L161+N161+P161+R161+T161+V161+X161+Z161+AB161</f>
        <v>0</v>
      </c>
      <c r="I161" s="145"/>
      <c r="J161" s="145">
        <f t="shared" ref="J161:J184" si="104">IF($G161=0,0,ROUND(I161/$G161*$F161,2))</f>
        <v>0</v>
      </c>
      <c r="K161" s="145"/>
      <c r="L161" s="145">
        <f t="shared" ref="L161:L184" si="105">IF($G161=0,0,ROUND(K161/$G161*$F161,2))</f>
        <v>0</v>
      </c>
      <c r="M161" s="145"/>
      <c r="N161" s="145">
        <f t="shared" ref="N161:N184" si="106">IF($G161=0,0,ROUND(M161/$G161*$F161,2))</f>
        <v>0</v>
      </c>
      <c r="O161" s="145"/>
      <c r="P161" s="145">
        <f t="shared" ref="P161:P184" si="107">IF($G161=0,0,ROUND(O161/$G161*$F161,2))</f>
        <v>0</v>
      </c>
      <c r="Q161" s="145"/>
      <c r="R161" s="145">
        <f t="shared" ref="R161:R184" si="108">IF($G161=0,0,ROUND(Q161/$G161*$F161,2))</f>
        <v>0</v>
      </c>
      <c r="S161" s="145"/>
      <c r="T161" s="145">
        <f t="shared" ref="T161:T184" si="109">IF($G161=0,0,ROUND(S161/$G161*$F161,2))</f>
        <v>0</v>
      </c>
      <c r="U161" s="145"/>
      <c r="V161" s="145">
        <f t="shared" ref="V161:V184" si="110">IF($G161=0,0,ROUND(U161/$G161*$F161,2))</f>
        <v>0</v>
      </c>
      <c r="W161" s="145"/>
      <c r="X161" s="145">
        <f t="shared" ref="X161:X184" si="111">IF($G161=0,0,ROUND(W161/$G161*$F161,2))</f>
        <v>0</v>
      </c>
      <c r="Y161" s="145"/>
      <c r="Z161" s="145">
        <f t="shared" ref="Z161:Z184" si="112">IF($G161=0,0,ROUND(Y161/$G161*$F161,2))</f>
        <v>0</v>
      </c>
      <c r="AA161" s="145"/>
      <c r="AB161" s="145">
        <f t="shared" ref="AB161:AB184" si="113">IF($G161=0,0,ROUND(AA161/$G161*$F161,2))</f>
        <v>0</v>
      </c>
      <c r="AC161" s="156"/>
      <c r="AD161" s="156">
        <f t="shared" si="102"/>
        <v>0</v>
      </c>
    </row>
    <row r="162" customHeight="1" spans="2:30">
      <c r="B162" s="193">
        <f>固定资产台账1!A5</f>
        <v>0</v>
      </c>
      <c r="C162" s="193"/>
      <c r="D162" s="193"/>
      <c r="E162" s="145">
        <f>固定资产台账1!C5</f>
        <v>0</v>
      </c>
      <c r="F162" s="145">
        <f>研发设备工时计算表2!S7</f>
        <v>0</v>
      </c>
      <c r="G162" s="201">
        <f>研发设备工时计算表2!R7</f>
        <v>0</v>
      </c>
      <c r="H162" s="145">
        <f t="shared" si="103"/>
        <v>0</v>
      </c>
      <c r="I162" s="145"/>
      <c r="J162" s="145">
        <f t="shared" si="104"/>
        <v>0</v>
      </c>
      <c r="K162" s="145"/>
      <c r="L162" s="145">
        <f t="shared" si="105"/>
        <v>0</v>
      </c>
      <c r="M162" s="145"/>
      <c r="N162" s="145">
        <f t="shared" si="106"/>
        <v>0</v>
      </c>
      <c r="O162" s="145"/>
      <c r="P162" s="145">
        <f t="shared" si="107"/>
        <v>0</v>
      </c>
      <c r="Q162" s="145"/>
      <c r="R162" s="145">
        <f t="shared" si="108"/>
        <v>0</v>
      </c>
      <c r="S162" s="145"/>
      <c r="T162" s="145">
        <f t="shared" si="109"/>
        <v>0</v>
      </c>
      <c r="U162" s="145"/>
      <c r="V162" s="145">
        <f t="shared" si="110"/>
        <v>0</v>
      </c>
      <c r="W162" s="145"/>
      <c r="X162" s="145">
        <f t="shared" si="111"/>
        <v>0</v>
      </c>
      <c r="Y162" s="145"/>
      <c r="Z162" s="145">
        <f t="shared" si="112"/>
        <v>0</v>
      </c>
      <c r="AA162" s="145"/>
      <c r="AB162" s="145">
        <f t="shared" si="113"/>
        <v>0</v>
      </c>
      <c r="AC162" s="156"/>
      <c r="AD162" s="156">
        <f t="shared" si="102"/>
        <v>0</v>
      </c>
    </row>
    <row r="163" customHeight="1" spans="2:30">
      <c r="B163" s="193">
        <f>固定资产台账1!A6</f>
        <v>0</v>
      </c>
      <c r="C163" s="193"/>
      <c r="D163" s="193"/>
      <c r="E163" s="145">
        <f>固定资产台账1!C6</f>
        <v>0</v>
      </c>
      <c r="F163" s="145">
        <f>研发设备工时计算表2!S8</f>
        <v>0</v>
      </c>
      <c r="G163" s="201">
        <f>研发设备工时计算表2!R8</f>
        <v>0</v>
      </c>
      <c r="H163" s="145">
        <f t="shared" si="103"/>
        <v>0</v>
      </c>
      <c r="I163" s="145"/>
      <c r="J163" s="145">
        <f t="shared" si="104"/>
        <v>0</v>
      </c>
      <c r="K163" s="145"/>
      <c r="L163" s="145">
        <f t="shared" si="105"/>
        <v>0</v>
      </c>
      <c r="M163" s="145"/>
      <c r="N163" s="145">
        <f t="shared" si="106"/>
        <v>0</v>
      </c>
      <c r="O163" s="145"/>
      <c r="P163" s="145">
        <f t="shared" si="107"/>
        <v>0</v>
      </c>
      <c r="Q163" s="145"/>
      <c r="R163" s="145">
        <f t="shared" si="108"/>
        <v>0</v>
      </c>
      <c r="S163" s="145"/>
      <c r="T163" s="145">
        <f t="shared" si="109"/>
        <v>0</v>
      </c>
      <c r="U163" s="145"/>
      <c r="V163" s="145">
        <f t="shared" si="110"/>
        <v>0</v>
      </c>
      <c r="W163" s="145"/>
      <c r="X163" s="145">
        <f t="shared" si="111"/>
        <v>0</v>
      </c>
      <c r="Y163" s="145"/>
      <c r="Z163" s="145">
        <f t="shared" si="112"/>
        <v>0</v>
      </c>
      <c r="AA163" s="145"/>
      <c r="AB163" s="145">
        <f t="shared" si="113"/>
        <v>0</v>
      </c>
      <c r="AC163" s="156"/>
      <c r="AD163" s="156">
        <f t="shared" si="102"/>
        <v>0</v>
      </c>
    </row>
    <row r="164" customHeight="1" spans="2:30">
      <c r="B164" s="193">
        <f>固定资产台账1!A7</f>
        <v>0</v>
      </c>
      <c r="C164" s="193"/>
      <c r="D164" s="193"/>
      <c r="E164" s="145">
        <f>固定资产台账1!C7</f>
        <v>0</v>
      </c>
      <c r="F164" s="145">
        <f>研发设备工时计算表2!S9</f>
        <v>0</v>
      </c>
      <c r="G164" s="201">
        <f>研发设备工时计算表2!R9</f>
        <v>0</v>
      </c>
      <c r="H164" s="145">
        <f t="shared" si="103"/>
        <v>0</v>
      </c>
      <c r="I164" s="145"/>
      <c r="J164" s="145">
        <f t="shared" si="104"/>
        <v>0</v>
      </c>
      <c r="K164" s="145"/>
      <c r="L164" s="145">
        <f t="shared" si="105"/>
        <v>0</v>
      </c>
      <c r="M164" s="145"/>
      <c r="N164" s="145">
        <f t="shared" si="106"/>
        <v>0</v>
      </c>
      <c r="O164" s="145"/>
      <c r="P164" s="145">
        <f t="shared" si="107"/>
        <v>0</v>
      </c>
      <c r="Q164" s="145"/>
      <c r="R164" s="145">
        <f t="shared" si="108"/>
        <v>0</v>
      </c>
      <c r="S164" s="145"/>
      <c r="T164" s="145">
        <f t="shared" si="109"/>
        <v>0</v>
      </c>
      <c r="U164" s="145"/>
      <c r="V164" s="145">
        <f t="shared" si="110"/>
        <v>0</v>
      </c>
      <c r="W164" s="145"/>
      <c r="X164" s="145">
        <f t="shared" si="111"/>
        <v>0</v>
      </c>
      <c r="Y164" s="145"/>
      <c r="Z164" s="145">
        <f t="shared" si="112"/>
        <v>0</v>
      </c>
      <c r="AA164" s="145"/>
      <c r="AB164" s="145">
        <f t="shared" si="113"/>
        <v>0</v>
      </c>
      <c r="AC164" s="156"/>
      <c r="AD164" s="156">
        <f t="shared" si="102"/>
        <v>0</v>
      </c>
    </row>
    <row r="165" customHeight="1" spans="2:30">
      <c r="B165" s="193">
        <f>固定资产台账1!A8</f>
        <v>0</v>
      </c>
      <c r="C165" s="193"/>
      <c r="D165" s="193"/>
      <c r="E165" s="145">
        <f>固定资产台账1!C8</f>
        <v>0</v>
      </c>
      <c r="F165" s="145">
        <f>研发设备工时计算表2!S10</f>
        <v>0</v>
      </c>
      <c r="G165" s="201">
        <f>研发设备工时计算表2!R10</f>
        <v>0</v>
      </c>
      <c r="H165" s="145">
        <f t="shared" si="103"/>
        <v>0</v>
      </c>
      <c r="I165" s="145"/>
      <c r="J165" s="145">
        <f t="shared" si="104"/>
        <v>0</v>
      </c>
      <c r="K165" s="145"/>
      <c r="L165" s="145">
        <f t="shared" si="105"/>
        <v>0</v>
      </c>
      <c r="M165" s="145"/>
      <c r="N165" s="145">
        <f t="shared" si="106"/>
        <v>0</v>
      </c>
      <c r="O165" s="145"/>
      <c r="P165" s="145">
        <f t="shared" si="107"/>
        <v>0</v>
      </c>
      <c r="Q165" s="145"/>
      <c r="R165" s="145">
        <f t="shared" si="108"/>
        <v>0</v>
      </c>
      <c r="S165" s="145"/>
      <c r="T165" s="145">
        <f t="shared" si="109"/>
        <v>0</v>
      </c>
      <c r="U165" s="145"/>
      <c r="V165" s="145">
        <f t="shared" si="110"/>
        <v>0</v>
      </c>
      <c r="W165" s="145"/>
      <c r="X165" s="145">
        <f t="shared" si="111"/>
        <v>0</v>
      </c>
      <c r="Y165" s="145"/>
      <c r="Z165" s="145">
        <f t="shared" si="112"/>
        <v>0</v>
      </c>
      <c r="AA165" s="145"/>
      <c r="AB165" s="145">
        <f t="shared" si="113"/>
        <v>0</v>
      </c>
      <c r="AC165" s="156"/>
      <c r="AD165" s="156">
        <f t="shared" si="102"/>
        <v>0</v>
      </c>
    </row>
    <row r="166" customHeight="1" spans="2:30">
      <c r="B166" s="193">
        <f>固定资产台账1!A9</f>
        <v>0</v>
      </c>
      <c r="C166" s="193"/>
      <c r="D166" s="193"/>
      <c r="E166" s="145">
        <f>固定资产台账1!C9</f>
        <v>0</v>
      </c>
      <c r="F166" s="145">
        <f>研发设备工时计算表2!S11</f>
        <v>0</v>
      </c>
      <c r="G166" s="201">
        <f>研发设备工时计算表2!R11</f>
        <v>0</v>
      </c>
      <c r="H166" s="145">
        <f t="shared" si="103"/>
        <v>0</v>
      </c>
      <c r="I166" s="145"/>
      <c r="J166" s="145">
        <f t="shared" si="104"/>
        <v>0</v>
      </c>
      <c r="K166" s="145"/>
      <c r="L166" s="145">
        <f t="shared" si="105"/>
        <v>0</v>
      </c>
      <c r="M166" s="145"/>
      <c r="N166" s="145">
        <f t="shared" si="106"/>
        <v>0</v>
      </c>
      <c r="O166" s="145"/>
      <c r="P166" s="145">
        <f t="shared" si="107"/>
        <v>0</v>
      </c>
      <c r="Q166" s="145"/>
      <c r="R166" s="145">
        <f t="shared" si="108"/>
        <v>0</v>
      </c>
      <c r="S166" s="145"/>
      <c r="T166" s="145">
        <f t="shared" si="109"/>
        <v>0</v>
      </c>
      <c r="U166" s="145"/>
      <c r="V166" s="145">
        <f t="shared" si="110"/>
        <v>0</v>
      </c>
      <c r="W166" s="145"/>
      <c r="X166" s="145">
        <f t="shared" si="111"/>
        <v>0</v>
      </c>
      <c r="Y166" s="145"/>
      <c r="Z166" s="145">
        <f t="shared" si="112"/>
        <v>0</v>
      </c>
      <c r="AA166" s="145"/>
      <c r="AB166" s="145">
        <f t="shared" si="113"/>
        <v>0</v>
      </c>
      <c r="AC166" s="156"/>
      <c r="AD166" s="156">
        <f t="shared" si="102"/>
        <v>0</v>
      </c>
    </row>
    <row r="167" customHeight="1" spans="2:30">
      <c r="B167" s="193">
        <f>固定资产台账1!A10</f>
        <v>0</v>
      </c>
      <c r="C167" s="193"/>
      <c r="D167" s="193"/>
      <c r="E167" s="145">
        <f>固定资产台账1!C10</f>
        <v>0</v>
      </c>
      <c r="F167" s="145">
        <f>研发设备工时计算表2!S12</f>
        <v>0</v>
      </c>
      <c r="G167" s="201">
        <f>研发设备工时计算表2!R12</f>
        <v>0</v>
      </c>
      <c r="H167" s="145">
        <f t="shared" si="103"/>
        <v>0</v>
      </c>
      <c r="I167" s="145"/>
      <c r="J167" s="145">
        <f t="shared" si="104"/>
        <v>0</v>
      </c>
      <c r="K167" s="145"/>
      <c r="L167" s="145">
        <f t="shared" si="105"/>
        <v>0</v>
      </c>
      <c r="M167" s="145"/>
      <c r="N167" s="145">
        <f t="shared" si="106"/>
        <v>0</v>
      </c>
      <c r="O167" s="145"/>
      <c r="P167" s="145">
        <f t="shared" si="107"/>
        <v>0</v>
      </c>
      <c r="Q167" s="145"/>
      <c r="R167" s="145">
        <f t="shared" si="108"/>
        <v>0</v>
      </c>
      <c r="S167" s="145"/>
      <c r="T167" s="145">
        <f t="shared" si="109"/>
        <v>0</v>
      </c>
      <c r="U167" s="145"/>
      <c r="V167" s="145">
        <f t="shared" si="110"/>
        <v>0</v>
      </c>
      <c r="W167" s="145"/>
      <c r="X167" s="145">
        <f t="shared" si="111"/>
        <v>0</v>
      </c>
      <c r="Y167" s="145"/>
      <c r="Z167" s="145">
        <f t="shared" si="112"/>
        <v>0</v>
      </c>
      <c r="AA167" s="145"/>
      <c r="AB167" s="145">
        <f t="shared" si="113"/>
        <v>0</v>
      </c>
      <c r="AC167" s="156"/>
      <c r="AD167" s="156">
        <f t="shared" si="102"/>
        <v>0</v>
      </c>
    </row>
    <row r="168" customHeight="1" spans="2:30">
      <c r="B168" s="193">
        <f>固定资产台账1!A11</f>
        <v>0</v>
      </c>
      <c r="C168" s="193"/>
      <c r="D168" s="193"/>
      <c r="E168" s="145">
        <f>固定资产台账1!C11</f>
        <v>0</v>
      </c>
      <c r="F168" s="145">
        <f>研发设备工时计算表2!S13</f>
        <v>0</v>
      </c>
      <c r="G168" s="201">
        <f>研发设备工时计算表2!R13</f>
        <v>0</v>
      </c>
      <c r="H168" s="145">
        <f t="shared" si="103"/>
        <v>0</v>
      </c>
      <c r="I168" s="145"/>
      <c r="J168" s="145">
        <f t="shared" si="104"/>
        <v>0</v>
      </c>
      <c r="K168" s="145"/>
      <c r="L168" s="145">
        <f t="shared" si="105"/>
        <v>0</v>
      </c>
      <c r="M168" s="145"/>
      <c r="N168" s="145">
        <f t="shared" si="106"/>
        <v>0</v>
      </c>
      <c r="O168" s="145"/>
      <c r="P168" s="145">
        <f t="shared" si="107"/>
        <v>0</v>
      </c>
      <c r="Q168" s="145"/>
      <c r="R168" s="145">
        <f t="shared" si="108"/>
        <v>0</v>
      </c>
      <c r="S168" s="145"/>
      <c r="T168" s="145">
        <f t="shared" si="109"/>
        <v>0</v>
      </c>
      <c r="U168" s="145"/>
      <c r="V168" s="145">
        <f t="shared" si="110"/>
        <v>0</v>
      </c>
      <c r="W168" s="145"/>
      <c r="X168" s="145">
        <f t="shared" si="111"/>
        <v>0</v>
      </c>
      <c r="Y168" s="145"/>
      <c r="Z168" s="145">
        <f t="shared" si="112"/>
        <v>0</v>
      </c>
      <c r="AA168" s="145"/>
      <c r="AB168" s="145">
        <f t="shared" si="113"/>
        <v>0</v>
      </c>
      <c r="AC168" s="156"/>
      <c r="AD168" s="156">
        <f t="shared" si="102"/>
        <v>0</v>
      </c>
    </row>
    <row r="169" customHeight="1" spans="2:30">
      <c r="B169" s="193">
        <f>固定资产台账1!A12</f>
        <v>0</v>
      </c>
      <c r="C169" s="193"/>
      <c r="D169" s="193"/>
      <c r="E169" s="145">
        <f>固定资产台账1!C12</f>
        <v>0</v>
      </c>
      <c r="F169" s="145">
        <f>研发设备工时计算表2!S14</f>
        <v>0</v>
      </c>
      <c r="G169" s="201">
        <f>研发设备工时计算表2!R14</f>
        <v>0</v>
      </c>
      <c r="H169" s="145">
        <f t="shared" si="103"/>
        <v>0</v>
      </c>
      <c r="I169" s="145"/>
      <c r="J169" s="145">
        <f t="shared" si="104"/>
        <v>0</v>
      </c>
      <c r="K169" s="145"/>
      <c r="L169" s="145">
        <f t="shared" si="105"/>
        <v>0</v>
      </c>
      <c r="M169" s="145"/>
      <c r="N169" s="145">
        <f t="shared" si="106"/>
        <v>0</v>
      </c>
      <c r="O169" s="145"/>
      <c r="P169" s="145">
        <f t="shared" si="107"/>
        <v>0</v>
      </c>
      <c r="Q169" s="145"/>
      <c r="R169" s="145">
        <f t="shared" si="108"/>
        <v>0</v>
      </c>
      <c r="S169" s="145"/>
      <c r="T169" s="145">
        <f t="shared" si="109"/>
        <v>0</v>
      </c>
      <c r="U169" s="145"/>
      <c r="V169" s="145">
        <f t="shared" si="110"/>
        <v>0</v>
      </c>
      <c r="W169" s="145"/>
      <c r="X169" s="145">
        <f t="shared" si="111"/>
        <v>0</v>
      </c>
      <c r="Y169" s="145"/>
      <c r="Z169" s="145">
        <f t="shared" si="112"/>
        <v>0</v>
      </c>
      <c r="AA169" s="145"/>
      <c r="AB169" s="145">
        <f t="shared" si="113"/>
        <v>0</v>
      </c>
      <c r="AC169" s="156"/>
      <c r="AD169" s="156">
        <f t="shared" si="102"/>
        <v>0</v>
      </c>
    </row>
    <row r="170" customHeight="1" spans="2:30">
      <c r="B170" s="193">
        <f>固定资产台账1!A13</f>
        <v>0</v>
      </c>
      <c r="C170" s="193"/>
      <c r="D170" s="193"/>
      <c r="E170" s="145">
        <f>固定资产台账1!C13</f>
        <v>0</v>
      </c>
      <c r="F170" s="145">
        <f>研发设备工时计算表2!S15</f>
        <v>0</v>
      </c>
      <c r="G170" s="201">
        <f>研发设备工时计算表2!R15</f>
        <v>0</v>
      </c>
      <c r="H170" s="145">
        <f t="shared" si="103"/>
        <v>0</v>
      </c>
      <c r="I170" s="145"/>
      <c r="J170" s="145">
        <f t="shared" si="104"/>
        <v>0</v>
      </c>
      <c r="K170" s="145"/>
      <c r="L170" s="145">
        <f t="shared" si="105"/>
        <v>0</v>
      </c>
      <c r="M170" s="145"/>
      <c r="N170" s="145">
        <f t="shared" si="106"/>
        <v>0</v>
      </c>
      <c r="O170" s="145"/>
      <c r="P170" s="145">
        <f t="shared" si="107"/>
        <v>0</v>
      </c>
      <c r="Q170" s="145"/>
      <c r="R170" s="145">
        <f t="shared" si="108"/>
        <v>0</v>
      </c>
      <c r="S170" s="145"/>
      <c r="T170" s="145">
        <f t="shared" si="109"/>
        <v>0</v>
      </c>
      <c r="U170" s="145"/>
      <c r="V170" s="145">
        <f t="shared" si="110"/>
        <v>0</v>
      </c>
      <c r="W170" s="145"/>
      <c r="X170" s="145">
        <f t="shared" si="111"/>
        <v>0</v>
      </c>
      <c r="Y170" s="145"/>
      <c r="Z170" s="145">
        <f t="shared" si="112"/>
        <v>0</v>
      </c>
      <c r="AA170" s="145"/>
      <c r="AB170" s="145">
        <f t="shared" si="113"/>
        <v>0</v>
      </c>
      <c r="AC170" s="156"/>
      <c r="AD170" s="156">
        <f t="shared" si="102"/>
        <v>0</v>
      </c>
    </row>
    <row r="171" customHeight="1" spans="2:30">
      <c r="B171" s="193">
        <f>固定资产台账1!A14</f>
        <v>0</v>
      </c>
      <c r="C171" s="193"/>
      <c r="D171" s="193"/>
      <c r="E171" s="145">
        <f>固定资产台账1!C14</f>
        <v>0</v>
      </c>
      <c r="F171" s="145">
        <f>研发设备工时计算表2!S16</f>
        <v>0</v>
      </c>
      <c r="G171" s="201">
        <f>研发设备工时计算表2!R16</f>
        <v>0</v>
      </c>
      <c r="H171" s="145">
        <f t="shared" si="103"/>
        <v>0</v>
      </c>
      <c r="I171" s="145"/>
      <c r="J171" s="145">
        <f t="shared" si="104"/>
        <v>0</v>
      </c>
      <c r="K171" s="145"/>
      <c r="L171" s="145">
        <f t="shared" si="105"/>
        <v>0</v>
      </c>
      <c r="M171" s="145"/>
      <c r="N171" s="145">
        <f t="shared" si="106"/>
        <v>0</v>
      </c>
      <c r="O171" s="145"/>
      <c r="P171" s="145">
        <f t="shared" si="107"/>
        <v>0</v>
      </c>
      <c r="Q171" s="145"/>
      <c r="R171" s="145">
        <f t="shared" si="108"/>
        <v>0</v>
      </c>
      <c r="S171" s="145"/>
      <c r="T171" s="145">
        <f t="shared" si="109"/>
        <v>0</v>
      </c>
      <c r="U171" s="145"/>
      <c r="V171" s="145">
        <f t="shared" si="110"/>
        <v>0</v>
      </c>
      <c r="W171" s="145"/>
      <c r="X171" s="145">
        <f t="shared" si="111"/>
        <v>0</v>
      </c>
      <c r="Y171" s="145"/>
      <c r="Z171" s="145">
        <f t="shared" si="112"/>
        <v>0</v>
      </c>
      <c r="AA171" s="145"/>
      <c r="AB171" s="145">
        <f t="shared" si="113"/>
        <v>0</v>
      </c>
      <c r="AC171" s="156"/>
      <c r="AD171" s="156">
        <f t="shared" si="102"/>
        <v>0</v>
      </c>
    </row>
    <row r="172" customHeight="1" spans="2:30">
      <c r="B172" s="193">
        <f>固定资产台账1!A15</f>
        <v>0</v>
      </c>
      <c r="C172" s="193"/>
      <c r="D172" s="193"/>
      <c r="E172" s="145">
        <f>固定资产台账1!C15</f>
        <v>0</v>
      </c>
      <c r="F172" s="145">
        <f>研发设备工时计算表2!S17</f>
        <v>0</v>
      </c>
      <c r="G172" s="201">
        <f>研发设备工时计算表2!R17</f>
        <v>0</v>
      </c>
      <c r="H172" s="145">
        <f t="shared" si="103"/>
        <v>0</v>
      </c>
      <c r="I172" s="145"/>
      <c r="J172" s="145">
        <f t="shared" si="104"/>
        <v>0</v>
      </c>
      <c r="K172" s="145"/>
      <c r="L172" s="145">
        <f t="shared" si="105"/>
        <v>0</v>
      </c>
      <c r="M172" s="145"/>
      <c r="N172" s="145">
        <f t="shared" si="106"/>
        <v>0</v>
      </c>
      <c r="O172" s="145"/>
      <c r="P172" s="145">
        <f t="shared" si="107"/>
        <v>0</v>
      </c>
      <c r="Q172" s="145"/>
      <c r="R172" s="145">
        <f t="shared" si="108"/>
        <v>0</v>
      </c>
      <c r="S172" s="145"/>
      <c r="T172" s="145">
        <f t="shared" si="109"/>
        <v>0</v>
      </c>
      <c r="U172" s="145"/>
      <c r="V172" s="145">
        <f t="shared" si="110"/>
        <v>0</v>
      </c>
      <c r="W172" s="145"/>
      <c r="X172" s="145">
        <f t="shared" si="111"/>
        <v>0</v>
      </c>
      <c r="Y172" s="145"/>
      <c r="Z172" s="145">
        <f t="shared" si="112"/>
        <v>0</v>
      </c>
      <c r="AA172" s="145"/>
      <c r="AB172" s="145">
        <f t="shared" si="113"/>
        <v>0</v>
      </c>
      <c r="AC172" s="156"/>
      <c r="AD172" s="156">
        <f t="shared" si="102"/>
        <v>0</v>
      </c>
    </row>
    <row r="173" customHeight="1" spans="2:30">
      <c r="B173" s="193">
        <f>固定资产台账1!A16</f>
        <v>0</v>
      </c>
      <c r="C173" s="193"/>
      <c r="D173" s="193"/>
      <c r="E173" s="145">
        <f>固定资产台账1!C16</f>
        <v>0</v>
      </c>
      <c r="F173" s="145">
        <f>研发设备工时计算表2!S18</f>
        <v>0</v>
      </c>
      <c r="G173" s="201">
        <f>研发设备工时计算表2!R18</f>
        <v>0</v>
      </c>
      <c r="H173" s="145">
        <f t="shared" si="103"/>
        <v>0</v>
      </c>
      <c r="I173" s="145"/>
      <c r="J173" s="145">
        <f t="shared" si="104"/>
        <v>0</v>
      </c>
      <c r="K173" s="145"/>
      <c r="L173" s="145">
        <f t="shared" si="105"/>
        <v>0</v>
      </c>
      <c r="M173" s="145"/>
      <c r="N173" s="145">
        <f t="shared" si="106"/>
        <v>0</v>
      </c>
      <c r="O173" s="145"/>
      <c r="P173" s="145">
        <f t="shared" si="107"/>
        <v>0</v>
      </c>
      <c r="Q173" s="145"/>
      <c r="R173" s="145">
        <f t="shared" si="108"/>
        <v>0</v>
      </c>
      <c r="S173" s="145"/>
      <c r="T173" s="145">
        <f t="shared" si="109"/>
        <v>0</v>
      </c>
      <c r="U173" s="145"/>
      <c r="V173" s="145">
        <f t="shared" si="110"/>
        <v>0</v>
      </c>
      <c r="W173" s="145"/>
      <c r="X173" s="145">
        <f t="shared" si="111"/>
        <v>0</v>
      </c>
      <c r="Y173" s="145"/>
      <c r="Z173" s="145">
        <f t="shared" si="112"/>
        <v>0</v>
      </c>
      <c r="AA173" s="145"/>
      <c r="AB173" s="145">
        <f t="shared" si="113"/>
        <v>0</v>
      </c>
      <c r="AC173" s="156"/>
      <c r="AD173" s="156">
        <f t="shared" si="102"/>
        <v>0</v>
      </c>
    </row>
    <row r="174" customHeight="1" spans="2:30">
      <c r="B174" s="193">
        <f>固定资产台账1!A17</f>
        <v>0</v>
      </c>
      <c r="C174" s="193"/>
      <c r="D174" s="193"/>
      <c r="E174" s="145">
        <f>固定资产台账1!C17</f>
        <v>0</v>
      </c>
      <c r="F174" s="145">
        <f>研发设备工时计算表2!S19</f>
        <v>0</v>
      </c>
      <c r="G174" s="201">
        <f>研发设备工时计算表2!R19</f>
        <v>0</v>
      </c>
      <c r="H174" s="145">
        <f t="shared" si="103"/>
        <v>0</v>
      </c>
      <c r="I174" s="145"/>
      <c r="J174" s="145">
        <f t="shared" si="104"/>
        <v>0</v>
      </c>
      <c r="K174" s="145"/>
      <c r="L174" s="145">
        <f t="shared" si="105"/>
        <v>0</v>
      </c>
      <c r="M174" s="145"/>
      <c r="N174" s="145">
        <f t="shared" si="106"/>
        <v>0</v>
      </c>
      <c r="O174" s="145"/>
      <c r="P174" s="145">
        <f t="shared" si="107"/>
        <v>0</v>
      </c>
      <c r="Q174" s="145"/>
      <c r="R174" s="145">
        <f t="shared" si="108"/>
        <v>0</v>
      </c>
      <c r="S174" s="145"/>
      <c r="T174" s="145">
        <f t="shared" si="109"/>
        <v>0</v>
      </c>
      <c r="U174" s="145"/>
      <c r="V174" s="145">
        <f t="shared" si="110"/>
        <v>0</v>
      </c>
      <c r="W174" s="145"/>
      <c r="X174" s="145">
        <f t="shared" si="111"/>
        <v>0</v>
      </c>
      <c r="Y174" s="145"/>
      <c r="Z174" s="145">
        <f t="shared" si="112"/>
        <v>0</v>
      </c>
      <c r="AA174" s="145"/>
      <c r="AB174" s="145">
        <f t="shared" si="113"/>
        <v>0</v>
      </c>
      <c r="AC174" s="156"/>
      <c r="AD174" s="156">
        <f t="shared" si="102"/>
        <v>0</v>
      </c>
    </row>
    <row r="175" customHeight="1" spans="2:30">
      <c r="B175" s="193">
        <f>固定资产台账1!A18</f>
        <v>0</v>
      </c>
      <c r="C175" s="193"/>
      <c r="D175" s="193"/>
      <c r="E175" s="145">
        <f>固定资产台账1!C18</f>
        <v>0</v>
      </c>
      <c r="F175" s="145">
        <f>研发设备工时计算表2!S20</f>
        <v>0</v>
      </c>
      <c r="G175" s="201">
        <f>研发设备工时计算表2!R20</f>
        <v>0</v>
      </c>
      <c r="H175" s="145">
        <f t="shared" si="103"/>
        <v>0</v>
      </c>
      <c r="I175" s="145"/>
      <c r="J175" s="145">
        <f t="shared" si="104"/>
        <v>0</v>
      </c>
      <c r="K175" s="145"/>
      <c r="L175" s="145">
        <f t="shared" si="105"/>
        <v>0</v>
      </c>
      <c r="M175" s="145"/>
      <c r="N175" s="145">
        <f t="shared" si="106"/>
        <v>0</v>
      </c>
      <c r="O175" s="145"/>
      <c r="P175" s="145">
        <f t="shared" si="107"/>
        <v>0</v>
      </c>
      <c r="Q175" s="145"/>
      <c r="R175" s="145">
        <f t="shared" si="108"/>
        <v>0</v>
      </c>
      <c r="S175" s="145"/>
      <c r="T175" s="145">
        <f t="shared" si="109"/>
        <v>0</v>
      </c>
      <c r="U175" s="145"/>
      <c r="V175" s="145">
        <f t="shared" si="110"/>
        <v>0</v>
      </c>
      <c r="W175" s="145"/>
      <c r="X175" s="145">
        <f t="shared" si="111"/>
        <v>0</v>
      </c>
      <c r="Y175" s="145"/>
      <c r="Z175" s="145">
        <f t="shared" si="112"/>
        <v>0</v>
      </c>
      <c r="AA175" s="145"/>
      <c r="AB175" s="145">
        <f t="shared" si="113"/>
        <v>0</v>
      </c>
      <c r="AC175" s="156"/>
      <c r="AD175" s="156">
        <f t="shared" si="102"/>
        <v>0</v>
      </c>
    </row>
    <row r="176" customHeight="1" spans="2:30">
      <c r="B176" s="193">
        <f>固定资产台账1!A19</f>
        <v>0</v>
      </c>
      <c r="C176" s="193"/>
      <c r="D176" s="193"/>
      <c r="E176" s="145">
        <f>固定资产台账1!C19</f>
        <v>0</v>
      </c>
      <c r="F176" s="145">
        <f>研发设备工时计算表2!S21</f>
        <v>0</v>
      </c>
      <c r="G176" s="201">
        <f>研发设备工时计算表2!R21</f>
        <v>0</v>
      </c>
      <c r="H176" s="145">
        <f t="shared" si="103"/>
        <v>0</v>
      </c>
      <c r="I176" s="145"/>
      <c r="J176" s="145">
        <f t="shared" si="104"/>
        <v>0</v>
      </c>
      <c r="K176" s="145"/>
      <c r="L176" s="145">
        <f t="shared" si="105"/>
        <v>0</v>
      </c>
      <c r="M176" s="145"/>
      <c r="N176" s="145">
        <f t="shared" si="106"/>
        <v>0</v>
      </c>
      <c r="O176" s="145"/>
      <c r="P176" s="145">
        <f t="shared" si="107"/>
        <v>0</v>
      </c>
      <c r="Q176" s="145"/>
      <c r="R176" s="145">
        <f t="shared" si="108"/>
        <v>0</v>
      </c>
      <c r="S176" s="145"/>
      <c r="T176" s="145">
        <f t="shared" si="109"/>
        <v>0</v>
      </c>
      <c r="U176" s="145"/>
      <c r="V176" s="145">
        <f t="shared" si="110"/>
        <v>0</v>
      </c>
      <c r="W176" s="145"/>
      <c r="X176" s="145">
        <f t="shared" si="111"/>
        <v>0</v>
      </c>
      <c r="Y176" s="145"/>
      <c r="Z176" s="145">
        <f t="shared" si="112"/>
        <v>0</v>
      </c>
      <c r="AA176" s="145"/>
      <c r="AB176" s="145">
        <f t="shared" si="113"/>
        <v>0</v>
      </c>
      <c r="AC176" s="156"/>
      <c r="AD176" s="156">
        <f t="shared" si="102"/>
        <v>0</v>
      </c>
    </row>
    <row r="177" customHeight="1" spans="2:30">
      <c r="B177" s="193">
        <f>固定资产台账1!A20</f>
        <v>0</v>
      </c>
      <c r="C177" s="193"/>
      <c r="D177" s="193"/>
      <c r="E177" s="145">
        <f>固定资产台账1!C20</f>
        <v>0</v>
      </c>
      <c r="F177" s="145">
        <f>研发设备工时计算表2!S22</f>
        <v>0</v>
      </c>
      <c r="G177" s="201">
        <f>研发设备工时计算表2!R22</f>
        <v>0</v>
      </c>
      <c r="H177" s="145">
        <f t="shared" si="103"/>
        <v>0</v>
      </c>
      <c r="I177" s="145"/>
      <c r="J177" s="145">
        <f t="shared" si="104"/>
        <v>0</v>
      </c>
      <c r="K177" s="145"/>
      <c r="L177" s="145">
        <f t="shared" si="105"/>
        <v>0</v>
      </c>
      <c r="M177" s="145"/>
      <c r="N177" s="145">
        <f t="shared" si="106"/>
        <v>0</v>
      </c>
      <c r="O177" s="145"/>
      <c r="P177" s="145">
        <f t="shared" si="107"/>
        <v>0</v>
      </c>
      <c r="Q177" s="145"/>
      <c r="R177" s="145">
        <f t="shared" si="108"/>
        <v>0</v>
      </c>
      <c r="S177" s="145"/>
      <c r="T177" s="145">
        <f t="shared" si="109"/>
        <v>0</v>
      </c>
      <c r="U177" s="145"/>
      <c r="V177" s="145">
        <f t="shared" si="110"/>
        <v>0</v>
      </c>
      <c r="W177" s="145"/>
      <c r="X177" s="145">
        <f t="shared" si="111"/>
        <v>0</v>
      </c>
      <c r="Y177" s="145"/>
      <c r="Z177" s="145">
        <f t="shared" si="112"/>
        <v>0</v>
      </c>
      <c r="AA177" s="145"/>
      <c r="AB177" s="145">
        <f t="shared" si="113"/>
        <v>0</v>
      </c>
      <c r="AC177" s="156"/>
      <c r="AD177" s="156">
        <f t="shared" si="102"/>
        <v>0</v>
      </c>
    </row>
    <row r="178" customHeight="1" spans="2:30">
      <c r="B178" s="193">
        <f>固定资产台账1!A21</f>
        <v>0</v>
      </c>
      <c r="C178" s="193"/>
      <c r="D178" s="193"/>
      <c r="E178" s="145">
        <f>固定资产台账1!C21</f>
        <v>0</v>
      </c>
      <c r="F178" s="145">
        <f>研发设备工时计算表2!S23</f>
        <v>0</v>
      </c>
      <c r="G178" s="201">
        <f>研发设备工时计算表2!R23</f>
        <v>0</v>
      </c>
      <c r="H178" s="145">
        <f t="shared" si="103"/>
        <v>0</v>
      </c>
      <c r="I178" s="145"/>
      <c r="J178" s="145">
        <f t="shared" si="104"/>
        <v>0</v>
      </c>
      <c r="K178" s="145"/>
      <c r="L178" s="145">
        <f t="shared" si="105"/>
        <v>0</v>
      </c>
      <c r="M178" s="145"/>
      <c r="N178" s="145">
        <f t="shared" si="106"/>
        <v>0</v>
      </c>
      <c r="O178" s="145"/>
      <c r="P178" s="145">
        <f t="shared" si="107"/>
        <v>0</v>
      </c>
      <c r="Q178" s="145"/>
      <c r="R178" s="145">
        <f t="shared" si="108"/>
        <v>0</v>
      </c>
      <c r="S178" s="145"/>
      <c r="T178" s="145">
        <f t="shared" si="109"/>
        <v>0</v>
      </c>
      <c r="U178" s="145"/>
      <c r="V178" s="145">
        <f t="shared" si="110"/>
        <v>0</v>
      </c>
      <c r="W178" s="145"/>
      <c r="X178" s="145">
        <f t="shared" si="111"/>
        <v>0</v>
      </c>
      <c r="Y178" s="145"/>
      <c r="Z178" s="145">
        <f t="shared" si="112"/>
        <v>0</v>
      </c>
      <c r="AA178" s="145"/>
      <c r="AB178" s="145">
        <f t="shared" si="113"/>
        <v>0</v>
      </c>
      <c r="AC178" s="156"/>
      <c r="AD178" s="156">
        <f t="shared" si="102"/>
        <v>0</v>
      </c>
    </row>
    <row r="179" customHeight="1" spans="2:30">
      <c r="B179" s="193">
        <f>固定资产台账1!A22</f>
        <v>0</v>
      </c>
      <c r="C179" s="193"/>
      <c r="D179" s="193"/>
      <c r="E179" s="145">
        <f>固定资产台账1!C22</f>
        <v>0</v>
      </c>
      <c r="F179" s="145">
        <f>研发设备工时计算表2!S24</f>
        <v>0</v>
      </c>
      <c r="G179" s="201">
        <f>研发设备工时计算表2!R24</f>
        <v>0</v>
      </c>
      <c r="H179" s="145">
        <f t="shared" si="103"/>
        <v>0</v>
      </c>
      <c r="I179" s="145"/>
      <c r="J179" s="145">
        <f t="shared" si="104"/>
        <v>0</v>
      </c>
      <c r="K179" s="145"/>
      <c r="L179" s="145">
        <f t="shared" si="105"/>
        <v>0</v>
      </c>
      <c r="M179" s="145"/>
      <c r="N179" s="145">
        <f t="shared" si="106"/>
        <v>0</v>
      </c>
      <c r="O179" s="145"/>
      <c r="P179" s="145">
        <f t="shared" si="107"/>
        <v>0</v>
      </c>
      <c r="Q179" s="145"/>
      <c r="R179" s="145">
        <f t="shared" si="108"/>
        <v>0</v>
      </c>
      <c r="S179" s="145"/>
      <c r="T179" s="145">
        <f t="shared" si="109"/>
        <v>0</v>
      </c>
      <c r="U179" s="145"/>
      <c r="V179" s="145">
        <f t="shared" si="110"/>
        <v>0</v>
      </c>
      <c r="W179" s="145"/>
      <c r="X179" s="145">
        <f t="shared" si="111"/>
        <v>0</v>
      </c>
      <c r="Y179" s="145"/>
      <c r="Z179" s="145">
        <f t="shared" si="112"/>
        <v>0</v>
      </c>
      <c r="AA179" s="145"/>
      <c r="AB179" s="145">
        <f t="shared" si="113"/>
        <v>0</v>
      </c>
      <c r="AC179" s="156"/>
      <c r="AD179" s="156">
        <f t="shared" si="102"/>
        <v>0</v>
      </c>
    </row>
    <row r="180" customHeight="1" spans="2:30">
      <c r="B180" s="193">
        <f>固定资产台账1!A23</f>
        <v>0</v>
      </c>
      <c r="C180" s="193"/>
      <c r="D180" s="193"/>
      <c r="E180" s="145">
        <f>固定资产台账1!C23</f>
        <v>0</v>
      </c>
      <c r="F180" s="145">
        <f>研发设备工时计算表2!S25</f>
        <v>0</v>
      </c>
      <c r="G180" s="201">
        <f>研发设备工时计算表2!R25</f>
        <v>0</v>
      </c>
      <c r="H180" s="145">
        <f t="shared" si="103"/>
        <v>0</v>
      </c>
      <c r="I180" s="145"/>
      <c r="J180" s="145">
        <f t="shared" si="104"/>
        <v>0</v>
      </c>
      <c r="K180" s="145"/>
      <c r="L180" s="145">
        <f t="shared" si="105"/>
        <v>0</v>
      </c>
      <c r="M180" s="145"/>
      <c r="N180" s="145">
        <f t="shared" si="106"/>
        <v>0</v>
      </c>
      <c r="O180" s="145"/>
      <c r="P180" s="145">
        <f t="shared" si="107"/>
        <v>0</v>
      </c>
      <c r="Q180" s="145"/>
      <c r="R180" s="145">
        <f t="shared" si="108"/>
        <v>0</v>
      </c>
      <c r="S180" s="145"/>
      <c r="T180" s="145">
        <f t="shared" si="109"/>
        <v>0</v>
      </c>
      <c r="U180" s="145"/>
      <c r="V180" s="145">
        <f t="shared" si="110"/>
        <v>0</v>
      </c>
      <c r="W180" s="145"/>
      <c r="X180" s="145">
        <f t="shared" si="111"/>
        <v>0</v>
      </c>
      <c r="Y180" s="145"/>
      <c r="Z180" s="145">
        <f t="shared" si="112"/>
        <v>0</v>
      </c>
      <c r="AA180" s="145"/>
      <c r="AB180" s="145">
        <f t="shared" si="113"/>
        <v>0</v>
      </c>
      <c r="AC180" s="156"/>
      <c r="AD180" s="156">
        <f t="shared" si="102"/>
        <v>0</v>
      </c>
    </row>
    <row r="181" customHeight="1" spans="2:30">
      <c r="B181" s="193">
        <f>固定资产台账1!A25</f>
        <v>0</v>
      </c>
      <c r="C181" s="193"/>
      <c r="D181" s="193"/>
      <c r="E181" s="145">
        <f>固定资产台账1!C25</f>
        <v>0</v>
      </c>
      <c r="F181" s="145">
        <f>研发设备工时计算表2!S26</f>
        <v>0</v>
      </c>
      <c r="G181" s="201">
        <f>研发设备工时计算表2!R26</f>
        <v>0</v>
      </c>
      <c r="H181" s="145">
        <f t="shared" si="103"/>
        <v>0</v>
      </c>
      <c r="I181" s="145"/>
      <c r="J181" s="145">
        <f t="shared" si="104"/>
        <v>0</v>
      </c>
      <c r="K181" s="145"/>
      <c r="L181" s="145">
        <f t="shared" si="105"/>
        <v>0</v>
      </c>
      <c r="M181" s="145"/>
      <c r="N181" s="145">
        <f t="shared" si="106"/>
        <v>0</v>
      </c>
      <c r="O181" s="145"/>
      <c r="P181" s="145">
        <f t="shared" si="107"/>
        <v>0</v>
      </c>
      <c r="Q181" s="145"/>
      <c r="R181" s="145">
        <f t="shared" si="108"/>
        <v>0</v>
      </c>
      <c r="S181" s="145"/>
      <c r="T181" s="145">
        <f t="shared" si="109"/>
        <v>0</v>
      </c>
      <c r="U181" s="145"/>
      <c r="V181" s="145">
        <f t="shared" si="110"/>
        <v>0</v>
      </c>
      <c r="W181" s="145"/>
      <c r="X181" s="145">
        <f t="shared" si="111"/>
        <v>0</v>
      </c>
      <c r="Y181" s="145"/>
      <c r="Z181" s="145">
        <f t="shared" si="112"/>
        <v>0</v>
      </c>
      <c r="AA181" s="145"/>
      <c r="AB181" s="145">
        <f t="shared" si="113"/>
        <v>0</v>
      </c>
      <c r="AC181" s="156"/>
      <c r="AD181" s="156">
        <f t="shared" si="102"/>
        <v>0</v>
      </c>
    </row>
    <row r="182" customHeight="1" spans="2:30">
      <c r="B182" s="193">
        <f>固定资产台账1!A25</f>
        <v>0</v>
      </c>
      <c r="C182" s="193"/>
      <c r="D182" s="193"/>
      <c r="E182" s="145">
        <f>固定资产台账1!C25</f>
        <v>0</v>
      </c>
      <c r="F182" s="145">
        <f>研发设备工时计算表2!S27</f>
        <v>0</v>
      </c>
      <c r="G182" s="201">
        <f>研发设备工时计算表2!R27</f>
        <v>0</v>
      </c>
      <c r="H182" s="145">
        <f t="shared" si="103"/>
        <v>0</v>
      </c>
      <c r="I182" s="145"/>
      <c r="J182" s="145">
        <f t="shared" si="104"/>
        <v>0</v>
      </c>
      <c r="K182" s="145"/>
      <c r="L182" s="145">
        <f t="shared" si="105"/>
        <v>0</v>
      </c>
      <c r="M182" s="145"/>
      <c r="N182" s="145">
        <f t="shared" si="106"/>
        <v>0</v>
      </c>
      <c r="O182" s="145"/>
      <c r="P182" s="145">
        <f t="shared" si="107"/>
        <v>0</v>
      </c>
      <c r="Q182" s="145"/>
      <c r="R182" s="145">
        <f t="shared" si="108"/>
        <v>0</v>
      </c>
      <c r="S182" s="145"/>
      <c r="T182" s="145">
        <f t="shared" si="109"/>
        <v>0</v>
      </c>
      <c r="U182" s="145"/>
      <c r="V182" s="145">
        <f t="shared" si="110"/>
        <v>0</v>
      </c>
      <c r="W182" s="145"/>
      <c r="X182" s="145">
        <f t="shared" si="111"/>
        <v>0</v>
      </c>
      <c r="Y182" s="145"/>
      <c r="Z182" s="145">
        <f t="shared" si="112"/>
        <v>0</v>
      </c>
      <c r="AA182" s="145"/>
      <c r="AB182" s="145">
        <f t="shared" si="113"/>
        <v>0</v>
      </c>
      <c r="AC182" s="156"/>
      <c r="AD182" s="156">
        <f t="shared" si="102"/>
        <v>0</v>
      </c>
    </row>
    <row r="183" customHeight="1" spans="2:30">
      <c r="B183" s="193">
        <f>固定资产台账1!A26</f>
        <v>0</v>
      </c>
      <c r="C183" s="193"/>
      <c r="D183" s="193"/>
      <c r="E183" s="145">
        <f>固定资产台账1!C26</f>
        <v>0</v>
      </c>
      <c r="F183" s="145">
        <f>研发设备工时计算表2!S28</f>
        <v>0</v>
      </c>
      <c r="G183" s="201">
        <f>研发设备工时计算表2!R28</f>
        <v>0</v>
      </c>
      <c r="H183" s="145">
        <f t="shared" si="103"/>
        <v>0</v>
      </c>
      <c r="I183" s="145"/>
      <c r="J183" s="145">
        <f t="shared" si="104"/>
        <v>0</v>
      </c>
      <c r="K183" s="145"/>
      <c r="L183" s="145">
        <f t="shared" si="105"/>
        <v>0</v>
      </c>
      <c r="M183" s="145"/>
      <c r="N183" s="145">
        <f t="shared" si="106"/>
        <v>0</v>
      </c>
      <c r="O183" s="145"/>
      <c r="P183" s="145">
        <f t="shared" si="107"/>
        <v>0</v>
      </c>
      <c r="Q183" s="145"/>
      <c r="R183" s="145">
        <f t="shared" si="108"/>
        <v>0</v>
      </c>
      <c r="S183" s="145"/>
      <c r="T183" s="145">
        <f t="shared" si="109"/>
        <v>0</v>
      </c>
      <c r="U183" s="145"/>
      <c r="V183" s="145">
        <f t="shared" si="110"/>
        <v>0</v>
      </c>
      <c r="W183" s="145"/>
      <c r="X183" s="145">
        <f t="shared" si="111"/>
        <v>0</v>
      </c>
      <c r="Y183" s="145"/>
      <c r="Z183" s="145">
        <f t="shared" si="112"/>
        <v>0</v>
      </c>
      <c r="AA183" s="145"/>
      <c r="AB183" s="145">
        <f t="shared" si="113"/>
        <v>0</v>
      </c>
      <c r="AC183" s="156"/>
      <c r="AD183" s="156">
        <f t="shared" si="102"/>
        <v>0</v>
      </c>
    </row>
    <row r="184" customHeight="1" spans="2:30">
      <c r="B184" s="193">
        <f>固定资产台账1!A27</f>
        <v>0</v>
      </c>
      <c r="C184" s="193"/>
      <c r="D184" s="193"/>
      <c r="E184" s="145">
        <f>固定资产台账1!C27</f>
        <v>0</v>
      </c>
      <c r="F184" s="145">
        <f>研发设备工时计算表2!S29</f>
        <v>0</v>
      </c>
      <c r="G184" s="201">
        <f>研发设备工时计算表2!R29</f>
        <v>0</v>
      </c>
      <c r="H184" s="145">
        <f t="shared" si="103"/>
        <v>0</v>
      </c>
      <c r="I184" s="145"/>
      <c r="J184" s="145">
        <f t="shared" si="104"/>
        <v>0</v>
      </c>
      <c r="K184" s="145"/>
      <c r="L184" s="145">
        <f t="shared" si="105"/>
        <v>0</v>
      </c>
      <c r="M184" s="145"/>
      <c r="N184" s="145">
        <f t="shared" si="106"/>
        <v>0</v>
      </c>
      <c r="O184" s="145"/>
      <c r="P184" s="145">
        <f t="shared" si="107"/>
        <v>0</v>
      </c>
      <c r="Q184" s="145"/>
      <c r="R184" s="145">
        <f t="shared" si="108"/>
        <v>0</v>
      </c>
      <c r="S184" s="145"/>
      <c r="T184" s="145">
        <f t="shared" si="109"/>
        <v>0</v>
      </c>
      <c r="U184" s="145"/>
      <c r="V184" s="145">
        <f t="shared" si="110"/>
        <v>0</v>
      </c>
      <c r="W184" s="145"/>
      <c r="X184" s="145">
        <f t="shared" si="111"/>
        <v>0</v>
      </c>
      <c r="Y184" s="145"/>
      <c r="Z184" s="145">
        <f t="shared" si="112"/>
        <v>0</v>
      </c>
      <c r="AA184" s="145"/>
      <c r="AB184" s="145">
        <f t="shared" si="113"/>
        <v>0</v>
      </c>
      <c r="AC184" s="156"/>
      <c r="AD184" s="156">
        <f t="shared" si="102"/>
        <v>0</v>
      </c>
    </row>
    <row r="185" customHeight="1" spans="2:30">
      <c r="B185" s="196" t="s">
        <v>255</v>
      </c>
      <c r="C185" s="197"/>
      <c r="D185" s="198"/>
      <c r="E185" s="199">
        <f t="shared" ref="E185:G185" si="114">SUM(E160:E184)</f>
        <v>0</v>
      </c>
      <c r="F185" s="188">
        <f t="shared" si="114"/>
        <v>0</v>
      </c>
      <c r="G185" s="188">
        <f t="shared" si="114"/>
        <v>0</v>
      </c>
      <c r="H185" s="188">
        <f t="shared" ref="H185:K185" si="115">SUM(H160:H184)</f>
        <v>0</v>
      </c>
      <c r="I185" s="188">
        <f t="shared" si="115"/>
        <v>0</v>
      </c>
      <c r="J185" s="188">
        <f t="shared" si="115"/>
        <v>0</v>
      </c>
      <c r="K185" s="188">
        <f t="shared" si="115"/>
        <v>0</v>
      </c>
      <c r="L185" s="188">
        <f t="shared" ref="L185:O185" si="116">SUM(L160:L184)</f>
        <v>0</v>
      </c>
      <c r="M185" s="188">
        <f t="shared" si="116"/>
        <v>0</v>
      </c>
      <c r="N185" s="188">
        <f t="shared" si="116"/>
        <v>0</v>
      </c>
      <c r="O185" s="188">
        <f t="shared" si="116"/>
        <v>0</v>
      </c>
      <c r="P185" s="188">
        <f t="shared" ref="P185:S185" si="117">SUM(P160:P184)</f>
        <v>0</v>
      </c>
      <c r="Q185" s="188">
        <f t="shared" si="117"/>
        <v>0</v>
      </c>
      <c r="R185" s="188">
        <f t="shared" si="117"/>
        <v>0</v>
      </c>
      <c r="S185" s="188">
        <f t="shared" si="117"/>
        <v>0</v>
      </c>
      <c r="T185" s="188">
        <f t="shared" ref="T185:W185" si="118">SUM(T160:T184)</f>
        <v>0</v>
      </c>
      <c r="U185" s="188">
        <f t="shared" si="118"/>
        <v>0</v>
      </c>
      <c r="V185" s="188">
        <f t="shared" si="118"/>
        <v>0</v>
      </c>
      <c r="W185" s="188">
        <f t="shared" si="118"/>
        <v>0</v>
      </c>
      <c r="X185" s="188">
        <f t="shared" ref="X185:AB185" si="119">SUM(X160:X184)</f>
        <v>0</v>
      </c>
      <c r="Y185" s="188">
        <f t="shared" si="119"/>
        <v>0</v>
      </c>
      <c r="Z185" s="188">
        <f t="shared" si="119"/>
        <v>0</v>
      </c>
      <c r="AA185" s="188">
        <f t="shared" si="119"/>
        <v>0</v>
      </c>
      <c r="AB185" s="188">
        <f t="shared" si="119"/>
        <v>0</v>
      </c>
      <c r="AC185" s="156"/>
      <c r="AD185" s="156">
        <f t="shared" si="102"/>
        <v>0</v>
      </c>
    </row>
    <row r="186" customHeight="1" spans="2:30">
      <c r="E186" s="200"/>
      <c r="F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156"/>
      <c r="AD186" s="156"/>
    </row>
    <row r="187" customHeight="1" spans="2:30">
      <c r="E187" s="200"/>
      <c r="G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156"/>
      <c r="AD187" s="156"/>
    </row>
    <row r="188" customHeight="1" spans="2:30">
      <c r="B188" s="186" t="s">
        <v>261</v>
      </c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56"/>
      <c r="AD188" s="156"/>
    </row>
    <row r="189" customHeight="1" spans="2:30">
      <c r="B189" s="187" t="s">
        <v>249</v>
      </c>
      <c r="C189" s="187"/>
      <c r="D189" s="187"/>
      <c r="E189" s="188" t="s">
        <v>250</v>
      </c>
      <c r="F189" s="189" t="s">
        <v>251</v>
      </c>
      <c r="G189" s="190" t="s">
        <v>252</v>
      </c>
      <c r="H189" s="190" t="s">
        <v>251</v>
      </c>
      <c r="I189" s="191" t="str">
        <f>立项!A3</f>
        <v>RD01</v>
      </c>
      <c r="J189" s="191"/>
      <c r="K189" s="191" t="str">
        <f>立项!A4</f>
        <v>RD02</v>
      </c>
      <c r="L189" s="191"/>
      <c r="M189" s="191" t="str">
        <f>立项!A5</f>
        <v>RD03</v>
      </c>
      <c r="N189" s="191"/>
      <c r="O189" s="191" t="str">
        <f>立项!A6</f>
        <v>RD04</v>
      </c>
      <c r="P189" s="191"/>
      <c r="Q189" s="191" t="str">
        <f>立项!A7</f>
        <v>RD05</v>
      </c>
      <c r="R189" s="191"/>
      <c r="S189" s="191" t="str">
        <f>立项!A8</f>
        <v>RD06</v>
      </c>
      <c r="T189" s="191"/>
      <c r="U189" s="191" t="str">
        <f>立项!A9</f>
        <v>RD07</v>
      </c>
      <c r="V189" s="191"/>
      <c r="W189" s="191" t="str">
        <f>立项!A10</f>
        <v>RD08</v>
      </c>
      <c r="X189" s="191"/>
      <c r="Y189" s="191" t="str">
        <f>立项!A11</f>
        <v>RD09</v>
      </c>
      <c r="Z189" s="191"/>
      <c r="AA189" s="191" t="str">
        <f>立项!A12</f>
        <v>RD10</v>
      </c>
      <c r="AB189" s="191"/>
      <c r="AC189" s="156"/>
      <c r="AD189" s="156"/>
    </row>
    <row r="190" customHeight="1" spans="2:30">
      <c r="B190" s="187"/>
      <c r="C190" s="187"/>
      <c r="D190" s="187"/>
      <c r="E190" s="188"/>
      <c r="F190" s="188"/>
      <c r="G190" s="190"/>
      <c r="H190" s="190"/>
      <c r="I190" s="192" t="s">
        <v>253</v>
      </c>
      <c r="J190" s="192" t="s">
        <v>254</v>
      </c>
      <c r="K190" s="192" t="s">
        <v>253</v>
      </c>
      <c r="L190" s="192" t="s">
        <v>254</v>
      </c>
      <c r="M190" s="192" t="s">
        <v>253</v>
      </c>
      <c r="N190" s="192" t="s">
        <v>254</v>
      </c>
      <c r="O190" s="192" t="s">
        <v>253</v>
      </c>
      <c r="P190" s="192" t="s">
        <v>254</v>
      </c>
      <c r="Q190" s="192" t="s">
        <v>253</v>
      </c>
      <c r="R190" s="192" t="s">
        <v>254</v>
      </c>
      <c r="S190" s="192" t="s">
        <v>253</v>
      </c>
      <c r="T190" s="192" t="s">
        <v>254</v>
      </c>
      <c r="U190" s="192" t="s">
        <v>253</v>
      </c>
      <c r="V190" s="192" t="s">
        <v>254</v>
      </c>
      <c r="W190" s="192" t="s">
        <v>253</v>
      </c>
      <c r="X190" s="192" t="s">
        <v>254</v>
      </c>
      <c r="Y190" s="192" t="s">
        <v>253</v>
      </c>
      <c r="Z190" s="192" t="s">
        <v>254</v>
      </c>
      <c r="AA190" s="192" t="s">
        <v>253</v>
      </c>
      <c r="AB190" s="192" t="s">
        <v>254</v>
      </c>
      <c r="AC190" s="156"/>
      <c r="AD190" s="156"/>
    </row>
    <row r="191" customHeight="1" spans="2:30">
      <c r="B191" s="193">
        <f>固定资产台账1!A3</f>
        <v>0</v>
      </c>
      <c r="C191" s="193"/>
      <c r="D191" s="193"/>
      <c r="E191" s="145">
        <f>固定资产台账1!C3</f>
        <v>0</v>
      </c>
      <c r="F191" s="145">
        <f>研发设备工时计算表2!V5</f>
        <v>0</v>
      </c>
      <c r="G191" s="201">
        <f>研发设备工时计算表2!U5</f>
        <v>0</v>
      </c>
      <c r="H191" s="145">
        <f>J191+L191+N191+P191+R191+T191+V191+X191+Z191+AB191</f>
        <v>0</v>
      </c>
      <c r="I191" s="145"/>
      <c r="J191" s="145">
        <f t="shared" ref="J191:N191" si="120">IF($G191=0,0,ROUND(I191/$G191*$F191,2))</f>
        <v>0</v>
      </c>
      <c r="K191" s="145"/>
      <c r="L191" s="145">
        <f t="shared" si="120"/>
        <v>0</v>
      </c>
      <c r="M191" s="145"/>
      <c r="N191" s="145">
        <f t="shared" si="120"/>
        <v>0</v>
      </c>
      <c r="O191" s="145"/>
      <c r="P191" s="145">
        <f t="shared" ref="P191:T191" si="121">IF($G191=0,0,ROUND(O191/$G191*$F191,2))</f>
        <v>0</v>
      </c>
      <c r="Q191" s="145"/>
      <c r="R191" s="145">
        <f t="shared" si="121"/>
        <v>0</v>
      </c>
      <c r="S191" s="145"/>
      <c r="T191" s="145">
        <f t="shared" si="121"/>
        <v>0</v>
      </c>
      <c r="U191" s="145"/>
      <c r="V191" s="145">
        <f t="shared" ref="V191:Z191" si="122">IF($G191=0,0,ROUND(U191/$G191*$F191,2))</f>
        <v>0</v>
      </c>
      <c r="W191" s="145"/>
      <c r="X191" s="145">
        <f t="shared" si="122"/>
        <v>0</v>
      </c>
      <c r="Y191" s="145"/>
      <c r="Z191" s="145">
        <f t="shared" si="122"/>
        <v>0</v>
      </c>
      <c r="AA191" s="145"/>
      <c r="AB191" s="145">
        <f>IF($G191=0,0,ROUND(AA191/$G191*$F191,2))</f>
        <v>0</v>
      </c>
      <c r="AC191" s="156"/>
      <c r="AD191" s="156">
        <f t="shared" ref="AD191:AD216" si="123">F191-H191</f>
        <v>0</v>
      </c>
    </row>
    <row r="192" customHeight="1" spans="2:30">
      <c r="B192" s="193">
        <f>固定资产台账1!A4</f>
        <v>0</v>
      </c>
      <c r="C192" s="193"/>
      <c r="D192" s="193"/>
      <c r="E192" s="145">
        <f>固定资产台账1!C4</f>
        <v>0</v>
      </c>
      <c r="F192" s="145">
        <f>研发设备工时计算表2!V6</f>
        <v>0</v>
      </c>
      <c r="G192" s="201">
        <f>研发设备工时计算表2!U6</f>
        <v>0</v>
      </c>
      <c r="H192" s="145">
        <f t="shared" ref="H192:H215" si="124">J192+L192+N192+P192+R192+T192+V192+X192+Z192+AB192</f>
        <v>0</v>
      </c>
      <c r="I192" s="145"/>
      <c r="J192" s="145">
        <f t="shared" ref="J192:J215" si="125">IF($G192=0,0,ROUND(I192/$G192*$F192,2))</f>
        <v>0</v>
      </c>
      <c r="K192" s="145"/>
      <c r="L192" s="145">
        <f t="shared" ref="L192:L215" si="126">IF($G192=0,0,ROUND(K192/$G192*$F192,2))</f>
        <v>0</v>
      </c>
      <c r="M192" s="145"/>
      <c r="N192" s="145">
        <f t="shared" ref="N192:N215" si="127">IF($G192=0,0,ROUND(M192/$G192*$F192,2))</f>
        <v>0</v>
      </c>
      <c r="O192" s="145"/>
      <c r="P192" s="145">
        <f t="shared" ref="P192:P215" si="128">IF($G192=0,0,ROUND(O192/$G192*$F192,2))</f>
        <v>0</v>
      </c>
      <c r="Q192" s="145"/>
      <c r="R192" s="145">
        <f t="shared" ref="R192:R215" si="129">IF($G192=0,0,ROUND(Q192/$G192*$F192,2))</f>
        <v>0</v>
      </c>
      <c r="S192" s="145"/>
      <c r="T192" s="145">
        <f t="shared" ref="T192:T215" si="130">IF($G192=0,0,ROUND(S192/$G192*$F192,2))</f>
        <v>0</v>
      </c>
      <c r="U192" s="145"/>
      <c r="V192" s="145">
        <f t="shared" ref="V192:V215" si="131">IF($G192=0,0,ROUND(U192/$G192*$F192,2))</f>
        <v>0</v>
      </c>
      <c r="W192" s="145"/>
      <c r="X192" s="145">
        <f t="shared" ref="X192:X215" si="132">IF($G192=0,0,ROUND(W192/$G192*$F192,2))</f>
        <v>0</v>
      </c>
      <c r="Y192" s="145"/>
      <c r="Z192" s="145">
        <f t="shared" ref="Z192:Z215" si="133">IF($G192=0,0,ROUND(Y192/$G192*$F192,2))</f>
        <v>0</v>
      </c>
      <c r="AA192" s="145"/>
      <c r="AB192" s="145">
        <f t="shared" ref="AB192:AB215" si="134">IF($G192=0,0,ROUND(AA192/$G192*$F192,2))</f>
        <v>0</v>
      </c>
      <c r="AC192" s="156"/>
      <c r="AD192" s="156">
        <f t="shared" si="123"/>
        <v>0</v>
      </c>
    </row>
    <row r="193" customHeight="1" spans="2:30">
      <c r="B193" s="193">
        <f>固定资产台账1!A5</f>
        <v>0</v>
      </c>
      <c r="C193" s="193"/>
      <c r="D193" s="193"/>
      <c r="E193" s="145">
        <f>固定资产台账1!C5</f>
        <v>0</v>
      </c>
      <c r="F193" s="145">
        <f>研发设备工时计算表2!V7</f>
        <v>0</v>
      </c>
      <c r="G193" s="201">
        <f>研发设备工时计算表2!U7</f>
        <v>0</v>
      </c>
      <c r="H193" s="145">
        <f t="shared" si="124"/>
        <v>0</v>
      </c>
      <c r="I193" s="145"/>
      <c r="J193" s="145">
        <f t="shared" si="125"/>
        <v>0</v>
      </c>
      <c r="K193" s="145"/>
      <c r="L193" s="145">
        <f t="shared" si="126"/>
        <v>0</v>
      </c>
      <c r="M193" s="145"/>
      <c r="N193" s="145">
        <f t="shared" si="127"/>
        <v>0</v>
      </c>
      <c r="O193" s="145"/>
      <c r="P193" s="145">
        <f t="shared" si="128"/>
        <v>0</v>
      </c>
      <c r="Q193" s="145"/>
      <c r="R193" s="145">
        <f t="shared" si="129"/>
        <v>0</v>
      </c>
      <c r="S193" s="145"/>
      <c r="T193" s="145">
        <f t="shared" si="130"/>
        <v>0</v>
      </c>
      <c r="U193" s="145"/>
      <c r="V193" s="145">
        <f t="shared" si="131"/>
        <v>0</v>
      </c>
      <c r="W193" s="145"/>
      <c r="X193" s="145">
        <f t="shared" si="132"/>
        <v>0</v>
      </c>
      <c r="Y193" s="145"/>
      <c r="Z193" s="145">
        <f t="shared" si="133"/>
        <v>0</v>
      </c>
      <c r="AA193" s="145"/>
      <c r="AB193" s="145">
        <f t="shared" si="134"/>
        <v>0</v>
      </c>
      <c r="AC193" s="156"/>
      <c r="AD193" s="156">
        <f t="shared" si="123"/>
        <v>0</v>
      </c>
    </row>
    <row r="194" customHeight="1" spans="2:30">
      <c r="B194" s="193">
        <f>固定资产台账1!A6</f>
        <v>0</v>
      </c>
      <c r="C194" s="193"/>
      <c r="D194" s="193"/>
      <c r="E194" s="145">
        <f>固定资产台账1!C6</f>
        <v>0</v>
      </c>
      <c r="F194" s="145">
        <f>研发设备工时计算表2!V8</f>
        <v>0</v>
      </c>
      <c r="G194" s="201">
        <f>研发设备工时计算表2!U8</f>
        <v>0</v>
      </c>
      <c r="H194" s="145">
        <f t="shared" si="124"/>
        <v>0</v>
      </c>
      <c r="I194" s="145"/>
      <c r="J194" s="145">
        <f t="shared" si="125"/>
        <v>0</v>
      </c>
      <c r="K194" s="145"/>
      <c r="L194" s="145">
        <f t="shared" si="126"/>
        <v>0</v>
      </c>
      <c r="M194" s="145"/>
      <c r="N194" s="145">
        <f t="shared" si="127"/>
        <v>0</v>
      </c>
      <c r="O194" s="145"/>
      <c r="P194" s="145">
        <f t="shared" si="128"/>
        <v>0</v>
      </c>
      <c r="Q194" s="145"/>
      <c r="R194" s="145">
        <f t="shared" si="129"/>
        <v>0</v>
      </c>
      <c r="S194" s="145"/>
      <c r="T194" s="145">
        <f t="shared" si="130"/>
        <v>0</v>
      </c>
      <c r="U194" s="145"/>
      <c r="V194" s="145">
        <f t="shared" si="131"/>
        <v>0</v>
      </c>
      <c r="W194" s="145"/>
      <c r="X194" s="145">
        <f t="shared" si="132"/>
        <v>0</v>
      </c>
      <c r="Y194" s="145"/>
      <c r="Z194" s="145">
        <f t="shared" si="133"/>
        <v>0</v>
      </c>
      <c r="AA194" s="145"/>
      <c r="AB194" s="145">
        <f t="shared" si="134"/>
        <v>0</v>
      </c>
      <c r="AC194" s="156"/>
      <c r="AD194" s="156">
        <f t="shared" si="123"/>
        <v>0</v>
      </c>
    </row>
    <row r="195" customHeight="1" spans="2:30">
      <c r="B195" s="193">
        <f>固定资产台账1!A7</f>
        <v>0</v>
      </c>
      <c r="C195" s="193"/>
      <c r="D195" s="193"/>
      <c r="E195" s="145">
        <f>固定资产台账1!C7</f>
        <v>0</v>
      </c>
      <c r="F195" s="145">
        <f>研发设备工时计算表2!V9</f>
        <v>0</v>
      </c>
      <c r="G195" s="201">
        <f>研发设备工时计算表2!U9</f>
        <v>0</v>
      </c>
      <c r="H195" s="145">
        <f t="shared" si="124"/>
        <v>0</v>
      </c>
      <c r="I195" s="145"/>
      <c r="J195" s="145">
        <f t="shared" si="125"/>
        <v>0</v>
      </c>
      <c r="K195" s="145"/>
      <c r="L195" s="145">
        <f t="shared" si="126"/>
        <v>0</v>
      </c>
      <c r="M195" s="145"/>
      <c r="N195" s="145">
        <f t="shared" si="127"/>
        <v>0</v>
      </c>
      <c r="O195" s="145"/>
      <c r="P195" s="145">
        <f t="shared" si="128"/>
        <v>0</v>
      </c>
      <c r="Q195" s="145"/>
      <c r="R195" s="145">
        <f t="shared" si="129"/>
        <v>0</v>
      </c>
      <c r="S195" s="145"/>
      <c r="T195" s="145">
        <f t="shared" si="130"/>
        <v>0</v>
      </c>
      <c r="U195" s="145"/>
      <c r="V195" s="145">
        <f t="shared" si="131"/>
        <v>0</v>
      </c>
      <c r="W195" s="145"/>
      <c r="X195" s="145">
        <f t="shared" si="132"/>
        <v>0</v>
      </c>
      <c r="Y195" s="145"/>
      <c r="Z195" s="145">
        <f t="shared" si="133"/>
        <v>0</v>
      </c>
      <c r="AA195" s="145"/>
      <c r="AB195" s="145">
        <f t="shared" si="134"/>
        <v>0</v>
      </c>
      <c r="AC195" s="156"/>
      <c r="AD195" s="156">
        <f t="shared" si="123"/>
        <v>0</v>
      </c>
    </row>
    <row r="196" customHeight="1" spans="2:30">
      <c r="B196" s="193">
        <f>固定资产台账1!A8</f>
        <v>0</v>
      </c>
      <c r="C196" s="193"/>
      <c r="D196" s="193"/>
      <c r="E196" s="145">
        <f>固定资产台账1!C8</f>
        <v>0</v>
      </c>
      <c r="F196" s="145">
        <f>研发设备工时计算表2!V10</f>
        <v>0</v>
      </c>
      <c r="G196" s="201">
        <f>研发设备工时计算表2!U10</f>
        <v>0</v>
      </c>
      <c r="H196" s="145">
        <f t="shared" si="124"/>
        <v>0</v>
      </c>
      <c r="I196" s="145"/>
      <c r="J196" s="145">
        <f t="shared" si="125"/>
        <v>0</v>
      </c>
      <c r="K196" s="145"/>
      <c r="L196" s="145">
        <f t="shared" si="126"/>
        <v>0</v>
      </c>
      <c r="M196" s="145"/>
      <c r="N196" s="145">
        <f t="shared" si="127"/>
        <v>0</v>
      </c>
      <c r="O196" s="145"/>
      <c r="P196" s="145">
        <f t="shared" si="128"/>
        <v>0</v>
      </c>
      <c r="Q196" s="145"/>
      <c r="R196" s="145">
        <f t="shared" si="129"/>
        <v>0</v>
      </c>
      <c r="S196" s="145"/>
      <c r="T196" s="145">
        <f t="shared" si="130"/>
        <v>0</v>
      </c>
      <c r="U196" s="145"/>
      <c r="V196" s="145">
        <f t="shared" si="131"/>
        <v>0</v>
      </c>
      <c r="W196" s="145"/>
      <c r="X196" s="145">
        <f t="shared" si="132"/>
        <v>0</v>
      </c>
      <c r="Y196" s="145"/>
      <c r="Z196" s="145">
        <f t="shared" si="133"/>
        <v>0</v>
      </c>
      <c r="AA196" s="145"/>
      <c r="AB196" s="145">
        <f t="shared" si="134"/>
        <v>0</v>
      </c>
      <c r="AC196" s="156"/>
      <c r="AD196" s="156">
        <f t="shared" si="123"/>
        <v>0</v>
      </c>
    </row>
    <row r="197" customHeight="1" spans="2:30">
      <c r="B197" s="193">
        <f>固定资产台账1!A9</f>
        <v>0</v>
      </c>
      <c r="C197" s="193"/>
      <c r="D197" s="193"/>
      <c r="E197" s="145">
        <f>固定资产台账1!C9</f>
        <v>0</v>
      </c>
      <c r="F197" s="145">
        <f>研发设备工时计算表2!V11</f>
        <v>0</v>
      </c>
      <c r="G197" s="201">
        <f>研发设备工时计算表2!U11</f>
        <v>0</v>
      </c>
      <c r="H197" s="145">
        <f t="shared" si="124"/>
        <v>0</v>
      </c>
      <c r="I197" s="145"/>
      <c r="J197" s="145">
        <f t="shared" si="125"/>
        <v>0</v>
      </c>
      <c r="K197" s="145"/>
      <c r="L197" s="145">
        <f t="shared" si="126"/>
        <v>0</v>
      </c>
      <c r="M197" s="145"/>
      <c r="N197" s="145">
        <f t="shared" si="127"/>
        <v>0</v>
      </c>
      <c r="O197" s="145"/>
      <c r="P197" s="145">
        <f t="shared" si="128"/>
        <v>0</v>
      </c>
      <c r="Q197" s="145"/>
      <c r="R197" s="145">
        <f t="shared" si="129"/>
        <v>0</v>
      </c>
      <c r="S197" s="145"/>
      <c r="T197" s="145">
        <f t="shared" si="130"/>
        <v>0</v>
      </c>
      <c r="U197" s="145"/>
      <c r="V197" s="145">
        <f t="shared" si="131"/>
        <v>0</v>
      </c>
      <c r="W197" s="145"/>
      <c r="X197" s="145">
        <f t="shared" si="132"/>
        <v>0</v>
      </c>
      <c r="Y197" s="145"/>
      <c r="Z197" s="145">
        <f t="shared" si="133"/>
        <v>0</v>
      </c>
      <c r="AA197" s="145"/>
      <c r="AB197" s="145">
        <f t="shared" si="134"/>
        <v>0</v>
      </c>
      <c r="AC197" s="156"/>
      <c r="AD197" s="156">
        <f t="shared" si="123"/>
        <v>0</v>
      </c>
    </row>
    <row r="198" customHeight="1" spans="2:30">
      <c r="B198" s="193">
        <f>固定资产台账1!A10</f>
        <v>0</v>
      </c>
      <c r="C198" s="193"/>
      <c r="D198" s="193"/>
      <c r="E198" s="145">
        <f>固定资产台账1!C10</f>
        <v>0</v>
      </c>
      <c r="F198" s="145">
        <f>研发设备工时计算表2!V12</f>
        <v>0</v>
      </c>
      <c r="G198" s="201">
        <f>研发设备工时计算表2!U12</f>
        <v>0</v>
      </c>
      <c r="H198" s="145">
        <f t="shared" si="124"/>
        <v>0</v>
      </c>
      <c r="I198" s="145"/>
      <c r="J198" s="145">
        <f t="shared" si="125"/>
        <v>0</v>
      </c>
      <c r="K198" s="145"/>
      <c r="L198" s="145">
        <f t="shared" si="126"/>
        <v>0</v>
      </c>
      <c r="M198" s="145"/>
      <c r="N198" s="145">
        <f t="shared" si="127"/>
        <v>0</v>
      </c>
      <c r="O198" s="145"/>
      <c r="P198" s="145">
        <f t="shared" si="128"/>
        <v>0</v>
      </c>
      <c r="Q198" s="145"/>
      <c r="R198" s="145">
        <f t="shared" si="129"/>
        <v>0</v>
      </c>
      <c r="S198" s="145"/>
      <c r="T198" s="145">
        <f t="shared" si="130"/>
        <v>0</v>
      </c>
      <c r="U198" s="145"/>
      <c r="V198" s="145">
        <f t="shared" si="131"/>
        <v>0</v>
      </c>
      <c r="W198" s="145"/>
      <c r="X198" s="145">
        <f t="shared" si="132"/>
        <v>0</v>
      </c>
      <c r="Y198" s="145"/>
      <c r="Z198" s="145">
        <f t="shared" si="133"/>
        <v>0</v>
      </c>
      <c r="AA198" s="145"/>
      <c r="AB198" s="145">
        <f t="shared" si="134"/>
        <v>0</v>
      </c>
      <c r="AC198" s="156"/>
      <c r="AD198" s="156">
        <f t="shared" si="123"/>
        <v>0</v>
      </c>
    </row>
    <row r="199" customHeight="1" spans="2:30">
      <c r="B199" s="193">
        <f>固定资产台账1!A11</f>
        <v>0</v>
      </c>
      <c r="C199" s="193"/>
      <c r="D199" s="193"/>
      <c r="E199" s="145">
        <f>固定资产台账1!C11</f>
        <v>0</v>
      </c>
      <c r="F199" s="145">
        <f>研发设备工时计算表2!V13</f>
        <v>0</v>
      </c>
      <c r="G199" s="201">
        <f>研发设备工时计算表2!U13</f>
        <v>0</v>
      </c>
      <c r="H199" s="145">
        <f t="shared" si="124"/>
        <v>0</v>
      </c>
      <c r="I199" s="145"/>
      <c r="J199" s="145">
        <f t="shared" si="125"/>
        <v>0</v>
      </c>
      <c r="K199" s="145"/>
      <c r="L199" s="145">
        <f t="shared" si="126"/>
        <v>0</v>
      </c>
      <c r="M199" s="145"/>
      <c r="N199" s="145">
        <f t="shared" si="127"/>
        <v>0</v>
      </c>
      <c r="O199" s="145"/>
      <c r="P199" s="145">
        <f t="shared" si="128"/>
        <v>0</v>
      </c>
      <c r="Q199" s="145"/>
      <c r="R199" s="145">
        <f t="shared" si="129"/>
        <v>0</v>
      </c>
      <c r="S199" s="145"/>
      <c r="T199" s="145">
        <f t="shared" si="130"/>
        <v>0</v>
      </c>
      <c r="U199" s="145"/>
      <c r="V199" s="145">
        <f t="shared" si="131"/>
        <v>0</v>
      </c>
      <c r="W199" s="145"/>
      <c r="X199" s="145">
        <f t="shared" si="132"/>
        <v>0</v>
      </c>
      <c r="Y199" s="145"/>
      <c r="Z199" s="145">
        <f t="shared" si="133"/>
        <v>0</v>
      </c>
      <c r="AA199" s="145"/>
      <c r="AB199" s="145">
        <f t="shared" si="134"/>
        <v>0</v>
      </c>
      <c r="AC199" s="156"/>
      <c r="AD199" s="156">
        <f t="shared" si="123"/>
        <v>0</v>
      </c>
    </row>
    <row r="200" customHeight="1" spans="2:30">
      <c r="B200" s="193">
        <f>固定资产台账1!A12</f>
        <v>0</v>
      </c>
      <c r="C200" s="193"/>
      <c r="D200" s="193"/>
      <c r="E200" s="145">
        <f>固定资产台账1!C12</f>
        <v>0</v>
      </c>
      <c r="F200" s="145">
        <f>研发设备工时计算表2!V14</f>
        <v>0</v>
      </c>
      <c r="G200" s="201">
        <f>研发设备工时计算表2!U14</f>
        <v>0</v>
      </c>
      <c r="H200" s="145">
        <f t="shared" si="124"/>
        <v>0</v>
      </c>
      <c r="I200" s="145"/>
      <c r="J200" s="145">
        <f t="shared" si="125"/>
        <v>0</v>
      </c>
      <c r="K200" s="145"/>
      <c r="L200" s="145">
        <f t="shared" si="126"/>
        <v>0</v>
      </c>
      <c r="M200" s="145"/>
      <c r="N200" s="145">
        <f t="shared" si="127"/>
        <v>0</v>
      </c>
      <c r="O200" s="145"/>
      <c r="P200" s="145">
        <f t="shared" si="128"/>
        <v>0</v>
      </c>
      <c r="Q200" s="145"/>
      <c r="R200" s="145">
        <f t="shared" si="129"/>
        <v>0</v>
      </c>
      <c r="S200" s="145"/>
      <c r="T200" s="145">
        <f t="shared" si="130"/>
        <v>0</v>
      </c>
      <c r="U200" s="145"/>
      <c r="V200" s="145">
        <f t="shared" si="131"/>
        <v>0</v>
      </c>
      <c r="W200" s="145"/>
      <c r="X200" s="145">
        <f t="shared" si="132"/>
        <v>0</v>
      </c>
      <c r="Y200" s="145"/>
      <c r="Z200" s="145">
        <f t="shared" si="133"/>
        <v>0</v>
      </c>
      <c r="AA200" s="145"/>
      <c r="AB200" s="145">
        <f t="shared" si="134"/>
        <v>0</v>
      </c>
      <c r="AC200" s="156"/>
      <c r="AD200" s="156">
        <f t="shared" si="123"/>
        <v>0</v>
      </c>
    </row>
    <row r="201" customHeight="1" spans="2:30">
      <c r="B201" s="193">
        <f>固定资产台账1!A13</f>
        <v>0</v>
      </c>
      <c r="C201" s="193"/>
      <c r="D201" s="193"/>
      <c r="E201" s="145">
        <f>固定资产台账1!C13</f>
        <v>0</v>
      </c>
      <c r="F201" s="145">
        <f>研发设备工时计算表2!V15</f>
        <v>0</v>
      </c>
      <c r="G201" s="201">
        <f>研发设备工时计算表2!U15</f>
        <v>0</v>
      </c>
      <c r="H201" s="145">
        <f t="shared" si="124"/>
        <v>0</v>
      </c>
      <c r="I201" s="145"/>
      <c r="J201" s="145">
        <f t="shared" si="125"/>
        <v>0</v>
      </c>
      <c r="K201" s="145"/>
      <c r="L201" s="145">
        <f t="shared" si="126"/>
        <v>0</v>
      </c>
      <c r="M201" s="145"/>
      <c r="N201" s="145">
        <f t="shared" si="127"/>
        <v>0</v>
      </c>
      <c r="O201" s="145"/>
      <c r="P201" s="145">
        <f t="shared" si="128"/>
        <v>0</v>
      </c>
      <c r="Q201" s="145"/>
      <c r="R201" s="145">
        <f t="shared" si="129"/>
        <v>0</v>
      </c>
      <c r="S201" s="145"/>
      <c r="T201" s="145">
        <f t="shared" si="130"/>
        <v>0</v>
      </c>
      <c r="U201" s="145"/>
      <c r="V201" s="145">
        <f t="shared" si="131"/>
        <v>0</v>
      </c>
      <c r="W201" s="145"/>
      <c r="X201" s="145">
        <f t="shared" si="132"/>
        <v>0</v>
      </c>
      <c r="Y201" s="145"/>
      <c r="Z201" s="145">
        <f t="shared" si="133"/>
        <v>0</v>
      </c>
      <c r="AA201" s="145"/>
      <c r="AB201" s="145">
        <f t="shared" si="134"/>
        <v>0</v>
      </c>
      <c r="AC201" s="156"/>
      <c r="AD201" s="156">
        <f t="shared" si="123"/>
        <v>0</v>
      </c>
    </row>
    <row r="202" customHeight="1" spans="2:30">
      <c r="B202" s="193">
        <f>固定资产台账1!A14</f>
        <v>0</v>
      </c>
      <c r="C202" s="193"/>
      <c r="D202" s="193"/>
      <c r="E202" s="145">
        <f>固定资产台账1!C14</f>
        <v>0</v>
      </c>
      <c r="F202" s="145">
        <f>研发设备工时计算表2!V16</f>
        <v>0</v>
      </c>
      <c r="G202" s="201">
        <f>研发设备工时计算表2!U16</f>
        <v>0</v>
      </c>
      <c r="H202" s="145">
        <f t="shared" si="124"/>
        <v>0</v>
      </c>
      <c r="I202" s="145"/>
      <c r="J202" s="145">
        <f t="shared" si="125"/>
        <v>0</v>
      </c>
      <c r="K202" s="145"/>
      <c r="L202" s="145">
        <f t="shared" si="126"/>
        <v>0</v>
      </c>
      <c r="M202" s="145"/>
      <c r="N202" s="145">
        <f t="shared" si="127"/>
        <v>0</v>
      </c>
      <c r="O202" s="145"/>
      <c r="P202" s="145">
        <f t="shared" si="128"/>
        <v>0</v>
      </c>
      <c r="Q202" s="145"/>
      <c r="R202" s="145">
        <f t="shared" si="129"/>
        <v>0</v>
      </c>
      <c r="S202" s="145"/>
      <c r="T202" s="145">
        <f t="shared" si="130"/>
        <v>0</v>
      </c>
      <c r="U202" s="145"/>
      <c r="V202" s="145">
        <f t="shared" si="131"/>
        <v>0</v>
      </c>
      <c r="W202" s="145"/>
      <c r="X202" s="145">
        <f t="shared" si="132"/>
        <v>0</v>
      </c>
      <c r="Y202" s="145"/>
      <c r="Z202" s="145">
        <f t="shared" si="133"/>
        <v>0</v>
      </c>
      <c r="AA202" s="145"/>
      <c r="AB202" s="145">
        <f t="shared" si="134"/>
        <v>0</v>
      </c>
      <c r="AC202" s="156"/>
      <c r="AD202" s="156">
        <f t="shared" si="123"/>
        <v>0</v>
      </c>
    </row>
    <row r="203" customHeight="1" spans="2:30">
      <c r="B203" s="193">
        <f>固定资产台账1!A15</f>
        <v>0</v>
      </c>
      <c r="C203" s="193"/>
      <c r="D203" s="193"/>
      <c r="E203" s="145">
        <f>固定资产台账1!C15</f>
        <v>0</v>
      </c>
      <c r="F203" s="145">
        <f>研发设备工时计算表2!V17</f>
        <v>0</v>
      </c>
      <c r="G203" s="201">
        <f>研发设备工时计算表2!U17</f>
        <v>0</v>
      </c>
      <c r="H203" s="145">
        <f t="shared" si="124"/>
        <v>0</v>
      </c>
      <c r="I203" s="145"/>
      <c r="J203" s="145">
        <f t="shared" si="125"/>
        <v>0</v>
      </c>
      <c r="K203" s="145"/>
      <c r="L203" s="145">
        <f t="shared" si="126"/>
        <v>0</v>
      </c>
      <c r="M203" s="145"/>
      <c r="N203" s="145">
        <f t="shared" si="127"/>
        <v>0</v>
      </c>
      <c r="O203" s="145"/>
      <c r="P203" s="145">
        <f t="shared" si="128"/>
        <v>0</v>
      </c>
      <c r="Q203" s="145"/>
      <c r="R203" s="145">
        <f t="shared" si="129"/>
        <v>0</v>
      </c>
      <c r="S203" s="145"/>
      <c r="T203" s="145">
        <f t="shared" si="130"/>
        <v>0</v>
      </c>
      <c r="U203" s="145"/>
      <c r="V203" s="145">
        <f t="shared" si="131"/>
        <v>0</v>
      </c>
      <c r="W203" s="145"/>
      <c r="X203" s="145">
        <f t="shared" si="132"/>
        <v>0</v>
      </c>
      <c r="Y203" s="145"/>
      <c r="Z203" s="145">
        <f t="shared" si="133"/>
        <v>0</v>
      </c>
      <c r="AA203" s="145"/>
      <c r="AB203" s="145">
        <f t="shared" si="134"/>
        <v>0</v>
      </c>
      <c r="AC203" s="156"/>
      <c r="AD203" s="156">
        <f t="shared" si="123"/>
        <v>0</v>
      </c>
    </row>
    <row r="204" customHeight="1" spans="2:30">
      <c r="B204" s="193">
        <f>固定资产台账1!A16</f>
        <v>0</v>
      </c>
      <c r="C204" s="193"/>
      <c r="D204" s="193"/>
      <c r="E204" s="145">
        <f>固定资产台账1!C16</f>
        <v>0</v>
      </c>
      <c r="F204" s="145">
        <f>研发设备工时计算表2!V18</f>
        <v>0</v>
      </c>
      <c r="G204" s="201">
        <f>研发设备工时计算表2!U18</f>
        <v>0</v>
      </c>
      <c r="H204" s="145">
        <f t="shared" si="124"/>
        <v>0</v>
      </c>
      <c r="I204" s="145"/>
      <c r="J204" s="145">
        <f t="shared" si="125"/>
        <v>0</v>
      </c>
      <c r="K204" s="145"/>
      <c r="L204" s="145">
        <f t="shared" si="126"/>
        <v>0</v>
      </c>
      <c r="M204" s="145"/>
      <c r="N204" s="145">
        <f t="shared" si="127"/>
        <v>0</v>
      </c>
      <c r="O204" s="145"/>
      <c r="P204" s="145">
        <f t="shared" si="128"/>
        <v>0</v>
      </c>
      <c r="Q204" s="145"/>
      <c r="R204" s="145">
        <f t="shared" si="129"/>
        <v>0</v>
      </c>
      <c r="S204" s="145"/>
      <c r="T204" s="145">
        <f t="shared" si="130"/>
        <v>0</v>
      </c>
      <c r="U204" s="145"/>
      <c r="V204" s="145">
        <f t="shared" si="131"/>
        <v>0</v>
      </c>
      <c r="W204" s="145"/>
      <c r="X204" s="145">
        <f t="shared" si="132"/>
        <v>0</v>
      </c>
      <c r="Y204" s="145"/>
      <c r="Z204" s="145">
        <f t="shared" si="133"/>
        <v>0</v>
      </c>
      <c r="AA204" s="145"/>
      <c r="AB204" s="145">
        <f t="shared" si="134"/>
        <v>0</v>
      </c>
      <c r="AC204" s="156"/>
      <c r="AD204" s="156">
        <f t="shared" si="123"/>
        <v>0</v>
      </c>
    </row>
    <row r="205" customHeight="1" spans="2:30">
      <c r="B205" s="193">
        <f>固定资产台账1!A17</f>
        <v>0</v>
      </c>
      <c r="C205" s="193"/>
      <c r="D205" s="193"/>
      <c r="E205" s="145">
        <f>固定资产台账1!C17</f>
        <v>0</v>
      </c>
      <c r="F205" s="145">
        <f>研发设备工时计算表2!V19</f>
        <v>0</v>
      </c>
      <c r="G205" s="201">
        <f>研发设备工时计算表2!U19</f>
        <v>0</v>
      </c>
      <c r="H205" s="145">
        <f t="shared" si="124"/>
        <v>0</v>
      </c>
      <c r="I205" s="145"/>
      <c r="J205" s="145">
        <f t="shared" si="125"/>
        <v>0</v>
      </c>
      <c r="K205" s="145"/>
      <c r="L205" s="145">
        <f t="shared" si="126"/>
        <v>0</v>
      </c>
      <c r="M205" s="145"/>
      <c r="N205" s="145">
        <f t="shared" si="127"/>
        <v>0</v>
      </c>
      <c r="O205" s="145"/>
      <c r="P205" s="145">
        <f t="shared" si="128"/>
        <v>0</v>
      </c>
      <c r="Q205" s="145"/>
      <c r="R205" s="145">
        <f t="shared" si="129"/>
        <v>0</v>
      </c>
      <c r="S205" s="145"/>
      <c r="T205" s="145">
        <f t="shared" si="130"/>
        <v>0</v>
      </c>
      <c r="U205" s="145"/>
      <c r="V205" s="145">
        <f t="shared" si="131"/>
        <v>0</v>
      </c>
      <c r="W205" s="145"/>
      <c r="X205" s="145">
        <f t="shared" si="132"/>
        <v>0</v>
      </c>
      <c r="Y205" s="145"/>
      <c r="Z205" s="145">
        <f t="shared" si="133"/>
        <v>0</v>
      </c>
      <c r="AA205" s="145"/>
      <c r="AB205" s="145">
        <f t="shared" si="134"/>
        <v>0</v>
      </c>
      <c r="AC205" s="156"/>
      <c r="AD205" s="156">
        <f t="shared" si="123"/>
        <v>0</v>
      </c>
    </row>
    <row r="206" customHeight="1" spans="2:30">
      <c r="B206" s="193">
        <f>固定资产台账1!A18</f>
        <v>0</v>
      </c>
      <c r="C206" s="193"/>
      <c r="D206" s="193"/>
      <c r="E206" s="145">
        <f>固定资产台账1!C18</f>
        <v>0</v>
      </c>
      <c r="F206" s="145">
        <f>研发设备工时计算表2!V20</f>
        <v>0</v>
      </c>
      <c r="G206" s="201">
        <f>研发设备工时计算表2!U20</f>
        <v>0</v>
      </c>
      <c r="H206" s="145">
        <f t="shared" si="124"/>
        <v>0</v>
      </c>
      <c r="I206" s="145"/>
      <c r="J206" s="145">
        <f t="shared" si="125"/>
        <v>0</v>
      </c>
      <c r="K206" s="145"/>
      <c r="L206" s="145">
        <f t="shared" si="126"/>
        <v>0</v>
      </c>
      <c r="M206" s="145"/>
      <c r="N206" s="145">
        <f t="shared" si="127"/>
        <v>0</v>
      </c>
      <c r="O206" s="145"/>
      <c r="P206" s="145">
        <f t="shared" si="128"/>
        <v>0</v>
      </c>
      <c r="Q206" s="145"/>
      <c r="R206" s="145">
        <f t="shared" si="129"/>
        <v>0</v>
      </c>
      <c r="S206" s="145"/>
      <c r="T206" s="145">
        <f t="shared" si="130"/>
        <v>0</v>
      </c>
      <c r="U206" s="145"/>
      <c r="V206" s="145">
        <f t="shared" si="131"/>
        <v>0</v>
      </c>
      <c r="W206" s="145"/>
      <c r="X206" s="145">
        <f t="shared" si="132"/>
        <v>0</v>
      </c>
      <c r="Y206" s="145"/>
      <c r="Z206" s="145">
        <f t="shared" si="133"/>
        <v>0</v>
      </c>
      <c r="AA206" s="145"/>
      <c r="AB206" s="145">
        <f t="shared" si="134"/>
        <v>0</v>
      </c>
      <c r="AC206" s="156"/>
      <c r="AD206" s="156">
        <f t="shared" si="123"/>
        <v>0</v>
      </c>
    </row>
    <row r="207" customHeight="1" spans="2:30">
      <c r="B207" s="193">
        <f>固定资产台账1!A19</f>
        <v>0</v>
      </c>
      <c r="C207" s="193"/>
      <c r="D207" s="193"/>
      <c r="E207" s="145">
        <f>固定资产台账1!C19</f>
        <v>0</v>
      </c>
      <c r="F207" s="145">
        <f>研发设备工时计算表2!V21</f>
        <v>0</v>
      </c>
      <c r="G207" s="201">
        <f>研发设备工时计算表2!U21</f>
        <v>0</v>
      </c>
      <c r="H207" s="145">
        <f t="shared" si="124"/>
        <v>0</v>
      </c>
      <c r="I207" s="145"/>
      <c r="J207" s="145">
        <f t="shared" si="125"/>
        <v>0</v>
      </c>
      <c r="K207" s="145"/>
      <c r="L207" s="145">
        <f t="shared" si="126"/>
        <v>0</v>
      </c>
      <c r="M207" s="145"/>
      <c r="N207" s="145">
        <f t="shared" si="127"/>
        <v>0</v>
      </c>
      <c r="O207" s="145"/>
      <c r="P207" s="145">
        <f t="shared" si="128"/>
        <v>0</v>
      </c>
      <c r="Q207" s="145"/>
      <c r="R207" s="145">
        <f t="shared" si="129"/>
        <v>0</v>
      </c>
      <c r="S207" s="145"/>
      <c r="T207" s="145">
        <f t="shared" si="130"/>
        <v>0</v>
      </c>
      <c r="U207" s="145"/>
      <c r="V207" s="145">
        <f t="shared" si="131"/>
        <v>0</v>
      </c>
      <c r="W207" s="145"/>
      <c r="X207" s="145">
        <f t="shared" si="132"/>
        <v>0</v>
      </c>
      <c r="Y207" s="145"/>
      <c r="Z207" s="145">
        <f t="shared" si="133"/>
        <v>0</v>
      </c>
      <c r="AA207" s="145"/>
      <c r="AB207" s="145">
        <f t="shared" si="134"/>
        <v>0</v>
      </c>
      <c r="AC207" s="156"/>
      <c r="AD207" s="156">
        <f t="shared" si="123"/>
        <v>0</v>
      </c>
    </row>
    <row r="208" customHeight="1" spans="2:30">
      <c r="B208" s="193">
        <f>固定资产台账1!A20</f>
        <v>0</v>
      </c>
      <c r="C208" s="193"/>
      <c r="D208" s="193"/>
      <c r="E208" s="145">
        <f>固定资产台账1!C20</f>
        <v>0</v>
      </c>
      <c r="F208" s="145">
        <f>研发设备工时计算表2!V22</f>
        <v>0</v>
      </c>
      <c r="G208" s="201">
        <f>研发设备工时计算表2!U22</f>
        <v>0</v>
      </c>
      <c r="H208" s="145">
        <f t="shared" si="124"/>
        <v>0</v>
      </c>
      <c r="I208" s="145"/>
      <c r="J208" s="145">
        <f t="shared" si="125"/>
        <v>0</v>
      </c>
      <c r="K208" s="145"/>
      <c r="L208" s="145">
        <f t="shared" si="126"/>
        <v>0</v>
      </c>
      <c r="M208" s="145"/>
      <c r="N208" s="145">
        <f t="shared" si="127"/>
        <v>0</v>
      </c>
      <c r="O208" s="145"/>
      <c r="P208" s="145">
        <f t="shared" si="128"/>
        <v>0</v>
      </c>
      <c r="Q208" s="145"/>
      <c r="R208" s="145">
        <f t="shared" si="129"/>
        <v>0</v>
      </c>
      <c r="S208" s="145"/>
      <c r="T208" s="145">
        <f t="shared" si="130"/>
        <v>0</v>
      </c>
      <c r="U208" s="145"/>
      <c r="V208" s="145">
        <f t="shared" si="131"/>
        <v>0</v>
      </c>
      <c r="W208" s="145"/>
      <c r="X208" s="145">
        <f t="shared" si="132"/>
        <v>0</v>
      </c>
      <c r="Y208" s="145"/>
      <c r="Z208" s="145">
        <f t="shared" si="133"/>
        <v>0</v>
      </c>
      <c r="AA208" s="145"/>
      <c r="AB208" s="145">
        <f t="shared" si="134"/>
        <v>0</v>
      </c>
      <c r="AC208" s="156"/>
      <c r="AD208" s="156">
        <f t="shared" si="123"/>
        <v>0</v>
      </c>
    </row>
    <row r="209" customHeight="1" spans="2:30">
      <c r="B209" s="193">
        <f>固定资产台账1!A21</f>
        <v>0</v>
      </c>
      <c r="C209" s="193"/>
      <c r="D209" s="193"/>
      <c r="E209" s="145">
        <f>固定资产台账1!C21</f>
        <v>0</v>
      </c>
      <c r="F209" s="145">
        <f>研发设备工时计算表2!V23</f>
        <v>0</v>
      </c>
      <c r="G209" s="201">
        <f>研发设备工时计算表2!U23</f>
        <v>0</v>
      </c>
      <c r="H209" s="145">
        <f t="shared" si="124"/>
        <v>0</v>
      </c>
      <c r="I209" s="145"/>
      <c r="J209" s="145">
        <f t="shared" si="125"/>
        <v>0</v>
      </c>
      <c r="K209" s="145"/>
      <c r="L209" s="145">
        <f t="shared" si="126"/>
        <v>0</v>
      </c>
      <c r="M209" s="145"/>
      <c r="N209" s="145">
        <f t="shared" si="127"/>
        <v>0</v>
      </c>
      <c r="O209" s="145"/>
      <c r="P209" s="145">
        <f t="shared" si="128"/>
        <v>0</v>
      </c>
      <c r="Q209" s="145"/>
      <c r="R209" s="145">
        <f t="shared" si="129"/>
        <v>0</v>
      </c>
      <c r="S209" s="145"/>
      <c r="T209" s="145">
        <f t="shared" si="130"/>
        <v>0</v>
      </c>
      <c r="U209" s="145"/>
      <c r="V209" s="145">
        <f t="shared" si="131"/>
        <v>0</v>
      </c>
      <c r="W209" s="145"/>
      <c r="X209" s="145">
        <f t="shared" si="132"/>
        <v>0</v>
      </c>
      <c r="Y209" s="145"/>
      <c r="Z209" s="145">
        <f t="shared" si="133"/>
        <v>0</v>
      </c>
      <c r="AA209" s="145"/>
      <c r="AB209" s="145">
        <f t="shared" si="134"/>
        <v>0</v>
      </c>
      <c r="AC209" s="156"/>
      <c r="AD209" s="156">
        <f t="shared" si="123"/>
        <v>0</v>
      </c>
    </row>
    <row r="210" customHeight="1" spans="2:30">
      <c r="B210" s="193">
        <f>固定资产台账1!A22</f>
        <v>0</v>
      </c>
      <c r="C210" s="193"/>
      <c r="D210" s="193"/>
      <c r="E210" s="145">
        <f>固定资产台账1!C22</f>
        <v>0</v>
      </c>
      <c r="F210" s="145">
        <f>研发设备工时计算表2!V24</f>
        <v>0</v>
      </c>
      <c r="G210" s="201">
        <f>研发设备工时计算表2!U24</f>
        <v>0</v>
      </c>
      <c r="H210" s="145">
        <f t="shared" si="124"/>
        <v>0</v>
      </c>
      <c r="I210" s="145"/>
      <c r="J210" s="145">
        <f t="shared" si="125"/>
        <v>0</v>
      </c>
      <c r="K210" s="145"/>
      <c r="L210" s="145">
        <f t="shared" si="126"/>
        <v>0</v>
      </c>
      <c r="M210" s="145"/>
      <c r="N210" s="145">
        <f t="shared" si="127"/>
        <v>0</v>
      </c>
      <c r="O210" s="145"/>
      <c r="P210" s="145">
        <f t="shared" si="128"/>
        <v>0</v>
      </c>
      <c r="Q210" s="145"/>
      <c r="R210" s="145">
        <f t="shared" si="129"/>
        <v>0</v>
      </c>
      <c r="S210" s="145"/>
      <c r="T210" s="145">
        <f t="shared" si="130"/>
        <v>0</v>
      </c>
      <c r="U210" s="145"/>
      <c r="V210" s="145">
        <f t="shared" si="131"/>
        <v>0</v>
      </c>
      <c r="W210" s="145"/>
      <c r="X210" s="145">
        <f t="shared" si="132"/>
        <v>0</v>
      </c>
      <c r="Y210" s="145"/>
      <c r="Z210" s="145">
        <f t="shared" si="133"/>
        <v>0</v>
      </c>
      <c r="AA210" s="145"/>
      <c r="AB210" s="145">
        <f t="shared" si="134"/>
        <v>0</v>
      </c>
      <c r="AC210" s="156"/>
      <c r="AD210" s="156">
        <f t="shared" si="123"/>
        <v>0</v>
      </c>
    </row>
    <row r="211" customHeight="1" spans="2:30">
      <c r="B211" s="193">
        <f>固定资产台账1!A23</f>
        <v>0</v>
      </c>
      <c r="C211" s="193"/>
      <c r="D211" s="193"/>
      <c r="E211" s="145">
        <f>固定资产台账1!C23</f>
        <v>0</v>
      </c>
      <c r="F211" s="145">
        <f>研发设备工时计算表2!V25</f>
        <v>0</v>
      </c>
      <c r="G211" s="201">
        <f>研发设备工时计算表2!U25</f>
        <v>0</v>
      </c>
      <c r="H211" s="145">
        <f t="shared" si="124"/>
        <v>0</v>
      </c>
      <c r="I211" s="145"/>
      <c r="J211" s="145">
        <f t="shared" si="125"/>
        <v>0</v>
      </c>
      <c r="K211" s="145"/>
      <c r="L211" s="145">
        <f t="shared" si="126"/>
        <v>0</v>
      </c>
      <c r="M211" s="145"/>
      <c r="N211" s="145">
        <f t="shared" si="127"/>
        <v>0</v>
      </c>
      <c r="O211" s="145"/>
      <c r="P211" s="145">
        <f t="shared" si="128"/>
        <v>0</v>
      </c>
      <c r="Q211" s="145"/>
      <c r="R211" s="145">
        <f t="shared" si="129"/>
        <v>0</v>
      </c>
      <c r="S211" s="145"/>
      <c r="T211" s="145">
        <f t="shared" si="130"/>
        <v>0</v>
      </c>
      <c r="U211" s="145"/>
      <c r="V211" s="145">
        <f t="shared" si="131"/>
        <v>0</v>
      </c>
      <c r="W211" s="145"/>
      <c r="X211" s="145">
        <f t="shared" si="132"/>
        <v>0</v>
      </c>
      <c r="Y211" s="145"/>
      <c r="Z211" s="145">
        <f t="shared" si="133"/>
        <v>0</v>
      </c>
      <c r="AA211" s="145"/>
      <c r="AB211" s="145">
        <f t="shared" si="134"/>
        <v>0</v>
      </c>
      <c r="AC211" s="156"/>
      <c r="AD211" s="156">
        <f t="shared" si="123"/>
        <v>0</v>
      </c>
    </row>
    <row r="212" customHeight="1" spans="2:30">
      <c r="B212" s="193">
        <f>固定资产台账1!A25</f>
        <v>0</v>
      </c>
      <c r="C212" s="193"/>
      <c r="D212" s="193"/>
      <c r="E212" s="145">
        <f>固定资产台账1!C25</f>
        <v>0</v>
      </c>
      <c r="F212" s="145">
        <f>研发设备工时计算表2!V26</f>
        <v>0</v>
      </c>
      <c r="G212" s="201">
        <f>研发设备工时计算表2!U26</f>
        <v>0</v>
      </c>
      <c r="H212" s="145">
        <f t="shared" si="124"/>
        <v>0</v>
      </c>
      <c r="I212" s="145"/>
      <c r="J212" s="145">
        <f t="shared" si="125"/>
        <v>0</v>
      </c>
      <c r="K212" s="145"/>
      <c r="L212" s="145">
        <f t="shared" si="126"/>
        <v>0</v>
      </c>
      <c r="M212" s="145"/>
      <c r="N212" s="145">
        <f t="shared" si="127"/>
        <v>0</v>
      </c>
      <c r="O212" s="145"/>
      <c r="P212" s="145">
        <f t="shared" si="128"/>
        <v>0</v>
      </c>
      <c r="Q212" s="145"/>
      <c r="R212" s="145">
        <f t="shared" si="129"/>
        <v>0</v>
      </c>
      <c r="S212" s="145"/>
      <c r="T212" s="145">
        <f t="shared" si="130"/>
        <v>0</v>
      </c>
      <c r="U212" s="145"/>
      <c r="V212" s="145">
        <f t="shared" si="131"/>
        <v>0</v>
      </c>
      <c r="W212" s="145"/>
      <c r="X212" s="145">
        <f t="shared" si="132"/>
        <v>0</v>
      </c>
      <c r="Y212" s="145"/>
      <c r="Z212" s="145">
        <f t="shared" si="133"/>
        <v>0</v>
      </c>
      <c r="AA212" s="145"/>
      <c r="AB212" s="145">
        <f t="shared" si="134"/>
        <v>0</v>
      </c>
      <c r="AC212" s="156"/>
      <c r="AD212" s="156">
        <f t="shared" si="123"/>
        <v>0</v>
      </c>
    </row>
    <row r="213" customHeight="1" spans="2:30">
      <c r="B213" s="193">
        <f>固定资产台账1!A25</f>
        <v>0</v>
      </c>
      <c r="C213" s="193"/>
      <c r="D213" s="193"/>
      <c r="E213" s="145">
        <f>固定资产台账1!C25</f>
        <v>0</v>
      </c>
      <c r="F213" s="145">
        <f>研发设备工时计算表2!V27</f>
        <v>0</v>
      </c>
      <c r="G213" s="201">
        <f>研发设备工时计算表2!U27</f>
        <v>0</v>
      </c>
      <c r="H213" s="145">
        <f t="shared" si="124"/>
        <v>0</v>
      </c>
      <c r="I213" s="145"/>
      <c r="J213" s="145">
        <f t="shared" si="125"/>
        <v>0</v>
      </c>
      <c r="K213" s="145"/>
      <c r="L213" s="145">
        <f t="shared" si="126"/>
        <v>0</v>
      </c>
      <c r="M213" s="145"/>
      <c r="N213" s="145">
        <f t="shared" si="127"/>
        <v>0</v>
      </c>
      <c r="O213" s="145"/>
      <c r="P213" s="145">
        <f t="shared" si="128"/>
        <v>0</v>
      </c>
      <c r="Q213" s="145"/>
      <c r="R213" s="145">
        <f t="shared" si="129"/>
        <v>0</v>
      </c>
      <c r="S213" s="145"/>
      <c r="T213" s="145">
        <f t="shared" si="130"/>
        <v>0</v>
      </c>
      <c r="U213" s="145"/>
      <c r="V213" s="145">
        <f t="shared" si="131"/>
        <v>0</v>
      </c>
      <c r="W213" s="145"/>
      <c r="X213" s="145">
        <f t="shared" si="132"/>
        <v>0</v>
      </c>
      <c r="Y213" s="145"/>
      <c r="Z213" s="145">
        <f t="shared" si="133"/>
        <v>0</v>
      </c>
      <c r="AA213" s="145"/>
      <c r="AB213" s="145">
        <f t="shared" si="134"/>
        <v>0</v>
      </c>
      <c r="AC213" s="156"/>
      <c r="AD213" s="156">
        <f t="shared" si="123"/>
        <v>0</v>
      </c>
    </row>
    <row r="214" customHeight="1" spans="2:30">
      <c r="B214" s="193">
        <f>固定资产台账1!A26</f>
        <v>0</v>
      </c>
      <c r="C214" s="193"/>
      <c r="D214" s="193"/>
      <c r="E214" s="145">
        <f>固定资产台账1!C26</f>
        <v>0</v>
      </c>
      <c r="F214" s="145">
        <f>研发设备工时计算表2!V28</f>
        <v>0</v>
      </c>
      <c r="G214" s="201">
        <f>研发设备工时计算表2!U28</f>
        <v>0</v>
      </c>
      <c r="H214" s="145">
        <f t="shared" si="124"/>
        <v>0</v>
      </c>
      <c r="I214" s="145"/>
      <c r="J214" s="145">
        <f t="shared" si="125"/>
        <v>0</v>
      </c>
      <c r="K214" s="145"/>
      <c r="L214" s="145">
        <f t="shared" si="126"/>
        <v>0</v>
      </c>
      <c r="M214" s="145"/>
      <c r="N214" s="145">
        <f t="shared" si="127"/>
        <v>0</v>
      </c>
      <c r="O214" s="145"/>
      <c r="P214" s="145">
        <f t="shared" si="128"/>
        <v>0</v>
      </c>
      <c r="Q214" s="145"/>
      <c r="R214" s="145">
        <f t="shared" si="129"/>
        <v>0</v>
      </c>
      <c r="S214" s="145"/>
      <c r="T214" s="145">
        <f t="shared" si="130"/>
        <v>0</v>
      </c>
      <c r="U214" s="145"/>
      <c r="V214" s="145">
        <f t="shared" si="131"/>
        <v>0</v>
      </c>
      <c r="W214" s="145"/>
      <c r="X214" s="145">
        <f t="shared" si="132"/>
        <v>0</v>
      </c>
      <c r="Y214" s="145"/>
      <c r="Z214" s="145">
        <f t="shared" si="133"/>
        <v>0</v>
      </c>
      <c r="AA214" s="145"/>
      <c r="AB214" s="145">
        <f t="shared" si="134"/>
        <v>0</v>
      </c>
      <c r="AC214" s="156"/>
      <c r="AD214" s="156">
        <f t="shared" si="123"/>
        <v>0</v>
      </c>
    </row>
    <row r="215" customHeight="1" spans="2:30">
      <c r="B215" s="193">
        <f>固定资产台账1!A27</f>
        <v>0</v>
      </c>
      <c r="C215" s="193"/>
      <c r="D215" s="193"/>
      <c r="E215" s="145">
        <f>固定资产台账1!C27</f>
        <v>0</v>
      </c>
      <c r="F215" s="145">
        <f>研发设备工时计算表2!V29</f>
        <v>0</v>
      </c>
      <c r="G215" s="201">
        <f>研发设备工时计算表2!U29</f>
        <v>0</v>
      </c>
      <c r="H215" s="145">
        <f t="shared" si="124"/>
        <v>0</v>
      </c>
      <c r="I215" s="145"/>
      <c r="J215" s="145">
        <f t="shared" si="125"/>
        <v>0</v>
      </c>
      <c r="K215" s="145"/>
      <c r="L215" s="145">
        <f t="shared" si="126"/>
        <v>0</v>
      </c>
      <c r="M215" s="145"/>
      <c r="N215" s="145">
        <f t="shared" si="127"/>
        <v>0</v>
      </c>
      <c r="O215" s="145"/>
      <c r="P215" s="145">
        <f t="shared" si="128"/>
        <v>0</v>
      </c>
      <c r="Q215" s="145"/>
      <c r="R215" s="145">
        <f t="shared" si="129"/>
        <v>0</v>
      </c>
      <c r="S215" s="145"/>
      <c r="T215" s="145">
        <f t="shared" si="130"/>
        <v>0</v>
      </c>
      <c r="U215" s="145"/>
      <c r="V215" s="145">
        <f t="shared" si="131"/>
        <v>0</v>
      </c>
      <c r="W215" s="145"/>
      <c r="X215" s="145">
        <f t="shared" si="132"/>
        <v>0</v>
      </c>
      <c r="Y215" s="145"/>
      <c r="Z215" s="145">
        <f t="shared" si="133"/>
        <v>0</v>
      </c>
      <c r="AA215" s="145"/>
      <c r="AB215" s="145">
        <f t="shared" si="134"/>
        <v>0</v>
      </c>
      <c r="AC215" s="156"/>
      <c r="AD215" s="156">
        <f t="shared" si="123"/>
        <v>0</v>
      </c>
    </row>
    <row r="216" customHeight="1" spans="2:30">
      <c r="B216" s="196" t="s">
        <v>255</v>
      </c>
      <c r="C216" s="197"/>
      <c r="D216" s="198"/>
      <c r="E216" s="199">
        <f t="shared" ref="E216:G216" si="135">SUM(E191:E215)</f>
        <v>0</v>
      </c>
      <c r="F216" s="188">
        <f t="shared" si="135"/>
        <v>0</v>
      </c>
      <c r="G216" s="188">
        <f t="shared" ref="G216:I216" si="136">SUM(G191:G215)</f>
        <v>0</v>
      </c>
      <c r="H216" s="188">
        <f t="shared" si="136"/>
        <v>0</v>
      </c>
      <c r="I216" s="188">
        <f t="shared" si="136"/>
        <v>0</v>
      </c>
      <c r="J216" s="188">
        <f t="shared" ref="J216:M216" si="137">SUM(J191:J215)</f>
        <v>0</v>
      </c>
      <c r="K216" s="188">
        <f t="shared" si="137"/>
        <v>0</v>
      </c>
      <c r="L216" s="188">
        <f t="shared" si="137"/>
        <v>0</v>
      </c>
      <c r="M216" s="188">
        <f t="shared" si="137"/>
        <v>0</v>
      </c>
      <c r="N216" s="188">
        <f t="shared" ref="N216:Q216" si="138">SUM(N191:N215)</f>
        <v>0</v>
      </c>
      <c r="O216" s="188">
        <f t="shared" si="138"/>
        <v>0</v>
      </c>
      <c r="P216" s="188">
        <f t="shared" si="138"/>
        <v>0</v>
      </c>
      <c r="Q216" s="188">
        <f t="shared" si="138"/>
        <v>0</v>
      </c>
      <c r="R216" s="188">
        <f t="shared" ref="R216:U216" si="139">SUM(R191:R215)</f>
        <v>0</v>
      </c>
      <c r="S216" s="188">
        <f t="shared" si="139"/>
        <v>0</v>
      </c>
      <c r="T216" s="188">
        <f t="shared" si="139"/>
        <v>0</v>
      </c>
      <c r="U216" s="188">
        <f t="shared" si="139"/>
        <v>0</v>
      </c>
      <c r="V216" s="188">
        <f t="shared" ref="V216:AB216" si="140">SUM(V191:V215)</f>
        <v>0</v>
      </c>
      <c r="W216" s="188">
        <f t="shared" si="140"/>
        <v>0</v>
      </c>
      <c r="X216" s="188">
        <f t="shared" si="140"/>
        <v>0</v>
      </c>
      <c r="Y216" s="188">
        <f t="shared" si="140"/>
        <v>0</v>
      </c>
      <c r="Z216" s="188">
        <f t="shared" si="140"/>
        <v>0</v>
      </c>
      <c r="AA216" s="188">
        <f t="shared" si="140"/>
        <v>0</v>
      </c>
      <c r="AB216" s="188">
        <f t="shared" si="140"/>
        <v>0</v>
      </c>
      <c r="AC216" s="156"/>
      <c r="AD216" s="156">
        <f t="shared" si="123"/>
        <v>0</v>
      </c>
    </row>
    <row r="217" customHeight="1" spans="2:30">
      <c r="E217" s="200"/>
      <c r="F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156"/>
      <c r="AD217" s="156"/>
    </row>
    <row r="218" customHeight="1" spans="2:30">
      <c r="E218" s="200"/>
      <c r="G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156"/>
      <c r="AD218" s="156"/>
    </row>
    <row r="219" customHeight="1" spans="2:30">
      <c r="B219" s="186" t="s">
        <v>262</v>
      </c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56"/>
      <c r="AD219" s="156"/>
    </row>
    <row r="220" customHeight="1" spans="2:30">
      <c r="B220" s="187" t="s">
        <v>249</v>
      </c>
      <c r="C220" s="187"/>
      <c r="D220" s="187"/>
      <c r="E220" s="188" t="s">
        <v>250</v>
      </c>
      <c r="F220" s="189" t="s">
        <v>251</v>
      </c>
      <c r="G220" s="190" t="s">
        <v>252</v>
      </c>
      <c r="H220" s="190" t="s">
        <v>251</v>
      </c>
      <c r="I220" s="191" t="str">
        <f>立项!A3</f>
        <v>RD01</v>
      </c>
      <c r="J220" s="191"/>
      <c r="K220" s="191" t="str">
        <f>立项!A4</f>
        <v>RD02</v>
      </c>
      <c r="L220" s="191"/>
      <c r="M220" s="191" t="str">
        <f>立项!A5</f>
        <v>RD03</v>
      </c>
      <c r="N220" s="191"/>
      <c r="O220" s="191" t="str">
        <f>立项!A6</f>
        <v>RD04</v>
      </c>
      <c r="P220" s="191"/>
      <c r="Q220" s="191" t="str">
        <f>立项!A7</f>
        <v>RD05</v>
      </c>
      <c r="R220" s="191"/>
      <c r="S220" s="191" t="str">
        <f>立项!A8</f>
        <v>RD06</v>
      </c>
      <c r="T220" s="191"/>
      <c r="U220" s="191" t="str">
        <f>立项!A9</f>
        <v>RD07</v>
      </c>
      <c r="V220" s="191"/>
      <c r="W220" s="191" t="str">
        <f>立项!A10</f>
        <v>RD08</v>
      </c>
      <c r="X220" s="191"/>
      <c r="Y220" s="191" t="str">
        <f>立项!A11</f>
        <v>RD09</v>
      </c>
      <c r="Z220" s="191"/>
      <c r="AA220" s="191" t="str">
        <f>立项!A12</f>
        <v>RD10</v>
      </c>
      <c r="AB220" s="191"/>
      <c r="AC220" s="156"/>
      <c r="AD220" s="156"/>
    </row>
    <row r="221" customHeight="1" spans="2:30">
      <c r="B221" s="187"/>
      <c r="C221" s="187"/>
      <c r="D221" s="187"/>
      <c r="E221" s="188"/>
      <c r="F221" s="188"/>
      <c r="G221" s="190"/>
      <c r="H221" s="190"/>
      <c r="I221" s="192" t="s">
        <v>253</v>
      </c>
      <c r="J221" s="192" t="s">
        <v>254</v>
      </c>
      <c r="K221" s="192" t="s">
        <v>253</v>
      </c>
      <c r="L221" s="192" t="s">
        <v>254</v>
      </c>
      <c r="M221" s="192" t="s">
        <v>253</v>
      </c>
      <c r="N221" s="192" t="s">
        <v>254</v>
      </c>
      <c r="O221" s="192" t="s">
        <v>253</v>
      </c>
      <c r="P221" s="192" t="s">
        <v>254</v>
      </c>
      <c r="Q221" s="192" t="s">
        <v>253</v>
      </c>
      <c r="R221" s="192" t="s">
        <v>254</v>
      </c>
      <c r="S221" s="192" t="s">
        <v>253</v>
      </c>
      <c r="T221" s="192" t="s">
        <v>254</v>
      </c>
      <c r="U221" s="192" t="s">
        <v>253</v>
      </c>
      <c r="V221" s="192" t="s">
        <v>254</v>
      </c>
      <c r="W221" s="192" t="s">
        <v>253</v>
      </c>
      <c r="X221" s="192" t="s">
        <v>254</v>
      </c>
      <c r="Y221" s="192" t="s">
        <v>253</v>
      </c>
      <c r="Z221" s="192" t="s">
        <v>254</v>
      </c>
      <c r="AA221" s="192" t="s">
        <v>253</v>
      </c>
      <c r="AB221" s="192" t="s">
        <v>254</v>
      </c>
      <c r="AC221" s="156"/>
      <c r="AD221" s="156"/>
    </row>
    <row r="222" customHeight="1" spans="2:30">
      <c r="B222" s="193">
        <f>固定资产台账1!A3</f>
        <v>0</v>
      </c>
      <c r="C222" s="193"/>
      <c r="D222" s="193"/>
      <c r="E222" s="145">
        <f>固定资产台账1!C3</f>
        <v>0</v>
      </c>
      <c r="F222" s="145">
        <f>研发设备工时计算表2!Y5</f>
        <v>0</v>
      </c>
      <c r="G222" s="201">
        <f>研发设备工时计算表2!X5</f>
        <v>0</v>
      </c>
      <c r="H222" s="145">
        <f>J222+L222+N222+P222+R222+T222+V222+X222+Z222+AB222</f>
        <v>0</v>
      </c>
      <c r="I222" s="145"/>
      <c r="J222" s="145">
        <f t="shared" ref="J222:N222" si="141">IF($G222=0,0,ROUND(I222/$G222*$F222,2))</f>
        <v>0</v>
      </c>
      <c r="K222" s="145"/>
      <c r="L222" s="145">
        <f t="shared" si="141"/>
        <v>0</v>
      </c>
      <c r="M222" s="145"/>
      <c r="N222" s="145">
        <f t="shared" si="141"/>
        <v>0</v>
      </c>
      <c r="O222" s="145"/>
      <c r="P222" s="145">
        <f t="shared" ref="P222:T222" si="142">IF($G222=0,0,ROUND(O222/$G222*$F222,2))</f>
        <v>0</v>
      </c>
      <c r="Q222" s="145"/>
      <c r="R222" s="145">
        <f t="shared" si="142"/>
        <v>0</v>
      </c>
      <c r="S222" s="145"/>
      <c r="T222" s="145">
        <f t="shared" si="142"/>
        <v>0</v>
      </c>
      <c r="U222" s="145"/>
      <c r="V222" s="145">
        <f t="shared" ref="V222:Z222" si="143">IF($G222=0,0,ROUND(U222/$G222*$F222,2))</f>
        <v>0</v>
      </c>
      <c r="W222" s="145"/>
      <c r="X222" s="145">
        <f t="shared" si="143"/>
        <v>0</v>
      </c>
      <c r="Y222" s="145"/>
      <c r="Z222" s="145">
        <f t="shared" si="143"/>
        <v>0</v>
      </c>
      <c r="AA222" s="145"/>
      <c r="AB222" s="145">
        <f>IF($G222=0,0,ROUND(AA222/$G222*$F222,2))</f>
        <v>0</v>
      </c>
      <c r="AC222" s="156"/>
      <c r="AD222" s="156">
        <f t="shared" ref="AD222:AD247" si="144">F222-H222</f>
        <v>0</v>
      </c>
    </row>
    <row r="223" customHeight="1" spans="2:30">
      <c r="B223" s="193">
        <f>固定资产台账1!A4</f>
        <v>0</v>
      </c>
      <c r="C223" s="193"/>
      <c r="D223" s="193"/>
      <c r="E223" s="145">
        <f>固定资产台账1!C4</f>
        <v>0</v>
      </c>
      <c r="F223" s="145">
        <f>研发设备工时计算表2!Y6</f>
        <v>0</v>
      </c>
      <c r="G223" s="201">
        <f>研发设备工时计算表2!X6</f>
        <v>0</v>
      </c>
      <c r="H223" s="145">
        <f t="shared" ref="H223:H246" si="145">J223+L223+N223+P223+R223+T223+V223+X223+Z223+AB223</f>
        <v>0</v>
      </c>
      <c r="I223" s="145"/>
      <c r="J223" s="145">
        <f t="shared" ref="J223:J246" si="146">IF($G223=0,0,ROUND(I223/$G223*$F223,2))</f>
        <v>0</v>
      </c>
      <c r="K223" s="145"/>
      <c r="L223" s="145">
        <f t="shared" ref="L223:L246" si="147">IF($G223=0,0,ROUND(K223/$G223*$F223,2))</f>
        <v>0</v>
      </c>
      <c r="M223" s="145"/>
      <c r="N223" s="145">
        <f t="shared" ref="N223:N246" si="148">IF($G223=0,0,ROUND(M223/$G223*$F223,2))</f>
        <v>0</v>
      </c>
      <c r="O223" s="145"/>
      <c r="P223" s="145">
        <f t="shared" ref="P223:P246" si="149">IF($G223=0,0,ROUND(O223/$G223*$F223,2))</f>
        <v>0</v>
      </c>
      <c r="Q223" s="145"/>
      <c r="R223" s="145">
        <f t="shared" ref="R223:R246" si="150">IF($G223=0,0,ROUND(Q223/$G223*$F223,2))</f>
        <v>0</v>
      </c>
      <c r="S223" s="145"/>
      <c r="T223" s="145">
        <f t="shared" ref="T223:T246" si="151">IF($G223=0,0,ROUND(S223/$G223*$F223,2))</f>
        <v>0</v>
      </c>
      <c r="U223" s="145"/>
      <c r="V223" s="145">
        <f t="shared" ref="V223:V246" si="152">IF($G223=0,0,ROUND(U223/$G223*$F223,2))</f>
        <v>0</v>
      </c>
      <c r="W223" s="145"/>
      <c r="X223" s="145">
        <f t="shared" ref="X223:X246" si="153">IF($G223=0,0,ROUND(W223/$G223*$F223,2))</f>
        <v>0</v>
      </c>
      <c r="Y223" s="145"/>
      <c r="Z223" s="145">
        <f t="shared" ref="Z223:Z246" si="154">IF($G223=0,0,ROUND(Y223/$G223*$F223,2))</f>
        <v>0</v>
      </c>
      <c r="AA223" s="145"/>
      <c r="AB223" s="145">
        <f t="shared" ref="AB223:AB246" si="155">IF($G223=0,0,ROUND(AA223/$G223*$F223,2))</f>
        <v>0</v>
      </c>
      <c r="AC223" s="156"/>
      <c r="AD223" s="156">
        <f t="shared" si="144"/>
        <v>0</v>
      </c>
    </row>
    <row r="224" customHeight="1" spans="2:30">
      <c r="B224" s="193">
        <f>固定资产台账1!A5</f>
        <v>0</v>
      </c>
      <c r="C224" s="193"/>
      <c r="D224" s="193"/>
      <c r="E224" s="145">
        <f>固定资产台账1!C5</f>
        <v>0</v>
      </c>
      <c r="F224" s="145">
        <f>研发设备工时计算表2!Y7</f>
        <v>0</v>
      </c>
      <c r="G224" s="201">
        <f>研发设备工时计算表2!X7</f>
        <v>0</v>
      </c>
      <c r="H224" s="145">
        <f t="shared" si="145"/>
        <v>0</v>
      </c>
      <c r="I224" s="145"/>
      <c r="J224" s="145">
        <f t="shared" si="146"/>
        <v>0</v>
      </c>
      <c r="K224" s="145"/>
      <c r="L224" s="145">
        <f t="shared" si="147"/>
        <v>0</v>
      </c>
      <c r="M224" s="145"/>
      <c r="N224" s="145">
        <f t="shared" si="148"/>
        <v>0</v>
      </c>
      <c r="O224" s="145"/>
      <c r="P224" s="145">
        <f t="shared" si="149"/>
        <v>0</v>
      </c>
      <c r="Q224" s="145"/>
      <c r="R224" s="145">
        <f t="shared" si="150"/>
        <v>0</v>
      </c>
      <c r="S224" s="145"/>
      <c r="T224" s="145">
        <f t="shared" si="151"/>
        <v>0</v>
      </c>
      <c r="U224" s="145"/>
      <c r="V224" s="145">
        <f t="shared" si="152"/>
        <v>0</v>
      </c>
      <c r="W224" s="145"/>
      <c r="X224" s="145">
        <f t="shared" si="153"/>
        <v>0</v>
      </c>
      <c r="Y224" s="145"/>
      <c r="Z224" s="145">
        <f t="shared" si="154"/>
        <v>0</v>
      </c>
      <c r="AA224" s="145"/>
      <c r="AB224" s="145">
        <f t="shared" si="155"/>
        <v>0</v>
      </c>
      <c r="AC224" s="156"/>
      <c r="AD224" s="156">
        <f t="shared" si="144"/>
        <v>0</v>
      </c>
    </row>
    <row r="225" customHeight="1" spans="2:30">
      <c r="B225" s="193">
        <f>固定资产台账1!A6</f>
        <v>0</v>
      </c>
      <c r="C225" s="193"/>
      <c r="D225" s="193"/>
      <c r="E225" s="145">
        <f>固定资产台账1!C6</f>
        <v>0</v>
      </c>
      <c r="F225" s="145">
        <f>研发设备工时计算表2!Y8</f>
        <v>0</v>
      </c>
      <c r="G225" s="201">
        <f>研发设备工时计算表2!X8</f>
        <v>0</v>
      </c>
      <c r="H225" s="145">
        <f t="shared" si="145"/>
        <v>0</v>
      </c>
      <c r="I225" s="145"/>
      <c r="J225" s="145">
        <f t="shared" si="146"/>
        <v>0</v>
      </c>
      <c r="K225" s="145"/>
      <c r="L225" s="145">
        <f t="shared" si="147"/>
        <v>0</v>
      </c>
      <c r="M225" s="145"/>
      <c r="N225" s="145">
        <f t="shared" si="148"/>
        <v>0</v>
      </c>
      <c r="O225" s="145"/>
      <c r="P225" s="145">
        <f t="shared" si="149"/>
        <v>0</v>
      </c>
      <c r="Q225" s="145"/>
      <c r="R225" s="145">
        <f t="shared" si="150"/>
        <v>0</v>
      </c>
      <c r="S225" s="145"/>
      <c r="T225" s="145">
        <f t="shared" si="151"/>
        <v>0</v>
      </c>
      <c r="U225" s="145"/>
      <c r="V225" s="145">
        <f t="shared" si="152"/>
        <v>0</v>
      </c>
      <c r="W225" s="145"/>
      <c r="X225" s="145">
        <f t="shared" si="153"/>
        <v>0</v>
      </c>
      <c r="Y225" s="145"/>
      <c r="Z225" s="145">
        <f t="shared" si="154"/>
        <v>0</v>
      </c>
      <c r="AA225" s="145"/>
      <c r="AB225" s="145">
        <f t="shared" si="155"/>
        <v>0</v>
      </c>
      <c r="AC225" s="156"/>
      <c r="AD225" s="156">
        <f t="shared" si="144"/>
        <v>0</v>
      </c>
    </row>
    <row r="226" customHeight="1" spans="2:30">
      <c r="B226" s="193">
        <f>固定资产台账1!A7</f>
        <v>0</v>
      </c>
      <c r="C226" s="193"/>
      <c r="D226" s="193"/>
      <c r="E226" s="145">
        <f>固定资产台账1!C7</f>
        <v>0</v>
      </c>
      <c r="F226" s="145">
        <f>研发设备工时计算表2!Y9</f>
        <v>0</v>
      </c>
      <c r="G226" s="201">
        <f>研发设备工时计算表2!X9</f>
        <v>0</v>
      </c>
      <c r="H226" s="145">
        <f t="shared" si="145"/>
        <v>0</v>
      </c>
      <c r="I226" s="145"/>
      <c r="J226" s="145">
        <f t="shared" si="146"/>
        <v>0</v>
      </c>
      <c r="K226" s="145"/>
      <c r="L226" s="145">
        <f t="shared" si="147"/>
        <v>0</v>
      </c>
      <c r="M226" s="145"/>
      <c r="N226" s="145">
        <f t="shared" si="148"/>
        <v>0</v>
      </c>
      <c r="O226" s="145"/>
      <c r="P226" s="145">
        <f t="shared" si="149"/>
        <v>0</v>
      </c>
      <c r="Q226" s="145"/>
      <c r="R226" s="145">
        <f t="shared" si="150"/>
        <v>0</v>
      </c>
      <c r="S226" s="145"/>
      <c r="T226" s="145">
        <f t="shared" si="151"/>
        <v>0</v>
      </c>
      <c r="U226" s="145"/>
      <c r="V226" s="145">
        <f t="shared" si="152"/>
        <v>0</v>
      </c>
      <c r="W226" s="145"/>
      <c r="X226" s="145">
        <f t="shared" si="153"/>
        <v>0</v>
      </c>
      <c r="Y226" s="145"/>
      <c r="Z226" s="145">
        <f t="shared" si="154"/>
        <v>0</v>
      </c>
      <c r="AA226" s="145"/>
      <c r="AB226" s="145">
        <f t="shared" si="155"/>
        <v>0</v>
      </c>
      <c r="AC226" s="156"/>
      <c r="AD226" s="156">
        <f t="shared" si="144"/>
        <v>0</v>
      </c>
    </row>
    <row r="227" customHeight="1" spans="2:30">
      <c r="B227" s="193">
        <f>固定资产台账1!A8</f>
        <v>0</v>
      </c>
      <c r="C227" s="193"/>
      <c r="D227" s="193"/>
      <c r="E227" s="145">
        <f>固定资产台账1!C8</f>
        <v>0</v>
      </c>
      <c r="F227" s="145">
        <f>研发设备工时计算表2!Y10</f>
        <v>0</v>
      </c>
      <c r="G227" s="201">
        <f>研发设备工时计算表2!X10</f>
        <v>0</v>
      </c>
      <c r="H227" s="145">
        <f t="shared" si="145"/>
        <v>0</v>
      </c>
      <c r="I227" s="145"/>
      <c r="J227" s="145">
        <f t="shared" si="146"/>
        <v>0</v>
      </c>
      <c r="K227" s="145"/>
      <c r="L227" s="145">
        <f t="shared" si="147"/>
        <v>0</v>
      </c>
      <c r="M227" s="145"/>
      <c r="N227" s="145">
        <f t="shared" si="148"/>
        <v>0</v>
      </c>
      <c r="O227" s="145"/>
      <c r="P227" s="145">
        <f t="shared" si="149"/>
        <v>0</v>
      </c>
      <c r="Q227" s="145"/>
      <c r="R227" s="145">
        <f t="shared" si="150"/>
        <v>0</v>
      </c>
      <c r="S227" s="145"/>
      <c r="T227" s="145">
        <f t="shared" si="151"/>
        <v>0</v>
      </c>
      <c r="U227" s="145"/>
      <c r="V227" s="145">
        <f t="shared" si="152"/>
        <v>0</v>
      </c>
      <c r="W227" s="145"/>
      <c r="X227" s="145">
        <f t="shared" si="153"/>
        <v>0</v>
      </c>
      <c r="Y227" s="145"/>
      <c r="Z227" s="145">
        <f t="shared" si="154"/>
        <v>0</v>
      </c>
      <c r="AA227" s="145"/>
      <c r="AB227" s="145">
        <f t="shared" si="155"/>
        <v>0</v>
      </c>
      <c r="AC227" s="156"/>
      <c r="AD227" s="156">
        <f t="shared" si="144"/>
        <v>0</v>
      </c>
    </row>
    <row r="228" customHeight="1" spans="2:30">
      <c r="B228" s="193">
        <f>固定资产台账1!A9</f>
        <v>0</v>
      </c>
      <c r="C228" s="193"/>
      <c r="D228" s="193"/>
      <c r="E228" s="145">
        <f>固定资产台账1!C9</f>
        <v>0</v>
      </c>
      <c r="F228" s="145">
        <f>研发设备工时计算表2!Y11</f>
        <v>0</v>
      </c>
      <c r="G228" s="201">
        <f>研发设备工时计算表2!X11</f>
        <v>0</v>
      </c>
      <c r="H228" s="145">
        <f t="shared" si="145"/>
        <v>0</v>
      </c>
      <c r="I228" s="145"/>
      <c r="J228" s="145">
        <f t="shared" si="146"/>
        <v>0</v>
      </c>
      <c r="K228" s="145"/>
      <c r="L228" s="145">
        <f t="shared" si="147"/>
        <v>0</v>
      </c>
      <c r="M228" s="145"/>
      <c r="N228" s="145">
        <f t="shared" si="148"/>
        <v>0</v>
      </c>
      <c r="O228" s="145"/>
      <c r="P228" s="145">
        <f t="shared" si="149"/>
        <v>0</v>
      </c>
      <c r="Q228" s="145"/>
      <c r="R228" s="145">
        <f t="shared" si="150"/>
        <v>0</v>
      </c>
      <c r="S228" s="145"/>
      <c r="T228" s="145">
        <f t="shared" si="151"/>
        <v>0</v>
      </c>
      <c r="U228" s="145"/>
      <c r="V228" s="145">
        <f t="shared" si="152"/>
        <v>0</v>
      </c>
      <c r="W228" s="145"/>
      <c r="X228" s="145">
        <f t="shared" si="153"/>
        <v>0</v>
      </c>
      <c r="Y228" s="145"/>
      <c r="Z228" s="145">
        <f t="shared" si="154"/>
        <v>0</v>
      </c>
      <c r="AA228" s="145"/>
      <c r="AB228" s="145">
        <f t="shared" si="155"/>
        <v>0</v>
      </c>
      <c r="AC228" s="156"/>
      <c r="AD228" s="156">
        <f t="shared" si="144"/>
        <v>0</v>
      </c>
    </row>
    <row r="229" customHeight="1" spans="2:30">
      <c r="B229" s="193">
        <f>固定资产台账1!A10</f>
        <v>0</v>
      </c>
      <c r="C229" s="193"/>
      <c r="D229" s="193"/>
      <c r="E229" s="145">
        <f>固定资产台账1!C10</f>
        <v>0</v>
      </c>
      <c r="F229" s="145">
        <f>研发设备工时计算表2!Y12</f>
        <v>0</v>
      </c>
      <c r="G229" s="201">
        <f>研发设备工时计算表2!X12</f>
        <v>0</v>
      </c>
      <c r="H229" s="145">
        <f t="shared" si="145"/>
        <v>0</v>
      </c>
      <c r="I229" s="145"/>
      <c r="J229" s="145">
        <f t="shared" si="146"/>
        <v>0</v>
      </c>
      <c r="K229" s="145"/>
      <c r="L229" s="145">
        <f t="shared" si="147"/>
        <v>0</v>
      </c>
      <c r="M229" s="145"/>
      <c r="N229" s="145">
        <f t="shared" si="148"/>
        <v>0</v>
      </c>
      <c r="O229" s="145"/>
      <c r="P229" s="145">
        <f t="shared" si="149"/>
        <v>0</v>
      </c>
      <c r="Q229" s="145"/>
      <c r="R229" s="145">
        <f t="shared" si="150"/>
        <v>0</v>
      </c>
      <c r="S229" s="145"/>
      <c r="T229" s="145">
        <f t="shared" si="151"/>
        <v>0</v>
      </c>
      <c r="U229" s="145"/>
      <c r="V229" s="145">
        <f t="shared" si="152"/>
        <v>0</v>
      </c>
      <c r="W229" s="145"/>
      <c r="X229" s="145">
        <f t="shared" si="153"/>
        <v>0</v>
      </c>
      <c r="Y229" s="145"/>
      <c r="Z229" s="145">
        <f t="shared" si="154"/>
        <v>0</v>
      </c>
      <c r="AA229" s="145"/>
      <c r="AB229" s="145">
        <f t="shared" si="155"/>
        <v>0</v>
      </c>
      <c r="AC229" s="156"/>
      <c r="AD229" s="156">
        <f t="shared" si="144"/>
        <v>0</v>
      </c>
    </row>
    <row r="230" customHeight="1" spans="2:30">
      <c r="B230" s="193">
        <f>固定资产台账1!A11</f>
        <v>0</v>
      </c>
      <c r="C230" s="193"/>
      <c r="D230" s="193"/>
      <c r="E230" s="145">
        <f>固定资产台账1!C11</f>
        <v>0</v>
      </c>
      <c r="F230" s="145">
        <f>研发设备工时计算表2!Y13</f>
        <v>0</v>
      </c>
      <c r="G230" s="201">
        <f>研发设备工时计算表2!X13</f>
        <v>0</v>
      </c>
      <c r="H230" s="145">
        <f t="shared" si="145"/>
        <v>0</v>
      </c>
      <c r="I230" s="145"/>
      <c r="J230" s="145">
        <f t="shared" si="146"/>
        <v>0</v>
      </c>
      <c r="K230" s="145"/>
      <c r="L230" s="145">
        <f t="shared" si="147"/>
        <v>0</v>
      </c>
      <c r="M230" s="145"/>
      <c r="N230" s="145">
        <f t="shared" si="148"/>
        <v>0</v>
      </c>
      <c r="O230" s="145"/>
      <c r="P230" s="145">
        <f t="shared" si="149"/>
        <v>0</v>
      </c>
      <c r="Q230" s="145"/>
      <c r="R230" s="145">
        <f t="shared" si="150"/>
        <v>0</v>
      </c>
      <c r="S230" s="145"/>
      <c r="T230" s="145">
        <f t="shared" si="151"/>
        <v>0</v>
      </c>
      <c r="U230" s="145"/>
      <c r="V230" s="145">
        <f t="shared" si="152"/>
        <v>0</v>
      </c>
      <c r="W230" s="145"/>
      <c r="X230" s="145">
        <f t="shared" si="153"/>
        <v>0</v>
      </c>
      <c r="Y230" s="145"/>
      <c r="Z230" s="145">
        <f t="shared" si="154"/>
        <v>0</v>
      </c>
      <c r="AA230" s="145"/>
      <c r="AB230" s="145">
        <f t="shared" si="155"/>
        <v>0</v>
      </c>
      <c r="AC230" s="156"/>
      <c r="AD230" s="156">
        <f t="shared" si="144"/>
        <v>0</v>
      </c>
    </row>
    <row r="231" customHeight="1" spans="2:30">
      <c r="B231" s="193">
        <f>固定资产台账1!A12</f>
        <v>0</v>
      </c>
      <c r="C231" s="193"/>
      <c r="D231" s="193"/>
      <c r="E231" s="145">
        <f>固定资产台账1!C12</f>
        <v>0</v>
      </c>
      <c r="F231" s="145">
        <f>研发设备工时计算表2!Y14</f>
        <v>0</v>
      </c>
      <c r="G231" s="201">
        <f>研发设备工时计算表2!X14</f>
        <v>0</v>
      </c>
      <c r="H231" s="145">
        <f t="shared" si="145"/>
        <v>0</v>
      </c>
      <c r="I231" s="145"/>
      <c r="J231" s="145">
        <f t="shared" si="146"/>
        <v>0</v>
      </c>
      <c r="K231" s="145"/>
      <c r="L231" s="145">
        <f t="shared" si="147"/>
        <v>0</v>
      </c>
      <c r="M231" s="145"/>
      <c r="N231" s="145">
        <f t="shared" si="148"/>
        <v>0</v>
      </c>
      <c r="O231" s="145"/>
      <c r="P231" s="145">
        <f t="shared" si="149"/>
        <v>0</v>
      </c>
      <c r="Q231" s="145"/>
      <c r="R231" s="145">
        <f t="shared" si="150"/>
        <v>0</v>
      </c>
      <c r="S231" s="145"/>
      <c r="T231" s="145">
        <f t="shared" si="151"/>
        <v>0</v>
      </c>
      <c r="U231" s="145"/>
      <c r="V231" s="145">
        <f t="shared" si="152"/>
        <v>0</v>
      </c>
      <c r="W231" s="145"/>
      <c r="X231" s="145">
        <f t="shared" si="153"/>
        <v>0</v>
      </c>
      <c r="Y231" s="145"/>
      <c r="Z231" s="145">
        <f t="shared" si="154"/>
        <v>0</v>
      </c>
      <c r="AA231" s="145"/>
      <c r="AB231" s="145">
        <f t="shared" si="155"/>
        <v>0</v>
      </c>
      <c r="AC231" s="156"/>
      <c r="AD231" s="156">
        <f t="shared" si="144"/>
        <v>0</v>
      </c>
    </row>
    <row r="232" customHeight="1" spans="2:30">
      <c r="B232" s="193">
        <f>固定资产台账1!A13</f>
        <v>0</v>
      </c>
      <c r="C232" s="193"/>
      <c r="D232" s="193"/>
      <c r="E232" s="145">
        <f>固定资产台账1!C13</f>
        <v>0</v>
      </c>
      <c r="F232" s="145">
        <f>研发设备工时计算表2!Y15</f>
        <v>0</v>
      </c>
      <c r="G232" s="201">
        <f>研发设备工时计算表2!X15</f>
        <v>0</v>
      </c>
      <c r="H232" s="145">
        <f t="shared" si="145"/>
        <v>0</v>
      </c>
      <c r="I232" s="145"/>
      <c r="J232" s="145">
        <f t="shared" si="146"/>
        <v>0</v>
      </c>
      <c r="K232" s="145"/>
      <c r="L232" s="145">
        <f t="shared" si="147"/>
        <v>0</v>
      </c>
      <c r="M232" s="145"/>
      <c r="N232" s="145">
        <f t="shared" si="148"/>
        <v>0</v>
      </c>
      <c r="O232" s="145"/>
      <c r="P232" s="145">
        <f t="shared" si="149"/>
        <v>0</v>
      </c>
      <c r="Q232" s="145"/>
      <c r="R232" s="145">
        <f t="shared" si="150"/>
        <v>0</v>
      </c>
      <c r="S232" s="145"/>
      <c r="T232" s="145">
        <f t="shared" si="151"/>
        <v>0</v>
      </c>
      <c r="U232" s="145"/>
      <c r="V232" s="145">
        <f t="shared" si="152"/>
        <v>0</v>
      </c>
      <c r="W232" s="145"/>
      <c r="X232" s="145">
        <f t="shared" si="153"/>
        <v>0</v>
      </c>
      <c r="Y232" s="145"/>
      <c r="Z232" s="145">
        <f t="shared" si="154"/>
        <v>0</v>
      </c>
      <c r="AA232" s="145"/>
      <c r="AB232" s="145">
        <f t="shared" si="155"/>
        <v>0</v>
      </c>
      <c r="AC232" s="156"/>
      <c r="AD232" s="156">
        <f t="shared" si="144"/>
        <v>0</v>
      </c>
    </row>
    <row r="233" customHeight="1" spans="2:30">
      <c r="B233" s="193">
        <f>固定资产台账1!A14</f>
        <v>0</v>
      </c>
      <c r="C233" s="193"/>
      <c r="D233" s="193"/>
      <c r="E233" s="145">
        <f>固定资产台账1!C14</f>
        <v>0</v>
      </c>
      <c r="F233" s="145">
        <f>研发设备工时计算表2!Y16</f>
        <v>0</v>
      </c>
      <c r="G233" s="201">
        <f>研发设备工时计算表2!X16</f>
        <v>0</v>
      </c>
      <c r="H233" s="145">
        <f t="shared" si="145"/>
        <v>0</v>
      </c>
      <c r="I233" s="145"/>
      <c r="J233" s="145">
        <f t="shared" si="146"/>
        <v>0</v>
      </c>
      <c r="K233" s="145"/>
      <c r="L233" s="145">
        <f t="shared" si="147"/>
        <v>0</v>
      </c>
      <c r="M233" s="145"/>
      <c r="N233" s="145">
        <f t="shared" si="148"/>
        <v>0</v>
      </c>
      <c r="O233" s="145"/>
      <c r="P233" s="145">
        <f t="shared" si="149"/>
        <v>0</v>
      </c>
      <c r="Q233" s="145"/>
      <c r="R233" s="145">
        <f t="shared" si="150"/>
        <v>0</v>
      </c>
      <c r="S233" s="145"/>
      <c r="T233" s="145">
        <f t="shared" si="151"/>
        <v>0</v>
      </c>
      <c r="U233" s="145"/>
      <c r="V233" s="145">
        <f t="shared" si="152"/>
        <v>0</v>
      </c>
      <c r="W233" s="145"/>
      <c r="X233" s="145">
        <f t="shared" si="153"/>
        <v>0</v>
      </c>
      <c r="Y233" s="145"/>
      <c r="Z233" s="145">
        <f t="shared" si="154"/>
        <v>0</v>
      </c>
      <c r="AA233" s="145"/>
      <c r="AB233" s="145">
        <f t="shared" si="155"/>
        <v>0</v>
      </c>
      <c r="AC233" s="156"/>
      <c r="AD233" s="156">
        <f t="shared" si="144"/>
        <v>0</v>
      </c>
    </row>
    <row r="234" customHeight="1" spans="2:30">
      <c r="B234" s="193">
        <f>固定资产台账1!A15</f>
        <v>0</v>
      </c>
      <c r="C234" s="193"/>
      <c r="D234" s="193"/>
      <c r="E234" s="145">
        <f>固定资产台账1!C15</f>
        <v>0</v>
      </c>
      <c r="F234" s="145">
        <f>研发设备工时计算表2!Y17</f>
        <v>0</v>
      </c>
      <c r="G234" s="201">
        <f>研发设备工时计算表2!X17</f>
        <v>0</v>
      </c>
      <c r="H234" s="145">
        <f t="shared" si="145"/>
        <v>0</v>
      </c>
      <c r="I234" s="145"/>
      <c r="J234" s="145">
        <f t="shared" si="146"/>
        <v>0</v>
      </c>
      <c r="K234" s="145"/>
      <c r="L234" s="145">
        <f t="shared" si="147"/>
        <v>0</v>
      </c>
      <c r="M234" s="145"/>
      <c r="N234" s="145">
        <f t="shared" si="148"/>
        <v>0</v>
      </c>
      <c r="O234" s="145"/>
      <c r="P234" s="145">
        <f t="shared" si="149"/>
        <v>0</v>
      </c>
      <c r="Q234" s="145"/>
      <c r="R234" s="145">
        <f t="shared" si="150"/>
        <v>0</v>
      </c>
      <c r="S234" s="145"/>
      <c r="T234" s="145">
        <f t="shared" si="151"/>
        <v>0</v>
      </c>
      <c r="U234" s="145"/>
      <c r="V234" s="145">
        <f t="shared" si="152"/>
        <v>0</v>
      </c>
      <c r="W234" s="145"/>
      <c r="X234" s="145">
        <f t="shared" si="153"/>
        <v>0</v>
      </c>
      <c r="Y234" s="145"/>
      <c r="Z234" s="145">
        <f t="shared" si="154"/>
        <v>0</v>
      </c>
      <c r="AA234" s="145"/>
      <c r="AB234" s="145">
        <f t="shared" si="155"/>
        <v>0</v>
      </c>
      <c r="AC234" s="156"/>
      <c r="AD234" s="156">
        <f t="shared" si="144"/>
        <v>0</v>
      </c>
    </row>
    <row r="235" customHeight="1" spans="2:30">
      <c r="B235" s="193">
        <f>固定资产台账1!A16</f>
        <v>0</v>
      </c>
      <c r="C235" s="193"/>
      <c r="D235" s="193"/>
      <c r="E235" s="145">
        <f>固定资产台账1!C16</f>
        <v>0</v>
      </c>
      <c r="F235" s="145">
        <f>研发设备工时计算表2!Y18</f>
        <v>0</v>
      </c>
      <c r="G235" s="201">
        <f>研发设备工时计算表2!X18</f>
        <v>0</v>
      </c>
      <c r="H235" s="145">
        <f t="shared" si="145"/>
        <v>0</v>
      </c>
      <c r="I235" s="145"/>
      <c r="J235" s="145">
        <f t="shared" si="146"/>
        <v>0</v>
      </c>
      <c r="K235" s="145"/>
      <c r="L235" s="145">
        <f t="shared" si="147"/>
        <v>0</v>
      </c>
      <c r="M235" s="145"/>
      <c r="N235" s="145">
        <f t="shared" si="148"/>
        <v>0</v>
      </c>
      <c r="O235" s="145"/>
      <c r="P235" s="145">
        <f t="shared" si="149"/>
        <v>0</v>
      </c>
      <c r="Q235" s="145"/>
      <c r="R235" s="145">
        <f t="shared" si="150"/>
        <v>0</v>
      </c>
      <c r="S235" s="145"/>
      <c r="T235" s="145">
        <f t="shared" si="151"/>
        <v>0</v>
      </c>
      <c r="U235" s="145"/>
      <c r="V235" s="145">
        <f t="shared" si="152"/>
        <v>0</v>
      </c>
      <c r="W235" s="145"/>
      <c r="X235" s="145">
        <f t="shared" si="153"/>
        <v>0</v>
      </c>
      <c r="Y235" s="145"/>
      <c r="Z235" s="145">
        <f t="shared" si="154"/>
        <v>0</v>
      </c>
      <c r="AA235" s="145"/>
      <c r="AB235" s="145">
        <f t="shared" si="155"/>
        <v>0</v>
      </c>
      <c r="AC235" s="156"/>
      <c r="AD235" s="156">
        <f t="shared" si="144"/>
        <v>0</v>
      </c>
    </row>
    <row r="236" customHeight="1" spans="2:30">
      <c r="B236" s="193">
        <f>固定资产台账1!A17</f>
        <v>0</v>
      </c>
      <c r="C236" s="193"/>
      <c r="D236" s="193"/>
      <c r="E236" s="145">
        <f>固定资产台账1!C17</f>
        <v>0</v>
      </c>
      <c r="F236" s="145">
        <f>研发设备工时计算表2!Y19</f>
        <v>0</v>
      </c>
      <c r="G236" s="201">
        <f>研发设备工时计算表2!X19</f>
        <v>0</v>
      </c>
      <c r="H236" s="145">
        <f t="shared" si="145"/>
        <v>0</v>
      </c>
      <c r="I236" s="145"/>
      <c r="J236" s="145">
        <f t="shared" si="146"/>
        <v>0</v>
      </c>
      <c r="K236" s="145"/>
      <c r="L236" s="145">
        <f t="shared" si="147"/>
        <v>0</v>
      </c>
      <c r="M236" s="145"/>
      <c r="N236" s="145">
        <f t="shared" si="148"/>
        <v>0</v>
      </c>
      <c r="O236" s="145"/>
      <c r="P236" s="145">
        <f t="shared" si="149"/>
        <v>0</v>
      </c>
      <c r="Q236" s="145"/>
      <c r="R236" s="145">
        <f t="shared" si="150"/>
        <v>0</v>
      </c>
      <c r="S236" s="145"/>
      <c r="T236" s="145">
        <f t="shared" si="151"/>
        <v>0</v>
      </c>
      <c r="U236" s="145"/>
      <c r="V236" s="145">
        <f t="shared" si="152"/>
        <v>0</v>
      </c>
      <c r="W236" s="145"/>
      <c r="X236" s="145">
        <f t="shared" si="153"/>
        <v>0</v>
      </c>
      <c r="Y236" s="145"/>
      <c r="Z236" s="145">
        <f t="shared" si="154"/>
        <v>0</v>
      </c>
      <c r="AA236" s="145"/>
      <c r="AB236" s="145">
        <f t="shared" si="155"/>
        <v>0</v>
      </c>
      <c r="AC236" s="156"/>
      <c r="AD236" s="156">
        <f t="shared" si="144"/>
        <v>0</v>
      </c>
    </row>
    <row r="237" customHeight="1" spans="2:30">
      <c r="B237" s="193">
        <f>固定资产台账1!A18</f>
        <v>0</v>
      </c>
      <c r="C237" s="193"/>
      <c r="D237" s="193"/>
      <c r="E237" s="145">
        <f>固定资产台账1!C18</f>
        <v>0</v>
      </c>
      <c r="F237" s="145">
        <f>研发设备工时计算表2!Y20</f>
        <v>0</v>
      </c>
      <c r="G237" s="201">
        <f>研发设备工时计算表2!X20</f>
        <v>0</v>
      </c>
      <c r="H237" s="145">
        <f t="shared" si="145"/>
        <v>0</v>
      </c>
      <c r="I237" s="145"/>
      <c r="J237" s="145">
        <f t="shared" si="146"/>
        <v>0</v>
      </c>
      <c r="K237" s="145"/>
      <c r="L237" s="145">
        <f t="shared" si="147"/>
        <v>0</v>
      </c>
      <c r="M237" s="145"/>
      <c r="N237" s="145">
        <f t="shared" si="148"/>
        <v>0</v>
      </c>
      <c r="O237" s="145"/>
      <c r="P237" s="145">
        <f t="shared" si="149"/>
        <v>0</v>
      </c>
      <c r="Q237" s="145"/>
      <c r="R237" s="145">
        <f t="shared" si="150"/>
        <v>0</v>
      </c>
      <c r="S237" s="145"/>
      <c r="T237" s="145">
        <f t="shared" si="151"/>
        <v>0</v>
      </c>
      <c r="U237" s="145"/>
      <c r="V237" s="145">
        <f t="shared" si="152"/>
        <v>0</v>
      </c>
      <c r="W237" s="145"/>
      <c r="X237" s="145">
        <f t="shared" si="153"/>
        <v>0</v>
      </c>
      <c r="Y237" s="145"/>
      <c r="Z237" s="145">
        <f t="shared" si="154"/>
        <v>0</v>
      </c>
      <c r="AA237" s="145"/>
      <c r="AB237" s="145">
        <f t="shared" si="155"/>
        <v>0</v>
      </c>
      <c r="AC237" s="156"/>
      <c r="AD237" s="156">
        <f t="shared" si="144"/>
        <v>0</v>
      </c>
    </row>
    <row r="238" customHeight="1" spans="2:30">
      <c r="B238" s="193">
        <f>固定资产台账1!A19</f>
        <v>0</v>
      </c>
      <c r="C238" s="193"/>
      <c r="D238" s="193"/>
      <c r="E238" s="145">
        <f>固定资产台账1!C19</f>
        <v>0</v>
      </c>
      <c r="F238" s="145">
        <f>研发设备工时计算表2!Y21</f>
        <v>0</v>
      </c>
      <c r="G238" s="201">
        <f>研发设备工时计算表2!X21</f>
        <v>0</v>
      </c>
      <c r="H238" s="145">
        <f t="shared" si="145"/>
        <v>0</v>
      </c>
      <c r="I238" s="145"/>
      <c r="J238" s="145">
        <f t="shared" si="146"/>
        <v>0</v>
      </c>
      <c r="K238" s="145"/>
      <c r="L238" s="145">
        <f t="shared" si="147"/>
        <v>0</v>
      </c>
      <c r="M238" s="145"/>
      <c r="N238" s="145">
        <f t="shared" si="148"/>
        <v>0</v>
      </c>
      <c r="O238" s="145"/>
      <c r="P238" s="145">
        <f t="shared" si="149"/>
        <v>0</v>
      </c>
      <c r="Q238" s="145"/>
      <c r="R238" s="145">
        <f t="shared" si="150"/>
        <v>0</v>
      </c>
      <c r="S238" s="145"/>
      <c r="T238" s="145">
        <f t="shared" si="151"/>
        <v>0</v>
      </c>
      <c r="U238" s="145"/>
      <c r="V238" s="145">
        <f t="shared" si="152"/>
        <v>0</v>
      </c>
      <c r="W238" s="145"/>
      <c r="X238" s="145">
        <f t="shared" si="153"/>
        <v>0</v>
      </c>
      <c r="Y238" s="145"/>
      <c r="Z238" s="145">
        <f t="shared" si="154"/>
        <v>0</v>
      </c>
      <c r="AA238" s="145"/>
      <c r="AB238" s="145">
        <f t="shared" si="155"/>
        <v>0</v>
      </c>
      <c r="AC238" s="156"/>
      <c r="AD238" s="156">
        <f t="shared" si="144"/>
        <v>0</v>
      </c>
    </row>
    <row r="239" customHeight="1" spans="2:30">
      <c r="B239" s="193">
        <f>固定资产台账1!A20</f>
        <v>0</v>
      </c>
      <c r="C239" s="193"/>
      <c r="D239" s="193"/>
      <c r="E239" s="145">
        <f>固定资产台账1!C20</f>
        <v>0</v>
      </c>
      <c r="F239" s="145">
        <f>研发设备工时计算表2!Y22</f>
        <v>0</v>
      </c>
      <c r="G239" s="201">
        <f>研发设备工时计算表2!X22</f>
        <v>0</v>
      </c>
      <c r="H239" s="145">
        <f t="shared" si="145"/>
        <v>0</v>
      </c>
      <c r="I239" s="145"/>
      <c r="J239" s="145">
        <f t="shared" si="146"/>
        <v>0</v>
      </c>
      <c r="K239" s="145"/>
      <c r="L239" s="145">
        <f t="shared" si="147"/>
        <v>0</v>
      </c>
      <c r="M239" s="145"/>
      <c r="N239" s="145">
        <f t="shared" si="148"/>
        <v>0</v>
      </c>
      <c r="O239" s="145"/>
      <c r="P239" s="145">
        <f t="shared" si="149"/>
        <v>0</v>
      </c>
      <c r="Q239" s="145"/>
      <c r="R239" s="145">
        <f t="shared" si="150"/>
        <v>0</v>
      </c>
      <c r="S239" s="145"/>
      <c r="T239" s="145">
        <f t="shared" si="151"/>
        <v>0</v>
      </c>
      <c r="U239" s="145"/>
      <c r="V239" s="145">
        <f t="shared" si="152"/>
        <v>0</v>
      </c>
      <c r="W239" s="145"/>
      <c r="X239" s="145">
        <f t="shared" si="153"/>
        <v>0</v>
      </c>
      <c r="Y239" s="145"/>
      <c r="Z239" s="145">
        <f t="shared" si="154"/>
        <v>0</v>
      </c>
      <c r="AA239" s="145"/>
      <c r="AB239" s="145">
        <f t="shared" si="155"/>
        <v>0</v>
      </c>
      <c r="AC239" s="156"/>
      <c r="AD239" s="156">
        <f t="shared" si="144"/>
        <v>0</v>
      </c>
    </row>
    <row r="240" customHeight="1" spans="2:30">
      <c r="B240" s="193">
        <f>固定资产台账1!A21</f>
        <v>0</v>
      </c>
      <c r="C240" s="193"/>
      <c r="D240" s="193"/>
      <c r="E240" s="145">
        <f>固定资产台账1!C21</f>
        <v>0</v>
      </c>
      <c r="F240" s="145">
        <f>研发设备工时计算表2!Y23</f>
        <v>0</v>
      </c>
      <c r="G240" s="201">
        <f>研发设备工时计算表2!X23</f>
        <v>0</v>
      </c>
      <c r="H240" s="145">
        <f t="shared" si="145"/>
        <v>0</v>
      </c>
      <c r="I240" s="145"/>
      <c r="J240" s="145">
        <f t="shared" si="146"/>
        <v>0</v>
      </c>
      <c r="K240" s="145"/>
      <c r="L240" s="145">
        <f t="shared" si="147"/>
        <v>0</v>
      </c>
      <c r="M240" s="145"/>
      <c r="N240" s="145">
        <f t="shared" si="148"/>
        <v>0</v>
      </c>
      <c r="O240" s="145"/>
      <c r="P240" s="145">
        <f t="shared" si="149"/>
        <v>0</v>
      </c>
      <c r="Q240" s="145"/>
      <c r="R240" s="145">
        <f t="shared" si="150"/>
        <v>0</v>
      </c>
      <c r="S240" s="145"/>
      <c r="T240" s="145">
        <f t="shared" si="151"/>
        <v>0</v>
      </c>
      <c r="U240" s="145"/>
      <c r="V240" s="145">
        <f t="shared" si="152"/>
        <v>0</v>
      </c>
      <c r="W240" s="145"/>
      <c r="X240" s="145">
        <f t="shared" si="153"/>
        <v>0</v>
      </c>
      <c r="Y240" s="145"/>
      <c r="Z240" s="145">
        <f t="shared" si="154"/>
        <v>0</v>
      </c>
      <c r="AA240" s="145"/>
      <c r="AB240" s="145">
        <f t="shared" si="155"/>
        <v>0</v>
      </c>
      <c r="AC240" s="156"/>
      <c r="AD240" s="156">
        <f t="shared" si="144"/>
        <v>0</v>
      </c>
    </row>
    <row r="241" customHeight="1" spans="2:30">
      <c r="B241" s="193">
        <f>固定资产台账1!A22</f>
        <v>0</v>
      </c>
      <c r="C241" s="193"/>
      <c r="D241" s="193"/>
      <c r="E241" s="145">
        <f>固定资产台账1!C22</f>
        <v>0</v>
      </c>
      <c r="F241" s="145">
        <f>研发设备工时计算表2!Y24</f>
        <v>0</v>
      </c>
      <c r="G241" s="201">
        <f>研发设备工时计算表2!X24</f>
        <v>0</v>
      </c>
      <c r="H241" s="145">
        <f t="shared" si="145"/>
        <v>0</v>
      </c>
      <c r="I241" s="145"/>
      <c r="J241" s="145">
        <f t="shared" si="146"/>
        <v>0</v>
      </c>
      <c r="K241" s="145"/>
      <c r="L241" s="145">
        <f t="shared" si="147"/>
        <v>0</v>
      </c>
      <c r="M241" s="145"/>
      <c r="N241" s="145">
        <f t="shared" si="148"/>
        <v>0</v>
      </c>
      <c r="O241" s="145"/>
      <c r="P241" s="145">
        <f t="shared" si="149"/>
        <v>0</v>
      </c>
      <c r="Q241" s="145"/>
      <c r="R241" s="145">
        <f t="shared" si="150"/>
        <v>0</v>
      </c>
      <c r="S241" s="145"/>
      <c r="T241" s="145">
        <f t="shared" si="151"/>
        <v>0</v>
      </c>
      <c r="U241" s="145"/>
      <c r="V241" s="145">
        <f t="shared" si="152"/>
        <v>0</v>
      </c>
      <c r="W241" s="145"/>
      <c r="X241" s="145">
        <f t="shared" si="153"/>
        <v>0</v>
      </c>
      <c r="Y241" s="145"/>
      <c r="Z241" s="145">
        <f t="shared" si="154"/>
        <v>0</v>
      </c>
      <c r="AA241" s="145"/>
      <c r="AB241" s="145">
        <f t="shared" si="155"/>
        <v>0</v>
      </c>
      <c r="AC241" s="156"/>
      <c r="AD241" s="156">
        <f t="shared" si="144"/>
        <v>0</v>
      </c>
    </row>
    <row r="242" customHeight="1" spans="2:30">
      <c r="B242" s="193">
        <f>固定资产台账1!A23</f>
        <v>0</v>
      </c>
      <c r="C242" s="193"/>
      <c r="D242" s="193"/>
      <c r="E242" s="145">
        <f>固定资产台账1!C23</f>
        <v>0</v>
      </c>
      <c r="F242" s="145">
        <f>研发设备工时计算表2!Y25</f>
        <v>0</v>
      </c>
      <c r="G242" s="201">
        <f>研发设备工时计算表2!X25</f>
        <v>0</v>
      </c>
      <c r="H242" s="145">
        <f t="shared" si="145"/>
        <v>0</v>
      </c>
      <c r="I242" s="145"/>
      <c r="J242" s="145">
        <f t="shared" si="146"/>
        <v>0</v>
      </c>
      <c r="K242" s="145"/>
      <c r="L242" s="145">
        <f t="shared" si="147"/>
        <v>0</v>
      </c>
      <c r="M242" s="145"/>
      <c r="N242" s="145">
        <f t="shared" si="148"/>
        <v>0</v>
      </c>
      <c r="O242" s="145"/>
      <c r="P242" s="145">
        <f t="shared" si="149"/>
        <v>0</v>
      </c>
      <c r="Q242" s="145"/>
      <c r="R242" s="145">
        <f t="shared" si="150"/>
        <v>0</v>
      </c>
      <c r="S242" s="145"/>
      <c r="T242" s="145">
        <f t="shared" si="151"/>
        <v>0</v>
      </c>
      <c r="U242" s="145"/>
      <c r="V242" s="145">
        <f t="shared" si="152"/>
        <v>0</v>
      </c>
      <c r="W242" s="145"/>
      <c r="X242" s="145">
        <f t="shared" si="153"/>
        <v>0</v>
      </c>
      <c r="Y242" s="145"/>
      <c r="Z242" s="145">
        <f t="shared" si="154"/>
        <v>0</v>
      </c>
      <c r="AA242" s="145"/>
      <c r="AB242" s="145">
        <f t="shared" si="155"/>
        <v>0</v>
      </c>
      <c r="AC242" s="156"/>
      <c r="AD242" s="156">
        <f t="shared" si="144"/>
        <v>0</v>
      </c>
    </row>
    <row r="243" customHeight="1" spans="2:30">
      <c r="B243" s="193">
        <f>固定资产台账1!A25</f>
        <v>0</v>
      </c>
      <c r="C243" s="193"/>
      <c r="D243" s="193"/>
      <c r="E243" s="145">
        <f>固定资产台账1!C25</f>
        <v>0</v>
      </c>
      <c r="F243" s="145">
        <f>研发设备工时计算表2!Y26</f>
        <v>0</v>
      </c>
      <c r="G243" s="201">
        <f>研发设备工时计算表2!X26</f>
        <v>0</v>
      </c>
      <c r="H243" s="145">
        <f t="shared" si="145"/>
        <v>0</v>
      </c>
      <c r="I243" s="145"/>
      <c r="J243" s="145">
        <f t="shared" si="146"/>
        <v>0</v>
      </c>
      <c r="K243" s="145"/>
      <c r="L243" s="145">
        <f t="shared" si="147"/>
        <v>0</v>
      </c>
      <c r="M243" s="145"/>
      <c r="N243" s="145">
        <f t="shared" si="148"/>
        <v>0</v>
      </c>
      <c r="O243" s="145"/>
      <c r="P243" s="145">
        <f t="shared" si="149"/>
        <v>0</v>
      </c>
      <c r="Q243" s="145"/>
      <c r="R243" s="145">
        <f t="shared" si="150"/>
        <v>0</v>
      </c>
      <c r="S243" s="145"/>
      <c r="T243" s="145">
        <f t="shared" si="151"/>
        <v>0</v>
      </c>
      <c r="U243" s="145"/>
      <c r="V243" s="145">
        <f t="shared" si="152"/>
        <v>0</v>
      </c>
      <c r="W243" s="145"/>
      <c r="X243" s="145">
        <f t="shared" si="153"/>
        <v>0</v>
      </c>
      <c r="Y243" s="145"/>
      <c r="Z243" s="145">
        <f t="shared" si="154"/>
        <v>0</v>
      </c>
      <c r="AA243" s="145"/>
      <c r="AB243" s="145">
        <f t="shared" si="155"/>
        <v>0</v>
      </c>
      <c r="AC243" s="156"/>
      <c r="AD243" s="156">
        <f t="shared" si="144"/>
        <v>0</v>
      </c>
    </row>
    <row r="244" customHeight="1" spans="2:30">
      <c r="B244" s="193">
        <f>固定资产台账1!A25</f>
        <v>0</v>
      </c>
      <c r="C244" s="193"/>
      <c r="D244" s="193"/>
      <c r="E244" s="145">
        <f>固定资产台账1!C25</f>
        <v>0</v>
      </c>
      <c r="F244" s="145">
        <f>研发设备工时计算表2!Y27</f>
        <v>0</v>
      </c>
      <c r="G244" s="201">
        <f>研发设备工时计算表2!X27</f>
        <v>0</v>
      </c>
      <c r="H244" s="145">
        <f t="shared" si="145"/>
        <v>0</v>
      </c>
      <c r="I244" s="145"/>
      <c r="J244" s="145">
        <f t="shared" si="146"/>
        <v>0</v>
      </c>
      <c r="K244" s="145"/>
      <c r="L244" s="145">
        <f t="shared" si="147"/>
        <v>0</v>
      </c>
      <c r="M244" s="145"/>
      <c r="N244" s="145">
        <f t="shared" si="148"/>
        <v>0</v>
      </c>
      <c r="O244" s="145"/>
      <c r="P244" s="145">
        <f t="shared" si="149"/>
        <v>0</v>
      </c>
      <c r="Q244" s="145"/>
      <c r="R244" s="145">
        <f t="shared" si="150"/>
        <v>0</v>
      </c>
      <c r="S244" s="145"/>
      <c r="T244" s="145">
        <f t="shared" si="151"/>
        <v>0</v>
      </c>
      <c r="U244" s="145"/>
      <c r="V244" s="145">
        <f t="shared" si="152"/>
        <v>0</v>
      </c>
      <c r="W244" s="145"/>
      <c r="X244" s="145">
        <f t="shared" si="153"/>
        <v>0</v>
      </c>
      <c r="Y244" s="145"/>
      <c r="Z244" s="145">
        <f t="shared" si="154"/>
        <v>0</v>
      </c>
      <c r="AA244" s="145"/>
      <c r="AB244" s="145">
        <f t="shared" si="155"/>
        <v>0</v>
      </c>
      <c r="AC244" s="156"/>
      <c r="AD244" s="156">
        <f t="shared" si="144"/>
        <v>0</v>
      </c>
    </row>
    <row r="245" customHeight="1" spans="2:30">
      <c r="B245" s="193">
        <f>固定资产台账1!A26</f>
        <v>0</v>
      </c>
      <c r="C245" s="193"/>
      <c r="D245" s="193"/>
      <c r="E245" s="145">
        <f>固定资产台账1!C26</f>
        <v>0</v>
      </c>
      <c r="F245" s="145">
        <f>研发设备工时计算表2!Y28</f>
        <v>0</v>
      </c>
      <c r="G245" s="201">
        <f>研发设备工时计算表2!X28</f>
        <v>0</v>
      </c>
      <c r="H245" s="145">
        <f t="shared" si="145"/>
        <v>0</v>
      </c>
      <c r="I245" s="145"/>
      <c r="J245" s="145">
        <f t="shared" si="146"/>
        <v>0</v>
      </c>
      <c r="K245" s="145"/>
      <c r="L245" s="145">
        <f t="shared" si="147"/>
        <v>0</v>
      </c>
      <c r="M245" s="145"/>
      <c r="N245" s="145">
        <f t="shared" si="148"/>
        <v>0</v>
      </c>
      <c r="O245" s="145"/>
      <c r="P245" s="145">
        <f t="shared" si="149"/>
        <v>0</v>
      </c>
      <c r="Q245" s="145"/>
      <c r="R245" s="145">
        <f t="shared" si="150"/>
        <v>0</v>
      </c>
      <c r="S245" s="145"/>
      <c r="T245" s="145">
        <f t="shared" si="151"/>
        <v>0</v>
      </c>
      <c r="U245" s="145"/>
      <c r="V245" s="145">
        <f t="shared" si="152"/>
        <v>0</v>
      </c>
      <c r="W245" s="145"/>
      <c r="X245" s="145">
        <f t="shared" si="153"/>
        <v>0</v>
      </c>
      <c r="Y245" s="145"/>
      <c r="Z245" s="145">
        <f t="shared" si="154"/>
        <v>0</v>
      </c>
      <c r="AA245" s="145"/>
      <c r="AB245" s="145">
        <f t="shared" si="155"/>
        <v>0</v>
      </c>
      <c r="AC245" s="156"/>
      <c r="AD245" s="156">
        <f t="shared" si="144"/>
        <v>0</v>
      </c>
    </row>
    <row r="246" customHeight="1" spans="2:30">
      <c r="B246" s="193">
        <f>固定资产台账1!A27</f>
        <v>0</v>
      </c>
      <c r="C246" s="193"/>
      <c r="D246" s="193"/>
      <c r="E246" s="145">
        <f>固定资产台账1!C27</f>
        <v>0</v>
      </c>
      <c r="F246" s="145">
        <f>研发设备工时计算表2!Y29</f>
        <v>0</v>
      </c>
      <c r="G246" s="201">
        <f>研发设备工时计算表2!X29</f>
        <v>0</v>
      </c>
      <c r="H246" s="145">
        <f t="shared" si="145"/>
        <v>0</v>
      </c>
      <c r="I246" s="145"/>
      <c r="J246" s="145">
        <f t="shared" si="146"/>
        <v>0</v>
      </c>
      <c r="K246" s="145"/>
      <c r="L246" s="145">
        <f t="shared" si="147"/>
        <v>0</v>
      </c>
      <c r="M246" s="145"/>
      <c r="N246" s="145">
        <f t="shared" si="148"/>
        <v>0</v>
      </c>
      <c r="O246" s="145"/>
      <c r="P246" s="145">
        <f t="shared" si="149"/>
        <v>0</v>
      </c>
      <c r="Q246" s="145"/>
      <c r="R246" s="145">
        <f t="shared" si="150"/>
        <v>0</v>
      </c>
      <c r="S246" s="145"/>
      <c r="T246" s="145">
        <f t="shared" si="151"/>
        <v>0</v>
      </c>
      <c r="U246" s="145"/>
      <c r="V246" s="145">
        <f t="shared" si="152"/>
        <v>0</v>
      </c>
      <c r="W246" s="145"/>
      <c r="X246" s="145">
        <f t="shared" si="153"/>
        <v>0</v>
      </c>
      <c r="Y246" s="145"/>
      <c r="Z246" s="145">
        <f t="shared" si="154"/>
        <v>0</v>
      </c>
      <c r="AA246" s="145"/>
      <c r="AB246" s="145">
        <f t="shared" si="155"/>
        <v>0</v>
      </c>
      <c r="AC246" s="156"/>
      <c r="AD246" s="156">
        <f t="shared" si="144"/>
        <v>0</v>
      </c>
    </row>
    <row r="247" customHeight="1" spans="2:30">
      <c r="B247" s="196" t="s">
        <v>255</v>
      </c>
      <c r="C247" s="197"/>
      <c r="D247" s="198"/>
      <c r="E247" s="199">
        <f t="shared" ref="E247:H247" si="156">SUM(E222:E246)</f>
        <v>0</v>
      </c>
      <c r="F247" s="188">
        <f t="shared" si="156"/>
        <v>0</v>
      </c>
      <c r="G247" s="188">
        <f t="shared" si="156"/>
        <v>0</v>
      </c>
      <c r="H247" s="188">
        <f t="shared" si="156"/>
        <v>0</v>
      </c>
      <c r="I247" s="188">
        <f t="shared" ref="I247:N247" si="157">SUM(I222:I246)</f>
        <v>0</v>
      </c>
      <c r="J247" s="188">
        <f t="shared" si="157"/>
        <v>0</v>
      </c>
      <c r="K247" s="188">
        <f t="shared" si="157"/>
        <v>0</v>
      </c>
      <c r="L247" s="188">
        <f t="shared" si="157"/>
        <v>0</v>
      </c>
      <c r="M247" s="188">
        <f t="shared" si="157"/>
        <v>0</v>
      </c>
      <c r="N247" s="188">
        <f t="shared" si="157"/>
        <v>0</v>
      </c>
      <c r="O247" s="188">
        <f t="shared" ref="O247:T247" si="158">SUM(O222:O246)</f>
        <v>0</v>
      </c>
      <c r="P247" s="188">
        <f t="shared" si="158"/>
        <v>0</v>
      </c>
      <c r="Q247" s="188">
        <f t="shared" si="158"/>
        <v>0</v>
      </c>
      <c r="R247" s="188">
        <f t="shared" si="158"/>
        <v>0</v>
      </c>
      <c r="S247" s="188">
        <f t="shared" si="158"/>
        <v>0</v>
      </c>
      <c r="T247" s="188">
        <f t="shared" si="158"/>
        <v>0</v>
      </c>
      <c r="U247" s="188">
        <f t="shared" ref="U247:AB247" si="159">SUM(U222:U246)</f>
        <v>0</v>
      </c>
      <c r="V247" s="188">
        <f t="shared" si="159"/>
        <v>0</v>
      </c>
      <c r="W247" s="188">
        <f t="shared" si="159"/>
        <v>0</v>
      </c>
      <c r="X247" s="188">
        <f t="shared" si="159"/>
        <v>0</v>
      </c>
      <c r="Y247" s="188">
        <f t="shared" si="159"/>
        <v>0</v>
      </c>
      <c r="Z247" s="188">
        <f t="shared" si="159"/>
        <v>0</v>
      </c>
      <c r="AA247" s="188">
        <f t="shared" si="159"/>
        <v>0</v>
      </c>
      <c r="AB247" s="188">
        <f t="shared" si="159"/>
        <v>0</v>
      </c>
      <c r="AC247" s="156"/>
      <c r="AD247" s="156">
        <f t="shared" si="144"/>
        <v>0</v>
      </c>
    </row>
    <row r="248" customHeight="1" spans="2:30">
      <c r="E248" s="200"/>
      <c r="F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156"/>
      <c r="AD248" s="156"/>
    </row>
    <row r="249" customHeight="1" spans="2:30">
      <c r="E249" s="200"/>
      <c r="G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156"/>
      <c r="AD249" s="156"/>
    </row>
    <row r="250" customHeight="1" spans="2:30">
      <c r="B250" s="186" t="s">
        <v>263</v>
      </c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56"/>
      <c r="AD250" s="156"/>
    </row>
    <row r="251" customHeight="1" spans="2:30">
      <c r="B251" s="187" t="s">
        <v>249</v>
      </c>
      <c r="C251" s="187"/>
      <c r="D251" s="187"/>
      <c r="E251" s="188" t="s">
        <v>250</v>
      </c>
      <c r="F251" s="189" t="s">
        <v>251</v>
      </c>
      <c r="G251" s="190" t="s">
        <v>252</v>
      </c>
      <c r="H251" s="190" t="s">
        <v>251</v>
      </c>
      <c r="I251" s="191" t="str">
        <f>立项!A3</f>
        <v>RD01</v>
      </c>
      <c r="J251" s="191"/>
      <c r="K251" s="191" t="str">
        <f>立项!A4</f>
        <v>RD02</v>
      </c>
      <c r="L251" s="191"/>
      <c r="M251" s="191" t="str">
        <f>立项!A5</f>
        <v>RD03</v>
      </c>
      <c r="N251" s="191"/>
      <c r="O251" s="191" t="str">
        <f>立项!A6</f>
        <v>RD04</v>
      </c>
      <c r="P251" s="191"/>
      <c r="Q251" s="191" t="str">
        <f>立项!A7</f>
        <v>RD05</v>
      </c>
      <c r="R251" s="191"/>
      <c r="S251" s="191" t="str">
        <f>立项!A8</f>
        <v>RD06</v>
      </c>
      <c r="T251" s="191"/>
      <c r="U251" s="191" t="str">
        <f>立项!A9</f>
        <v>RD07</v>
      </c>
      <c r="V251" s="191"/>
      <c r="W251" s="191" t="str">
        <f>立项!A10</f>
        <v>RD08</v>
      </c>
      <c r="X251" s="191"/>
      <c r="Y251" s="191" t="str">
        <f>立项!A11</f>
        <v>RD09</v>
      </c>
      <c r="Z251" s="191"/>
      <c r="AA251" s="191" t="str">
        <f>立项!A12</f>
        <v>RD10</v>
      </c>
      <c r="AB251" s="191"/>
      <c r="AC251" s="156"/>
      <c r="AD251" s="156"/>
    </row>
    <row r="252" customHeight="1" spans="2:30">
      <c r="B252" s="187"/>
      <c r="C252" s="187"/>
      <c r="D252" s="187"/>
      <c r="E252" s="188"/>
      <c r="F252" s="188"/>
      <c r="G252" s="190"/>
      <c r="H252" s="190"/>
      <c r="I252" s="192" t="s">
        <v>253</v>
      </c>
      <c r="J252" s="192" t="s">
        <v>254</v>
      </c>
      <c r="K252" s="192" t="s">
        <v>253</v>
      </c>
      <c r="L252" s="192" t="s">
        <v>254</v>
      </c>
      <c r="M252" s="192" t="s">
        <v>253</v>
      </c>
      <c r="N252" s="192" t="s">
        <v>254</v>
      </c>
      <c r="O252" s="192" t="s">
        <v>253</v>
      </c>
      <c r="P252" s="192" t="s">
        <v>254</v>
      </c>
      <c r="Q252" s="192" t="s">
        <v>253</v>
      </c>
      <c r="R252" s="192" t="s">
        <v>254</v>
      </c>
      <c r="S252" s="192" t="s">
        <v>253</v>
      </c>
      <c r="T252" s="192" t="s">
        <v>254</v>
      </c>
      <c r="U252" s="192" t="s">
        <v>253</v>
      </c>
      <c r="V252" s="192" t="s">
        <v>254</v>
      </c>
      <c r="W252" s="192" t="s">
        <v>253</v>
      </c>
      <c r="X252" s="192" t="s">
        <v>254</v>
      </c>
      <c r="Y252" s="192" t="s">
        <v>253</v>
      </c>
      <c r="Z252" s="192" t="s">
        <v>254</v>
      </c>
      <c r="AA252" s="192" t="s">
        <v>253</v>
      </c>
      <c r="AB252" s="192" t="s">
        <v>254</v>
      </c>
      <c r="AC252" s="156"/>
      <c r="AD252" s="156"/>
    </row>
    <row r="253" customHeight="1" spans="2:30">
      <c r="B253" s="193">
        <f>固定资产台账1!A3</f>
        <v>0</v>
      </c>
      <c r="C253" s="193"/>
      <c r="D253" s="193"/>
      <c r="E253" s="145">
        <f>固定资产台账1!C3</f>
        <v>0</v>
      </c>
      <c r="F253" s="145">
        <f>研发设备工时计算表2!AB5</f>
        <v>0</v>
      </c>
      <c r="G253" s="201">
        <f>研发设备工时计算表2!AA5</f>
        <v>0</v>
      </c>
      <c r="H253" s="145">
        <f>J253+L253+N253+P253+R253+T253+V253+X253+Z253+AB253</f>
        <v>0</v>
      </c>
      <c r="I253" s="145"/>
      <c r="J253" s="145">
        <f t="shared" ref="J253:N253" si="160">IF($G253=0,0,ROUND(I253/$G253*$F253,2))</f>
        <v>0</v>
      </c>
      <c r="K253" s="145"/>
      <c r="L253" s="145">
        <f t="shared" si="160"/>
        <v>0</v>
      </c>
      <c r="M253" s="145"/>
      <c r="N253" s="145">
        <f t="shared" si="160"/>
        <v>0</v>
      </c>
      <c r="O253" s="145"/>
      <c r="P253" s="145">
        <f t="shared" ref="P253:T253" si="161">IF($G253=0,0,ROUND(O253/$G253*$F253,2))</f>
        <v>0</v>
      </c>
      <c r="Q253" s="145"/>
      <c r="R253" s="145">
        <f t="shared" si="161"/>
        <v>0</v>
      </c>
      <c r="S253" s="145"/>
      <c r="T253" s="145">
        <f t="shared" si="161"/>
        <v>0</v>
      </c>
      <c r="U253" s="145"/>
      <c r="V253" s="145">
        <f t="shared" ref="V253:Z253" si="162">IF($G253=0,0,ROUND(U253/$G253*$F253,2))</f>
        <v>0</v>
      </c>
      <c r="W253" s="145"/>
      <c r="X253" s="145">
        <f t="shared" si="162"/>
        <v>0</v>
      </c>
      <c r="Y253" s="145"/>
      <c r="Z253" s="145">
        <f t="shared" si="162"/>
        <v>0</v>
      </c>
      <c r="AA253" s="145"/>
      <c r="AB253" s="145">
        <f>IF($G253=0,0,ROUND(AA253/$G253*$F253,2))</f>
        <v>0</v>
      </c>
      <c r="AC253" s="156"/>
      <c r="AD253" s="156">
        <f t="shared" ref="AD253:AD278" si="163">F253-H253</f>
        <v>0</v>
      </c>
    </row>
    <row r="254" customHeight="1" spans="2:30">
      <c r="B254" s="193">
        <f>固定资产台账1!A4</f>
        <v>0</v>
      </c>
      <c r="C254" s="193"/>
      <c r="D254" s="193"/>
      <c r="E254" s="145">
        <f>固定资产台账1!C4</f>
        <v>0</v>
      </c>
      <c r="F254" s="145">
        <f>研发设备工时计算表2!AB6</f>
        <v>0</v>
      </c>
      <c r="G254" s="201">
        <f>研发设备工时计算表2!AA6</f>
        <v>0</v>
      </c>
      <c r="H254" s="145">
        <f t="shared" ref="H254:H277" si="164">J254+L254+N254+P254+R254+T254+V254+X254+Z254+AB254</f>
        <v>0</v>
      </c>
      <c r="I254" s="145"/>
      <c r="J254" s="145">
        <f t="shared" ref="J254:J277" si="165">IF($G254=0,0,ROUND(I254/$G254*$F254,2))</f>
        <v>0</v>
      </c>
      <c r="K254" s="145"/>
      <c r="L254" s="145">
        <f t="shared" ref="L254:L277" si="166">IF($G254=0,0,ROUND(K254/$G254*$F254,2))</f>
        <v>0</v>
      </c>
      <c r="M254" s="145"/>
      <c r="N254" s="145">
        <f t="shared" ref="N254:N277" si="167">IF($G254=0,0,ROUND(M254/$G254*$F254,2))</f>
        <v>0</v>
      </c>
      <c r="O254" s="145"/>
      <c r="P254" s="145">
        <f t="shared" ref="P254:P277" si="168">IF($G254=0,0,ROUND(O254/$G254*$F254,2))</f>
        <v>0</v>
      </c>
      <c r="Q254" s="145"/>
      <c r="R254" s="145">
        <f t="shared" ref="R254:R277" si="169">IF($G254=0,0,ROUND(Q254/$G254*$F254,2))</f>
        <v>0</v>
      </c>
      <c r="S254" s="145"/>
      <c r="T254" s="145">
        <f t="shared" ref="T254:T277" si="170">IF($G254=0,0,ROUND(S254/$G254*$F254,2))</f>
        <v>0</v>
      </c>
      <c r="U254" s="145"/>
      <c r="V254" s="145">
        <f t="shared" ref="V254:V277" si="171">IF($G254=0,0,ROUND(U254/$G254*$F254,2))</f>
        <v>0</v>
      </c>
      <c r="W254" s="145"/>
      <c r="X254" s="145">
        <f t="shared" ref="X254:X277" si="172">IF($G254=0,0,ROUND(W254/$G254*$F254,2))</f>
        <v>0</v>
      </c>
      <c r="Y254" s="145"/>
      <c r="Z254" s="145">
        <f t="shared" ref="Z254:Z277" si="173">IF($G254=0,0,ROUND(Y254/$G254*$F254,2))</f>
        <v>0</v>
      </c>
      <c r="AA254" s="145"/>
      <c r="AB254" s="145">
        <f t="shared" ref="AB254:AB277" si="174">IF($G254=0,0,ROUND(AA254/$G254*$F254,2))</f>
        <v>0</v>
      </c>
      <c r="AC254" s="156"/>
      <c r="AD254" s="156">
        <f t="shared" si="163"/>
        <v>0</v>
      </c>
    </row>
    <row r="255" customHeight="1" spans="2:30">
      <c r="B255" s="193">
        <f>固定资产台账1!A5</f>
        <v>0</v>
      </c>
      <c r="C255" s="193"/>
      <c r="D255" s="193"/>
      <c r="E255" s="145">
        <f>固定资产台账1!C5</f>
        <v>0</v>
      </c>
      <c r="F255" s="145">
        <f>研发设备工时计算表2!AB7</f>
        <v>0</v>
      </c>
      <c r="G255" s="201">
        <f>研发设备工时计算表2!AA7</f>
        <v>0</v>
      </c>
      <c r="H255" s="145">
        <f t="shared" si="164"/>
        <v>0</v>
      </c>
      <c r="I255" s="145"/>
      <c r="J255" s="145">
        <f t="shared" si="165"/>
        <v>0</v>
      </c>
      <c r="K255" s="145"/>
      <c r="L255" s="145">
        <f t="shared" si="166"/>
        <v>0</v>
      </c>
      <c r="M255" s="145"/>
      <c r="N255" s="145">
        <f t="shared" si="167"/>
        <v>0</v>
      </c>
      <c r="O255" s="145"/>
      <c r="P255" s="145">
        <f t="shared" si="168"/>
        <v>0</v>
      </c>
      <c r="Q255" s="145"/>
      <c r="R255" s="145">
        <f t="shared" si="169"/>
        <v>0</v>
      </c>
      <c r="S255" s="145"/>
      <c r="T255" s="145">
        <f t="shared" si="170"/>
        <v>0</v>
      </c>
      <c r="U255" s="145"/>
      <c r="V255" s="145">
        <f t="shared" si="171"/>
        <v>0</v>
      </c>
      <c r="W255" s="145"/>
      <c r="X255" s="145">
        <f t="shared" si="172"/>
        <v>0</v>
      </c>
      <c r="Y255" s="145"/>
      <c r="Z255" s="145">
        <f t="shared" si="173"/>
        <v>0</v>
      </c>
      <c r="AA255" s="145"/>
      <c r="AB255" s="145">
        <f t="shared" si="174"/>
        <v>0</v>
      </c>
      <c r="AC255" s="156"/>
      <c r="AD255" s="156">
        <f t="shared" si="163"/>
        <v>0</v>
      </c>
    </row>
    <row r="256" customHeight="1" spans="2:30">
      <c r="B256" s="193">
        <f>固定资产台账1!A6</f>
        <v>0</v>
      </c>
      <c r="C256" s="193"/>
      <c r="D256" s="193"/>
      <c r="E256" s="145">
        <f>固定资产台账1!C6</f>
        <v>0</v>
      </c>
      <c r="F256" s="145">
        <f>研发设备工时计算表2!AB8</f>
        <v>0</v>
      </c>
      <c r="G256" s="201">
        <f>研发设备工时计算表2!AA8</f>
        <v>0</v>
      </c>
      <c r="H256" s="145">
        <f t="shared" si="164"/>
        <v>0</v>
      </c>
      <c r="I256" s="145"/>
      <c r="J256" s="145">
        <f t="shared" si="165"/>
        <v>0</v>
      </c>
      <c r="K256" s="145"/>
      <c r="L256" s="145">
        <f t="shared" si="166"/>
        <v>0</v>
      </c>
      <c r="M256" s="145"/>
      <c r="N256" s="145">
        <f t="shared" si="167"/>
        <v>0</v>
      </c>
      <c r="O256" s="145"/>
      <c r="P256" s="145">
        <f t="shared" si="168"/>
        <v>0</v>
      </c>
      <c r="Q256" s="145"/>
      <c r="R256" s="145">
        <f t="shared" si="169"/>
        <v>0</v>
      </c>
      <c r="S256" s="145"/>
      <c r="T256" s="145">
        <f t="shared" si="170"/>
        <v>0</v>
      </c>
      <c r="U256" s="145"/>
      <c r="V256" s="145">
        <f t="shared" si="171"/>
        <v>0</v>
      </c>
      <c r="W256" s="145"/>
      <c r="X256" s="145">
        <f t="shared" si="172"/>
        <v>0</v>
      </c>
      <c r="Y256" s="145"/>
      <c r="Z256" s="145">
        <f t="shared" si="173"/>
        <v>0</v>
      </c>
      <c r="AA256" s="145"/>
      <c r="AB256" s="145">
        <f t="shared" si="174"/>
        <v>0</v>
      </c>
      <c r="AC256" s="156"/>
      <c r="AD256" s="156">
        <f t="shared" si="163"/>
        <v>0</v>
      </c>
    </row>
    <row r="257" customHeight="1" spans="2:30">
      <c r="B257" s="193">
        <f>固定资产台账1!A7</f>
        <v>0</v>
      </c>
      <c r="C257" s="193"/>
      <c r="D257" s="193"/>
      <c r="E257" s="145">
        <f>固定资产台账1!C7</f>
        <v>0</v>
      </c>
      <c r="F257" s="145">
        <f>研发设备工时计算表2!AB9</f>
        <v>0</v>
      </c>
      <c r="G257" s="201">
        <f>研发设备工时计算表2!AA9</f>
        <v>0</v>
      </c>
      <c r="H257" s="145">
        <f t="shared" si="164"/>
        <v>0</v>
      </c>
      <c r="I257" s="145"/>
      <c r="J257" s="145">
        <f t="shared" si="165"/>
        <v>0</v>
      </c>
      <c r="K257" s="145"/>
      <c r="L257" s="145">
        <f t="shared" si="166"/>
        <v>0</v>
      </c>
      <c r="M257" s="145"/>
      <c r="N257" s="145">
        <f t="shared" si="167"/>
        <v>0</v>
      </c>
      <c r="O257" s="145"/>
      <c r="P257" s="145">
        <f t="shared" si="168"/>
        <v>0</v>
      </c>
      <c r="Q257" s="145"/>
      <c r="R257" s="145">
        <f t="shared" si="169"/>
        <v>0</v>
      </c>
      <c r="S257" s="145"/>
      <c r="T257" s="145">
        <f t="shared" si="170"/>
        <v>0</v>
      </c>
      <c r="U257" s="145"/>
      <c r="V257" s="145">
        <f t="shared" si="171"/>
        <v>0</v>
      </c>
      <c r="W257" s="145"/>
      <c r="X257" s="145">
        <f t="shared" si="172"/>
        <v>0</v>
      </c>
      <c r="Y257" s="145"/>
      <c r="Z257" s="145">
        <f t="shared" si="173"/>
        <v>0</v>
      </c>
      <c r="AA257" s="145"/>
      <c r="AB257" s="145">
        <f t="shared" si="174"/>
        <v>0</v>
      </c>
      <c r="AC257" s="156"/>
      <c r="AD257" s="156">
        <f t="shared" si="163"/>
        <v>0</v>
      </c>
    </row>
    <row r="258" customHeight="1" spans="2:30">
      <c r="B258" s="193">
        <f>固定资产台账1!A8</f>
        <v>0</v>
      </c>
      <c r="C258" s="193"/>
      <c r="D258" s="193"/>
      <c r="E258" s="145">
        <f>固定资产台账1!C8</f>
        <v>0</v>
      </c>
      <c r="F258" s="145">
        <f>研发设备工时计算表2!AB10</f>
        <v>0</v>
      </c>
      <c r="G258" s="201">
        <f>研发设备工时计算表2!AA10</f>
        <v>0</v>
      </c>
      <c r="H258" s="145">
        <f t="shared" si="164"/>
        <v>0</v>
      </c>
      <c r="I258" s="145"/>
      <c r="J258" s="145">
        <f t="shared" si="165"/>
        <v>0</v>
      </c>
      <c r="K258" s="145"/>
      <c r="L258" s="145">
        <f t="shared" si="166"/>
        <v>0</v>
      </c>
      <c r="M258" s="145"/>
      <c r="N258" s="145">
        <f t="shared" si="167"/>
        <v>0</v>
      </c>
      <c r="O258" s="145"/>
      <c r="P258" s="145">
        <f t="shared" si="168"/>
        <v>0</v>
      </c>
      <c r="Q258" s="145"/>
      <c r="R258" s="145">
        <f t="shared" si="169"/>
        <v>0</v>
      </c>
      <c r="S258" s="145"/>
      <c r="T258" s="145">
        <f t="shared" si="170"/>
        <v>0</v>
      </c>
      <c r="U258" s="145"/>
      <c r="V258" s="145">
        <f t="shared" si="171"/>
        <v>0</v>
      </c>
      <c r="W258" s="145"/>
      <c r="X258" s="145">
        <f t="shared" si="172"/>
        <v>0</v>
      </c>
      <c r="Y258" s="145"/>
      <c r="Z258" s="145">
        <f t="shared" si="173"/>
        <v>0</v>
      </c>
      <c r="AA258" s="145"/>
      <c r="AB258" s="145">
        <f t="shared" si="174"/>
        <v>0</v>
      </c>
      <c r="AC258" s="156"/>
      <c r="AD258" s="156">
        <f t="shared" si="163"/>
        <v>0</v>
      </c>
    </row>
    <row r="259" customHeight="1" spans="2:30">
      <c r="B259" s="193">
        <f>固定资产台账1!A9</f>
        <v>0</v>
      </c>
      <c r="C259" s="193"/>
      <c r="D259" s="193"/>
      <c r="E259" s="145">
        <f>固定资产台账1!C9</f>
        <v>0</v>
      </c>
      <c r="F259" s="145">
        <f>研发设备工时计算表2!AB11</f>
        <v>0</v>
      </c>
      <c r="G259" s="201">
        <f>研发设备工时计算表2!AA11</f>
        <v>0</v>
      </c>
      <c r="H259" s="145">
        <f t="shared" si="164"/>
        <v>0</v>
      </c>
      <c r="I259" s="145"/>
      <c r="J259" s="145">
        <f t="shared" si="165"/>
        <v>0</v>
      </c>
      <c r="K259" s="145"/>
      <c r="L259" s="145">
        <f t="shared" si="166"/>
        <v>0</v>
      </c>
      <c r="M259" s="145"/>
      <c r="N259" s="145">
        <f t="shared" si="167"/>
        <v>0</v>
      </c>
      <c r="O259" s="145"/>
      <c r="P259" s="145">
        <f t="shared" si="168"/>
        <v>0</v>
      </c>
      <c r="Q259" s="145"/>
      <c r="R259" s="145">
        <f t="shared" si="169"/>
        <v>0</v>
      </c>
      <c r="S259" s="145"/>
      <c r="T259" s="145">
        <f t="shared" si="170"/>
        <v>0</v>
      </c>
      <c r="U259" s="145"/>
      <c r="V259" s="145">
        <f t="shared" si="171"/>
        <v>0</v>
      </c>
      <c r="W259" s="145"/>
      <c r="X259" s="145">
        <f t="shared" si="172"/>
        <v>0</v>
      </c>
      <c r="Y259" s="145"/>
      <c r="Z259" s="145">
        <f t="shared" si="173"/>
        <v>0</v>
      </c>
      <c r="AA259" s="145"/>
      <c r="AB259" s="145">
        <f t="shared" si="174"/>
        <v>0</v>
      </c>
      <c r="AC259" s="156"/>
      <c r="AD259" s="156">
        <f t="shared" si="163"/>
        <v>0</v>
      </c>
    </row>
    <row r="260" customHeight="1" spans="2:30">
      <c r="B260" s="193">
        <f>固定资产台账1!A10</f>
        <v>0</v>
      </c>
      <c r="C260" s="193"/>
      <c r="D260" s="193"/>
      <c r="E260" s="145">
        <f>固定资产台账1!C10</f>
        <v>0</v>
      </c>
      <c r="F260" s="145">
        <f>研发设备工时计算表2!AB12</f>
        <v>0</v>
      </c>
      <c r="G260" s="201">
        <f>研发设备工时计算表2!AA12</f>
        <v>0</v>
      </c>
      <c r="H260" s="145">
        <f t="shared" si="164"/>
        <v>0</v>
      </c>
      <c r="I260" s="145"/>
      <c r="J260" s="145">
        <f t="shared" si="165"/>
        <v>0</v>
      </c>
      <c r="K260" s="145"/>
      <c r="L260" s="145">
        <f t="shared" si="166"/>
        <v>0</v>
      </c>
      <c r="M260" s="145"/>
      <c r="N260" s="145">
        <f t="shared" si="167"/>
        <v>0</v>
      </c>
      <c r="O260" s="145"/>
      <c r="P260" s="145">
        <f t="shared" si="168"/>
        <v>0</v>
      </c>
      <c r="Q260" s="145"/>
      <c r="R260" s="145">
        <f t="shared" si="169"/>
        <v>0</v>
      </c>
      <c r="S260" s="145"/>
      <c r="T260" s="145">
        <f t="shared" si="170"/>
        <v>0</v>
      </c>
      <c r="U260" s="145"/>
      <c r="V260" s="145">
        <f t="shared" si="171"/>
        <v>0</v>
      </c>
      <c r="W260" s="145"/>
      <c r="X260" s="145">
        <f t="shared" si="172"/>
        <v>0</v>
      </c>
      <c r="Y260" s="145"/>
      <c r="Z260" s="145">
        <f t="shared" si="173"/>
        <v>0</v>
      </c>
      <c r="AA260" s="145"/>
      <c r="AB260" s="145">
        <f t="shared" si="174"/>
        <v>0</v>
      </c>
      <c r="AC260" s="156"/>
      <c r="AD260" s="156">
        <f t="shared" si="163"/>
        <v>0</v>
      </c>
    </row>
    <row r="261" customHeight="1" spans="2:30">
      <c r="B261" s="193">
        <f>固定资产台账1!A11</f>
        <v>0</v>
      </c>
      <c r="C261" s="193"/>
      <c r="D261" s="193"/>
      <c r="E261" s="145">
        <f>固定资产台账1!C11</f>
        <v>0</v>
      </c>
      <c r="F261" s="145">
        <f>研发设备工时计算表2!AB13</f>
        <v>0</v>
      </c>
      <c r="G261" s="201">
        <f>研发设备工时计算表2!AA13</f>
        <v>0</v>
      </c>
      <c r="H261" s="145">
        <f t="shared" si="164"/>
        <v>0</v>
      </c>
      <c r="I261" s="145"/>
      <c r="J261" s="145">
        <f t="shared" si="165"/>
        <v>0</v>
      </c>
      <c r="K261" s="145"/>
      <c r="L261" s="145">
        <f t="shared" si="166"/>
        <v>0</v>
      </c>
      <c r="M261" s="145"/>
      <c r="N261" s="145">
        <f t="shared" si="167"/>
        <v>0</v>
      </c>
      <c r="O261" s="145"/>
      <c r="P261" s="145">
        <f t="shared" si="168"/>
        <v>0</v>
      </c>
      <c r="Q261" s="145"/>
      <c r="R261" s="145">
        <f t="shared" si="169"/>
        <v>0</v>
      </c>
      <c r="S261" s="145"/>
      <c r="T261" s="145">
        <f t="shared" si="170"/>
        <v>0</v>
      </c>
      <c r="U261" s="145"/>
      <c r="V261" s="145">
        <f t="shared" si="171"/>
        <v>0</v>
      </c>
      <c r="W261" s="145"/>
      <c r="X261" s="145">
        <f t="shared" si="172"/>
        <v>0</v>
      </c>
      <c r="Y261" s="145"/>
      <c r="Z261" s="145">
        <f t="shared" si="173"/>
        <v>0</v>
      </c>
      <c r="AA261" s="145"/>
      <c r="AB261" s="145">
        <f t="shared" si="174"/>
        <v>0</v>
      </c>
      <c r="AC261" s="156"/>
      <c r="AD261" s="156">
        <f t="shared" si="163"/>
        <v>0</v>
      </c>
    </row>
    <row r="262" customHeight="1" spans="2:30">
      <c r="B262" s="193">
        <f>固定资产台账1!A12</f>
        <v>0</v>
      </c>
      <c r="C262" s="193"/>
      <c r="D262" s="193"/>
      <c r="E262" s="145">
        <f>固定资产台账1!C12</f>
        <v>0</v>
      </c>
      <c r="F262" s="145">
        <f>研发设备工时计算表2!AB14</f>
        <v>0</v>
      </c>
      <c r="G262" s="201">
        <f>研发设备工时计算表2!AA14</f>
        <v>0</v>
      </c>
      <c r="H262" s="145">
        <f t="shared" si="164"/>
        <v>0</v>
      </c>
      <c r="I262" s="145"/>
      <c r="J262" s="145">
        <f t="shared" si="165"/>
        <v>0</v>
      </c>
      <c r="K262" s="145"/>
      <c r="L262" s="145">
        <f t="shared" si="166"/>
        <v>0</v>
      </c>
      <c r="M262" s="145"/>
      <c r="N262" s="145">
        <f t="shared" si="167"/>
        <v>0</v>
      </c>
      <c r="O262" s="145"/>
      <c r="P262" s="145">
        <f t="shared" si="168"/>
        <v>0</v>
      </c>
      <c r="Q262" s="145"/>
      <c r="R262" s="145">
        <f t="shared" si="169"/>
        <v>0</v>
      </c>
      <c r="S262" s="145"/>
      <c r="T262" s="145">
        <f t="shared" si="170"/>
        <v>0</v>
      </c>
      <c r="U262" s="145"/>
      <c r="V262" s="145">
        <f t="shared" si="171"/>
        <v>0</v>
      </c>
      <c r="W262" s="145"/>
      <c r="X262" s="145">
        <f t="shared" si="172"/>
        <v>0</v>
      </c>
      <c r="Y262" s="145"/>
      <c r="Z262" s="145">
        <f t="shared" si="173"/>
        <v>0</v>
      </c>
      <c r="AA262" s="145"/>
      <c r="AB262" s="145">
        <f t="shared" si="174"/>
        <v>0</v>
      </c>
      <c r="AC262" s="156"/>
      <c r="AD262" s="156">
        <f t="shared" si="163"/>
        <v>0</v>
      </c>
    </row>
    <row r="263" customHeight="1" spans="2:30">
      <c r="B263" s="193">
        <f>固定资产台账1!A13</f>
        <v>0</v>
      </c>
      <c r="C263" s="193"/>
      <c r="D263" s="193"/>
      <c r="E263" s="145">
        <f>固定资产台账1!C13</f>
        <v>0</v>
      </c>
      <c r="F263" s="145">
        <f>研发设备工时计算表2!AB15</f>
        <v>0</v>
      </c>
      <c r="G263" s="201">
        <f>研发设备工时计算表2!AA15</f>
        <v>0</v>
      </c>
      <c r="H263" s="145">
        <f t="shared" si="164"/>
        <v>0</v>
      </c>
      <c r="I263" s="145"/>
      <c r="J263" s="145">
        <f t="shared" si="165"/>
        <v>0</v>
      </c>
      <c r="K263" s="145"/>
      <c r="L263" s="145">
        <f t="shared" si="166"/>
        <v>0</v>
      </c>
      <c r="M263" s="145"/>
      <c r="N263" s="145">
        <f t="shared" si="167"/>
        <v>0</v>
      </c>
      <c r="O263" s="145"/>
      <c r="P263" s="145">
        <f t="shared" si="168"/>
        <v>0</v>
      </c>
      <c r="Q263" s="145"/>
      <c r="R263" s="145">
        <f t="shared" si="169"/>
        <v>0</v>
      </c>
      <c r="S263" s="145"/>
      <c r="T263" s="145">
        <f t="shared" si="170"/>
        <v>0</v>
      </c>
      <c r="U263" s="145"/>
      <c r="V263" s="145">
        <f t="shared" si="171"/>
        <v>0</v>
      </c>
      <c r="W263" s="145"/>
      <c r="X263" s="145">
        <f t="shared" si="172"/>
        <v>0</v>
      </c>
      <c r="Y263" s="145"/>
      <c r="Z263" s="145">
        <f t="shared" si="173"/>
        <v>0</v>
      </c>
      <c r="AA263" s="145"/>
      <c r="AB263" s="145">
        <f t="shared" si="174"/>
        <v>0</v>
      </c>
      <c r="AC263" s="156"/>
      <c r="AD263" s="156">
        <f t="shared" si="163"/>
        <v>0</v>
      </c>
    </row>
    <row r="264" customHeight="1" spans="2:30">
      <c r="B264" s="193">
        <f>固定资产台账1!A14</f>
        <v>0</v>
      </c>
      <c r="C264" s="193"/>
      <c r="D264" s="193"/>
      <c r="E264" s="145">
        <f>固定资产台账1!C14</f>
        <v>0</v>
      </c>
      <c r="F264" s="145">
        <f>研发设备工时计算表2!AB16</f>
        <v>0</v>
      </c>
      <c r="G264" s="201">
        <f>研发设备工时计算表2!AA16</f>
        <v>0</v>
      </c>
      <c r="H264" s="145">
        <f t="shared" si="164"/>
        <v>0</v>
      </c>
      <c r="I264" s="145"/>
      <c r="J264" s="145">
        <f t="shared" si="165"/>
        <v>0</v>
      </c>
      <c r="K264" s="145"/>
      <c r="L264" s="145">
        <f t="shared" si="166"/>
        <v>0</v>
      </c>
      <c r="M264" s="145"/>
      <c r="N264" s="145">
        <f t="shared" si="167"/>
        <v>0</v>
      </c>
      <c r="O264" s="145"/>
      <c r="P264" s="145">
        <f t="shared" si="168"/>
        <v>0</v>
      </c>
      <c r="Q264" s="145"/>
      <c r="R264" s="145">
        <f t="shared" si="169"/>
        <v>0</v>
      </c>
      <c r="S264" s="145"/>
      <c r="T264" s="145">
        <f t="shared" si="170"/>
        <v>0</v>
      </c>
      <c r="U264" s="145"/>
      <c r="V264" s="145">
        <f t="shared" si="171"/>
        <v>0</v>
      </c>
      <c r="W264" s="145"/>
      <c r="X264" s="145">
        <f t="shared" si="172"/>
        <v>0</v>
      </c>
      <c r="Y264" s="145"/>
      <c r="Z264" s="145">
        <f t="shared" si="173"/>
        <v>0</v>
      </c>
      <c r="AA264" s="145"/>
      <c r="AB264" s="145">
        <f t="shared" si="174"/>
        <v>0</v>
      </c>
      <c r="AC264" s="156"/>
      <c r="AD264" s="156">
        <f t="shared" si="163"/>
        <v>0</v>
      </c>
    </row>
    <row r="265" customHeight="1" spans="2:30">
      <c r="B265" s="193">
        <f>固定资产台账1!A15</f>
        <v>0</v>
      </c>
      <c r="C265" s="193"/>
      <c r="D265" s="193"/>
      <c r="E265" s="145">
        <f>固定资产台账1!C15</f>
        <v>0</v>
      </c>
      <c r="F265" s="145">
        <f>研发设备工时计算表2!AB17</f>
        <v>0</v>
      </c>
      <c r="G265" s="201">
        <f>研发设备工时计算表2!AA17</f>
        <v>0</v>
      </c>
      <c r="H265" s="145">
        <f t="shared" si="164"/>
        <v>0</v>
      </c>
      <c r="I265" s="145"/>
      <c r="J265" s="145">
        <f t="shared" si="165"/>
        <v>0</v>
      </c>
      <c r="K265" s="145"/>
      <c r="L265" s="145">
        <f t="shared" si="166"/>
        <v>0</v>
      </c>
      <c r="M265" s="145"/>
      <c r="N265" s="145">
        <f t="shared" si="167"/>
        <v>0</v>
      </c>
      <c r="O265" s="145"/>
      <c r="P265" s="145">
        <f t="shared" si="168"/>
        <v>0</v>
      </c>
      <c r="Q265" s="145"/>
      <c r="R265" s="145">
        <f t="shared" si="169"/>
        <v>0</v>
      </c>
      <c r="S265" s="145"/>
      <c r="T265" s="145">
        <f t="shared" si="170"/>
        <v>0</v>
      </c>
      <c r="U265" s="145"/>
      <c r="V265" s="145">
        <f t="shared" si="171"/>
        <v>0</v>
      </c>
      <c r="W265" s="145"/>
      <c r="X265" s="145">
        <f t="shared" si="172"/>
        <v>0</v>
      </c>
      <c r="Y265" s="145"/>
      <c r="Z265" s="145">
        <f t="shared" si="173"/>
        <v>0</v>
      </c>
      <c r="AA265" s="145"/>
      <c r="AB265" s="145">
        <f t="shared" si="174"/>
        <v>0</v>
      </c>
      <c r="AC265" s="156"/>
      <c r="AD265" s="156">
        <f t="shared" si="163"/>
        <v>0</v>
      </c>
    </row>
    <row r="266" customHeight="1" spans="2:30">
      <c r="B266" s="193">
        <f>固定资产台账1!A16</f>
        <v>0</v>
      </c>
      <c r="C266" s="193"/>
      <c r="D266" s="193"/>
      <c r="E266" s="145">
        <f>固定资产台账1!C16</f>
        <v>0</v>
      </c>
      <c r="F266" s="145">
        <f>研发设备工时计算表2!AB18</f>
        <v>0</v>
      </c>
      <c r="G266" s="201">
        <f>研发设备工时计算表2!AA18</f>
        <v>0</v>
      </c>
      <c r="H266" s="145">
        <f t="shared" si="164"/>
        <v>0</v>
      </c>
      <c r="I266" s="145"/>
      <c r="J266" s="145">
        <f t="shared" si="165"/>
        <v>0</v>
      </c>
      <c r="K266" s="145"/>
      <c r="L266" s="145">
        <f t="shared" si="166"/>
        <v>0</v>
      </c>
      <c r="M266" s="145"/>
      <c r="N266" s="145">
        <f t="shared" si="167"/>
        <v>0</v>
      </c>
      <c r="O266" s="145"/>
      <c r="P266" s="145">
        <f t="shared" si="168"/>
        <v>0</v>
      </c>
      <c r="Q266" s="145"/>
      <c r="R266" s="145">
        <f t="shared" si="169"/>
        <v>0</v>
      </c>
      <c r="S266" s="145"/>
      <c r="T266" s="145">
        <f t="shared" si="170"/>
        <v>0</v>
      </c>
      <c r="U266" s="145"/>
      <c r="V266" s="145">
        <f t="shared" si="171"/>
        <v>0</v>
      </c>
      <c r="W266" s="145"/>
      <c r="X266" s="145">
        <f t="shared" si="172"/>
        <v>0</v>
      </c>
      <c r="Y266" s="145"/>
      <c r="Z266" s="145">
        <f t="shared" si="173"/>
        <v>0</v>
      </c>
      <c r="AA266" s="145"/>
      <c r="AB266" s="145">
        <f t="shared" si="174"/>
        <v>0</v>
      </c>
      <c r="AC266" s="156"/>
      <c r="AD266" s="156">
        <f t="shared" si="163"/>
        <v>0</v>
      </c>
    </row>
    <row r="267" customHeight="1" spans="2:30">
      <c r="B267" s="193">
        <f>固定资产台账1!A17</f>
        <v>0</v>
      </c>
      <c r="C267" s="193"/>
      <c r="D267" s="193"/>
      <c r="E267" s="145">
        <f>固定资产台账1!C17</f>
        <v>0</v>
      </c>
      <c r="F267" s="145">
        <f>研发设备工时计算表2!AB19</f>
        <v>0</v>
      </c>
      <c r="G267" s="201">
        <f>研发设备工时计算表2!AA19</f>
        <v>0</v>
      </c>
      <c r="H267" s="145">
        <f t="shared" si="164"/>
        <v>0</v>
      </c>
      <c r="I267" s="145"/>
      <c r="J267" s="145">
        <f t="shared" si="165"/>
        <v>0</v>
      </c>
      <c r="K267" s="145"/>
      <c r="L267" s="145">
        <f t="shared" si="166"/>
        <v>0</v>
      </c>
      <c r="M267" s="145"/>
      <c r="N267" s="145">
        <f t="shared" si="167"/>
        <v>0</v>
      </c>
      <c r="O267" s="145"/>
      <c r="P267" s="145">
        <f t="shared" si="168"/>
        <v>0</v>
      </c>
      <c r="Q267" s="145"/>
      <c r="R267" s="145">
        <f t="shared" si="169"/>
        <v>0</v>
      </c>
      <c r="S267" s="145"/>
      <c r="T267" s="145">
        <f t="shared" si="170"/>
        <v>0</v>
      </c>
      <c r="U267" s="145"/>
      <c r="V267" s="145">
        <f t="shared" si="171"/>
        <v>0</v>
      </c>
      <c r="W267" s="145"/>
      <c r="X267" s="145">
        <f t="shared" si="172"/>
        <v>0</v>
      </c>
      <c r="Y267" s="145"/>
      <c r="Z267" s="145">
        <f t="shared" si="173"/>
        <v>0</v>
      </c>
      <c r="AA267" s="145"/>
      <c r="AB267" s="145">
        <f t="shared" si="174"/>
        <v>0</v>
      </c>
      <c r="AC267" s="156"/>
      <c r="AD267" s="156">
        <f t="shared" si="163"/>
        <v>0</v>
      </c>
    </row>
    <row r="268" customHeight="1" spans="2:30">
      <c r="B268" s="193">
        <f>固定资产台账1!A18</f>
        <v>0</v>
      </c>
      <c r="C268" s="193"/>
      <c r="D268" s="193"/>
      <c r="E268" s="145">
        <f>固定资产台账1!C18</f>
        <v>0</v>
      </c>
      <c r="F268" s="145">
        <f>研发设备工时计算表2!AB20</f>
        <v>0</v>
      </c>
      <c r="G268" s="201">
        <f>研发设备工时计算表2!AA20</f>
        <v>0</v>
      </c>
      <c r="H268" s="145">
        <f t="shared" si="164"/>
        <v>0</v>
      </c>
      <c r="I268" s="145"/>
      <c r="J268" s="145">
        <f t="shared" si="165"/>
        <v>0</v>
      </c>
      <c r="K268" s="145"/>
      <c r="L268" s="145">
        <f t="shared" si="166"/>
        <v>0</v>
      </c>
      <c r="M268" s="145"/>
      <c r="N268" s="145">
        <f t="shared" si="167"/>
        <v>0</v>
      </c>
      <c r="O268" s="145"/>
      <c r="P268" s="145">
        <f t="shared" si="168"/>
        <v>0</v>
      </c>
      <c r="Q268" s="145"/>
      <c r="R268" s="145">
        <f t="shared" si="169"/>
        <v>0</v>
      </c>
      <c r="S268" s="145"/>
      <c r="T268" s="145">
        <f t="shared" si="170"/>
        <v>0</v>
      </c>
      <c r="U268" s="145"/>
      <c r="V268" s="145">
        <f t="shared" si="171"/>
        <v>0</v>
      </c>
      <c r="W268" s="145"/>
      <c r="X268" s="145">
        <f t="shared" si="172"/>
        <v>0</v>
      </c>
      <c r="Y268" s="145"/>
      <c r="Z268" s="145">
        <f t="shared" si="173"/>
        <v>0</v>
      </c>
      <c r="AA268" s="145"/>
      <c r="AB268" s="145">
        <f t="shared" si="174"/>
        <v>0</v>
      </c>
      <c r="AC268" s="156"/>
      <c r="AD268" s="156">
        <f t="shared" si="163"/>
        <v>0</v>
      </c>
    </row>
    <row r="269" customHeight="1" spans="2:30">
      <c r="B269" s="193">
        <f>固定资产台账1!A19</f>
        <v>0</v>
      </c>
      <c r="C269" s="193"/>
      <c r="D269" s="193"/>
      <c r="E269" s="145">
        <f>固定资产台账1!C19</f>
        <v>0</v>
      </c>
      <c r="F269" s="145">
        <f>研发设备工时计算表2!AB21</f>
        <v>0</v>
      </c>
      <c r="G269" s="201">
        <f>研发设备工时计算表2!AA21</f>
        <v>0</v>
      </c>
      <c r="H269" s="145">
        <f t="shared" si="164"/>
        <v>0</v>
      </c>
      <c r="I269" s="145"/>
      <c r="J269" s="145">
        <f t="shared" si="165"/>
        <v>0</v>
      </c>
      <c r="K269" s="145"/>
      <c r="L269" s="145">
        <f t="shared" si="166"/>
        <v>0</v>
      </c>
      <c r="M269" s="145"/>
      <c r="N269" s="145">
        <f t="shared" si="167"/>
        <v>0</v>
      </c>
      <c r="O269" s="145"/>
      <c r="P269" s="145">
        <f t="shared" si="168"/>
        <v>0</v>
      </c>
      <c r="Q269" s="145"/>
      <c r="R269" s="145">
        <f t="shared" si="169"/>
        <v>0</v>
      </c>
      <c r="S269" s="145"/>
      <c r="T269" s="145">
        <f t="shared" si="170"/>
        <v>0</v>
      </c>
      <c r="U269" s="145"/>
      <c r="V269" s="145">
        <f t="shared" si="171"/>
        <v>0</v>
      </c>
      <c r="W269" s="145"/>
      <c r="X269" s="145">
        <f t="shared" si="172"/>
        <v>0</v>
      </c>
      <c r="Y269" s="145"/>
      <c r="Z269" s="145">
        <f t="shared" si="173"/>
        <v>0</v>
      </c>
      <c r="AA269" s="145"/>
      <c r="AB269" s="145">
        <f t="shared" si="174"/>
        <v>0</v>
      </c>
      <c r="AC269" s="156"/>
      <c r="AD269" s="156">
        <f t="shared" si="163"/>
        <v>0</v>
      </c>
    </row>
    <row r="270" customHeight="1" spans="2:30">
      <c r="B270" s="193">
        <f>固定资产台账1!A20</f>
        <v>0</v>
      </c>
      <c r="C270" s="193"/>
      <c r="D270" s="193"/>
      <c r="E270" s="145">
        <f>固定资产台账1!C20</f>
        <v>0</v>
      </c>
      <c r="F270" s="145">
        <f>研发设备工时计算表2!AB22</f>
        <v>0</v>
      </c>
      <c r="G270" s="201">
        <f>研发设备工时计算表2!AA22</f>
        <v>0</v>
      </c>
      <c r="H270" s="145">
        <f t="shared" si="164"/>
        <v>0</v>
      </c>
      <c r="I270" s="145"/>
      <c r="J270" s="145">
        <f t="shared" si="165"/>
        <v>0</v>
      </c>
      <c r="K270" s="145"/>
      <c r="L270" s="145">
        <f t="shared" si="166"/>
        <v>0</v>
      </c>
      <c r="M270" s="145"/>
      <c r="N270" s="145">
        <f t="shared" si="167"/>
        <v>0</v>
      </c>
      <c r="O270" s="145"/>
      <c r="P270" s="145">
        <f t="shared" si="168"/>
        <v>0</v>
      </c>
      <c r="Q270" s="145"/>
      <c r="R270" s="145">
        <f t="shared" si="169"/>
        <v>0</v>
      </c>
      <c r="S270" s="145"/>
      <c r="T270" s="145">
        <f t="shared" si="170"/>
        <v>0</v>
      </c>
      <c r="U270" s="145"/>
      <c r="V270" s="145">
        <f t="shared" si="171"/>
        <v>0</v>
      </c>
      <c r="W270" s="145"/>
      <c r="X270" s="145">
        <f t="shared" si="172"/>
        <v>0</v>
      </c>
      <c r="Y270" s="145"/>
      <c r="Z270" s="145">
        <f t="shared" si="173"/>
        <v>0</v>
      </c>
      <c r="AA270" s="145"/>
      <c r="AB270" s="145">
        <f t="shared" si="174"/>
        <v>0</v>
      </c>
      <c r="AC270" s="156"/>
      <c r="AD270" s="156">
        <f t="shared" si="163"/>
        <v>0</v>
      </c>
    </row>
    <row r="271" customHeight="1" spans="2:30">
      <c r="B271" s="193">
        <f>固定资产台账1!A21</f>
        <v>0</v>
      </c>
      <c r="C271" s="193"/>
      <c r="D271" s="193"/>
      <c r="E271" s="145">
        <f>固定资产台账1!C21</f>
        <v>0</v>
      </c>
      <c r="F271" s="145">
        <f>研发设备工时计算表2!AB23</f>
        <v>0</v>
      </c>
      <c r="G271" s="201">
        <f>研发设备工时计算表2!AA23</f>
        <v>0</v>
      </c>
      <c r="H271" s="145">
        <f t="shared" si="164"/>
        <v>0</v>
      </c>
      <c r="I271" s="145"/>
      <c r="J271" s="145">
        <f t="shared" si="165"/>
        <v>0</v>
      </c>
      <c r="K271" s="145"/>
      <c r="L271" s="145">
        <f t="shared" si="166"/>
        <v>0</v>
      </c>
      <c r="M271" s="145"/>
      <c r="N271" s="145">
        <f t="shared" si="167"/>
        <v>0</v>
      </c>
      <c r="O271" s="145"/>
      <c r="P271" s="145">
        <f t="shared" si="168"/>
        <v>0</v>
      </c>
      <c r="Q271" s="145"/>
      <c r="R271" s="145">
        <f t="shared" si="169"/>
        <v>0</v>
      </c>
      <c r="S271" s="145"/>
      <c r="T271" s="145">
        <f t="shared" si="170"/>
        <v>0</v>
      </c>
      <c r="U271" s="145"/>
      <c r="V271" s="145">
        <f t="shared" si="171"/>
        <v>0</v>
      </c>
      <c r="W271" s="145"/>
      <c r="X271" s="145">
        <f t="shared" si="172"/>
        <v>0</v>
      </c>
      <c r="Y271" s="145"/>
      <c r="Z271" s="145">
        <f t="shared" si="173"/>
        <v>0</v>
      </c>
      <c r="AA271" s="145"/>
      <c r="AB271" s="145">
        <f t="shared" si="174"/>
        <v>0</v>
      </c>
      <c r="AC271" s="156"/>
      <c r="AD271" s="156">
        <f t="shared" si="163"/>
        <v>0</v>
      </c>
    </row>
    <row r="272" customHeight="1" spans="2:30">
      <c r="B272" s="193">
        <f>固定资产台账1!A22</f>
        <v>0</v>
      </c>
      <c r="C272" s="193"/>
      <c r="D272" s="193"/>
      <c r="E272" s="145">
        <f>固定资产台账1!C22</f>
        <v>0</v>
      </c>
      <c r="F272" s="145">
        <f>研发设备工时计算表2!AB24</f>
        <v>0</v>
      </c>
      <c r="G272" s="201">
        <f>研发设备工时计算表2!AA24</f>
        <v>0</v>
      </c>
      <c r="H272" s="145">
        <f t="shared" si="164"/>
        <v>0</v>
      </c>
      <c r="I272" s="145"/>
      <c r="J272" s="145">
        <f t="shared" si="165"/>
        <v>0</v>
      </c>
      <c r="K272" s="145"/>
      <c r="L272" s="145">
        <f t="shared" si="166"/>
        <v>0</v>
      </c>
      <c r="M272" s="145"/>
      <c r="N272" s="145">
        <f t="shared" si="167"/>
        <v>0</v>
      </c>
      <c r="O272" s="145"/>
      <c r="P272" s="145">
        <f t="shared" si="168"/>
        <v>0</v>
      </c>
      <c r="Q272" s="145"/>
      <c r="R272" s="145">
        <f t="shared" si="169"/>
        <v>0</v>
      </c>
      <c r="S272" s="145"/>
      <c r="T272" s="145">
        <f t="shared" si="170"/>
        <v>0</v>
      </c>
      <c r="U272" s="145"/>
      <c r="V272" s="145">
        <f t="shared" si="171"/>
        <v>0</v>
      </c>
      <c r="W272" s="145"/>
      <c r="X272" s="145">
        <f t="shared" si="172"/>
        <v>0</v>
      </c>
      <c r="Y272" s="145"/>
      <c r="Z272" s="145">
        <f t="shared" si="173"/>
        <v>0</v>
      </c>
      <c r="AA272" s="145"/>
      <c r="AB272" s="145">
        <f t="shared" si="174"/>
        <v>0</v>
      </c>
      <c r="AC272" s="156"/>
      <c r="AD272" s="156">
        <f t="shared" si="163"/>
        <v>0</v>
      </c>
    </row>
    <row r="273" customHeight="1" spans="2:30">
      <c r="B273" s="193">
        <f>固定资产台账1!A23</f>
        <v>0</v>
      </c>
      <c r="C273" s="193"/>
      <c r="D273" s="193"/>
      <c r="E273" s="145">
        <f>固定资产台账1!C23</f>
        <v>0</v>
      </c>
      <c r="F273" s="145">
        <f>研发设备工时计算表2!AB25</f>
        <v>0</v>
      </c>
      <c r="G273" s="201">
        <f>研发设备工时计算表2!AA25</f>
        <v>0</v>
      </c>
      <c r="H273" s="145">
        <f t="shared" si="164"/>
        <v>0</v>
      </c>
      <c r="I273" s="145"/>
      <c r="J273" s="145">
        <f t="shared" si="165"/>
        <v>0</v>
      </c>
      <c r="K273" s="145"/>
      <c r="L273" s="145">
        <f t="shared" si="166"/>
        <v>0</v>
      </c>
      <c r="M273" s="145"/>
      <c r="N273" s="145">
        <f t="shared" si="167"/>
        <v>0</v>
      </c>
      <c r="O273" s="145"/>
      <c r="P273" s="145">
        <f t="shared" si="168"/>
        <v>0</v>
      </c>
      <c r="Q273" s="145"/>
      <c r="R273" s="145">
        <f t="shared" si="169"/>
        <v>0</v>
      </c>
      <c r="S273" s="145"/>
      <c r="T273" s="145">
        <f t="shared" si="170"/>
        <v>0</v>
      </c>
      <c r="U273" s="145"/>
      <c r="V273" s="145">
        <f t="shared" si="171"/>
        <v>0</v>
      </c>
      <c r="W273" s="145"/>
      <c r="X273" s="145">
        <f t="shared" si="172"/>
        <v>0</v>
      </c>
      <c r="Y273" s="145"/>
      <c r="Z273" s="145">
        <f t="shared" si="173"/>
        <v>0</v>
      </c>
      <c r="AA273" s="145"/>
      <c r="AB273" s="145">
        <f t="shared" si="174"/>
        <v>0</v>
      </c>
      <c r="AC273" s="156"/>
      <c r="AD273" s="156">
        <f t="shared" si="163"/>
        <v>0</v>
      </c>
    </row>
    <row r="274" customHeight="1" spans="2:30">
      <c r="B274" s="193">
        <f>固定资产台账1!A25</f>
        <v>0</v>
      </c>
      <c r="C274" s="193"/>
      <c r="D274" s="193"/>
      <c r="E274" s="145">
        <f>固定资产台账1!C25</f>
        <v>0</v>
      </c>
      <c r="F274" s="145">
        <f>研发设备工时计算表2!AB26</f>
        <v>0</v>
      </c>
      <c r="G274" s="201">
        <f>研发设备工时计算表2!AA26</f>
        <v>0</v>
      </c>
      <c r="H274" s="145">
        <f t="shared" si="164"/>
        <v>0</v>
      </c>
      <c r="I274" s="145"/>
      <c r="J274" s="145">
        <f t="shared" si="165"/>
        <v>0</v>
      </c>
      <c r="K274" s="145"/>
      <c r="L274" s="145">
        <f t="shared" si="166"/>
        <v>0</v>
      </c>
      <c r="M274" s="145"/>
      <c r="N274" s="145">
        <f t="shared" si="167"/>
        <v>0</v>
      </c>
      <c r="O274" s="145"/>
      <c r="P274" s="145">
        <f t="shared" si="168"/>
        <v>0</v>
      </c>
      <c r="Q274" s="145"/>
      <c r="R274" s="145">
        <f t="shared" si="169"/>
        <v>0</v>
      </c>
      <c r="S274" s="145"/>
      <c r="T274" s="145">
        <f t="shared" si="170"/>
        <v>0</v>
      </c>
      <c r="U274" s="145"/>
      <c r="V274" s="145">
        <f t="shared" si="171"/>
        <v>0</v>
      </c>
      <c r="W274" s="145"/>
      <c r="X274" s="145">
        <f t="shared" si="172"/>
        <v>0</v>
      </c>
      <c r="Y274" s="145"/>
      <c r="Z274" s="145">
        <f t="shared" si="173"/>
        <v>0</v>
      </c>
      <c r="AA274" s="145"/>
      <c r="AB274" s="145">
        <f t="shared" si="174"/>
        <v>0</v>
      </c>
      <c r="AC274" s="156"/>
      <c r="AD274" s="156">
        <f t="shared" si="163"/>
        <v>0</v>
      </c>
    </row>
    <row r="275" customHeight="1" spans="2:30">
      <c r="B275" s="193">
        <f>固定资产台账1!A25</f>
        <v>0</v>
      </c>
      <c r="C275" s="193"/>
      <c r="D275" s="193"/>
      <c r="E275" s="145">
        <f>固定资产台账1!C25</f>
        <v>0</v>
      </c>
      <c r="F275" s="145">
        <f>研发设备工时计算表2!AB27</f>
        <v>0</v>
      </c>
      <c r="G275" s="201">
        <f>研发设备工时计算表2!AA27</f>
        <v>0</v>
      </c>
      <c r="H275" s="145">
        <f t="shared" si="164"/>
        <v>0</v>
      </c>
      <c r="I275" s="145"/>
      <c r="J275" s="145">
        <f t="shared" si="165"/>
        <v>0</v>
      </c>
      <c r="K275" s="145"/>
      <c r="L275" s="145">
        <f t="shared" si="166"/>
        <v>0</v>
      </c>
      <c r="M275" s="145"/>
      <c r="N275" s="145">
        <f t="shared" si="167"/>
        <v>0</v>
      </c>
      <c r="O275" s="145"/>
      <c r="P275" s="145">
        <f t="shared" si="168"/>
        <v>0</v>
      </c>
      <c r="Q275" s="145"/>
      <c r="R275" s="145">
        <f t="shared" si="169"/>
        <v>0</v>
      </c>
      <c r="S275" s="145"/>
      <c r="T275" s="145">
        <f t="shared" si="170"/>
        <v>0</v>
      </c>
      <c r="U275" s="145"/>
      <c r="V275" s="145">
        <f t="shared" si="171"/>
        <v>0</v>
      </c>
      <c r="W275" s="145"/>
      <c r="X275" s="145">
        <f t="shared" si="172"/>
        <v>0</v>
      </c>
      <c r="Y275" s="145"/>
      <c r="Z275" s="145">
        <f t="shared" si="173"/>
        <v>0</v>
      </c>
      <c r="AA275" s="145"/>
      <c r="AB275" s="145">
        <f t="shared" si="174"/>
        <v>0</v>
      </c>
      <c r="AC275" s="156"/>
      <c r="AD275" s="156">
        <f t="shared" si="163"/>
        <v>0</v>
      </c>
    </row>
    <row r="276" customHeight="1" spans="2:30">
      <c r="B276" s="193">
        <f>固定资产台账1!A26</f>
        <v>0</v>
      </c>
      <c r="C276" s="193"/>
      <c r="D276" s="193"/>
      <c r="E276" s="145">
        <f>固定资产台账1!C26</f>
        <v>0</v>
      </c>
      <c r="F276" s="145">
        <f>研发设备工时计算表2!AB28</f>
        <v>0</v>
      </c>
      <c r="G276" s="201">
        <f>研发设备工时计算表2!AA28</f>
        <v>0</v>
      </c>
      <c r="H276" s="145">
        <f t="shared" si="164"/>
        <v>0</v>
      </c>
      <c r="I276" s="145"/>
      <c r="J276" s="145">
        <f t="shared" si="165"/>
        <v>0</v>
      </c>
      <c r="K276" s="145"/>
      <c r="L276" s="145">
        <f t="shared" si="166"/>
        <v>0</v>
      </c>
      <c r="M276" s="145"/>
      <c r="N276" s="145">
        <f t="shared" si="167"/>
        <v>0</v>
      </c>
      <c r="O276" s="145"/>
      <c r="P276" s="145">
        <f t="shared" si="168"/>
        <v>0</v>
      </c>
      <c r="Q276" s="145"/>
      <c r="R276" s="145">
        <f t="shared" si="169"/>
        <v>0</v>
      </c>
      <c r="S276" s="145"/>
      <c r="T276" s="145">
        <f t="shared" si="170"/>
        <v>0</v>
      </c>
      <c r="U276" s="145"/>
      <c r="V276" s="145">
        <f t="shared" si="171"/>
        <v>0</v>
      </c>
      <c r="W276" s="145"/>
      <c r="X276" s="145">
        <f t="shared" si="172"/>
        <v>0</v>
      </c>
      <c r="Y276" s="145"/>
      <c r="Z276" s="145">
        <f t="shared" si="173"/>
        <v>0</v>
      </c>
      <c r="AA276" s="145"/>
      <c r="AB276" s="145">
        <f t="shared" si="174"/>
        <v>0</v>
      </c>
      <c r="AC276" s="156"/>
      <c r="AD276" s="156">
        <f t="shared" si="163"/>
        <v>0</v>
      </c>
    </row>
    <row r="277" customHeight="1" spans="2:30">
      <c r="B277" s="193">
        <f>固定资产台账1!A27</f>
        <v>0</v>
      </c>
      <c r="C277" s="193"/>
      <c r="D277" s="193"/>
      <c r="E277" s="145">
        <f>固定资产台账1!C27</f>
        <v>0</v>
      </c>
      <c r="F277" s="145">
        <f>研发设备工时计算表2!AB29</f>
        <v>0</v>
      </c>
      <c r="G277" s="201">
        <f>研发设备工时计算表2!AA29</f>
        <v>0</v>
      </c>
      <c r="H277" s="145">
        <f t="shared" si="164"/>
        <v>0</v>
      </c>
      <c r="I277" s="145"/>
      <c r="J277" s="145">
        <f t="shared" si="165"/>
        <v>0</v>
      </c>
      <c r="K277" s="145"/>
      <c r="L277" s="145">
        <f t="shared" si="166"/>
        <v>0</v>
      </c>
      <c r="M277" s="145"/>
      <c r="N277" s="145">
        <f t="shared" si="167"/>
        <v>0</v>
      </c>
      <c r="O277" s="145"/>
      <c r="P277" s="145">
        <f t="shared" si="168"/>
        <v>0</v>
      </c>
      <c r="Q277" s="145"/>
      <c r="R277" s="145">
        <f t="shared" si="169"/>
        <v>0</v>
      </c>
      <c r="S277" s="145"/>
      <c r="T277" s="145">
        <f t="shared" si="170"/>
        <v>0</v>
      </c>
      <c r="U277" s="145"/>
      <c r="V277" s="145">
        <f t="shared" si="171"/>
        <v>0</v>
      </c>
      <c r="W277" s="145"/>
      <c r="X277" s="145">
        <f t="shared" si="172"/>
        <v>0</v>
      </c>
      <c r="Y277" s="145"/>
      <c r="Z277" s="145">
        <f t="shared" si="173"/>
        <v>0</v>
      </c>
      <c r="AA277" s="145"/>
      <c r="AB277" s="145">
        <f t="shared" si="174"/>
        <v>0</v>
      </c>
      <c r="AC277" s="156"/>
      <c r="AD277" s="156">
        <f t="shared" si="163"/>
        <v>0</v>
      </c>
    </row>
    <row r="278" customHeight="1" spans="2:30">
      <c r="B278" s="196" t="s">
        <v>255</v>
      </c>
      <c r="C278" s="197"/>
      <c r="D278" s="198"/>
      <c r="E278" s="199">
        <f t="shared" ref="E278:G278" si="175">SUM(E253:E277)</f>
        <v>0</v>
      </c>
      <c r="F278" s="188">
        <f t="shared" si="175"/>
        <v>0</v>
      </c>
      <c r="G278" s="188">
        <f t="shared" ref="G278:I278" si="176">SUM(G253:G277)</f>
        <v>0</v>
      </c>
      <c r="H278" s="188">
        <f t="shared" si="176"/>
        <v>0</v>
      </c>
      <c r="I278" s="188">
        <f t="shared" si="176"/>
        <v>0</v>
      </c>
      <c r="J278" s="188">
        <f t="shared" ref="J278:M278" si="177">SUM(J253:J277)</f>
        <v>0</v>
      </c>
      <c r="K278" s="188">
        <f t="shared" si="177"/>
        <v>0</v>
      </c>
      <c r="L278" s="188">
        <f t="shared" si="177"/>
        <v>0</v>
      </c>
      <c r="M278" s="188">
        <f t="shared" si="177"/>
        <v>0</v>
      </c>
      <c r="N278" s="188">
        <f t="shared" ref="N278:Q278" si="178">SUM(N253:N277)</f>
        <v>0</v>
      </c>
      <c r="O278" s="188">
        <f t="shared" si="178"/>
        <v>0</v>
      </c>
      <c r="P278" s="188">
        <f t="shared" si="178"/>
        <v>0</v>
      </c>
      <c r="Q278" s="188">
        <f t="shared" si="178"/>
        <v>0</v>
      </c>
      <c r="R278" s="188">
        <f t="shared" ref="R278:U278" si="179">SUM(R253:R277)</f>
        <v>0</v>
      </c>
      <c r="S278" s="188">
        <f t="shared" si="179"/>
        <v>0</v>
      </c>
      <c r="T278" s="188">
        <f t="shared" si="179"/>
        <v>0</v>
      </c>
      <c r="U278" s="188">
        <f t="shared" si="179"/>
        <v>0</v>
      </c>
      <c r="V278" s="188">
        <f t="shared" ref="V278:AB278" si="180">SUM(V253:V277)</f>
        <v>0</v>
      </c>
      <c r="W278" s="188">
        <f t="shared" si="180"/>
        <v>0</v>
      </c>
      <c r="X278" s="188">
        <f t="shared" si="180"/>
        <v>0</v>
      </c>
      <c r="Y278" s="188">
        <f t="shared" si="180"/>
        <v>0</v>
      </c>
      <c r="Z278" s="188">
        <f t="shared" si="180"/>
        <v>0</v>
      </c>
      <c r="AA278" s="188">
        <f t="shared" si="180"/>
        <v>0</v>
      </c>
      <c r="AB278" s="188">
        <f t="shared" si="180"/>
        <v>0</v>
      </c>
      <c r="AC278" s="156"/>
      <c r="AD278" s="156">
        <f t="shared" si="163"/>
        <v>0</v>
      </c>
    </row>
    <row r="279" customHeight="1" spans="2:30">
      <c r="E279" s="200"/>
      <c r="F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156"/>
      <c r="AD279" s="156"/>
    </row>
    <row r="280" customHeight="1" spans="2:30">
      <c r="E280" s="200"/>
      <c r="G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156"/>
      <c r="AD280" s="156"/>
    </row>
    <row r="281" customHeight="1" spans="2:30">
      <c r="B281" s="186" t="s">
        <v>264</v>
      </c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56"/>
      <c r="AD281" s="156"/>
    </row>
    <row r="282" customHeight="1" spans="2:30">
      <c r="B282" s="187" t="s">
        <v>249</v>
      </c>
      <c r="C282" s="187"/>
      <c r="D282" s="187"/>
      <c r="E282" s="188" t="s">
        <v>250</v>
      </c>
      <c r="F282" s="189" t="s">
        <v>251</v>
      </c>
      <c r="G282" s="190" t="s">
        <v>252</v>
      </c>
      <c r="H282" s="190" t="s">
        <v>251</v>
      </c>
      <c r="I282" s="191" t="str">
        <f>立项!A3</f>
        <v>RD01</v>
      </c>
      <c r="J282" s="191"/>
      <c r="K282" s="191" t="str">
        <f>立项!A4</f>
        <v>RD02</v>
      </c>
      <c r="L282" s="191"/>
      <c r="M282" s="191" t="str">
        <f>立项!A5</f>
        <v>RD03</v>
      </c>
      <c r="N282" s="191"/>
      <c r="O282" s="191" t="str">
        <f>立项!A6</f>
        <v>RD04</v>
      </c>
      <c r="P282" s="191"/>
      <c r="Q282" s="191" t="str">
        <f>立项!A7</f>
        <v>RD05</v>
      </c>
      <c r="R282" s="191"/>
      <c r="S282" s="191" t="str">
        <f>立项!A8</f>
        <v>RD06</v>
      </c>
      <c r="T282" s="191"/>
      <c r="U282" s="191" t="str">
        <f>立项!A9</f>
        <v>RD07</v>
      </c>
      <c r="V282" s="191"/>
      <c r="W282" s="191" t="str">
        <f>立项!A10</f>
        <v>RD08</v>
      </c>
      <c r="X282" s="191"/>
      <c r="Y282" s="191" t="str">
        <f>立项!A11</f>
        <v>RD09</v>
      </c>
      <c r="Z282" s="191"/>
      <c r="AA282" s="191" t="str">
        <f>立项!A12</f>
        <v>RD10</v>
      </c>
      <c r="AB282" s="191"/>
      <c r="AC282" s="156"/>
      <c r="AD282" s="156"/>
    </row>
    <row r="283" customHeight="1" spans="2:30">
      <c r="B283" s="187"/>
      <c r="C283" s="187"/>
      <c r="D283" s="187"/>
      <c r="E283" s="188"/>
      <c r="F283" s="188"/>
      <c r="G283" s="190"/>
      <c r="H283" s="190"/>
      <c r="I283" s="192" t="s">
        <v>253</v>
      </c>
      <c r="J283" s="192" t="s">
        <v>254</v>
      </c>
      <c r="K283" s="192" t="s">
        <v>253</v>
      </c>
      <c r="L283" s="192" t="s">
        <v>254</v>
      </c>
      <c r="M283" s="192" t="s">
        <v>253</v>
      </c>
      <c r="N283" s="192" t="s">
        <v>254</v>
      </c>
      <c r="O283" s="192" t="s">
        <v>253</v>
      </c>
      <c r="P283" s="192" t="s">
        <v>254</v>
      </c>
      <c r="Q283" s="192" t="s">
        <v>253</v>
      </c>
      <c r="R283" s="192" t="s">
        <v>254</v>
      </c>
      <c r="S283" s="192" t="s">
        <v>253</v>
      </c>
      <c r="T283" s="192" t="s">
        <v>254</v>
      </c>
      <c r="U283" s="192" t="s">
        <v>253</v>
      </c>
      <c r="V283" s="192" t="s">
        <v>254</v>
      </c>
      <c r="W283" s="192" t="s">
        <v>253</v>
      </c>
      <c r="X283" s="192" t="s">
        <v>254</v>
      </c>
      <c r="Y283" s="192" t="s">
        <v>253</v>
      </c>
      <c r="Z283" s="192" t="s">
        <v>254</v>
      </c>
      <c r="AA283" s="192" t="s">
        <v>253</v>
      </c>
      <c r="AB283" s="192" t="s">
        <v>254</v>
      </c>
      <c r="AC283" s="156"/>
      <c r="AD283" s="156"/>
    </row>
    <row r="284" customHeight="1" spans="2:30">
      <c r="B284" s="193">
        <f>固定资产台账1!A3</f>
        <v>0</v>
      </c>
      <c r="C284" s="193"/>
      <c r="D284" s="193"/>
      <c r="E284" s="145">
        <f>固定资产台账1!C3</f>
        <v>0</v>
      </c>
      <c r="F284" s="145">
        <f>研发设备工时计算表2!AE5</f>
        <v>0</v>
      </c>
      <c r="G284" s="201">
        <f>研发设备工时计算表2!AD5</f>
        <v>0</v>
      </c>
      <c r="H284" s="145">
        <f>J284+L284+N284+P284+R284+T284+V284+X284+Z284+AB284</f>
        <v>0</v>
      </c>
      <c r="I284" s="145"/>
      <c r="J284" s="145">
        <f t="shared" ref="J284:N284" si="181">IF($G284=0,0,ROUND(I284/$G284*$F284,2))</f>
        <v>0</v>
      </c>
      <c r="K284" s="145"/>
      <c r="L284" s="145">
        <f t="shared" si="181"/>
        <v>0</v>
      </c>
      <c r="M284" s="145"/>
      <c r="N284" s="145">
        <f t="shared" si="181"/>
        <v>0</v>
      </c>
      <c r="O284" s="145"/>
      <c r="P284" s="145">
        <f t="shared" ref="P284:T284" si="182">IF($G284=0,0,ROUND(O284/$G284*$F284,2))</f>
        <v>0</v>
      </c>
      <c r="Q284" s="145"/>
      <c r="R284" s="145">
        <f t="shared" si="182"/>
        <v>0</v>
      </c>
      <c r="S284" s="145"/>
      <c r="T284" s="145">
        <f t="shared" si="182"/>
        <v>0</v>
      </c>
      <c r="U284" s="145"/>
      <c r="V284" s="145">
        <f t="shared" ref="V284:Z284" si="183">IF($G284=0,0,ROUND(U284/$G284*$F284,2))</f>
        <v>0</v>
      </c>
      <c r="W284" s="145"/>
      <c r="X284" s="145">
        <f t="shared" si="183"/>
        <v>0</v>
      </c>
      <c r="Y284" s="145"/>
      <c r="Z284" s="145">
        <f t="shared" si="183"/>
        <v>0</v>
      </c>
      <c r="AA284" s="145"/>
      <c r="AB284" s="145">
        <f>IF($G284=0,0,ROUND(AA284/$G284*$F284,2))</f>
        <v>0</v>
      </c>
      <c r="AC284" s="156"/>
      <c r="AD284" s="156">
        <f t="shared" ref="AD284:AD309" si="184">F284-H284</f>
        <v>0</v>
      </c>
    </row>
    <row r="285" customHeight="1" spans="2:30">
      <c r="B285" s="193">
        <f>固定资产台账1!A4</f>
        <v>0</v>
      </c>
      <c r="C285" s="193"/>
      <c r="D285" s="193"/>
      <c r="E285" s="145">
        <f>固定资产台账1!C4</f>
        <v>0</v>
      </c>
      <c r="F285" s="145">
        <f>研发设备工时计算表2!AE6</f>
        <v>0</v>
      </c>
      <c r="G285" s="201">
        <f>研发设备工时计算表2!AD6</f>
        <v>0</v>
      </c>
      <c r="H285" s="145">
        <f t="shared" ref="H285:H308" si="185">J285+L285+N285+P285+R285+T285+V285+X285+Z285+AB285</f>
        <v>0</v>
      </c>
      <c r="I285" s="145"/>
      <c r="J285" s="145">
        <f t="shared" ref="J285:J308" si="186">IF($G285=0,0,ROUND(I285/$G285*$F285,2))</f>
        <v>0</v>
      </c>
      <c r="K285" s="145"/>
      <c r="L285" s="145">
        <f t="shared" ref="L285:L308" si="187">IF($G285=0,0,ROUND(K285/$G285*$F285,2))</f>
        <v>0</v>
      </c>
      <c r="M285" s="145"/>
      <c r="N285" s="145">
        <f t="shared" ref="N285:N308" si="188">IF($G285=0,0,ROUND(M285/$G285*$F285,2))</f>
        <v>0</v>
      </c>
      <c r="O285" s="145"/>
      <c r="P285" s="145">
        <f t="shared" ref="P285:P308" si="189">IF($G285=0,0,ROUND(O285/$G285*$F285,2))</f>
        <v>0</v>
      </c>
      <c r="Q285" s="145"/>
      <c r="R285" s="145">
        <f t="shared" ref="R285:R308" si="190">IF($G285=0,0,ROUND(Q285/$G285*$F285,2))</f>
        <v>0</v>
      </c>
      <c r="S285" s="145"/>
      <c r="T285" s="145">
        <f t="shared" ref="T285:T308" si="191">IF($G285=0,0,ROUND(S285/$G285*$F285,2))</f>
        <v>0</v>
      </c>
      <c r="U285" s="145"/>
      <c r="V285" s="145">
        <f t="shared" ref="V285:V308" si="192">IF($G285=0,0,ROUND(U285/$G285*$F285,2))</f>
        <v>0</v>
      </c>
      <c r="W285" s="145"/>
      <c r="X285" s="145">
        <f t="shared" ref="X285:X308" si="193">IF($G285=0,0,ROUND(W285/$G285*$F285,2))</f>
        <v>0</v>
      </c>
      <c r="Y285" s="145"/>
      <c r="Z285" s="145">
        <f t="shared" ref="Z285:Z308" si="194">IF($G285=0,0,ROUND(Y285/$G285*$F285,2))</f>
        <v>0</v>
      </c>
      <c r="AA285" s="145"/>
      <c r="AB285" s="145">
        <f t="shared" ref="AB285:AB308" si="195">IF($G285=0,0,ROUND(AA285/$G285*$F285,2))</f>
        <v>0</v>
      </c>
      <c r="AC285" s="156"/>
      <c r="AD285" s="156">
        <f t="shared" si="184"/>
        <v>0</v>
      </c>
    </row>
    <row r="286" customHeight="1" spans="2:30">
      <c r="B286" s="193">
        <f>固定资产台账1!A5</f>
        <v>0</v>
      </c>
      <c r="C286" s="193"/>
      <c r="D286" s="193"/>
      <c r="E286" s="145">
        <f>固定资产台账1!C5</f>
        <v>0</v>
      </c>
      <c r="F286" s="145">
        <f>研发设备工时计算表2!AE7</f>
        <v>0</v>
      </c>
      <c r="G286" s="201">
        <f>研发设备工时计算表2!AD7</f>
        <v>0</v>
      </c>
      <c r="H286" s="145">
        <f t="shared" si="185"/>
        <v>0</v>
      </c>
      <c r="I286" s="145"/>
      <c r="J286" s="145">
        <f t="shared" si="186"/>
        <v>0</v>
      </c>
      <c r="K286" s="145"/>
      <c r="L286" s="145">
        <f t="shared" si="187"/>
        <v>0</v>
      </c>
      <c r="M286" s="145"/>
      <c r="N286" s="145">
        <f t="shared" si="188"/>
        <v>0</v>
      </c>
      <c r="O286" s="145"/>
      <c r="P286" s="145">
        <f t="shared" si="189"/>
        <v>0</v>
      </c>
      <c r="Q286" s="145"/>
      <c r="R286" s="145">
        <f t="shared" si="190"/>
        <v>0</v>
      </c>
      <c r="S286" s="145"/>
      <c r="T286" s="145">
        <f t="shared" si="191"/>
        <v>0</v>
      </c>
      <c r="U286" s="145"/>
      <c r="V286" s="145">
        <f t="shared" si="192"/>
        <v>0</v>
      </c>
      <c r="W286" s="145"/>
      <c r="X286" s="145">
        <f t="shared" si="193"/>
        <v>0</v>
      </c>
      <c r="Y286" s="145"/>
      <c r="Z286" s="145">
        <f t="shared" si="194"/>
        <v>0</v>
      </c>
      <c r="AA286" s="145"/>
      <c r="AB286" s="145">
        <f t="shared" si="195"/>
        <v>0</v>
      </c>
      <c r="AC286" s="156"/>
      <c r="AD286" s="156">
        <f t="shared" si="184"/>
        <v>0</v>
      </c>
    </row>
    <row r="287" customHeight="1" spans="2:30">
      <c r="B287" s="193">
        <f>固定资产台账1!A6</f>
        <v>0</v>
      </c>
      <c r="C287" s="193"/>
      <c r="D287" s="193"/>
      <c r="E287" s="145">
        <f>固定资产台账1!C6</f>
        <v>0</v>
      </c>
      <c r="F287" s="145">
        <f>研发设备工时计算表2!AE8</f>
        <v>0</v>
      </c>
      <c r="G287" s="201">
        <f>研发设备工时计算表2!AD8</f>
        <v>0</v>
      </c>
      <c r="H287" s="145">
        <f t="shared" si="185"/>
        <v>0</v>
      </c>
      <c r="I287" s="145"/>
      <c r="J287" s="145">
        <f t="shared" si="186"/>
        <v>0</v>
      </c>
      <c r="K287" s="145"/>
      <c r="L287" s="145">
        <f t="shared" si="187"/>
        <v>0</v>
      </c>
      <c r="M287" s="145"/>
      <c r="N287" s="145">
        <f t="shared" si="188"/>
        <v>0</v>
      </c>
      <c r="O287" s="145"/>
      <c r="P287" s="145">
        <f t="shared" si="189"/>
        <v>0</v>
      </c>
      <c r="Q287" s="145"/>
      <c r="R287" s="145">
        <f t="shared" si="190"/>
        <v>0</v>
      </c>
      <c r="S287" s="145"/>
      <c r="T287" s="145">
        <f t="shared" si="191"/>
        <v>0</v>
      </c>
      <c r="U287" s="145"/>
      <c r="V287" s="145">
        <f t="shared" si="192"/>
        <v>0</v>
      </c>
      <c r="W287" s="145"/>
      <c r="X287" s="145">
        <f t="shared" si="193"/>
        <v>0</v>
      </c>
      <c r="Y287" s="145"/>
      <c r="Z287" s="145">
        <f t="shared" si="194"/>
        <v>0</v>
      </c>
      <c r="AA287" s="145"/>
      <c r="AB287" s="145">
        <f t="shared" si="195"/>
        <v>0</v>
      </c>
      <c r="AC287" s="156"/>
      <c r="AD287" s="156">
        <f t="shared" si="184"/>
        <v>0</v>
      </c>
    </row>
    <row r="288" customHeight="1" spans="2:30">
      <c r="B288" s="193">
        <f>固定资产台账1!A7</f>
        <v>0</v>
      </c>
      <c r="C288" s="193"/>
      <c r="D288" s="193"/>
      <c r="E288" s="145">
        <f>固定资产台账1!C7</f>
        <v>0</v>
      </c>
      <c r="F288" s="145">
        <f>研发设备工时计算表2!AE9</f>
        <v>0</v>
      </c>
      <c r="G288" s="201">
        <f>研发设备工时计算表2!AD9</f>
        <v>0</v>
      </c>
      <c r="H288" s="145">
        <f t="shared" si="185"/>
        <v>0</v>
      </c>
      <c r="I288" s="145"/>
      <c r="J288" s="145">
        <f t="shared" si="186"/>
        <v>0</v>
      </c>
      <c r="K288" s="145"/>
      <c r="L288" s="145">
        <f t="shared" si="187"/>
        <v>0</v>
      </c>
      <c r="M288" s="145"/>
      <c r="N288" s="145">
        <f t="shared" si="188"/>
        <v>0</v>
      </c>
      <c r="O288" s="145"/>
      <c r="P288" s="145">
        <f t="shared" si="189"/>
        <v>0</v>
      </c>
      <c r="Q288" s="145"/>
      <c r="R288" s="145">
        <f t="shared" si="190"/>
        <v>0</v>
      </c>
      <c r="S288" s="145"/>
      <c r="T288" s="145">
        <f t="shared" si="191"/>
        <v>0</v>
      </c>
      <c r="U288" s="145"/>
      <c r="V288" s="145">
        <f t="shared" si="192"/>
        <v>0</v>
      </c>
      <c r="W288" s="145"/>
      <c r="X288" s="145">
        <f t="shared" si="193"/>
        <v>0</v>
      </c>
      <c r="Y288" s="145"/>
      <c r="Z288" s="145">
        <f t="shared" si="194"/>
        <v>0</v>
      </c>
      <c r="AA288" s="145"/>
      <c r="AB288" s="145">
        <f t="shared" si="195"/>
        <v>0</v>
      </c>
      <c r="AC288" s="156"/>
      <c r="AD288" s="156">
        <f t="shared" si="184"/>
        <v>0</v>
      </c>
    </row>
    <row r="289" customHeight="1" spans="2:30">
      <c r="B289" s="193">
        <f>固定资产台账1!A8</f>
        <v>0</v>
      </c>
      <c r="C289" s="193"/>
      <c r="D289" s="193"/>
      <c r="E289" s="145">
        <f>固定资产台账1!C8</f>
        <v>0</v>
      </c>
      <c r="F289" s="145">
        <f>研发设备工时计算表2!AE10</f>
        <v>0</v>
      </c>
      <c r="G289" s="201">
        <f>研发设备工时计算表2!AD10</f>
        <v>0</v>
      </c>
      <c r="H289" s="145">
        <f t="shared" si="185"/>
        <v>0</v>
      </c>
      <c r="I289" s="145"/>
      <c r="J289" s="145">
        <f t="shared" si="186"/>
        <v>0</v>
      </c>
      <c r="K289" s="145"/>
      <c r="L289" s="145">
        <f t="shared" si="187"/>
        <v>0</v>
      </c>
      <c r="M289" s="145"/>
      <c r="N289" s="145">
        <f t="shared" si="188"/>
        <v>0</v>
      </c>
      <c r="O289" s="145"/>
      <c r="P289" s="145">
        <f t="shared" si="189"/>
        <v>0</v>
      </c>
      <c r="Q289" s="145"/>
      <c r="R289" s="145">
        <f t="shared" si="190"/>
        <v>0</v>
      </c>
      <c r="S289" s="145"/>
      <c r="T289" s="145">
        <f t="shared" si="191"/>
        <v>0</v>
      </c>
      <c r="U289" s="145"/>
      <c r="V289" s="145">
        <f t="shared" si="192"/>
        <v>0</v>
      </c>
      <c r="W289" s="145"/>
      <c r="X289" s="145">
        <f t="shared" si="193"/>
        <v>0</v>
      </c>
      <c r="Y289" s="145"/>
      <c r="Z289" s="145">
        <f t="shared" si="194"/>
        <v>0</v>
      </c>
      <c r="AA289" s="145"/>
      <c r="AB289" s="145">
        <f t="shared" si="195"/>
        <v>0</v>
      </c>
      <c r="AC289" s="156"/>
      <c r="AD289" s="156">
        <f t="shared" si="184"/>
        <v>0</v>
      </c>
    </row>
    <row r="290" customHeight="1" spans="2:30">
      <c r="B290" s="193">
        <f>固定资产台账1!A9</f>
        <v>0</v>
      </c>
      <c r="C290" s="193"/>
      <c r="D290" s="193"/>
      <c r="E290" s="145">
        <f>固定资产台账1!C9</f>
        <v>0</v>
      </c>
      <c r="F290" s="145">
        <f>研发设备工时计算表2!AE11</f>
        <v>0</v>
      </c>
      <c r="G290" s="201">
        <f>研发设备工时计算表2!AD11</f>
        <v>0</v>
      </c>
      <c r="H290" s="145">
        <f t="shared" si="185"/>
        <v>0</v>
      </c>
      <c r="I290" s="145"/>
      <c r="J290" s="145">
        <f t="shared" si="186"/>
        <v>0</v>
      </c>
      <c r="K290" s="145"/>
      <c r="L290" s="145">
        <f t="shared" si="187"/>
        <v>0</v>
      </c>
      <c r="M290" s="145"/>
      <c r="N290" s="145">
        <f t="shared" si="188"/>
        <v>0</v>
      </c>
      <c r="O290" s="145"/>
      <c r="P290" s="145">
        <f t="shared" si="189"/>
        <v>0</v>
      </c>
      <c r="Q290" s="145"/>
      <c r="R290" s="145">
        <f t="shared" si="190"/>
        <v>0</v>
      </c>
      <c r="S290" s="145"/>
      <c r="T290" s="145">
        <f t="shared" si="191"/>
        <v>0</v>
      </c>
      <c r="U290" s="145"/>
      <c r="V290" s="145">
        <f t="shared" si="192"/>
        <v>0</v>
      </c>
      <c r="W290" s="145"/>
      <c r="X290" s="145">
        <f t="shared" si="193"/>
        <v>0</v>
      </c>
      <c r="Y290" s="145"/>
      <c r="Z290" s="145">
        <f t="shared" si="194"/>
        <v>0</v>
      </c>
      <c r="AA290" s="145"/>
      <c r="AB290" s="145">
        <f t="shared" si="195"/>
        <v>0</v>
      </c>
      <c r="AC290" s="156"/>
      <c r="AD290" s="156">
        <f t="shared" si="184"/>
        <v>0</v>
      </c>
    </row>
    <row r="291" customHeight="1" spans="2:30">
      <c r="B291" s="193">
        <f>固定资产台账1!A10</f>
        <v>0</v>
      </c>
      <c r="C291" s="193"/>
      <c r="D291" s="193"/>
      <c r="E291" s="145">
        <f>固定资产台账1!C10</f>
        <v>0</v>
      </c>
      <c r="F291" s="145">
        <f>研发设备工时计算表2!AE12</f>
        <v>0</v>
      </c>
      <c r="G291" s="201">
        <f>研发设备工时计算表2!AD12</f>
        <v>0</v>
      </c>
      <c r="H291" s="145">
        <f t="shared" si="185"/>
        <v>0</v>
      </c>
      <c r="I291" s="145"/>
      <c r="J291" s="145">
        <f t="shared" si="186"/>
        <v>0</v>
      </c>
      <c r="K291" s="145"/>
      <c r="L291" s="145">
        <f t="shared" si="187"/>
        <v>0</v>
      </c>
      <c r="M291" s="145"/>
      <c r="N291" s="145">
        <f t="shared" si="188"/>
        <v>0</v>
      </c>
      <c r="O291" s="145"/>
      <c r="P291" s="145">
        <f t="shared" si="189"/>
        <v>0</v>
      </c>
      <c r="Q291" s="145"/>
      <c r="R291" s="145">
        <f t="shared" si="190"/>
        <v>0</v>
      </c>
      <c r="S291" s="145"/>
      <c r="T291" s="145">
        <f t="shared" si="191"/>
        <v>0</v>
      </c>
      <c r="U291" s="145"/>
      <c r="V291" s="145">
        <f t="shared" si="192"/>
        <v>0</v>
      </c>
      <c r="W291" s="145"/>
      <c r="X291" s="145">
        <f t="shared" si="193"/>
        <v>0</v>
      </c>
      <c r="Y291" s="145"/>
      <c r="Z291" s="145">
        <f t="shared" si="194"/>
        <v>0</v>
      </c>
      <c r="AA291" s="145"/>
      <c r="AB291" s="145">
        <f t="shared" si="195"/>
        <v>0</v>
      </c>
      <c r="AC291" s="156"/>
      <c r="AD291" s="156">
        <f t="shared" si="184"/>
        <v>0</v>
      </c>
    </row>
    <row r="292" customHeight="1" spans="2:30">
      <c r="B292" s="193">
        <f>固定资产台账1!A11</f>
        <v>0</v>
      </c>
      <c r="C292" s="193"/>
      <c r="D292" s="193"/>
      <c r="E292" s="145">
        <f>固定资产台账1!C11</f>
        <v>0</v>
      </c>
      <c r="F292" s="145">
        <f>研发设备工时计算表2!AE13</f>
        <v>0</v>
      </c>
      <c r="G292" s="201">
        <f>研发设备工时计算表2!AD13</f>
        <v>0</v>
      </c>
      <c r="H292" s="145">
        <f t="shared" si="185"/>
        <v>0</v>
      </c>
      <c r="I292" s="145"/>
      <c r="J292" s="145">
        <f t="shared" si="186"/>
        <v>0</v>
      </c>
      <c r="K292" s="145"/>
      <c r="L292" s="145">
        <f t="shared" si="187"/>
        <v>0</v>
      </c>
      <c r="M292" s="145"/>
      <c r="N292" s="145">
        <f t="shared" si="188"/>
        <v>0</v>
      </c>
      <c r="O292" s="145"/>
      <c r="P292" s="145">
        <f t="shared" si="189"/>
        <v>0</v>
      </c>
      <c r="Q292" s="145"/>
      <c r="R292" s="145">
        <f t="shared" si="190"/>
        <v>0</v>
      </c>
      <c r="S292" s="145"/>
      <c r="T292" s="145">
        <f t="shared" si="191"/>
        <v>0</v>
      </c>
      <c r="U292" s="145"/>
      <c r="V292" s="145">
        <f t="shared" si="192"/>
        <v>0</v>
      </c>
      <c r="W292" s="145"/>
      <c r="X292" s="145">
        <f t="shared" si="193"/>
        <v>0</v>
      </c>
      <c r="Y292" s="145"/>
      <c r="Z292" s="145">
        <f t="shared" si="194"/>
        <v>0</v>
      </c>
      <c r="AA292" s="145"/>
      <c r="AB292" s="145">
        <f t="shared" si="195"/>
        <v>0</v>
      </c>
      <c r="AC292" s="156"/>
      <c r="AD292" s="156">
        <f t="shared" si="184"/>
        <v>0</v>
      </c>
    </row>
    <row r="293" customHeight="1" spans="2:30">
      <c r="B293" s="193">
        <f>固定资产台账1!A12</f>
        <v>0</v>
      </c>
      <c r="C293" s="193"/>
      <c r="D293" s="193"/>
      <c r="E293" s="145">
        <f>固定资产台账1!C12</f>
        <v>0</v>
      </c>
      <c r="F293" s="145">
        <f>研发设备工时计算表2!AE14</f>
        <v>0</v>
      </c>
      <c r="G293" s="201">
        <f>研发设备工时计算表2!AD14</f>
        <v>0</v>
      </c>
      <c r="H293" s="145">
        <f t="shared" si="185"/>
        <v>0</v>
      </c>
      <c r="I293" s="145"/>
      <c r="J293" s="145">
        <f t="shared" si="186"/>
        <v>0</v>
      </c>
      <c r="K293" s="145"/>
      <c r="L293" s="145">
        <f t="shared" si="187"/>
        <v>0</v>
      </c>
      <c r="M293" s="145"/>
      <c r="N293" s="145">
        <f t="shared" si="188"/>
        <v>0</v>
      </c>
      <c r="O293" s="145"/>
      <c r="P293" s="145">
        <f t="shared" si="189"/>
        <v>0</v>
      </c>
      <c r="Q293" s="145"/>
      <c r="R293" s="145">
        <f t="shared" si="190"/>
        <v>0</v>
      </c>
      <c r="S293" s="145"/>
      <c r="T293" s="145">
        <f t="shared" si="191"/>
        <v>0</v>
      </c>
      <c r="U293" s="145"/>
      <c r="V293" s="145">
        <f t="shared" si="192"/>
        <v>0</v>
      </c>
      <c r="W293" s="145"/>
      <c r="X293" s="145">
        <f t="shared" si="193"/>
        <v>0</v>
      </c>
      <c r="Y293" s="145"/>
      <c r="Z293" s="145">
        <f t="shared" si="194"/>
        <v>0</v>
      </c>
      <c r="AA293" s="145"/>
      <c r="AB293" s="145">
        <f t="shared" si="195"/>
        <v>0</v>
      </c>
      <c r="AC293" s="156"/>
      <c r="AD293" s="156">
        <f t="shared" si="184"/>
        <v>0</v>
      </c>
    </row>
    <row r="294" customHeight="1" spans="2:30">
      <c r="B294" s="193">
        <f>固定资产台账1!A13</f>
        <v>0</v>
      </c>
      <c r="C294" s="193"/>
      <c r="D294" s="193"/>
      <c r="E294" s="145">
        <f>固定资产台账1!C13</f>
        <v>0</v>
      </c>
      <c r="F294" s="145">
        <f>研发设备工时计算表2!AE15</f>
        <v>0</v>
      </c>
      <c r="G294" s="201">
        <f>研发设备工时计算表2!AD15</f>
        <v>0</v>
      </c>
      <c r="H294" s="145">
        <f t="shared" si="185"/>
        <v>0</v>
      </c>
      <c r="I294" s="145"/>
      <c r="J294" s="145">
        <f t="shared" si="186"/>
        <v>0</v>
      </c>
      <c r="K294" s="145"/>
      <c r="L294" s="145">
        <f t="shared" si="187"/>
        <v>0</v>
      </c>
      <c r="M294" s="145"/>
      <c r="N294" s="145">
        <f t="shared" si="188"/>
        <v>0</v>
      </c>
      <c r="O294" s="145"/>
      <c r="P294" s="145">
        <f t="shared" si="189"/>
        <v>0</v>
      </c>
      <c r="Q294" s="145"/>
      <c r="R294" s="145">
        <f t="shared" si="190"/>
        <v>0</v>
      </c>
      <c r="S294" s="145"/>
      <c r="T294" s="145">
        <f t="shared" si="191"/>
        <v>0</v>
      </c>
      <c r="U294" s="145"/>
      <c r="V294" s="145">
        <f t="shared" si="192"/>
        <v>0</v>
      </c>
      <c r="W294" s="145"/>
      <c r="X294" s="145">
        <f t="shared" si="193"/>
        <v>0</v>
      </c>
      <c r="Y294" s="145"/>
      <c r="Z294" s="145">
        <f t="shared" si="194"/>
        <v>0</v>
      </c>
      <c r="AA294" s="145"/>
      <c r="AB294" s="145">
        <f t="shared" si="195"/>
        <v>0</v>
      </c>
      <c r="AC294" s="156"/>
      <c r="AD294" s="156">
        <f t="shared" si="184"/>
        <v>0</v>
      </c>
    </row>
    <row r="295" customHeight="1" spans="2:30">
      <c r="B295" s="193">
        <f>固定资产台账1!A14</f>
        <v>0</v>
      </c>
      <c r="C295" s="193"/>
      <c r="D295" s="193"/>
      <c r="E295" s="145">
        <f>固定资产台账1!C14</f>
        <v>0</v>
      </c>
      <c r="F295" s="145">
        <f>研发设备工时计算表2!AE16</f>
        <v>0</v>
      </c>
      <c r="G295" s="201">
        <f>研发设备工时计算表2!AD16</f>
        <v>0</v>
      </c>
      <c r="H295" s="145">
        <f t="shared" si="185"/>
        <v>0</v>
      </c>
      <c r="I295" s="145"/>
      <c r="J295" s="145">
        <f t="shared" si="186"/>
        <v>0</v>
      </c>
      <c r="K295" s="145"/>
      <c r="L295" s="145">
        <f t="shared" si="187"/>
        <v>0</v>
      </c>
      <c r="M295" s="145"/>
      <c r="N295" s="145">
        <f t="shared" si="188"/>
        <v>0</v>
      </c>
      <c r="O295" s="145"/>
      <c r="P295" s="145">
        <f t="shared" si="189"/>
        <v>0</v>
      </c>
      <c r="Q295" s="145"/>
      <c r="R295" s="145">
        <f t="shared" si="190"/>
        <v>0</v>
      </c>
      <c r="S295" s="145"/>
      <c r="T295" s="145">
        <f t="shared" si="191"/>
        <v>0</v>
      </c>
      <c r="U295" s="145"/>
      <c r="V295" s="145">
        <f t="shared" si="192"/>
        <v>0</v>
      </c>
      <c r="W295" s="145"/>
      <c r="X295" s="145">
        <f t="shared" si="193"/>
        <v>0</v>
      </c>
      <c r="Y295" s="145"/>
      <c r="Z295" s="145">
        <f t="shared" si="194"/>
        <v>0</v>
      </c>
      <c r="AA295" s="145"/>
      <c r="AB295" s="145">
        <f t="shared" si="195"/>
        <v>0</v>
      </c>
      <c r="AC295" s="156"/>
      <c r="AD295" s="156">
        <f t="shared" si="184"/>
        <v>0</v>
      </c>
    </row>
    <row r="296" customHeight="1" spans="2:30">
      <c r="B296" s="193">
        <f>固定资产台账1!A15</f>
        <v>0</v>
      </c>
      <c r="C296" s="193"/>
      <c r="D296" s="193"/>
      <c r="E296" s="145">
        <f>固定资产台账1!C15</f>
        <v>0</v>
      </c>
      <c r="F296" s="145">
        <f>研发设备工时计算表2!AE17</f>
        <v>0</v>
      </c>
      <c r="G296" s="201">
        <f>研发设备工时计算表2!AD17</f>
        <v>0</v>
      </c>
      <c r="H296" s="145">
        <f t="shared" si="185"/>
        <v>0</v>
      </c>
      <c r="I296" s="145"/>
      <c r="J296" s="145">
        <f t="shared" si="186"/>
        <v>0</v>
      </c>
      <c r="K296" s="145"/>
      <c r="L296" s="145">
        <f t="shared" si="187"/>
        <v>0</v>
      </c>
      <c r="M296" s="145"/>
      <c r="N296" s="145">
        <f t="shared" si="188"/>
        <v>0</v>
      </c>
      <c r="O296" s="145"/>
      <c r="P296" s="145">
        <f t="shared" si="189"/>
        <v>0</v>
      </c>
      <c r="Q296" s="145"/>
      <c r="R296" s="145">
        <f t="shared" si="190"/>
        <v>0</v>
      </c>
      <c r="S296" s="145"/>
      <c r="T296" s="145">
        <f t="shared" si="191"/>
        <v>0</v>
      </c>
      <c r="U296" s="145"/>
      <c r="V296" s="145">
        <f t="shared" si="192"/>
        <v>0</v>
      </c>
      <c r="W296" s="145"/>
      <c r="X296" s="145">
        <f t="shared" si="193"/>
        <v>0</v>
      </c>
      <c r="Y296" s="145"/>
      <c r="Z296" s="145">
        <f t="shared" si="194"/>
        <v>0</v>
      </c>
      <c r="AA296" s="145"/>
      <c r="AB296" s="145">
        <f t="shared" si="195"/>
        <v>0</v>
      </c>
      <c r="AC296" s="156"/>
      <c r="AD296" s="156">
        <f t="shared" si="184"/>
        <v>0</v>
      </c>
    </row>
    <row r="297" customHeight="1" spans="2:30">
      <c r="B297" s="193">
        <f>固定资产台账1!A16</f>
        <v>0</v>
      </c>
      <c r="C297" s="193"/>
      <c r="D297" s="193"/>
      <c r="E297" s="145">
        <f>固定资产台账1!C16</f>
        <v>0</v>
      </c>
      <c r="F297" s="145">
        <f>研发设备工时计算表2!AE18</f>
        <v>0</v>
      </c>
      <c r="G297" s="201">
        <f>研发设备工时计算表2!AD18</f>
        <v>0</v>
      </c>
      <c r="H297" s="145">
        <f t="shared" si="185"/>
        <v>0</v>
      </c>
      <c r="I297" s="145"/>
      <c r="J297" s="145">
        <f t="shared" si="186"/>
        <v>0</v>
      </c>
      <c r="K297" s="145"/>
      <c r="L297" s="145">
        <f t="shared" si="187"/>
        <v>0</v>
      </c>
      <c r="M297" s="145"/>
      <c r="N297" s="145">
        <f t="shared" si="188"/>
        <v>0</v>
      </c>
      <c r="O297" s="145"/>
      <c r="P297" s="145">
        <f t="shared" si="189"/>
        <v>0</v>
      </c>
      <c r="Q297" s="145"/>
      <c r="R297" s="145">
        <f t="shared" si="190"/>
        <v>0</v>
      </c>
      <c r="S297" s="145"/>
      <c r="T297" s="145">
        <f t="shared" si="191"/>
        <v>0</v>
      </c>
      <c r="U297" s="145"/>
      <c r="V297" s="145">
        <f t="shared" si="192"/>
        <v>0</v>
      </c>
      <c r="W297" s="145"/>
      <c r="X297" s="145">
        <f t="shared" si="193"/>
        <v>0</v>
      </c>
      <c r="Y297" s="145"/>
      <c r="Z297" s="145">
        <f t="shared" si="194"/>
        <v>0</v>
      </c>
      <c r="AA297" s="145"/>
      <c r="AB297" s="145">
        <f t="shared" si="195"/>
        <v>0</v>
      </c>
      <c r="AC297" s="156"/>
      <c r="AD297" s="156">
        <f t="shared" si="184"/>
        <v>0</v>
      </c>
    </row>
    <row r="298" customHeight="1" spans="2:30">
      <c r="B298" s="193">
        <f>固定资产台账1!A17</f>
        <v>0</v>
      </c>
      <c r="C298" s="193"/>
      <c r="D298" s="193"/>
      <c r="E298" s="145">
        <f>固定资产台账1!C17</f>
        <v>0</v>
      </c>
      <c r="F298" s="145">
        <f>研发设备工时计算表2!AE19</f>
        <v>0</v>
      </c>
      <c r="G298" s="201">
        <f>研发设备工时计算表2!AD19</f>
        <v>0</v>
      </c>
      <c r="H298" s="145">
        <f t="shared" si="185"/>
        <v>0</v>
      </c>
      <c r="I298" s="145"/>
      <c r="J298" s="145">
        <f t="shared" si="186"/>
        <v>0</v>
      </c>
      <c r="K298" s="145"/>
      <c r="L298" s="145">
        <f t="shared" si="187"/>
        <v>0</v>
      </c>
      <c r="M298" s="145"/>
      <c r="N298" s="145">
        <f t="shared" si="188"/>
        <v>0</v>
      </c>
      <c r="O298" s="145"/>
      <c r="P298" s="145">
        <f t="shared" si="189"/>
        <v>0</v>
      </c>
      <c r="Q298" s="145"/>
      <c r="R298" s="145">
        <f t="shared" si="190"/>
        <v>0</v>
      </c>
      <c r="S298" s="145"/>
      <c r="T298" s="145">
        <f t="shared" si="191"/>
        <v>0</v>
      </c>
      <c r="U298" s="145"/>
      <c r="V298" s="145">
        <f t="shared" si="192"/>
        <v>0</v>
      </c>
      <c r="W298" s="145"/>
      <c r="X298" s="145">
        <f t="shared" si="193"/>
        <v>0</v>
      </c>
      <c r="Y298" s="145"/>
      <c r="Z298" s="145">
        <f t="shared" si="194"/>
        <v>0</v>
      </c>
      <c r="AA298" s="145"/>
      <c r="AB298" s="145">
        <f t="shared" si="195"/>
        <v>0</v>
      </c>
      <c r="AC298" s="156"/>
      <c r="AD298" s="156">
        <f t="shared" si="184"/>
        <v>0</v>
      </c>
    </row>
    <row r="299" customHeight="1" spans="2:30">
      <c r="B299" s="193">
        <f>固定资产台账1!A18</f>
        <v>0</v>
      </c>
      <c r="C299" s="193"/>
      <c r="D299" s="193"/>
      <c r="E299" s="145">
        <f>固定资产台账1!C18</f>
        <v>0</v>
      </c>
      <c r="F299" s="145">
        <f>研发设备工时计算表2!AE20</f>
        <v>0</v>
      </c>
      <c r="G299" s="201">
        <f>研发设备工时计算表2!AD20</f>
        <v>0</v>
      </c>
      <c r="H299" s="145">
        <f t="shared" si="185"/>
        <v>0</v>
      </c>
      <c r="I299" s="145"/>
      <c r="J299" s="145">
        <f t="shared" si="186"/>
        <v>0</v>
      </c>
      <c r="K299" s="145"/>
      <c r="L299" s="145">
        <f t="shared" si="187"/>
        <v>0</v>
      </c>
      <c r="M299" s="145"/>
      <c r="N299" s="145">
        <f t="shared" si="188"/>
        <v>0</v>
      </c>
      <c r="O299" s="145"/>
      <c r="P299" s="145">
        <f t="shared" si="189"/>
        <v>0</v>
      </c>
      <c r="Q299" s="145"/>
      <c r="R299" s="145">
        <f t="shared" si="190"/>
        <v>0</v>
      </c>
      <c r="S299" s="145"/>
      <c r="T299" s="145">
        <f t="shared" si="191"/>
        <v>0</v>
      </c>
      <c r="U299" s="145"/>
      <c r="V299" s="145">
        <f t="shared" si="192"/>
        <v>0</v>
      </c>
      <c r="W299" s="145"/>
      <c r="X299" s="145">
        <f t="shared" si="193"/>
        <v>0</v>
      </c>
      <c r="Y299" s="145"/>
      <c r="Z299" s="145">
        <f t="shared" si="194"/>
        <v>0</v>
      </c>
      <c r="AA299" s="145"/>
      <c r="AB299" s="145">
        <f t="shared" si="195"/>
        <v>0</v>
      </c>
      <c r="AC299" s="156"/>
      <c r="AD299" s="156">
        <f t="shared" si="184"/>
        <v>0</v>
      </c>
    </row>
    <row r="300" customHeight="1" spans="2:30">
      <c r="B300" s="193">
        <f>固定资产台账1!A19</f>
        <v>0</v>
      </c>
      <c r="C300" s="193"/>
      <c r="D300" s="193"/>
      <c r="E300" s="145">
        <f>固定资产台账1!C19</f>
        <v>0</v>
      </c>
      <c r="F300" s="145">
        <f>研发设备工时计算表2!AE21</f>
        <v>0</v>
      </c>
      <c r="G300" s="201">
        <f>研发设备工时计算表2!AD21</f>
        <v>0</v>
      </c>
      <c r="H300" s="145">
        <f t="shared" si="185"/>
        <v>0</v>
      </c>
      <c r="I300" s="145"/>
      <c r="J300" s="145">
        <f t="shared" si="186"/>
        <v>0</v>
      </c>
      <c r="K300" s="145"/>
      <c r="L300" s="145">
        <f t="shared" si="187"/>
        <v>0</v>
      </c>
      <c r="M300" s="145"/>
      <c r="N300" s="145">
        <f t="shared" si="188"/>
        <v>0</v>
      </c>
      <c r="O300" s="145"/>
      <c r="P300" s="145">
        <f t="shared" si="189"/>
        <v>0</v>
      </c>
      <c r="Q300" s="145"/>
      <c r="R300" s="145">
        <f t="shared" si="190"/>
        <v>0</v>
      </c>
      <c r="S300" s="145"/>
      <c r="T300" s="145">
        <f t="shared" si="191"/>
        <v>0</v>
      </c>
      <c r="U300" s="145"/>
      <c r="V300" s="145">
        <f t="shared" si="192"/>
        <v>0</v>
      </c>
      <c r="W300" s="145"/>
      <c r="X300" s="145">
        <f t="shared" si="193"/>
        <v>0</v>
      </c>
      <c r="Y300" s="145"/>
      <c r="Z300" s="145">
        <f t="shared" si="194"/>
        <v>0</v>
      </c>
      <c r="AA300" s="145"/>
      <c r="AB300" s="145">
        <f t="shared" si="195"/>
        <v>0</v>
      </c>
      <c r="AC300" s="156"/>
      <c r="AD300" s="156">
        <f t="shared" si="184"/>
        <v>0</v>
      </c>
    </row>
    <row r="301" customHeight="1" spans="2:30">
      <c r="B301" s="193">
        <f>固定资产台账1!A20</f>
        <v>0</v>
      </c>
      <c r="C301" s="193"/>
      <c r="D301" s="193"/>
      <c r="E301" s="145">
        <f>固定资产台账1!C20</f>
        <v>0</v>
      </c>
      <c r="F301" s="145">
        <f>研发设备工时计算表2!AE22</f>
        <v>0</v>
      </c>
      <c r="G301" s="201">
        <f>研发设备工时计算表2!AD22</f>
        <v>0</v>
      </c>
      <c r="H301" s="145">
        <f t="shared" si="185"/>
        <v>0</v>
      </c>
      <c r="I301" s="145"/>
      <c r="J301" s="145">
        <f t="shared" si="186"/>
        <v>0</v>
      </c>
      <c r="K301" s="145"/>
      <c r="L301" s="145">
        <f t="shared" si="187"/>
        <v>0</v>
      </c>
      <c r="M301" s="145"/>
      <c r="N301" s="145">
        <f t="shared" si="188"/>
        <v>0</v>
      </c>
      <c r="O301" s="145"/>
      <c r="P301" s="145">
        <f t="shared" si="189"/>
        <v>0</v>
      </c>
      <c r="Q301" s="145"/>
      <c r="R301" s="145">
        <f t="shared" si="190"/>
        <v>0</v>
      </c>
      <c r="S301" s="145"/>
      <c r="T301" s="145">
        <f t="shared" si="191"/>
        <v>0</v>
      </c>
      <c r="U301" s="145"/>
      <c r="V301" s="145">
        <f t="shared" si="192"/>
        <v>0</v>
      </c>
      <c r="W301" s="145"/>
      <c r="X301" s="145">
        <f t="shared" si="193"/>
        <v>0</v>
      </c>
      <c r="Y301" s="145"/>
      <c r="Z301" s="145">
        <f t="shared" si="194"/>
        <v>0</v>
      </c>
      <c r="AA301" s="145"/>
      <c r="AB301" s="145">
        <f t="shared" si="195"/>
        <v>0</v>
      </c>
      <c r="AC301" s="156"/>
      <c r="AD301" s="156">
        <f t="shared" si="184"/>
        <v>0</v>
      </c>
    </row>
    <row r="302" customHeight="1" spans="2:30">
      <c r="B302" s="193">
        <f>固定资产台账1!A21</f>
        <v>0</v>
      </c>
      <c r="C302" s="193"/>
      <c r="D302" s="193"/>
      <c r="E302" s="145">
        <f>固定资产台账1!C21</f>
        <v>0</v>
      </c>
      <c r="F302" s="145">
        <f>研发设备工时计算表2!AE23</f>
        <v>0</v>
      </c>
      <c r="G302" s="201">
        <f>研发设备工时计算表2!AD23</f>
        <v>0</v>
      </c>
      <c r="H302" s="145">
        <f t="shared" si="185"/>
        <v>0</v>
      </c>
      <c r="I302" s="145"/>
      <c r="J302" s="145">
        <f t="shared" si="186"/>
        <v>0</v>
      </c>
      <c r="K302" s="145"/>
      <c r="L302" s="145">
        <f t="shared" si="187"/>
        <v>0</v>
      </c>
      <c r="M302" s="145"/>
      <c r="N302" s="145">
        <f t="shared" si="188"/>
        <v>0</v>
      </c>
      <c r="O302" s="145"/>
      <c r="P302" s="145">
        <f t="shared" si="189"/>
        <v>0</v>
      </c>
      <c r="Q302" s="145"/>
      <c r="R302" s="145">
        <f t="shared" si="190"/>
        <v>0</v>
      </c>
      <c r="S302" s="145"/>
      <c r="T302" s="145">
        <f t="shared" si="191"/>
        <v>0</v>
      </c>
      <c r="U302" s="145"/>
      <c r="V302" s="145">
        <f t="shared" si="192"/>
        <v>0</v>
      </c>
      <c r="W302" s="145"/>
      <c r="X302" s="145">
        <f t="shared" si="193"/>
        <v>0</v>
      </c>
      <c r="Y302" s="145"/>
      <c r="Z302" s="145">
        <f t="shared" si="194"/>
        <v>0</v>
      </c>
      <c r="AA302" s="145"/>
      <c r="AB302" s="145">
        <f t="shared" si="195"/>
        <v>0</v>
      </c>
      <c r="AC302" s="156"/>
      <c r="AD302" s="156">
        <f t="shared" si="184"/>
        <v>0</v>
      </c>
    </row>
    <row r="303" customHeight="1" spans="2:30">
      <c r="B303" s="193">
        <f>固定资产台账1!A22</f>
        <v>0</v>
      </c>
      <c r="C303" s="193"/>
      <c r="D303" s="193"/>
      <c r="E303" s="145">
        <f>固定资产台账1!C22</f>
        <v>0</v>
      </c>
      <c r="F303" s="145">
        <f>研发设备工时计算表2!AE24</f>
        <v>0</v>
      </c>
      <c r="G303" s="201">
        <f>研发设备工时计算表2!AD24</f>
        <v>0</v>
      </c>
      <c r="H303" s="145">
        <f t="shared" si="185"/>
        <v>0</v>
      </c>
      <c r="I303" s="145"/>
      <c r="J303" s="145">
        <f t="shared" si="186"/>
        <v>0</v>
      </c>
      <c r="K303" s="145"/>
      <c r="L303" s="145">
        <f t="shared" si="187"/>
        <v>0</v>
      </c>
      <c r="M303" s="145"/>
      <c r="N303" s="145">
        <f t="shared" si="188"/>
        <v>0</v>
      </c>
      <c r="O303" s="145"/>
      <c r="P303" s="145">
        <f t="shared" si="189"/>
        <v>0</v>
      </c>
      <c r="Q303" s="145"/>
      <c r="R303" s="145">
        <f t="shared" si="190"/>
        <v>0</v>
      </c>
      <c r="S303" s="145"/>
      <c r="T303" s="145">
        <f t="shared" si="191"/>
        <v>0</v>
      </c>
      <c r="U303" s="145"/>
      <c r="V303" s="145">
        <f t="shared" si="192"/>
        <v>0</v>
      </c>
      <c r="W303" s="145"/>
      <c r="X303" s="145">
        <f t="shared" si="193"/>
        <v>0</v>
      </c>
      <c r="Y303" s="145"/>
      <c r="Z303" s="145">
        <f t="shared" si="194"/>
        <v>0</v>
      </c>
      <c r="AA303" s="145"/>
      <c r="AB303" s="145">
        <f t="shared" si="195"/>
        <v>0</v>
      </c>
      <c r="AC303" s="156"/>
      <c r="AD303" s="156">
        <f t="shared" si="184"/>
        <v>0</v>
      </c>
    </row>
    <row r="304" customHeight="1" spans="2:30">
      <c r="B304" s="193">
        <f>固定资产台账1!A23</f>
        <v>0</v>
      </c>
      <c r="C304" s="193"/>
      <c r="D304" s="193"/>
      <c r="E304" s="145">
        <f>固定资产台账1!C23</f>
        <v>0</v>
      </c>
      <c r="F304" s="145">
        <f>研发设备工时计算表2!AE25</f>
        <v>0</v>
      </c>
      <c r="G304" s="201">
        <f>研发设备工时计算表2!AD25</f>
        <v>0</v>
      </c>
      <c r="H304" s="145">
        <f t="shared" si="185"/>
        <v>0</v>
      </c>
      <c r="I304" s="145"/>
      <c r="J304" s="145">
        <f t="shared" si="186"/>
        <v>0</v>
      </c>
      <c r="K304" s="145"/>
      <c r="L304" s="145">
        <f t="shared" si="187"/>
        <v>0</v>
      </c>
      <c r="M304" s="145"/>
      <c r="N304" s="145">
        <f t="shared" si="188"/>
        <v>0</v>
      </c>
      <c r="O304" s="145"/>
      <c r="P304" s="145">
        <f t="shared" si="189"/>
        <v>0</v>
      </c>
      <c r="Q304" s="145"/>
      <c r="R304" s="145">
        <f t="shared" si="190"/>
        <v>0</v>
      </c>
      <c r="S304" s="145"/>
      <c r="T304" s="145">
        <f t="shared" si="191"/>
        <v>0</v>
      </c>
      <c r="U304" s="145"/>
      <c r="V304" s="145">
        <f t="shared" si="192"/>
        <v>0</v>
      </c>
      <c r="W304" s="145"/>
      <c r="X304" s="145">
        <f t="shared" si="193"/>
        <v>0</v>
      </c>
      <c r="Y304" s="145"/>
      <c r="Z304" s="145">
        <f t="shared" si="194"/>
        <v>0</v>
      </c>
      <c r="AA304" s="145"/>
      <c r="AB304" s="145">
        <f t="shared" si="195"/>
        <v>0</v>
      </c>
      <c r="AC304" s="156"/>
      <c r="AD304" s="156">
        <f t="shared" si="184"/>
        <v>0</v>
      </c>
    </row>
    <row r="305" customHeight="1" spans="2:30">
      <c r="B305" s="193">
        <f>固定资产台账1!A25</f>
        <v>0</v>
      </c>
      <c r="C305" s="193"/>
      <c r="D305" s="193"/>
      <c r="E305" s="145">
        <f>固定资产台账1!C25</f>
        <v>0</v>
      </c>
      <c r="F305" s="145">
        <f>研发设备工时计算表2!AE26</f>
        <v>0</v>
      </c>
      <c r="G305" s="201">
        <f>研发设备工时计算表2!AD26</f>
        <v>0</v>
      </c>
      <c r="H305" s="145">
        <f t="shared" si="185"/>
        <v>0</v>
      </c>
      <c r="I305" s="145"/>
      <c r="J305" s="145">
        <f t="shared" si="186"/>
        <v>0</v>
      </c>
      <c r="K305" s="145"/>
      <c r="L305" s="145">
        <f t="shared" si="187"/>
        <v>0</v>
      </c>
      <c r="M305" s="145"/>
      <c r="N305" s="145">
        <f t="shared" si="188"/>
        <v>0</v>
      </c>
      <c r="O305" s="145"/>
      <c r="P305" s="145">
        <f t="shared" si="189"/>
        <v>0</v>
      </c>
      <c r="Q305" s="145"/>
      <c r="R305" s="145">
        <f t="shared" si="190"/>
        <v>0</v>
      </c>
      <c r="S305" s="145"/>
      <c r="T305" s="145">
        <f t="shared" si="191"/>
        <v>0</v>
      </c>
      <c r="U305" s="145"/>
      <c r="V305" s="145">
        <f t="shared" si="192"/>
        <v>0</v>
      </c>
      <c r="W305" s="145"/>
      <c r="X305" s="145">
        <f t="shared" si="193"/>
        <v>0</v>
      </c>
      <c r="Y305" s="145"/>
      <c r="Z305" s="145">
        <f t="shared" si="194"/>
        <v>0</v>
      </c>
      <c r="AA305" s="145"/>
      <c r="AB305" s="145">
        <f t="shared" si="195"/>
        <v>0</v>
      </c>
      <c r="AC305" s="156"/>
      <c r="AD305" s="156">
        <f t="shared" si="184"/>
        <v>0</v>
      </c>
    </row>
    <row r="306" customHeight="1" spans="2:30">
      <c r="B306" s="193">
        <f>固定资产台账1!A25</f>
        <v>0</v>
      </c>
      <c r="C306" s="193"/>
      <c r="D306" s="193"/>
      <c r="E306" s="145">
        <f>固定资产台账1!C25</f>
        <v>0</v>
      </c>
      <c r="F306" s="145">
        <f>研发设备工时计算表2!AE27</f>
        <v>0</v>
      </c>
      <c r="G306" s="201">
        <f>研发设备工时计算表2!AD27</f>
        <v>0</v>
      </c>
      <c r="H306" s="145">
        <f t="shared" si="185"/>
        <v>0</v>
      </c>
      <c r="I306" s="145"/>
      <c r="J306" s="145">
        <f t="shared" si="186"/>
        <v>0</v>
      </c>
      <c r="K306" s="145"/>
      <c r="L306" s="145">
        <f t="shared" si="187"/>
        <v>0</v>
      </c>
      <c r="M306" s="145"/>
      <c r="N306" s="145">
        <f t="shared" si="188"/>
        <v>0</v>
      </c>
      <c r="O306" s="145"/>
      <c r="P306" s="145">
        <f t="shared" si="189"/>
        <v>0</v>
      </c>
      <c r="Q306" s="145"/>
      <c r="R306" s="145">
        <f t="shared" si="190"/>
        <v>0</v>
      </c>
      <c r="S306" s="145"/>
      <c r="T306" s="145">
        <f t="shared" si="191"/>
        <v>0</v>
      </c>
      <c r="U306" s="145"/>
      <c r="V306" s="145">
        <f t="shared" si="192"/>
        <v>0</v>
      </c>
      <c r="W306" s="145"/>
      <c r="X306" s="145">
        <f t="shared" si="193"/>
        <v>0</v>
      </c>
      <c r="Y306" s="145"/>
      <c r="Z306" s="145">
        <f t="shared" si="194"/>
        <v>0</v>
      </c>
      <c r="AA306" s="145"/>
      <c r="AB306" s="145">
        <f t="shared" si="195"/>
        <v>0</v>
      </c>
      <c r="AC306" s="156"/>
      <c r="AD306" s="156">
        <f t="shared" si="184"/>
        <v>0</v>
      </c>
    </row>
    <row r="307" customHeight="1" spans="2:30">
      <c r="B307" s="193">
        <f>固定资产台账1!A26</f>
        <v>0</v>
      </c>
      <c r="C307" s="193"/>
      <c r="D307" s="193"/>
      <c r="E307" s="145">
        <f>固定资产台账1!C26</f>
        <v>0</v>
      </c>
      <c r="F307" s="145">
        <f>研发设备工时计算表2!AE28</f>
        <v>0</v>
      </c>
      <c r="G307" s="201">
        <f>研发设备工时计算表2!AD28</f>
        <v>0</v>
      </c>
      <c r="H307" s="145">
        <f t="shared" si="185"/>
        <v>0</v>
      </c>
      <c r="I307" s="145"/>
      <c r="J307" s="145">
        <f t="shared" si="186"/>
        <v>0</v>
      </c>
      <c r="K307" s="145"/>
      <c r="L307" s="145">
        <f t="shared" si="187"/>
        <v>0</v>
      </c>
      <c r="M307" s="145"/>
      <c r="N307" s="145">
        <f t="shared" si="188"/>
        <v>0</v>
      </c>
      <c r="O307" s="145"/>
      <c r="P307" s="145">
        <f t="shared" si="189"/>
        <v>0</v>
      </c>
      <c r="Q307" s="145"/>
      <c r="R307" s="145">
        <f t="shared" si="190"/>
        <v>0</v>
      </c>
      <c r="S307" s="145"/>
      <c r="T307" s="145">
        <f t="shared" si="191"/>
        <v>0</v>
      </c>
      <c r="U307" s="145"/>
      <c r="V307" s="145">
        <f t="shared" si="192"/>
        <v>0</v>
      </c>
      <c r="W307" s="145"/>
      <c r="X307" s="145">
        <f t="shared" si="193"/>
        <v>0</v>
      </c>
      <c r="Y307" s="145"/>
      <c r="Z307" s="145">
        <f t="shared" si="194"/>
        <v>0</v>
      </c>
      <c r="AA307" s="145"/>
      <c r="AB307" s="145">
        <f t="shared" si="195"/>
        <v>0</v>
      </c>
      <c r="AC307" s="156"/>
      <c r="AD307" s="156">
        <f t="shared" si="184"/>
        <v>0</v>
      </c>
    </row>
    <row r="308" customHeight="1" spans="2:30">
      <c r="B308" s="193">
        <f>固定资产台账1!A27</f>
        <v>0</v>
      </c>
      <c r="C308" s="193"/>
      <c r="D308" s="193"/>
      <c r="E308" s="145">
        <f>固定资产台账1!C27</f>
        <v>0</v>
      </c>
      <c r="F308" s="145">
        <f>研发设备工时计算表2!AE29</f>
        <v>0</v>
      </c>
      <c r="G308" s="201">
        <f>研发设备工时计算表2!AD29</f>
        <v>0</v>
      </c>
      <c r="H308" s="145">
        <f t="shared" si="185"/>
        <v>0</v>
      </c>
      <c r="I308" s="145"/>
      <c r="J308" s="145">
        <f t="shared" si="186"/>
        <v>0</v>
      </c>
      <c r="K308" s="145"/>
      <c r="L308" s="145">
        <f t="shared" si="187"/>
        <v>0</v>
      </c>
      <c r="M308" s="145"/>
      <c r="N308" s="145">
        <f t="shared" si="188"/>
        <v>0</v>
      </c>
      <c r="O308" s="145"/>
      <c r="P308" s="145">
        <f t="shared" si="189"/>
        <v>0</v>
      </c>
      <c r="Q308" s="145"/>
      <c r="R308" s="145">
        <f t="shared" si="190"/>
        <v>0</v>
      </c>
      <c r="S308" s="145"/>
      <c r="T308" s="145">
        <f t="shared" si="191"/>
        <v>0</v>
      </c>
      <c r="U308" s="145"/>
      <c r="V308" s="145">
        <f t="shared" si="192"/>
        <v>0</v>
      </c>
      <c r="W308" s="145"/>
      <c r="X308" s="145">
        <f t="shared" si="193"/>
        <v>0</v>
      </c>
      <c r="Y308" s="145"/>
      <c r="Z308" s="145">
        <f t="shared" si="194"/>
        <v>0</v>
      </c>
      <c r="AA308" s="145"/>
      <c r="AB308" s="145">
        <f t="shared" si="195"/>
        <v>0</v>
      </c>
      <c r="AC308" s="156"/>
      <c r="AD308" s="156">
        <f t="shared" si="184"/>
        <v>0</v>
      </c>
    </row>
    <row r="309" customHeight="1" spans="2:30">
      <c r="B309" s="196" t="s">
        <v>255</v>
      </c>
      <c r="C309" s="197"/>
      <c r="D309" s="198"/>
      <c r="E309" s="199">
        <f t="shared" ref="E309:G309" si="196">SUM(E284:E308)</f>
        <v>0</v>
      </c>
      <c r="F309" s="188">
        <f t="shared" ref="F309:I309" si="197">SUM(F284:F308)</f>
        <v>0</v>
      </c>
      <c r="G309" s="188">
        <f t="shared" si="197"/>
        <v>0</v>
      </c>
      <c r="H309" s="188">
        <f t="shared" si="197"/>
        <v>0</v>
      </c>
      <c r="I309" s="188">
        <f t="shared" si="197"/>
        <v>0</v>
      </c>
      <c r="J309" s="188">
        <f t="shared" ref="J309:M309" si="198">SUM(J284:J308)</f>
        <v>0</v>
      </c>
      <c r="K309" s="188">
        <f t="shared" si="198"/>
        <v>0</v>
      </c>
      <c r="L309" s="188">
        <f t="shared" si="198"/>
        <v>0</v>
      </c>
      <c r="M309" s="188">
        <f t="shared" si="198"/>
        <v>0</v>
      </c>
      <c r="N309" s="188">
        <f t="shared" ref="N309:Q309" si="199">SUM(N284:N308)</f>
        <v>0</v>
      </c>
      <c r="O309" s="188">
        <f t="shared" si="199"/>
        <v>0</v>
      </c>
      <c r="P309" s="188">
        <f t="shared" si="199"/>
        <v>0</v>
      </c>
      <c r="Q309" s="188">
        <f t="shared" si="199"/>
        <v>0</v>
      </c>
      <c r="R309" s="188">
        <f t="shared" ref="R309:U309" si="200">SUM(R284:R308)</f>
        <v>0</v>
      </c>
      <c r="S309" s="188">
        <f t="shared" si="200"/>
        <v>0</v>
      </c>
      <c r="T309" s="188">
        <f t="shared" si="200"/>
        <v>0</v>
      </c>
      <c r="U309" s="188">
        <f t="shared" si="200"/>
        <v>0</v>
      </c>
      <c r="V309" s="188">
        <f t="shared" ref="V309:AB309" si="201">SUM(V284:V308)</f>
        <v>0</v>
      </c>
      <c r="W309" s="188">
        <f t="shared" si="201"/>
        <v>0</v>
      </c>
      <c r="X309" s="188">
        <f t="shared" si="201"/>
        <v>0</v>
      </c>
      <c r="Y309" s="188">
        <f t="shared" si="201"/>
        <v>0</v>
      </c>
      <c r="Z309" s="188">
        <f t="shared" si="201"/>
        <v>0</v>
      </c>
      <c r="AA309" s="188">
        <f t="shared" si="201"/>
        <v>0</v>
      </c>
      <c r="AB309" s="188">
        <f t="shared" si="201"/>
        <v>0</v>
      </c>
      <c r="AC309" s="156"/>
      <c r="AD309" s="156">
        <f t="shared" si="184"/>
        <v>0</v>
      </c>
    </row>
    <row r="310" customHeight="1" spans="2:30">
      <c r="E310" s="200"/>
      <c r="F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156"/>
      <c r="AD310" s="156"/>
    </row>
    <row r="311" customHeight="1" spans="2:30">
      <c r="E311" s="200"/>
      <c r="G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156"/>
      <c r="AD311" s="156"/>
    </row>
    <row r="312" customHeight="1" spans="2:30">
      <c r="B312" s="186" t="s">
        <v>265</v>
      </c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56"/>
      <c r="AD312" s="156"/>
    </row>
    <row r="313" customHeight="1" spans="2:30">
      <c r="B313" s="187" t="s">
        <v>249</v>
      </c>
      <c r="C313" s="187"/>
      <c r="D313" s="187"/>
      <c r="E313" s="188" t="s">
        <v>250</v>
      </c>
      <c r="F313" s="189" t="s">
        <v>251</v>
      </c>
      <c r="G313" s="190" t="s">
        <v>252</v>
      </c>
      <c r="H313" s="190" t="s">
        <v>251</v>
      </c>
      <c r="I313" s="191" t="str">
        <f>立项!A3</f>
        <v>RD01</v>
      </c>
      <c r="J313" s="191"/>
      <c r="K313" s="191" t="str">
        <f>立项!A4</f>
        <v>RD02</v>
      </c>
      <c r="L313" s="191"/>
      <c r="M313" s="191" t="str">
        <f>立项!A5</f>
        <v>RD03</v>
      </c>
      <c r="N313" s="191"/>
      <c r="O313" s="191" t="str">
        <f>立项!A6</f>
        <v>RD04</v>
      </c>
      <c r="P313" s="191"/>
      <c r="Q313" s="191" t="str">
        <f>立项!A7</f>
        <v>RD05</v>
      </c>
      <c r="R313" s="191"/>
      <c r="S313" s="191" t="str">
        <f>立项!A8</f>
        <v>RD06</v>
      </c>
      <c r="T313" s="191"/>
      <c r="U313" s="191" t="str">
        <f>立项!A9</f>
        <v>RD07</v>
      </c>
      <c r="V313" s="191"/>
      <c r="W313" s="191" t="str">
        <f>立项!A10</f>
        <v>RD08</v>
      </c>
      <c r="X313" s="191"/>
      <c r="Y313" s="191" t="str">
        <f>立项!A11</f>
        <v>RD09</v>
      </c>
      <c r="Z313" s="191"/>
      <c r="AA313" s="191" t="str">
        <f>立项!A12</f>
        <v>RD10</v>
      </c>
      <c r="AB313" s="191"/>
      <c r="AC313" s="156"/>
      <c r="AD313" s="156"/>
    </row>
    <row r="314" customHeight="1" spans="2:30">
      <c r="B314" s="187"/>
      <c r="C314" s="187"/>
      <c r="D314" s="187"/>
      <c r="E314" s="188"/>
      <c r="F314" s="188"/>
      <c r="G314" s="190"/>
      <c r="H314" s="190"/>
      <c r="I314" s="192" t="s">
        <v>253</v>
      </c>
      <c r="J314" s="192" t="s">
        <v>254</v>
      </c>
      <c r="K314" s="192" t="s">
        <v>253</v>
      </c>
      <c r="L314" s="192" t="s">
        <v>254</v>
      </c>
      <c r="M314" s="192" t="s">
        <v>253</v>
      </c>
      <c r="N314" s="192" t="s">
        <v>254</v>
      </c>
      <c r="O314" s="192" t="s">
        <v>253</v>
      </c>
      <c r="P314" s="192" t="s">
        <v>254</v>
      </c>
      <c r="Q314" s="192" t="s">
        <v>253</v>
      </c>
      <c r="R314" s="192" t="s">
        <v>254</v>
      </c>
      <c r="S314" s="192" t="s">
        <v>253</v>
      </c>
      <c r="T314" s="192" t="s">
        <v>254</v>
      </c>
      <c r="U314" s="192" t="s">
        <v>253</v>
      </c>
      <c r="V314" s="192" t="s">
        <v>254</v>
      </c>
      <c r="W314" s="192" t="s">
        <v>253</v>
      </c>
      <c r="X314" s="192" t="s">
        <v>254</v>
      </c>
      <c r="Y314" s="192" t="s">
        <v>253</v>
      </c>
      <c r="Z314" s="192" t="s">
        <v>254</v>
      </c>
      <c r="AA314" s="192" t="s">
        <v>253</v>
      </c>
      <c r="AB314" s="192" t="s">
        <v>254</v>
      </c>
      <c r="AC314" s="156"/>
      <c r="AD314" s="156"/>
    </row>
    <row r="315" customHeight="1" spans="2:30">
      <c r="B315" s="193">
        <f>固定资产台账1!A3</f>
        <v>0</v>
      </c>
      <c r="C315" s="193"/>
      <c r="D315" s="193"/>
      <c r="E315" s="145">
        <f>固定资产台账1!C3</f>
        <v>0</v>
      </c>
      <c r="F315" s="145">
        <f>研发设备工时计算表2!AH5</f>
        <v>0</v>
      </c>
      <c r="G315" s="201">
        <f>研发设备工时计算表2!AG5</f>
        <v>0</v>
      </c>
      <c r="H315" s="145">
        <f>J315+L315+N315+P315+R315+T315+V315+X315+Z315+AB315</f>
        <v>0</v>
      </c>
      <c r="I315" s="145"/>
      <c r="J315" s="145">
        <f t="shared" ref="J315:N315" si="202">IF($G315=0,0,ROUND(I315/$G315*$F315,2))</f>
        <v>0</v>
      </c>
      <c r="K315" s="145"/>
      <c r="L315" s="145">
        <f t="shared" si="202"/>
        <v>0</v>
      </c>
      <c r="M315" s="145"/>
      <c r="N315" s="145">
        <f t="shared" si="202"/>
        <v>0</v>
      </c>
      <c r="O315" s="145"/>
      <c r="P315" s="145">
        <f t="shared" ref="P315:T315" si="203">IF($G315=0,0,ROUND(O315/$G315*$F315,2))</f>
        <v>0</v>
      </c>
      <c r="Q315" s="145"/>
      <c r="R315" s="145">
        <f t="shared" si="203"/>
        <v>0</v>
      </c>
      <c r="S315" s="145"/>
      <c r="T315" s="145">
        <f t="shared" si="203"/>
        <v>0</v>
      </c>
      <c r="U315" s="145"/>
      <c r="V315" s="145">
        <f t="shared" ref="V315:Z315" si="204">IF($G315=0,0,ROUND(U315/$G315*$F315,2))</f>
        <v>0</v>
      </c>
      <c r="W315" s="145"/>
      <c r="X315" s="145">
        <f t="shared" si="204"/>
        <v>0</v>
      </c>
      <c r="Y315" s="145"/>
      <c r="Z315" s="145">
        <f t="shared" si="204"/>
        <v>0</v>
      </c>
      <c r="AA315" s="145"/>
      <c r="AB315" s="145">
        <f>IF($G315=0,0,ROUND(AA315/$G315*$F315,2))</f>
        <v>0</v>
      </c>
      <c r="AC315" s="156"/>
      <c r="AD315" s="156">
        <f t="shared" ref="AD315:AD340" si="205">F315-H315</f>
        <v>0</v>
      </c>
    </row>
    <row r="316" customHeight="1" spans="2:30">
      <c r="B316" s="193">
        <f>固定资产台账1!A4</f>
        <v>0</v>
      </c>
      <c r="C316" s="193"/>
      <c r="D316" s="193"/>
      <c r="E316" s="145">
        <f>固定资产台账1!C4</f>
        <v>0</v>
      </c>
      <c r="F316" s="145">
        <f>研发设备工时计算表2!AH6</f>
        <v>0</v>
      </c>
      <c r="G316" s="201">
        <f>研发设备工时计算表2!AG6</f>
        <v>0</v>
      </c>
      <c r="H316" s="145">
        <f t="shared" ref="H316:H339" si="206">J316+L316+N316+P316+R316+T316+V316+X316+Z316+AB316</f>
        <v>0</v>
      </c>
      <c r="I316" s="145"/>
      <c r="J316" s="145">
        <f t="shared" ref="J316:J339" si="207">IF($G316=0,0,ROUND(I316/$G316*$F316,2))</f>
        <v>0</v>
      </c>
      <c r="K316" s="145"/>
      <c r="L316" s="145">
        <f t="shared" ref="L316:L339" si="208">IF($G316=0,0,ROUND(K316/$G316*$F316,2))</f>
        <v>0</v>
      </c>
      <c r="M316" s="145"/>
      <c r="N316" s="145">
        <f t="shared" ref="N316:N339" si="209">IF($G316=0,0,ROUND(M316/$G316*$F316,2))</f>
        <v>0</v>
      </c>
      <c r="O316" s="145"/>
      <c r="P316" s="145">
        <f t="shared" ref="P316:P339" si="210">IF($G316=0,0,ROUND(O316/$G316*$F316,2))</f>
        <v>0</v>
      </c>
      <c r="Q316" s="145"/>
      <c r="R316" s="145">
        <f t="shared" ref="R316:R339" si="211">IF($G316=0,0,ROUND(Q316/$G316*$F316,2))</f>
        <v>0</v>
      </c>
      <c r="S316" s="145"/>
      <c r="T316" s="145">
        <f t="shared" ref="T316:T339" si="212">IF($G316=0,0,ROUND(S316/$G316*$F316,2))</f>
        <v>0</v>
      </c>
      <c r="U316" s="145"/>
      <c r="V316" s="145">
        <f t="shared" ref="V316:V339" si="213">IF($G316=0,0,ROUND(U316/$G316*$F316,2))</f>
        <v>0</v>
      </c>
      <c r="W316" s="145"/>
      <c r="X316" s="145">
        <f t="shared" ref="X316:X339" si="214">IF($G316=0,0,ROUND(W316/$G316*$F316,2))</f>
        <v>0</v>
      </c>
      <c r="Y316" s="145"/>
      <c r="Z316" s="145">
        <f t="shared" ref="Z316:Z339" si="215">IF($G316=0,0,ROUND(Y316/$G316*$F316,2))</f>
        <v>0</v>
      </c>
      <c r="AA316" s="145"/>
      <c r="AB316" s="145">
        <f t="shared" ref="AB316:AB339" si="216">IF($G316=0,0,ROUND(AA316/$G316*$F316,2))</f>
        <v>0</v>
      </c>
      <c r="AC316" s="156"/>
      <c r="AD316" s="156">
        <f t="shared" si="205"/>
        <v>0</v>
      </c>
    </row>
    <row r="317" customHeight="1" spans="2:30">
      <c r="B317" s="193">
        <f>固定资产台账1!A5</f>
        <v>0</v>
      </c>
      <c r="C317" s="193"/>
      <c r="D317" s="193"/>
      <c r="E317" s="145">
        <f>固定资产台账1!C5</f>
        <v>0</v>
      </c>
      <c r="F317" s="145">
        <f>研发设备工时计算表2!AH7</f>
        <v>0</v>
      </c>
      <c r="G317" s="201">
        <f>研发设备工时计算表2!AG7</f>
        <v>0</v>
      </c>
      <c r="H317" s="145">
        <f t="shared" si="206"/>
        <v>0</v>
      </c>
      <c r="I317" s="145"/>
      <c r="J317" s="145">
        <f t="shared" si="207"/>
        <v>0</v>
      </c>
      <c r="K317" s="145"/>
      <c r="L317" s="145">
        <f t="shared" si="208"/>
        <v>0</v>
      </c>
      <c r="M317" s="145"/>
      <c r="N317" s="145">
        <f t="shared" si="209"/>
        <v>0</v>
      </c>
      <c r="O317" s="145"/>
      <c r="P317" s="145">
        <f t="shared" si="210"/>
        <v>0</v>
      </c>
      <c r="Q317" s="145"/>
      <c r="R317" s="145">
        <f t="shared" si="211"/>
        <v>0</v>
      </c>
      <c r="S317" s="145"/>
      <c r="T317" s="145">
        <f t="shared" si="212"/>
        <v>0</v>
      </c>
      <c r="U317" s="145"/>
      <c r="V317" s="145">
        <f t="shared" si="213"/>
        <v>0</v>
      </c>
      <c r="W317" s="145"/>
      <c r="X317" s="145">
        <f t="shared" si="214"/>
        <v>0</v>
      </c>
      <c r="Y317" s="145"/>
      <c r="Z317" s="145">
        <f t="shared" si="215"/>
        <v>0</v>
      </c>
      <c r="AA317" s="145"/>
      <c r="AB317" s="145">
        <f t="shared" si="216"/>
        <v>0</v>
      </c>
      <c r="AC317" s="156"/>
      <c r="AD317" s="156">
        <f t="shared" si="205"/>
        <v>0</v>
      </c>
    </row>
    <row r="318" customHeight="1" spans="2:30">
      <c r="B318" s="193">
        <f>固定资产台账1!A6</f>
        <v>0</v>
      </c>
      <c r="C318" s="193"/>
      <c r="D318" s="193"/>
      <c r="E318" s="145">
        <f>固定资产台账1!C6</f>
        <v>0</v>
      </c>
      <c r="F318" s="145">
        <f>研发设备工时计算表2!AH8</f>
        <v>0</v>
      </c>
      <c r="G318" s="201">
        <f>研发设备工时计算表2!AG8</f>
        <v>0</v>
      </c>
      <c r="H318" s="145">
        <f t="shared" si="206"/>
        <v>0</v>
      </c>
      <c r="I318" s="145"/>
      <c r="J318" s="145">
        <f t="shared" si="207"/>
        <v>0</v>
      </c>
      <c r="K318" s="145"/>
      <c r="L318" s="145">
        <f t="shared" si="208"/>
        <v>0</v>
      </c>
      <c r="M318" s="145"/>
      <c r="N318" s="145">
        <f t="shared" si="209"/>
        <v>0</v>
      </c>
      <c r="O318" s="145"/>
      <c r="P318" s="145">
        <f t="shared" si="210"/>
        <v>0</v>
      </c>
      <c r="Q318" s="145"/>
      <c r="R318" s="145">
        <f t="shared" si="211"/>
        <v>0</v>
      </c>
      <c r="S318" s="145"/>
      <c r="T318" s="145">
        <f t="shared" si="212"/>
        <v>0</v>
      </c>
      <c r="U318" s="145"/>
      <c r="V318" s="145">
        <f t="shared" si="213"/>
        <v>0</v>
      </c>
      <c r="W318" s="145"/>
      <c r="X318" s="145">
        <f t="shared" si="214"/>
        <v>0</v>
      </c>
      <c r="Y318" s="145"/>
      <c r="Z318" s="145">
        <f t="shared" si="215"/>
        <v>0</v>
      </c>
      <c r="AA318" s="145"/>
      <c r="AB318" s="145">
        <f t="shared" si="216"/>
        <v>0</v>
      </c>
      <c r="AC318" s="156"/>
      <c r="AD318" s="156">
        <f t="shared" si="205"/>
        <v>0</v>
      </c>
    </row>
    <row r="319" customHeight="1" spans="2:30">
      <c r="B319" s="193">
        <f>固定资产台账1!A7</f>
        <v>0</v>
      </c>
      <c r="C319" s="193"/>
      <c r="D319" s="193"/>
      <c r="E319" s="145">
        <f>固定资产台账1!C7</f>
        <v>0</v>
      </c>
      <c r="F319" s="145">
        <f>研发设备工时计算表2!AH9</f>
        <v>0</v>
      </c>
      <c r="G319" s="201">
        <f>研发设备工时计算表2!AG9</f>
        <v>0</v>
      </c>
      <c r="H319" s="145">
        <f t="shared" si="206"/>
        <v>0</v>
      </c>
      <c r="I319" s="145"/>
      <c r="J319" s="145">
        <f t="shared" si="207"/>
        <v>0</v>
      </c>
      <c r="K319" s="145"/>
      <c r="L319" s="145">
        <f t="shared" si="208"/>
        <v>0</v>
      </c>
      <c r="M319" s="145"/>
      <c r="N319" s="145">
        <f t="shared" si="209"/>
        <v>0</v>
      </c>
      <c r="O319" s="145"/>
      <c r="P319" s="145">
        <f t="shared" si="210"/>
        <v>0</v>
      </c>
      <c r="Q319" s="145"/>
      <c r="R319" s="145">
        <f t="shared" si="211"/>
        <v>0</v>
      </c>
      <c r="S319" s="145"/>
      <c r="T319" s="145">
        <f t="shared" si="212"/>
        <v>0</v>
      </c>
      <c r="U319" s="145"/>
      <c r="V319" s="145">
        <f t="shared" si="213"/>
        <v>0</v>
      </c>
      <c r="W319" s="145"/>
      <c r="X319" s="145">
        <f t="shared" si="214"/>
        <v>0</v>
      </c>
      <c r="Y319" s="145"/>
      <c r="Z319" s="145">
        <f t="shared" si="215"/>
        <v>0</v>
      </c>
      <c r="AA319" s="145"/>
      <c r="AB319" s="145">
        <f t="shared" si="216"/>
        <v>0</v>
      </c>
      <c r="AC319" s="156"/>
      <c r="AD319" s="156">
        <f t="shared" si="205"/>
        <v>0</v>
      </c>
    </row>
    <row r="320" customHeight="1" spans="2:30">
      <c r="B320" s="193">
        <f>固定资产台账1!A8</f>
        <v>0</v>
      </c>
      <c r="C320" s="193"/>
      <c r="D320" s="193"/>
      <c r="E320" s="145">
        <f>固定资产台账1!C8</f>
        <v>0</v>
      </c>
      <c r="F320" s="145">
        <f>研发设备工时计算表2!AH10</f>
        <v>0</v>
      </c>
      <c r="G320" s="201">
        <f>研发设备工时计算表2!AG10</f>
        <v>0</v>
      </c>
      <c r="H320" s="145">
        <f t="shared" si="206"/>
        <v>0</v>
      </c>
      <c r="I320" s="145"/>
      <c r="J320" s="145">
        <f t="shared" si="207"/>
        <v>0</v>
      </c>
      <c r="K320" s="145"/>
      <c r="L320" s="145">
        <f t="shared" si="208"/>
        <v>0</v>
      </c>
      <c r="M320" s="145"/>
      <c r="N320" s="145">
        <f t="shared" si="209"/>
        <v>0</v>
      </c>
      <c r="O320" s="145"/>
      <c r="P320" s="145">
        <f t="shared" si="210"/>
        <v>0</v>
      </c>
      <c r="Q320" s="145"/>
      <c r="R320" s="145">
        <f t="shared" si="211"/>
        <v>0</v>
      </c>
      <c r="S320" s="145"/>
      <c r="T320" s="145">
        <f t="shared" si="212"/>
        <v>0</v>
      </c>
      <c r="U320" s="145"/>
      <c r="V320" s="145">
        <f t="shared" si="213"/>
        <v>0</v>
      </c>
      <c r="W320" s="145"/>
      <c r="X320" s="145">
        <f t="shared" si="214"/>
        <v>0</v>
      </c>
      <c r="Y320" s="145"/>
      <c r="Z320" s="145">
        <f t="shared" si="215"/>
        <v>0</v>
      </c>
      <c r="AA320" s="145"/>
      <c r="AB320" s="145">
        <f t="shared" si="216"/>
        <v>0</v>
      </c>
      <c r="AC320" s="156"/>
      <c r="AD320" s="156">
        <f t="shared" si="205"/>
        <v>0</v>
      </c>
    </row>
    <row r="321" customHeight="1" spans="2:30">
      <c r="B321" s="193">
        <f>固定资产台账1!A9</f>
        <v>0</v>
      </c>
      <c r="C321" s="193"/>
      <c r="D321" s="193"/>
      <c r="E321" s="145">
        <f>固定资产台账1!C9</f>
        <v>0</v>
      </c>
      <c r="F321" s="145">
        <f>研发设备工时计算表2!AH11</f>
        <v>0</v>
      </c>
      <c r="G321" s="201">
        <f>研发设备工时计算表2!AG11</f>
        <v>0</v>
      </c>
      <c r="H321" s="145">
        <f t="shared" si="206"/>
        <v>0</v>
      </c>
      <c r="I321" s="145"/>
      <c r="J321" s="145">
        <f t="shared" si="207"/>
        <v>0</v>
      </c>
      <c r="K321" s="145"/>
      <c r="L321" s="145">
        <f t="shared" si="208"/>
        <v>0</v>
      </c>
      <c r="M321" s="145"/>
      <c r="N321" s="145">
        <f t="shared" si="209"/>
        <v>0</v>
      </c>
      <c r="O321" s="145"/>
      <c r="P321" s="145">
        <f t="shared" si="210"/>
        <v>0</v>
      </c>
      <c r="Q321" s="145"/>
      <c r="R321" s="145">
        <f t="shared" si="211"/>
        <v>0</v>
      </c>
      <c r="S321" s="145"/>
      <c r="T321" s="145">
        <f t="shared" si="212"/>
        <v>0</v>
      </c>
      <c r="U321" s="145"/>
      <c r="V321" s="145">
        <f t="shared" si="213"/>
        <v>0</v>
      </c>
      <c r="W321" s="145"/>
      <c r="X321" s="145">
        <f t="shared" si="214"/>
        <v>0</v>
      </c>
      <c r="Y321" s="145"/>
      <c r="Z321" s="145">
        <f t="shared" si="215"/>
        <v>0</v>
      </c>
      <c r="AA321" s="145"/>
      <c r="AB321" s="145">
        <f t="shared" si="216"/>
        <v>0</v>
      </c>
      <c r="AC321" s="156"/>
      <c r="AD321" s="156">
        <f t="shared" si="205"/>
        <v>0</v>
      </c>
    </row>
    <row r="322" customHeight="1" spans="2:30">
      <c r="B322" s="193">
        <f>固定资产台账1!A10</f>
        <v>0</v>
      </c>
      <c r="C322" s="193"/>
      <c r="D322" s="193"/>
      <c r="E322" s="145">
        <f>固定资产台账1!C10</f>
        <v>0</v>
      </c>
      <c r="F322" s="145">
        <f>研发设备工时计算表2!AH12</f>
        <v>0</v>
      </c>
      <c r="G322" s="201">
        <f>研发设备工时计算表2!AG12</f>
        <v>0</v>
      </c>
      <c r="H322" s="145">
        <f t="shared" si="206"/>
        <v>0</v>
      </c>
      <c r="I322" s="145"/>
      <c r="J322" s="145">
        <f t="shared" si="207"/>
        <v>0</v>
      </c>
      <c r="K322" s="145"/>
      <c r="L322" s="145">
        <f t="shared" si="208"/>
        <v>0</v>
      </c>
      <c r="M322" s="145"/>
      <c r="N322" s="145">
        <f t="shared" si="209"/>
        <v>0</v>
      </c>
      <c r="O322" s="145"/>
      <c r="P322" s="145">
        <f t="shared" si="210"/>
        <v>0</v>
      </c>
      <c r="Q322" s="145"/>
      <c r="R322" s="145">
        <f t="shared" si="211"/>
        <v>0</v>
      </c>
      <c r="S322" s="145"/>
      <c r="T322" s="145">
        <f t="shared" si="212"/>
        <v>0</v>
      </c>
      <c r="U322" s="145"/>
      <c r="V322" s="145">
        <f t="shared" si="213"/>
        <v>0</v>
      </c>
      <c r="W322" s="145"/>
      <c r="X322" s="145">
        <f t="shared" si="214"/>
        <v>0</v>
      </c>
      <c r="Y322" s="145"/>
      <c r="Z322" s="145">
        <f t="shared" si="215"/>
        <v>0</v>
      </c>
      <c r="AA322" s="145"/>
      <c r="AB322" s="145">
        <f t="shared" si="216"/>
        <v>0</v>
      </c>
      <c r="AC322" s="156"/>
      <c r="AD322" s="156">
        <f t="shared" si="205"/>
        <v>0</v>
      </c>
    </row>
    <row r="323" customHeight="1" spans="2:30">
      <c r="B323" s="193">
        <f>固定资产台账1!A11</f>
        <v>0</v>
      </c>
      <c r="C323" s="193"/>
      <c r="D323" s="193"/>
      <c r="E323" s="145">
        <f>固定资产台账1!C11</f>
        <v>0</v>
      </c>
      <c r="F323" s="145">
        <f>研发设备工时计算表2!AH13</f>
        <v>0</v>
      </c>
      <c r="G323" s="201">
        <f>研发设备工时计算表2!AG13</f>
        <v>0</v>
      </c>
      <c r="H323" s="145">
        <f t="shared" si="206"/>
        <v>0</v>
      </c>
      <c r="I323" s="145"/>
      <c r="J323" s="145">
        <f t="shared" si="207"/>
        <v>0</v>
      </c>
      <c r="K323" s="145"/>
      <c r="L323" s="145">
        <f t="shared" si="208"/>
        <v>0</v>
      </c>
      <c r="M323" s="145"/>
      <c r="N323" s="145">
        <f t="shared" si="209"/>
        <v>0</v>
      </c>
      <c r="O323" s="145"/>
      <c r="P323" s="145">
        <f t="shared" si="210"/>
        <v>0</v>
      </c>
      <c r="Q323" s="145"/>
      <c r="R323" s="145">
        <f t="shared" si="211"/>
        <v>0</v>
      </c>
      <c r="S323" s="145"/>
      <c r="T323" s="145">
        <f t="shared" si="212"/>
        <v>0</v>
      </c>
      <c r="U323" s="145"/>
      <c r="V323" s="145">
        <f t="shared" si="213"/>
        <v>0</v>
      </c>
      <c r="W323" s="145"/>
      <c r="X323" s="145">
        <f t="shared" si="214"/>
        <v>0</v>
      </c>
      <c r="Y323" s="145"/>
      <c r="Z323" s="145">
        <f t="shared" si="215"/>
        <v>0</v>
      </c>
      <c r="AA323" s="145"/>
      <c r="AB323" s="145">
        <f t="shared" si="216"/>
        <v>0</v>
      </c>
      <c r="AC323" s="156"/>
      <c r="AD323" s="156">
        <f t="shared" si="205"/>
        <v>0</v>
      </c>
    </row>
    <row r="324" customHeight="1" spans="2:30">
      <c r="B324" s="193">
        <f>固定资产台账1!A12</f>
        <v>0</v>
      </c>
      <c r="C324" s="193"/>
      <c r="D324" s="193"/>
      <c r="E324" s="145">
        <f>固定资产台账1!C12</f>
        <v>0</v>
      </c>
      <c r="F324" s="145">
        <f>研发设备工时计算表2!AH14</f>
        <v>0</v>
      </c>
      <c r="G324" s="201">
        <f>研发设备工时计算表2!AG14</f>
        <v>0</v>
      </c>
      <c r="H324" s="145">
        <f t="shared" si="206"/>
        <v>0</v>
      </c>
      <c r="I324" s="145"/>
      <c r="J324" s="145">
        <f t="shared" si="207"/>
        <v>0</v>
      </c>
      <c r="K324" s="145"/>
      <c r="L324" s="145">
        <f t="shared" si="208"/>
        <v>0</v>
      </c>
      <c r="M324" s="145"/>
      <c r="N324" s="145">
        <f t="shared" si="209"/>
        <v>0</v>
      </c>
      <c r="O324" s="145"/>
      <c r="P324" s="145">
        <f t="shared" si="210"/>
        <v>0</v>
      </c>
      <c r="Q324" s="145"/>
      <c r="R324" s="145">
        <f t="shared" si="211"/>
        <v>0</v>
      </c>
      <c r="S324" s="145"/>
      <c r="T324" s="145">
        <f t="shared" si="212"/>
        <v>0</v>
      </c>
      <c r="U324" s="145"/>
      <c r="V324" s="145">
        <f t="shared" si="213"/>
        <v>0</v>
      </c>
      <c r="W324" s="145"/>
      <c r="X324" s="145">
        <f t="shared" si="214"/>
        <v>0</v>
      </c>
      <c r="Y324" s="145"/>
      <c r="Z324" s="145">
        <f t="shared" si="215"/>
        <v>0</v>
      </c>
      <c r="AA324" s="145"/>
      <c r="AB324" s="145">
        <f t="shared" si="216"/>
        <v>0</v>
      </c>
      <c r="AC324" s="156"/>
      <c r="AD324" s="156">
        <f t="shared" si="205"/>
        <v>0</v>
      </c>
    </row>
    <row r="325" customHeight="1" spans="2:30">
      <c r="B325" s="193">
        <f>固定资产台账1!A13</f>
        <v>0</v>
      </c>
      <c r="C325" s="193"/>
      <c r="D325" s="193"/>
      <c r="E325" s="145">
        <f>固定资产台账1!C13</f>
        <v>0</v>
      </c>
      <c r="F325" s="145">
        <f>研发设备工时计算表2!AH15</f>
        <v>0</v>
      </c>
      <c r="G325" s="201">
        <f>研发设备工时计算表2!AG15</f>
        <v>0</v>
      </c>
      <c r="H325" s="145">
        <f t="shared" si="206"/>
        <v>0</v>
      </c>
      <c r="I325" s="145"/>
      <c r="J325" s="145">
        <f t="shared" si="207"/>
        <v>0</v>
      </c>
      <c r="K325" s="145"/>
      <c r="L325" s="145">
        <f t="shared" si="208"/>
        <v>0</v>
      </c>
      <c r="M325" s="145"/>
      <c r="N325" s="145">
        <f t="shared" si="209"/>
        <v>0</v>
      </c>
      <c r="O325" s="145"/>
      <c r="P325" s="145">
        <f t="shared" si="210"/>
        <v>0</v>
      </c>
      <c r="Q325" s="145"/>
      <c r="R325" s="145">
        <f t="shared" si="211"/>
        <v>0</v>
      </c>
      <c r="S325" s="145"/>
      <c r="T325" s="145">
        <f t="shared" si="212"/>
        <v>0</v>
      </c>
      <c r="U325" s="145"/>
      <c r="V325" s="145">
        <f t="shared" si="213"/>
        <v>0</v>
      </c>
      <c r="W325" s="145"/>
      <c r="X325" s="145">
        <f t="shared" si="214"/>
        <v>0</v>
      </c>
      <c r="Y325" s="145"/>
      <c r="Z325" s="145">
        <f t="shared" si="215"/>
        <v>0</v>
      </c>
      <c r="AA325" s="145"/>
      <c r="AB325" s="145">
        <f t="shared" si="216"/>
        <v>0</v>
      </c>
      <c r="AC325" s="156"/>
      <c r="AD325" s="156">
        <f t="shared" si="205"/>
        <v>0</v>
      </c>
    </row>
    <row r="326" customHeight="1" spans="2:30">
      <c r="B326" s="193">
        <f>固定资产台账1!A14</f>
        <v>0</v>
      </c>
      <c r="C326" s="193"/>
      <c r="D326" s="193"/>
      <c r="E326" s="145">
        <f>固定资产台账1!C14</f>
        <v>0</v>
      </c>
      <c r="F326" s="145">
        <f>研发设备工时计算表2!AH16</f>
        <v>0</v>
      </c>
      <c r="G326" s="201">
        <f>研发设备工时计算表2!AG16</f>
        <v>0</v>
      </c>
      <c r="H326" s="145">
        <f t="shared" si="206"/>
        <v>0</v>
      </c>
      <c r="I326" s="145"/>
      <c r="J326" s="145">
        <f t="shared" si="207"/>
        <v>0</v>
      </c>
      <c r="K326" s="145"/>
      <c r="L326" s="145">
        <f t="shared" si="208"/>
        <v>0</v>
      </c>
      <c r="M326" s="145"/>
      <c r="N326" s="145">
        <f t="shared" si="209"/>
        <v>0</v>
      </c>
      <c r="O326" s="145"/>
      <c r="P326" s="145">
        <f t="shared" si="210"/>
        <v>0</v>
      </c>
      <c r="Q326" s="145"/>
      <c r="R326" s="145">
        <f t="shared" si="211"/>
        <v>0</v>
      </c>
      <c r="S326" s="145"/>
      <c r="T326" s="145">
        <f t="shared" si="212"/>
        <v>0</v>
      </c>
      <c r="U326" s="145"/>
      <c r="V326" s="145">
        <f t="shared" si="213"/>
        <v>0</v>
      </c>
      <c r="W326" s="145"/>
      <c r="X326" s="145">
        <f t="shared" si="214"/>
        <v>0</v>
      </c>
      <c r="Y326" s="145"/>
      <c r="Z326" s="145">
        <f t="shared" si="215"/>
        <v>0</v>
      </c>
      <c r="AA326" s="145"/>
      <c r="AB326" s="145">
        <f t="shared" si="216"/>
        <v>0</v>
      </c>
      <c r="AC326" s="156"/>
      <c r="AD326" s="156">
        <f t="shared" si="205"/>
        <v>0</v>
      </c>
    </row>
    <row r="327" customHeight="1" spans="2:30">
      <c r="B327" s="193">
        <f>固定资产台账1!A15</f>
        <v>0</v>
      </c>
      <c r="C327" s="193"/>
      <c r="D327" s="193"/>
      <c r="E327" s="145">
        <f>固定资产台账1!C15</f>
        <v>0</v>
      </c>
      <c r="F327" s="145">
        <f>研发设备工时计算表2!AH17</f>
        <v>0</v>
      </c>
      <c r="G327" s="201">
        <f>研发设备工时计算表2!AG17</f>
        <v>0</v>
      </c>
      <c r="H327" s="145">
        <f t="shared" si="206"/>
        <v>0</v>
      </c>
      <c r="I327" s="145"/>
      <c r="J327" s="145">
        <f t="shared" si="207"/>
        <v>0</v>
      </c>
      <c r="K327" s="145"/>
      <c r="L327" s="145">
        <f t="shared" si="208"/>
        <v>0</v>
      </c>
      <c r="M327" s="145"/>
      <c r="N327" s="145">
        <f t="shared" si="209"/>
        <v>0</v>
      </c>
      <c r="O327" s="145"/>
      <c r="P327" s="145">
        <f t="shared" si="210"/>
        <v>0</v>
      </c>
      <c r="Q327" s="145"/>
      <c r="R327" s="145">
        <f t="shared" si="211"/>
        <v>0</v>
      </c>
      <c r="S327" s="145"/>
      <c r="T327" s="145">
        <f t="shared" si="212"/>
        <v>0</v>
      </c>
      <c r="U327" s="145"/>
      <c r="V327" s="145">
        <f t="shared" si="213"/>
        <v>0</v>
      </c>
      <c r="W327" s="145"/>
      <c r="X327" s="145">
        <f t="shared" si="214"/>
        <v>0</v>
      </c>
      <c r="Y327" s="145"/>
      <c r="Z327" s="145">
        <f t="shared" si="215"/>
        <v>0</v>
      </c>
      <c r="AA327" s="145"/>
      <c r="AB327" s="145">
        <f t="shared" si="216"/>
        <v>0</v>
      </c>
      <c r="AC327" s="156"/>
      <c r="AD327" s="156">
        <f t="shared" si="205"/>
        <v>0</v>
      </c>
    </row>
    <row r="328" customHeight="1" spans="2:30">
      <c r="B328" s="193">
        <f>固定资产台账1!A16</f>
        <v>0</v>
      </c>
      <c r="C328" s="193"/>
      <c r="D328" s="193"/>
      <c r="E328" s="145">
        <f>固定资产台账1!C16</f>
        <v>0</v>
      </c>
      <c r="F328" s="145">
        <f>研发设备工时计算表2!AH18</f>
        <v>0</v>
      </c>
      <c r="G328" s="201">
        <f>研发设备工时计算表2!AG18</f>
        <v>0</v>
      </c>
      <c r="H328" s="145">
        <f t="shared" si="206"/>
        <v>0</v>
      </c>
      <c r="I328" s="145"/>
      <c r="J328" s="145">
        <f t="shared" si="207"/>
        <v>0</v>
      </c>
      <c r="K328" s="145"/>
      <c r="L328" s="145">
        <f t="shared" si="208"/>
        <v>0</v>
      </c>
      <c r="M328" s="145"/>
      <c r="N328" s="145">
        <f t="shared" si="209"/>
        <v>0</v>
      </c>
      <c r="O328" s="145"/>
      <c r="P328" s="145">
        <f t="shared" si="210"/>
        <v>0</v>
      </c>
      <c r="Q328" s="145"/>
      <c r="R328" s="145">
        <f t="shared" si="211"/>
        <v>0</v>
      </c>
      <c r="S328" s="145"/>
      <c r="T328" s="145">
        <f t="shared" si="212"/>
        <v>0</v>
      </c>
      <c r="U328" s="145"/>
      <c r="V328" s="145">
        <f t="shared" si="213"/>
        <v>0</v>
      </c>
      <c r="W328" s="145"/>
      <c r="X328" s="145">
        <f t="shared" si="214"/>
        <v>0</v>
      </c>
      <c r="Y328" s="145"/>
      <c r="Z328" s="145">
        <f t="shared" si="215"/>
        <v>0</v>
      </c>
      <c r="AA328" s="145"/>
      <c r="AB328" s="145">
        <f t="shared" si="216"/>
        <v>0</v>
      </c>
      <c r="AC328" s="156"/>
      <c r="AD328" s="156">
        <f t="shared" si="205"/>
        <v>0</v>
      </c>
    </row>
    <row r="329" customHeight="1" spans="2:30">
      <c r="B329" s="193">
        <f>固定资产台账1!A17</f>
        <v>0</v>
      </c>
      <c r="C329" s="193"/>
      <c r="D329" s="193"/>
      <c r="E329" s="145">
        <f>固定资产台账1!C17</f>
        <v>0</v>
      </c>
      <c r="F329" s="145">
        <f>研发设备工时计算表2!AH19</f>
        <v>0</v>
      </c>
      <c r="G329" s="201">
        <f>研发设备工时计算表2!AG19</f>
        <v>0</v>
      </c>
      <c r="H329" s="145">
        <f t="shared" si="206"/>
        <v>0</v>
      </c>
      <c r="I329" s="145"/>
      <c r="J329" s="145">
        <f t="shared" si="207"/>
        <v>0</v>
      </c>
      <c r="K329" s="145"/>
      <c r="L329" s="145">
        <f t="shared" si="208"/>
        <v>0</v>
      </c>
      <c r="M329" s="145"/>
      <c r="N329" s="145">
        <f t="shared" si="209"/>
        <v>0</v>
      </c>
      <c r="O329" s="145"/>
      <c r="P329" s="145">
        <f t="shared" si="210"/>
        <v>0</v>
      </c>
      <c r="Q329" s="145"/>
      <c r="R329" s="145">
        <f t="shared" si="211"/>
        <v>0</v>
      </c>
      <c r="S329" s="145"/>
      <c r="T329" s="145">
        <f t="shared" si="212"/>
        <v>0</v>
      </c>
      <c r="U329" s="145"/>
      <c r="V329" s="145">
        <f t="shared" si="213"/>
        <v>0</v>
      </c>
      <c r="W329" s="145"/>
      <c r="X329" s="145">
        <f t="shared" si="214"/>
        <v>0</v>
      </c>
      <c r="Y329" s="145"/>
      <c r="Z329" s="145">
        <f t="shared" si="215"/>
        <v>0</v>
      </c>
      <c r="AA329" s="145"/>
      <c r="AB329" s="145">
        <f t="shared" si="216"/>
        <v>0</v>
      </c>
      <c r="AC329" s="156"/>
      <c r="AD329" s="156">
        <f t="shared" si="205"/>
        <v>0</v>
      </c>
    </row>
    <row r="330" customHeight="1" spans="2:30">
      <c r="B330" s="193">
        <f>固定资产台账1!A18</f>
        <v>0</v>
      </c>
      <c r="C330" s="193"/>
      <c r="D330" s="193"/>
      <c r="E330" s="145">
        <f>固定资产台账1!C18</f>
        <v>0</v>
      </c>
      <c r="F330" s="145">
        <f>研发设备工时计算表2!AH20</f>
        <v>0</v>
      </c>
      <c r="G330" s="201">
        <f>研发设备工时计算表2!AG20</f>
        <v>0</v>
      </c>
      <c r="H330" s="145">
        <f t="shared" si="206"/>
        <v>0</v>
      </c>
      <c r="I330" s="145"/>
      <c r="J330" s="145">
        <f t="shared" si="207"/>
        <v>0</v>
      </c>
      <c r="K330" s="145"/>
      <c r="L330" s="145">
        <f t="shared" si="208"/>
        <v>0</v>
      </c>
      <c r="M330" s="145"/>
      <c r="N330" s="145">
        <f t="shared" si="209"/>
        <v>0</v>
      </c>
      <c r="O330" s="145"/>
      <c r="P330" s="145">
        <f t="shared" si="210"/>
        <v>0</v>
      </c>
      <c r="Q330" s="145"/>
      <c r="R330" s="145">
        <f t="shared" si="211"/>
        <v>0</v>
      </c>
      <c r="S330" s="145"/>
      <c r="T330" s="145">
        <f t="shared" si="212"/>
        <v>0</v>
      </c>
      <c r="U330" s="145"/>
      <c r="V330" s="145">
        <f t="shared" si="213"/>
        <v>0</v>
      </c>
      <c r="W330" s="145"/>
      <c r="X330" s="145">
        <f t="shared" si="214"/>
        <v>0</v>
      </c>
      <c r="Y330" s="145"/>
      <c r="Z330" s="145">
        <f t="shared" si="215"/>
        <v>0</v>
      </c>
      <c r="AA330" s="145"/>
      <c r="AB330" s="145">
        <f t="shared" si="216"/>
        <v>0</v>
      </c>
      <c r="AC330" s="156"/>
      <c r="AD330" s="156">
        <f t="shared" si="205"/>
        <v>0</v>
      </c>
    </row>
    <row r="331" customHeight="1" spans="2:30">
      <c r="B331" s="193">
        <f>固定资产台账1!A19</f>
        <v>0</v>
      </c>
      <c r="C331" s="193"/>
      <c r="D331" s="193"/>
      <c r="E331" s="145">
        <f>固定资产台账1!C19</f>
        <v>0</v>
      </c>
      <c r="F331" s="145">
        <f>研发设备工时计算表2!AH21</f>
        <v>0</v>
      </c>
      <c r="G331" s="201">
        <f>研发设备工时计算表2!AG21</f>
        <v>0</v>
      </c>
      <c r="H331" s="145">
        <f t="shared" si="206"/>
        <v>0</v>
      </c>
      <c r="I331" s="145"/>
      <c r="J331" s="145">
        <f t="shared" si="207"/>
        <v>0</v>
      </c>
      <c r="K331" s="145"/>
      <c r="L331" s="145">
        <f t="shared" si="208"/>
        <v>0</v>
      </c>
      <c r="M331" s="145"/>
      <c r="N331" s="145">
        <f t="shared" si="209"/>
        <v>0</v>
      </c>
      <c r="O331" s="145"/>
      <c r="P331" s="145">
        <f t="shared" si="210"/>
        <v>0</v>
      </c>
      <c r="Q331" s="145"/>
      <c r="R331" s="145">
        <f t="shared" si="211"/>
        <v>0</v>
      </c>
      <c r="S331" s="145"/>
      <c r="T331" s="145">
        <f t="shared" si="212"/>
        <v>0</v>
      </c>
      <c r="U331" s="145"/>
      <c r="V331" s="145">
        <f t="shared" si="213"/>
        <v>0</v>
      </c>
      <c r="W331" s="145"/>
      <c r="X331" s="145">
        <f t="shared" si="214"/>
        <v>0</v>
      </c>
      <c r="Y331" s="145"/>
      <c r="Z331" s="145">
        <f t="shared" si="215"/>
        <v>0</v>
      </c>
      <c r="AA331" s="145"/>
      <c r="AB331" s="145">
        <f t="shared" si="216"/>
        <v>0</v>
      </c>
      <c r="AC331" s="156"/>
      <c r="AD331" s="156">
        <f t="shared" si="205"/>
        <v>0</v>
      </c>
    </row>
    <row r="332" customHeight="1" spans="2:30">
      <c r="B332" s="193">
        <f>固定资产台账1!A20</f>
        <v>0</v>
      </c>
      <c r="C332" s="193"/>
      <c r="D332" s="193"/>
      <c r="E332" s="145">
        <f>固定资产台账1!C20</f>
        <v>0</v>
      </c>
      <c r="F332" s="145">
        <f>研发设备工时计算表2!AH22</f>
        <v>0</v>
      </c>
      <c r="G332" s="201">
        <f>研发设备工时计算表2!AG22</f>
        <v>0</v>
      </c>
      <c r="H332" s="145">
        <f t="shared" si="206"/>
        <v>0</v>
      </c>
      <c r="I332" s="145"/>
      <c r="J332" s="145">
        <f t="shared" si="207"/>
        <v>0</v>
      </c>
      <c r="K332" s="145"/>
      <c r="L332" s="145">
        <f t="shared" si="208"/>
        <v>0</v>
      </c>
      <c r="M332" s="145"/>
      <c r="N332" s="145">
        <f t="shared" si="209"/>
        <v>0</v>
      </c>
      <c r="O332" s="145"/>
      <c r="P332" s="145">
        <f t="shared" si="210"/>
        <v>0</v>
      </c>
      <c r="Q332" s="145"/>
      <c r="R332" s="145">
        <f t="shared" si="211"/>
        <v>0</v>
      </c>
      <c r="S332" s="145"/>
      <c r="T332" s="145">
        <f t="shared" si="212"/>
        <v>0</v>
      </c>
      <c r="U332" s="145"/>
      <c r="V332" s="145">
        <f t="shared" si="213"/>
        <v>0</v>
      </c>
      <c r="W332" s="145"/>
      <c r="X332" s="145">
        <f t="shared" si="214"/>
        <v>0</v>
      </c>
      <c r="Y332" s="145"/>
      <c r="Z332" s="145">
        <f t="shared" si="215"/>
        <v>0</v>
      </c>
      <c r="AA332" s="145"/>
      <c r="AB332" s="145">
        <f t="shared" si="216"/>
        <v>0</v>
      </c>
      <c r="AC332" s="156"/>
      <c r="AD332" s="156">
        <f t="shared" si="205"/>
        <v>0</v>
      </c>
    </row>
    <row r="333" customHeight="1" spans="2:30">
      <c r="B333" s="193">
        <f>固定资产台账1!A21</f>
        <v>0</v>
      </c>
      <c r="C333" s="193"/>
      <c r="D333" s="193"/>
      <c r="E333" s="145">
        <f>固定资产台账1!C21</f>
        <v>0</v>
      </c>
      <c r="F333" s="145">
        <f>研发设备工时计算表2!AH23</f>
        <v>0</v>
      </c>
      <c r="G333" s="201">
        <f>研发设备工时计算表2!AG23</f>
        <v>0</v>
      </c>
      <c r="H333" s="145">
        <f t="shared" si="206"/>
        <v>0</v>
      </c>
      <c r="I333" s="145"/>
      <c r="J333" s="145">
        <f t="shared" si="207"/>
        <v>0</v>
      </c>
      <c r="K333" s="145"/>
      <c r="L333" s="145">
        <f t="shared" si="208"/>
        <v>0</v>
      </c>
      <c r="M333" s="145"/>
      <c r="N333" s="145">
        <f t="shared" si="209"/>
        <v>0</v>
      </c>
      <c r="O333" s="145"/>
      <c r="P333" s="145">
        <f t="shared" si="210"/>
        <v>0</v>
      </c>
      <c r="Q333" s="145"/>
      <c r="R333" s="145">
        <f t="shared" si="211"/>
        <v>0</v>
      </c>
      <c r="S333" s="145"/>
      <c r="T333" s="145">
        <f t="shared" si="212"/>
        <v>0</v>
      </c>
      <c r="U333" s="145"/>
      <c r="V333" s="145">
        <f t="shared" si="213"/>
        <v>0</v>
      </c>
      <c r="W333" s="145"/>
      <c r="X333" s="145">
        <f t="shared" si="214"/>
        <v>0</v>
      </c>
      <c r="Y333" s="145"/>
      <c r="Z333" s="145">
        <f t="shared" si="215"/>
        <v>0</v>
      </c>
      <c r="AA333" s="145"/>
      <c r="AB333" s="145">
        <f t="shared" si="216"/>
        <v>0</v>
      </c>
      <c r="AC333" s="156"/>
      <c r="AD333" s="156">
        <f t="shared" si="205"/>
        <v>0</v>
      </c>
    </row>
    <row r="334" customHeight="1" spans="2:30">
      <c r="B334" s="193">
        <f>固定资产台账1!A22</f>
        <v>0</v>
      </c>
      <c r="C334" s="193"/>
      <c r="D334" s="193"/>
      <c r="E334" s="145">
        <f>固定资产台账1!C22</f>
        <v>0</v>
      </c>
      <c r="F334" s="145">
        <f>研发设备工时计算表2!AH24</f>
        <v>0</v>
      </c>
      <c r="G334" s="201">
        <f>研发设备工时计算表2!AG24</f>
        <v>0</v>
      </c>
      <c r="H334" s="145">
        <f t="shared" si="206"/>
        <v>0</v>
      </c>
      <c r="I334" s="145"/>
      <c r="J334" s="145">
        <f t="shared" si="207"/>
        <v>0</v>
      </c>
      <c r="K334" s="145"/>
      <c r="L334" s="145">
        <f t="shared" si="208"/>
        <v>0</v>
      </c>
      <c r="M334" s="145"/>
      <c r="N334" s="145">
        <f t="shared" si="209"/>
        <v>0</v>
      </c>
      <c r="O334" s="145"/>
      <c r="P334" s="145">
        <f t="shared" si="210"/>
        <v>0</v>
      </c>
      <c r="Q334" s="145"/>
      <c r="R334" s="145">
        <f t="shared" si="211"/>
        <v>0</v>
      </c>
      <c r="S334" s="145"/>
      <c r="T334" s="145">
        <f t="shared" si="212"/>
        <v>0</v>
      </c>
      <c r="U334" s="145"/>
      <c r="V334" s="145">
        <f t="shared" si="213"/>
        <v>0</v>
      </c>
      <c r="W334" s="145"/>
      <c r="X334" s="145">
        <f t="shared" si="214"/>
        <v>0</v>
      </c>
      <c r="Y334" s="145"/>
      <c r="Z334" s="145">
        <f t="shared" si="215"/>
        <v>0</v>
      </c>
      <c r="AA334" s="145"/>
      <c r="AB334" s="145">
        <f t="shared" si="216"/>
        <v>0</v>
      </c>
      <c r="AC334" s="156"/>
      <c r="AD334" s="156">
        <f t="shared" si="205"/>
        <v>0</v>
      </c>
    </row>
    <row r="335" customHeight="1" spans="2:30">
      <c r="B335" s="193">
        <f>固定资产台账1!A23</f>
        <v>0</v>
      </c>
      <c r="C335" s="193"/>
      <c r="D335" s="193"/>
      <c r="E335" s="145">
        <f>固定资产台账1!C23</f>
        <v>0</v>
      </c>
      <c r="F335" s="145">
        <f>研发设备工时计算表2!AH25</f>
        <v>0</v>
      </c>
      <c r="G335" s="201">
        <f>研发设备工时计算表2!AG25</f>
        <v>0</v>
      </c>
      <c r="H335" s="145">
        <f t="shared" si="206"/>
        <v>0</v>
      </c>
      <c r="I335" s="145"/>
      <c r="J335" s="145">
        <f t="shared" si="207"/>
        <v>0</v>
      </c>
      <c r="K335" s="145"/>
      <c r="L335" s="145">
        <f t="shared" si="208"/>
        <v>0</v>
      </c>
      <c r="M335" s="145"/>
      <c r="N335" s="145">
        <f t="shared" si="209"/>
        <v>0</v>
      </c>
      <c r="O335" s="145"/>
      <c r="P335" s="145">
        <f t="shared" si="210"/>
        <v>0</v>
      </c>
      <c r="Q335" s="145"/>
      <c r="R335" s="145">
        <f t="shared" si="211"/>
        <v>0</v>
      </c>
      <c r="S335" s="145"/>
      <c r="T335" s="145">
        <f t="shared" si="212"/>
        <v>0</v>
      </c>
      <c r="U335" s="145"/>
      <c r="V335" s="145">
        <f t="shared" si="213"/>
        <v>0</v>
      </c>
      <c r="W335" s="145"/>
      <c r="X335" s="145">
        <f t="shared" si="214"/>
        <v>0</v>
      </c>
      <c r="Y335" s="145"/>
      <c r="Z335" s="145">
        <f t="shared" si="215"/>
        <v>0</v>
      </c>
      <c r="AA335" s="145"/>
      <c r="AB335" s="145">
        <f t="shared" si="216"/>
        <v>0</v>
      </c>
      <c r="AC335" s="156"/>
      <c r="AD335" s="156">
        <f t="shared" si="205"/>
        <v>0</v>
      </c>
    </row>
    <row r="336" customHeight="1" spans="2:30">
      <c r="B336" s="193">
        <f>固定资产台账1!A25</f>
        <v>0</v>
      </c>
      <c r="C336" s="193"/>
      <c r="D336" s="193"/>
      <c r="E336" s="145">
        <f>固定资产台账1!C25</f>
        <v>0</v>
      </c>
      <c r="F336" s="145">
        <f>研发设备工时计算表2!AH26</f>
        <v>0</v>
      </c>
      <c r="G336" s="201">
        <f>研发设备工时计算表2!AG26</f>
        <v>0</v>
      </c>
      <c r="H336" s="145">
        <f t="shared" si="206"/>
        <v>0</v>
      </c>
      <c r="I336" s="145"/>
      <c r="J336" s="145">
        <f t="shared" si="207"/>
        <v>0</v>
      </c>
      <c r="K336" s="145"/>
      <c r="L336" s="145">
        <f t="shared" si="208"/>
        <v>0</v>
      </c>
      <c r="M336" s="145"/>
      <c r="N336" s="145">
        <f t="shared" si="209"/>
        <v>0</v>
      </c>
      <c r="O336" s="145"/>
      <c r="P336" s="145">
        <f t="shared" si="210"/>
        <v>0</v>
      </c>
      <c r="Q336" s="145"/>
      <c r="R336" s="145">
        <f t="shared" si="211"/>
        <v>0</v>
      </c>
      <c r="S336" s="145"/>
      <c r="T336" s="145">
        <f t="shared" si="212"/>
        <v>0</v>
      </c>
      <c r="U336" s="145"/>
      <c r="V336" s="145">
        <f t="shared" si="213"/>
        <v>0</v>
      </c>
      <c r="W336" s="145"/>
      <c r="X336" s="145">
        <f t="shared" si="214"/>
        <v>0</v>
      </c>
      <c r="Y336" s="145"/>
      <c r="Z336" s="145">
        <f t="shared" si="215"/>
        <v>0</v>
      </c>
      <c r="AA336" s="145"/>
      <c r="AB336" s="145">
        <f t="shared" si="216"/>
        <v>0</v>
      </c>
      <c r="AC336" s="156"/>
      <c r="AD336" s="156">
        <f t="shared" si="205"/>
        <v>0</v>
      </c>
    </row>
    <row r="337" customHeight="1" spans="2:30">
      <c r="B337" s="193">
        <f>固定资产台账1!A25</f>
        <v>0</v>
      </c>
      <c r="C337" s="193"/>
      <c r="D337" s="193"/>
      <c r="E337" s="145">
        <f>固定资产台账1!C25</f>
        <v>0</v>
      </c>
      <c r="F337" s="145">
        <f>研发设备工时计算表2!AH27</f>
        <v>0</v>
      </c>
      <c r="G337" s="201">
        <f>研发设备工时计算表2!AG27</f>
        <v>0</v>
      </c>
      <c r="H337" s="145">
        <f t="shared" si="206"/>
        <v>0</v>
      </c>
      <c r="I337" s="145"/>
      <c r="J337" s="145">
        <f t="shared" si="207"/>
        <v>0</v>
      </c>
      <c r="K337" s="145"/>
      <c r="L337" s="145">
        <f t="shared" si="208"/>
        <v>0</v>
      </c>
      <c r="M337" s="145"/>
      <c r="N337" s="145">
        <f t="shared" si="209"/>
        <v>0</v>
      </c>
      <c r="O337" s="145"/>
      <c r="P337" s="145">
        <f t="shared" si="210"/>
        <v>0</v>
      </c>
      <c r="Q337" s="145"/>
      <c r="R337" s="145">
        <f t="shared" si="211"/>
        <v>0</v>
      </c>
      <c r="S337" s="145"/>
      <c r="T337" s="145">
        <f t="shared" si="212"/>
        <v>0</v>
      </c>
      <c r="U337" s="145"/>
      <c r="V337" s="145">
        <f t="shared" si="213"/>
        <v>0</v>
      </c>
      <c r="W337" s="145"/>
      <c r="X337" s="145">
        <f t="shared" si="214"/>
        <v>0</v>
      </c>
      <c r="Y337" s="145"/>
      <c r="Z337" s="145">
        <f t="shared" si="215"/>
        <v>0</v>
      </c>
      <c r="AA337" s="145"/>
      <c r="AB337" s="145">
        <f t="shared" si="216"/>
        <v>0</v>
      </c>
      <c r="AC337" s="156"/>
      <c r="AD337" s="156">
        <f t="shared" si="205"/>
        <v>0</v>
      </c>
    </row>
    <row r="338" customHeight="1" spans="2:30">
      <c r="B338" s="193">
        <f>固定资产台账1!A26</f>
        <v>0</v>
      </c>
      <c r="C338" s="193"/>
      <c r="D338" s="193"/>
      <c r="E338" s="145">
        <f>固定资产台账1!C26</f>
        <v>0</v>
      </c>
      <c r="F338" s="145">
        <f>研发设备工时计算表2!AH28</f>
        <v>0</v>
      </c>
      <c r="G338" s="201">
        <f>研发设备工时计算表2!AG28</f>
        <v>0</v>
      </c>
      <c r="H338" s="145">
        <f t="shared" si="206"/>
        <v>0</v>
      </c>
      <c r="I338" s="145"/>
      <c r="J338" s="145">
        <f t="shared" si="207"/>
        <v>0</v>
      </c>
      <c r="K338" s="145"/>
      <c r="L338" s="145">
        <f t="shared" si="208"/>
        <v>0</v>
      </c>
      <c r="M338" s="145"/>
      <c r="N338" s="145">
        <f t="shared" si="209"/>
        <v>0</v>
      </c>
      <c r="O338" s="145"/>
      <c r="P338" s="145">
        <f t="shared" si="210"/>
        <v>0</v>
      </c>
      <c r="Q338" s="145"/>
      <c r="R338" s="145">
        <f t="shared" si="211"/>
        <v>0</v>
      </c>
      <c r="S338" s="145"/>
      <c r="T338" s="145">
        <f t="shared" si="212"/>
        <v>0</v>
      </c>
      <c r="U338" s="145"/>
      <c r="V338" s="145">
        <f t="shared" si="213"/>
        <v>0</v>
      </c>
      <c r="W338" s="145"/>
      <c r="X338" s="145">
        <f t="shared" si="214"/>
        <v>0</v>
      </c>
      <c r="Y338" s="145"/>
      <c r="Z338" s="145">
        <f t="shared" si="215"/>
        <v>0</v>
      </c>
      <c r="AA338" s="145"/>
      <c r="AB338" s="145">
        <f t="shared" si="216"/>
        <v>0</v>
      </c>
      <c r="AC338" s="156"/>
      <c r="AD338" s="156">
        <f t="shared" si="205"/>
        <v>0</v>
      </c>
    </row>
    <row r="339" customHeight="1" spans="2:30">
      <c r="B339" s="193">
        <f>固定资产台账1!A27</f>
        <v>0</v>
      </c>
      <c r="C339" s="193"/>
      <c r="D339" s="193"/>
      <c r="E339" s="145">
        <f>固定资产台账1!C27</f>
        <v>0</v>
      </c>
      <c r="F339" s="145">
        <f>研发设备工时计算表2!AH29</f>
        <v>0</v>
      </c>
      <c r="G339" s="201">
        <f>研发设备工时计算表2!AG29</f>
        <v>0</v>
      </c>
      <c r="H339" s="145">
        <f t="shared" si="206"/>
        <v>0</v>
      </c>
      <c r="I339" s="145"/>
      <c r="J339" s="145">
        <f t="shared" si="207"/>
        <v>0</v>
      </c>
      <c r="K339" s="145"/>
      <c r="L339" s="145">
        <f t="shared" si="208"/>
        <v>0</v>
      </c>
      <c r="M339" s="145"/>
      <c r="N339" s="145">
        <f t="shared" si="209"/>
        <v>0</v>
      </c>
      <c r="O339" s="145"/>
      <c r="P339" s="145">
        <f t="shared" si="210"/>
        <v>0</v>
      </c>
      <c r="Q339" s="145"/>
      <c r="R339" s="145">
        <f t="shared" si="211"/>
        <v>0</v>
      </c>
      <c r="S339" s="145"/>
      <c r="T339" s="145">
        <f t="shared" si="212"/>
        <v>0</v>
      </c>
      <c r="U339" s="145"/>
      <c r="V339" s="145">
        <f t="shared" si="213"/>
        <v>0</v>
      </c>
      <c r="W339" s="145"/>
      <c r="X339" s="145">
        <f t="shared" si="214"/>
        <v>0</v>
      </c>
      <c r="Y339" s="145"/>
      <c r="Z339" s="145">
        <f t="shared" si="215"/>
        <v>0</v>
      </c>
      <c r="AA339" s="145"/>
      <c r="AB339" s="145">
        <f t="shared" si="216"/>
        <v>0</v>
      </c>
      <c r="AC339" s="156"/>
      <c r="AD339" s="156">
        <f t="shared" si="205"/>
        <v>0</v>
      </c>
    </row>
    <row r="340" customHeight="1" spans="2:30">
      <c r="B340" s="196" t="s">
        <v>255</v>
      </c>
      <c r="C340" s="197"/>
      <c r="D340" s="198"/>
      <c r="E340" s="199">
        <f t="shared" ref="E340:G340" si="217">SUM(E315:E339)</f>
        <v>0</v>
      </c>
      <c r="F340" s="188">
        <f t="shared" si="217"/>
        <v>0</v>
      </c>
      <c r="G340" s="188">
        <f t="shared" si="217"/>
        <v>0</v>
      </c>
      <c r="H340" s="188">
        <f t="shared" ref="H340:K340" si="218">SUM(H315:H339)</f>
        <v>0</v>
      </c>
      <c r="I340" s="188">
        <f t="shared" si="218"/>
        <v>0</v>
      </c>
      <c r="J340" s="188">
        <f t="shared" si="218"/>
        <v>0</v>
      </c>
      <c r="K340" s="188">
        <f t="shared" si="218"/>
        <v>0</v>
      </c>
      <c r="L340" s="188">
        <f t="shared" ref="L340:O340" si="219">SUM(L315:L339)</f>
        <v>0</v>
      </c>
      <c r="M340" s="188">
        <f t="shared" si="219"/>
        <v>0</v>
      </c>
      <c r="N340" s="188">
        <f t="shared" si="219"/>
        <v>0</v>
      </c>
      <c r="O340" s="188">
        <f t="shared" si="219"/>
        <v>0</v>
      </c>
      <c r="P340" s="188">
        <f t="shared" ref="P340:S340" si="220">SUM(P315:P339)</f>
        <v>0</v>
      </c>
      <c r="Q340" s="188">
        <f t="shared" si="220"/>
        <v>0</v>
      </c>
      <c r="R340" s="188">
        <f t="shared" si="220"/>
        <v>0</v>
      </c>
      <c r="S340" s="188">
        <f t="shared" si="220"/>
        <v>0</v>
      </c>
      <c r="T340" s="188">
        <f t="shared" ref="T340:W340" si="221">SUM(T315:T339)</f>
        <v>0</v>
      </c>
      <c r="U340" s="188">
        <f t="shared" si="221"/>
        <v>0</v>
      </c>
      <c r="V340" s="188">
        <f t="shared" si="221"/>
        <v>0</v>
      </c>
      <c r="W340" s="188">
        <f t="shared" si="221"/>
        <v>0</v>
      </c>
      <c r="X340" s="188">
        <f t="shared" ref="X340:AB340" si="222">SUM(X315:X339)</f>
        <v>0</v>
      </c>
      <c r="Y340" s="188">
        <f t="shared" si="222"/>
        <v>0</v>
      </c>
      <c r="Z340" s="188">
        <f t="shared" si="222"/>
        <v>0</v>
      </c>
      <c r="AA340" s="188">
        <f t="shared" si="222"/>
        <v>0</v>
      </c>
      <c r="AB340" s="188">
        <f t="shared" si="222"/>
        <v>0</v>
      </c>
      <c r="AC340" s="156"/>
      <c r="AD340" s="156">
        <f t="shared" si="205"/>
        <v>0</v>
      </c>
    </row>
    <row r="341" customHeight="1" spans="2:30">
      <c r="E341" s="200"/>
      <c r="F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156"/>
      <c r="AD341" s="156"/>
    </row>
    <row r="342" customHeight="1" spans="2:30">
      <c r="E342" s="200"/>
      <c r="G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156"/>
      <c r="AD342" s="156"/>
    </row>
    <row r="343" customHeight="1" spans="2:30">
      <c r="B343" s="186" t="s">
        <v>266</v>
      </c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56"/>
      <c r="AD343" s="156"/>
    </row>
    <row r="344" customHeight="1" spans="2:30">
      <c r="B344" s="187" t="s">
        <v>249</v>
      </c>
      <c r="C344" s="187"/>
      <c r="D344" s="187"/>
      <c r="E344" s="188" t="s">
        <v>250</v>
      </c>
      <c r="F344" s="189" t="s">
        <v>251</v>
      </c>
      <c r="G344" s="190" t="s">
        <v>252</v>
      </c>
      <c r="H344" s="190" t="s">
        <v>251</v>
      </c>
      <c r="I344" s="191" t="str">
        <f>立项!A3</f>
        <v>RD01</v>
      </c>
      <c r="J344" s="191"/>
      <c r="K344" s="191" t="str">
        <f>立项!A4</f>
        <v>RD02</v>
      </c>
      <c r="L344" s="191"/>
      <c r="M344" s="191" t="str">
        <f>立项!A5</f>
        <v>RD03</v>
      </c>
      <c r="N344" s="191"/>
      <c r="O344" s="191" t="str">
        <f>立项!A6</f>
        <v>RD04</v>
      </c>
      <c r="P344" s="191"/>
      <c r="Q344" s="191" t="str">
        <f>立项!A7</f>
        <v>RD05</v>
      </c>
      <c r="R344" s="191"/>
      <c r="S344" s="191" t="str">
        <f>立项!A8</f>
        <v>RD06</v>
      </c>
      <c r="T344" s="191"/>
      <c r="U344" s="191" t="str">
        <f>立项!A9</f>
        <v>RD07</v>
      </c>
      <c r="V344" s="191"/>
      <c r="W344" s="191" t="str">
        <f>立项!A10</f>
        <v>RD08</v>
      </c>
      <c r="X344" s="191"/>
      <c r="Y344" s="191" t="str">
        <f>立项!A11</f>
        <v>RD09</v>
      </c>
      <c r="Z344" s="191"/>
      <c r="AA344" s="191" t="str">
        <f>立项!A12</f>
        <v>RD10</v>
      </c>
      <c r="AB344" s="191"/>
      <c r="AC344" s="156"/>
      <c r="AD344" s="156"/>
    </row>
    <row r="345" customHeight="1" spans="2:30">
      <c r="B345" s="187"/>
      <c r="C345" s="187"/>
      <c r="D345" s="187"/>
      <c r="E345" s="188"/>
      <c r="F345" s="188"/>
      <c r="G345" s="190"/>
      <c r="H345" s="190"/>
      <c r="I345" s="192" t="s">
        <v>253</v>
      </c>
      <c r="J345" s="192" t="s">
        <v>254</v>
      </c>
      <c r="K345" s="192" t="s">
        <v>253</v>
      </c>
      <c r="L345" s="192" t="s">
        <v>254</v>
      </c>
      <c r="M345" s="192" t="s">
        <v>253</v>
      </c>
      <c r="N345" s="192" t="s">
        <v>254</v>
      </c>
      <c r="O345" s="192" t="s">
        <v>253</v>
      </c>
      <c r="P345" s="192" t="s">
        <v>254</v>
      </c>
      <c r="Q345" s="192" t="s">
        <v>253</v>
      </c>
      <c r="R345" s="192" t="s">
        <v>254</v>
      </c>
      <c r="S345" s="192" t="s">
        <v>253</v>
      </c>
      <c r="T345" s="192" t="s">
        <v>254</v>
      </c>
      <c r="U345" s="192" t="s">
        <v>253</v>
      </c>
      <c r="V345" s="192" t="s">
        <v>254</v>
      </c>
      <c r="W345" s="192" t="s">
        <v>253</v>
      </c>
      <c r="X345" s="192" t="s">
        <v>254</v>
      </c>
      <c r="Y345" s="192" t="s">
        <v>253</v>
      </c>
      <c r="Z345" s="192" t="s">
        <v>254</v>
      </c>
      <c r="AA345" s="192" t="s">
        <v>253</v>
      </c>
      <c r="AB345" s="192" t="s">
        <v>254</v>
      </c>
      <c r="AC345" s="156"/>
      <c r="AD345" s="156"/>
    </row>
    <row r="346" customHeight="1" spans="2:30">
      <c r="B346" s="193">
        <f>固定资产台账1!A3</f>
        <v>0</v>
      </c>
      <c r="C346" s="193"/>
      <c r="D346" s="193"/>
      <c r="E346" s="145">
        <f>固定资产台账1!C3</f>
        <v>0</v>
      </c>
      <c r="F346" s="145">
        <f>研发设备工时计算表2!AK5</f>
        <v>0</v>
      </c>
      <c r="G346" s="201">
        <f>研发设备工时计算表2!AJ5</f>
        <v>0</v>
      </c>
      <c r="H346" s="145">
        <f>J346+L346+N346+P346+R346+T346+V346+X346+Z346+AB346</f>
        <v>0</v>
      </c>
      <c r="I346" s="145"/>
      <c r="J346" s="145">
        <f t="shared" ref="J346:N346" si="223">IF($G346=0,0,ROUND(I346/$G346*$F346,2))</f>
        <v>0</v>
      </c>
      <c r="K346" s="145"/>
      <c r="L346" s="145">
        <f t="shared" si="223"/>
        <v>0</v>
      </c>
      <c r="M346" s="145"/>
      <c r="N346" s="145">
        <f t="shared" si="223"/>
        <v>0</v>
      </c>
      <c r="O346" s="145"/>
      <c r="P346" s="145">
        <f t="shared" ref="P346:T346" si="224">IF($G346=0,0,ROUND(O346/$G346*$F346,2))</f>
        <v>0</v>
      </c>
      <c r="Q346" s="145"/>
      <c r="R346" s="145">
        <f t="shared" si="224"/>
        <v>0</v>
      </c>
      <c r="S346" s="145"/>
      <c r="T346" s="145">
        <f t="shared" si="224"/>
        <v>0</v>
      </c>
      <c r="U346" s="145"/>
      <c r="V346" s="145">
        <f t="shared" ref="V346:Z346" si="225">IF($G346=0,0,ROUND(U346/$G346*$F346,2))</f>
        <v>0</v>
      </c>
      <c r="W346" s="145"/>
      <c r="X346" s="145">
        <f t="shared" si="225"/>
        <v>0</v>
      </c>
      <c r="Y346" s="145"/>
      <c r="Z346" s="145">
        <f t="shared" si="225"/>
        <v>0</v>
      </c>
      <c r="AA346" s="145"/>
      <c r="AB346" s="145">
        <f>IF($G346=0,0,ROUND(AA346/$G346*$F346,2))</f>
        <v>0</v>
      </c>
      <c r="AC346" s="156"/>
      <c r="AD346" s="156">
        <f t="shared" ref="AD346:AD371" si="226">F346-H346</f>
        <v>0</v>
      </c>
    </row>
    <row r="347" customHeight="1" spans="2:30">
      <c r="B347" s="193">
        <f>固定资产台账1!A4</f>
        <v>0</v>
      </c>
      <c r="C347" s="193"/>
      <c r="D347" s="193"/>
      <c r="E347" s="145">
        <f>固定资产台账1!C4</f>
        <v>0</v>
      </c>
      <c r="F347" s="145">
        <f>研发设备工时计算表2!AK6</f>
        <v>0</v>
      </c>
      <c r="G347" s="201">
        <f>研发设备工时计算表2!AJ6</f>
        <v>0</v>
      </c>
      <c r="H347" s="145">
        <f t="shared" ref="H347:H370" si="227">J347+L347+N347+P347+R347+T347+V347+X347+Z347+AB347</f>
        <v>0</v>
      </c>
      <c r="I347" s="145"/>
      <c r="J347" s="145">
        <f t="shared" ref="J347:J370" si="228">IF($G347=0,0,ROUND(I347/$G347*$F347,2))</f>
        <v>0</v>
      </c>
      <c r="K347" s="145"/>
      <c r="L347" s="145">
        <f t="shared" ref="L347:L370" si="229">IF($G347=0,0,ROUND(K347/$G347*$F347,2))</f>
        <v>0</v>
      </c>
      <c r="M347" s="145"/>
      <c r="N347" s="145">
        <f t="shared" ref="N347:N370" si="230">IF($G347=0,0,ROUND(M347/$G347*$F347,2))</f>
        <v>0</v>
      </c>
      <c r="O347" s="145"/>
      <c r="P347" s="145">
        <f t="shared" ref="P347:P370" si="231">IF($G347=0,0,ROUND(O347/$G347*$F347,2))</f>
        <v>0</v>
      </c>
      <c r="Q347" s="145"/>
      <c r="R347" s="145">
        <f t="shared" ref="R347:R370" si="232">IF($G347=0,0,ROUND(Q347/$G347*$F347,2))</f>
        <v>0</v>
      </c>
      <c r="S347" s="145"/>
      <c r="T347" s="145">
        <f t="shared" ref="T347:T370" si="233">IF($G347=0,0,ROUND(S347/$G347*$F347,2))</f>
        <v>0</v>
      </c>
      <c r="U347" s="145"/>
      <c r="V347" s="145">
        <f t="shared" ref="V347:V370" si="234">IF($G347=0,0,ROUND(U347/$G347*$F347,2))</f>
        <v>0</v>
      </c>
      <c r="W347" s="145"/>
      <c r="X347" s="145">
        <f t="shared" ref="X347:X370" si="235">IF($G347=0,0,ROUND(W347/$G347*$F347,2))</f>
        <v>0</v>
      </c>
      <c r="Y347" s="145"/>
      <c r="Z347" s="145">
        <f t="shared" ref="Z347:Z370" si="236">IF($G347=0,0,ROUND(Y347/$G347*$F347,2))</f>
        <v>0</v>
      </c>
      <c r="AA347" s="145"/>
      <c r="AB347" s="145">
        <f t="shared" ref="AB347:AB370" si="237">IF($G347=0,0,ROUND(AA347/$G347*$F347,2))</f>
        <v>0</v>
      </c>
      <c r="AC347" s="156"/>
      <c r="AD347" s="156">
        <f t="shared" si="226"/>
        <v>0</v>
      </c>
    </row>
    <row r="348" customHeight="1" spans="2:30">
      <c r="B348" s="193">
        <f>固定资产台账1!A5</f>
        <v>0</v>
      </c>
      <c r="C348" s="193"/>
      <c r="D348" s="193"/>
      <c r="E348" s="145">
        <f>固定资产台账1!C5</f>
        <v>0</v>
      </c>
      <c r="F348" s="145">
        <f>研发设备工时计算表2!AK7</f>
        <v>0</v>
      </c>
      <c r="G348" s="201">
        <f>研发设备工时计算表2!AJ7</f>
        <v>0</v>
      </c>
      <c r="H348" s="145">
        <f t="shared" si="227"/>
        <v>0</v>
      </c>
      <c r="I348" s="145"/>
      <c r="J348" s="145">
        <f t="shared" si="228"/>
        <v>0</v>
      </c>
      <c r="K348" s="145"/>
      <c r="L348" s="145">
        <f t="shared" si="229"/>
        <v>0</v>
      </c>
      <c r="M348" s="145"/>
      <c r="N348" s="145">
        <f t="shared" si="230"/>
        <v>0</v>
      </c>
      <c r="O348" s="145"/>
      <c r="P348" s="145">
        <f t="shared" si="231"/>
        <v>0</v>
      </c>
      <c r="Q348" s="145"/>
      <c r="R348" s="145">
        <f t="shared" si="232"/>
        <v>0</v>
      </c>
      <c r="S348" s="145"/>
      <c r="T348" s="145">
        <f t="shared" si="233"/>
        <v>0</v>
      </c>
      <c r="U348" s="145"/>
      <c r="V348" s="145">
        <f t="shared" si="234"/>
        <v>0</v>
      </c>
      <c r="W348" s="145"/>
      <c r="X348" s="145">
        <f t="shared" si="235"/>
        <v>0</v>
      </c>
      <c r="Y348" s="145"/>
      <c r="Z348" s="145">
        <f t="shared" si="236"/>
        <v>0</v>
      </c>
      <c r="AA348" s="145"/>
      <c r="AB348" s="145">
        <f t="shared" si="237"/>
        <v>0</v>
      </c>
      <c r="AC348" s="156"/>
      <c r="AD348" s="156">
        <f t="shared" si="226"/>
        <v>0</v>
      </c>
    </row>
    <row r="349" customHeight="1" spans="2:30">
      <c r="B349" s="193">
        <f>固定资产台账1!A6</f>
        <v>0</v>
      </c>
      <c r="C349" s="193"/>
      <c r="D349" s="193"/>
      <c r="E349" s="145">
        <f>固定资产台账1!C6</f>
        <v>0</v>
      </c>
      <c r="F349" s="145">
        <f>研发设备工时计算表2!AK8</f>
        <v>0</v>
      </c>
      <c r="G349" s="201">
        <f>研发设备工时计算表2!AJ8</f>
        <v>0</v>
      </c>
      <c r="H349" s="145">
        <f t="shared" si="227"/>
        <v>0</v>
      </c>
      <c r="I349" s="145"/>
      <c r="J349" s="145">
        <f t="shared" si="228"/>
        <v>0</v>
      </c>
      <c r="K349" s="145"/>
      <c r="L349" s="145">
        <f t="shared" si="229"/>
        <v>0</v>
      </c>
      <c r="M349" s="145"/>
      <c r="N349" s="145">
        <f t="shared" si="230"/>
        <v>0</v>
      </c>
      <c r="O349" s="145"/>
      <c r="P349" s="145">
        <f t="shared" si="231"/>
        <v>0</v>
      </c>
      <c r="Q349" s="145"/>
      <c r="R349" s="145">
        <f t="shared" si="232"/>
        <v>0</v>
      </c>
      <c r="S349" s="145"/>
      <c r="T349" s="145">
        <f t="shared" si="233"/>
        <v>0</v>
      </c>
      <c r="U349" s="145"/>
      <c r="V349" s="145">
        <f t="shared" si="234"/>
        <v>0</v>
      </c>
      <c r="W349" s="145"/>
      <c r="X349" s="145">
        <f t="shared" si="235"/>
        <v>0</v>
      </c>
      <c r="Y349" s="145"/>
      <c r="Z349" s="145">
        <f t="shared" si="236"/>
        <v>0</v>
      </c>
      <c r="AA349" s="145"/>
      <c r="AB349" s="145">
        <f t="shared" si="237"/>
        <v>0</v>
      </c>
      <c r="AC349" s="156"/>
      <c r="AD349" s="156">
        <f t="shared" si="226"/>
        <v>0</v>
      </c>
    </row>
    <row r="350" customHeight="1" spans="2:30">
      <c r="B350" s="193">
        <f>固定资产台账1!A7</f>
        <v>0</v>
      </c>
      <c r="C350" s="193"/>
      <c r="D350" s="193"/>
      <c r="E350" s="145">
        <f>固定资产台账1!C7</f>
        <v>0</v>
      </c>
      <c r="F350" s="145">
        <f>研发设备工时计算表2!AK9</f>
        <v>0</v>
      </c>
      <c r="G350" s="201">
        <f>研发设备工时计算表2!AJ9</f>
        <v>0</v>
      </c>
      <c r="H350" s="145">
        <f t="shared" si="227"/>
        <v>0</v>
      </c>
      <c r="I350" s="145"/>
      <c r="J350" s="145">
        <f t="shared" si="228"/>
        <v>0</v>
      </c>
      <c r="K350" s="145"/>
      <c r="L350" s="145">
        <f t="shared" si="229"/>
        <v>0</v>
      </c>
      <c r="M350" s="145"/>
      <c r="N350" s="145">
        <f t="shared" si="230"/>
        <v>0</v>
      </c>
      <c r="O350" s="145"/>
      <c r="P350" s="145">
        <f t="shared" si="231"/>
        <v>0</v>
      </c>
      <c r="Q350" s="145"/>
      <c r="R350" s="145">
        <f t="shared" si="232"/>
        <v>0</v>
      </c>
      <c r="S350" s="145"/>
      <c r="T350" s="145">
        <f t="shared" si="233"/>
        <v>0</v>
      </c>
      <c r="U350" s="145"/>
      <c r="V350" s="145">
        <f t="shared" si="234"/>
        <v>0</v>
      </c>
      <c r="W350" s="145"/>
      <c r="X350" s="145">
        <f t="shared" si="235"/>
        <v>0</v>
      </c>
      <c r="Y350" s="145"/>
      <c r="Z350" s="145">
        <f t="shared" si="236"/>
        <v>0</v>
      </c>
      <c r="AA350" s="145"/>
      <c r="AB350" s="145">
        <f t="shared" si="237"/>
        <v>0</v>
      </c>
      <c r="AC350" s="156"/>
      <c r="AD350" s="156">
        <f t="shared" si="226"/>
        <v>0</v>
      </c>
    </row>
    <row r="351" customHeight="1" spans="2:30">
      <c r="B351" s="193">
        <f>固定资产台账1!A8</f>
        <v>0</v>
      </c>
      <c r="C351" s="193"/>
      <c r="D351" s="193"/>
      <c r="E351" s="145">
        <f>固定资产台账1!C8</f>
        <v>0</v>
      </c>
      <c r="F351" s="145">
        <f>研发设备工时计算表2!AK10</f>
        <v>0</v>
      </c>
      <c r="G351" s="201">
        <f>研发设备工时计算表2!AJ10</f>
        <v>0</v>
      </c>
      <c r="H351" s="145">
        <f t="shared" si="227"/>
        <v>0</v>
      </c>
      <c r="I351" s="145"/>
      <c r="J351" s="145">
        <f t="shared" si="228"/>
        <v>0</v>
      </c>
      <c r="K351" s="145"/>
      <c r="L351" s="145">
        <f t="shared" si="229"/>
        <v>0</v>
      </c>
      <c r="M351" s="145"/>
      <c r="N351" s="145">
        <f t="shared" si="230"/>
        <v>0</v>
      </c>
      <c r="O351" s="145"/>
      <c r="P351" s="145">
        <f t="shared" si="231"/>
        <v>0</v>
      </c>
      <c r="Q351" s="145"/>
      <c r="R351" s="145">
        <f t="shared" si="232"/>
        <v>0</v>
      </c>
      <c r="S351" s="145"/>
      <c r="T351" s="145">
        <f t="shared" si="233"/>
        <v>0</v>
      </c>
      <c r="U351" s="145"/>
      <c r="V351" s="145">
        <f t="shared" si="234"/>
        <v>0</v>
      </c>
      <c r="W351" s="145"/>
      <c r="X351" s="145">
        <f t="shared" si="235"/>
        <v>0</v>
      </c>
      <c r="Y351" s="145"/>
      <c r="Z351" s="145">
        <f t="shared" si="236"/>
        <v>0</v>
      </c>
      <c r="AA351" s="145"/>
      <c r="AB351" s="145">
        <f t="shared" si="237"/>
        <v>0</v>
      </c>
      <c r="AC351" s="156"/>
      <c r="AD351" s="156">
        <f t="shared" si="226"/>
        <v>0</v>
      </c>
    </row>
    <row r="352" customHeight="1" spans="2:30">
      <c r="B352" s="193">
        <f>固定资产台账1!A9</f>
        <v>0</v>
      </c>
      <c r="C352" s="193"/>
      <c r="D352" s="193"/>
      <c r="E352" s="145">
        <f>固定资产台账1!C9</f>
        <v>0</v>
      </c>
      <c r="F352" s="145">
        <f>研发设备工时计算表2!AK11</f>
        <v>0</v>
      </c>
      <c r="G352" s="201">
        <f>研发设备工时计算表2!AJ11</f>
        <v>0</v>
      </c>
      <c r="H352" s="145">
        <f t="shared" si="227"/>
        <v>0</v>
      </c>
      <c r="I352" s="145"/>
      <c r="J352" s="145">
        <f t="shared" si="228"/>
        <v>0</v>
      </c>
      <c r="K352" s="145"/>
      <c r="L352" s="145">
        <f t="shared" si="229"/>
        <v>0</v>
      </c>
      <c r="M352" s="145"/>
      <c r="N352" s="145">
        <f t="shared" si="230"/>
        <v>0</v>
      </c>
      <c r="O352" s="145"/>
      <c r="P352" s="145">
        <f t="shared" si="231"/>
        <v>0</v>
      </c>
      <c r="Q352" s="145"/>
      <c r="R352" s="145">
        <f t="shared" si="232"/>
        <v>0</v>
      </c>
      <c r="S352" s="145"/>
      <c r="T352" s="145">
        <f t="shared" si="233"/>
        <v>0</v>
      </c>
      <c r="U352" s="145"/>
      <c r="V352" s="145">
        <f t="shared" si="234"/>
        <v>0</v>
      </c>
      <c r="W352" s="145"/>
      <c r="X352" s="145">
        <f t="shared" si="235"/>
        <v>0</v>
      </c>
      <c r="Y352" s="145"/>
      <c r="Z352" s="145">
        <f t="shared" si="236"/>
        <v>0</v>
      </c>
      <c r="AA352" s="145"/>
      <c r="AB352" s="145">
        <f t="shared" si="237"/>
        <v>0</v>
      </c>
      <c r="AC352" s="156"/>
      <c r="AD352" s="156">
        <f t="shared" si="226"/>
        <v>0</v>
      </c>
    </row>
    <row r="353" customHeight="1" spans="2:30">
      <c r="B353" s="193">
        <f>固定资产台账1!A10</f>
        <v>0</v>
      </c>
      <c r="C353" s="193"/>
      <c r="D353" s="193"/>
      <c r="E353" s="145">
        <f>固定资产台账1!C10</f>
        <v>0</v>
      </c>
      <c r="F353" s="145">
        <f>研发设备工时计算表2!AK12</f>
        <v>0</v>
      </c>
      <c r="G353" s="201">
        <f>研发设备工时计算表2!AJ12</f>
        <v>0</v>
      </c>
      <c r="H353" s="145">
        <f t="shared" si="227"/>
        <v>0</v>
      </c>
      <c r="I353" s="145"/>
      <c r="J353" s="145">
        <f t="shared" si="228"/>
        <v>0</v>
      </c>
      <c r="K353" s="145"/>
      <c r="L353" s="145">
        <f t="shared" si="229"/>
        <v>0</v>
      </c>
      <c r="M353" s="145"/>
      <c r="N353" s="145">
        <f t="shared" si="230"/>
        <v>0</v>
      </c>
      <c r="O353" s="145"/>
      <c r="P353" s="145">
        <f t="shared" si="231"/>
        <v>0</v>
      </c>
      <c r="Q353" s="145"/>
      <c r="R353" s="145">
        <f t="shared" si="232"/>
        <v>0</v>
      </c>
      <c r="S353" s="145"/>
      <c r="T353" s="145">
        <f t="shared" si="233"/>
        <v>0</v>
      </c>
      <c r="U353" s="145"/>
      <c r="V353" s="145">
        <f t="shared" si="234"/>
        <v>0</v>
      </c>
      <c r="W353" s="145"/>
      <c r="X353" s="145">
        <f t="shared" si="235"/>
        <v>0</v>
      </c>
      <c r="Y353" s="145"/>
      <c r="Z353" s="145">
        <f t="shared" si="236"/>
        <v>0</v>
      </c>
      <c r="AA353" s="145"/>
      <c r="AB353" s="145">
        <f t="shared" si="237"/>
        <v>0</v>
      </c>
      <c r="AC353" s="156"/>
      <c r="AD353" s="156">
        <f t="shared" si="226"/>
        <v>0</v>
      </c>
    </row>
    <row r="354" customHeight="1" spans="2:30">
      <c r="B354" s="193">
        <f>固定资产台账1!A11</f>
        <v>0</v>
      </c>
      <c r="C354" s="193"/>
      <c r="D354" s="193"/>
      <c r="E354" s="145">
        <f>固定资产台账1!C11</f>
        <v>0</v>
      </c>
      <c r="F354" s="145">
        <f>研发设备工时计算表2!AK13</f>
        <v>0</v>
      </c>
      <c r="G354" s="201">
        <f>研发设备工时计算表2!AJ13</f>
        <v>0</v>
      </c>
      <c r="H354" s="145">
        <f t="shared" si="227"/>
        <v>0</v>
      </c>
      <c r="I354" s="145"/>
      <c r="J354" s="145">
        <f t="shared" si="228"/>
        <v>0</v>
      </c>
      <c r="K354" s="145"/>
      <c r="L354" s="145">
        <f t="shared" si="229"/>
        <v>0</v>
      </c>
      <c r="M354" s="145"/>
      <c r="N354" s="145">
        <f t="shared" si="230"/>
        <v>0</v>
      </c>
      <c r="O354" s="145"/>
      <c r="P354" s="145">
        <f t="shared" si="231"/>
        <v>0</v>
      </c>
      <c r="Q354" s="145"/>
      <c r="R354" s="145">
        <f t="shared" si="232"/>
        <v>0</v>
      </c>
      <c r="S354" s="145"/>
      <c r="T354" s="145">
        <f t="shared" si="233"/>
        <v>0</v>
      </c>
      <c r="U354" s="145"/>
      <c r="V354" s="145">
        <f t="shared" si="234"/>
        <v>0</v>
      </c>
      <c r="W354" s="145"/>
      <c r="X354" s="145">
        <f t="shared" si="235"/>
        <v>0</v>
      </c>
      <c r="Y354" s="145"/>
      <c r="Z354" s="145">
        <f t="shared" si="236"/>
        <v>0</v>
      </c>
      <c r="AA354" s="145"/>
      <c r="AB354" s="145">
        <f t="shared" si="237"/>
        <v>0</v>
      </c>
      <c r="AC354" s="156"/>
      <c r="AD354" s="156">
        <f t="shared" si="226"/>
        <v>0</v>
      </c>
    </row>
    <row r="355" customHeight="1" spans="2:30">
      <c r="B355" s="193">
        <f>固定资产台账1!A12</f>
        <v>0</v>
      </c>
      <c r="C355" s="193"/>
      <c r="D355" s="193"/>
      <c r="E355" s="145">
        <f>固定资产台账1!C12</f>
        <v>0</v>
      </c>
      <c r="F355" s="145">
        <f>研发设备工时计算表2!AK14</f>
        <v>0</v>
      </c>
      <c r="G355" s="201">
        <f>研发设备工时计算表2!AJ14</f>
        <v>0</v>
      </c>
      <c r="H355" s="145">
        <f t="shared" si="227"/>
        <v>0</v>
      </c>
      <c r="I355" s="145"/>
      <c r="J355" s="145">
        <f t="shared" si="228"/>
        <v>0</v>
      </c>
      <c r="K355" s="145"/>
      <c r="L355" s="145">
        <f t="shared" si="229"/>
        <v>0</v>
      </c>
      <c r="M355" s="145"/>
      <c r="N355" s="145">
        <f t="shared" si="230"/>
        <v>0</v>
      </c>
      <c r="O355" s="145"/>
      <c r="P355" s="145">
        <f t="shared" si="231"/>
        <v>0</v>
      </c>
      <c r="Q355" s="145"/>
      <c r="R355" s="145">
        <f t="shared" si="232"/>
        <v>0</v>
      </c>
      <c r="S355" s="145"/>
      <c r="T355" s="145">
        <f t="shared" si="233"/>
        <v>0</v>
      </c>
      <c r="U355" s="145"/>
      <c r="V355" s="145">
        <f t="shared" si="234"/>
        <v>0</v>
      </c>
      <c r="W355" s="145"/>
      <c r="X355" s="145">
        <f t="shared" si="235"/>
        <v>0</v>
      </c>
      <c r="Y355" s="145"/>
      <c r="Z355" s="145">
        <f t="shared" si="236"/>
        <v>0</v>
      </c>
      <c r="AA355" s="145"/>
      <c r="AB355" s="145">
        <f t="shared" si="237"/>
        <v>0</v>
      </c>
      <c r="AC355" s="156"/>
      <c r="AD355" s="156">
        <f t="shared" si="226"/>
        <v>0</v>
      </c>
    </row>
    <row r="356" customHeight="1" spans="2:30">
      <c r="B356" s="193">
        <f>固定资产台账1!A13</f>
        <v>0</v>
      </c>
      <c r="C356" s="193"/>
      <c r="D356" s="193"/>
      <c r="E356" s="145">
        <f>固定资产台账1!C13</f>
        <v>0</v>
      </c>
      <c r="F356" s="145">
        <f>研发设备工时计算表2!AK15</f>
        <v>0</v>
      </c>
      <c r="G356" s="201">
        <f>研发设备工时计算表2!AJ15</f>
        <v>0</v>
      </c>
      <c r="H356" s="145">
        <f t="shared" si="227"/>
        <v>0</v>
      </c>
      <c r="I356" s="145"/>
      <c r="J356" s="145">
        <f t="shared" si="228"/>
        <v>0</v>
      </c>
      <c r="K356" s="145"/>
      <c r="L356" s="145">
        <f t="shared" si="229"/>
        <v>0</v>
      </c>
      <c r="M356" s="145"/>
      <c r="N356" s="145">
        <f t="shared" si="230"/>
        <v>0</v>
      </c>
      <c r="O356" s="145"/>
      <c r="P356" s="145">
        <f t="shared" si="231"/>
        <v>0</v>
      </c>
      <c r="Q356" s="145"/>
      <c r="R356" s="145">
        <f t="shared" si="232"/>
        <v>0</v>
      </c>
      <c r="S356" s="145"/>
      <c r="T356" s="145">
        <f t="shared" si="233"/>
        <v>0</v>
      </c>
      <c r="U356" s="145"/>
      <c r="V356" s="145">
        <f t="shared" si="234"/>
        <v>0</v>
      </c>
      <c r="W356" s="145"/>
      <c r="X356" s="145">
        <f t="shared" si="235"/>
        <v>0</v>
      </c>
      <c r="Y356" s="145"/>
      <c r="Z356" s="145">
        <f t="shared" si="236"/>
        <v>0</v>
      </c>
      <c r="AA356" s="145"/>
      <c r="AB356" s="145">
        <f t="shared" si="237"/>
        <v>0</v>
      </c>
      <c r="AC356" s="156"/>
      <c r="AD356" s="156">
        <f t="shared" si="226"/>
        <v>0</v>
      </c>
    </row>
    <row r="357" customHeight="1" spans="2:30">
      <c r="B357" s="193">
        <f>固定资产台账1!A14</f>
        <v>0</v>
      </c>
      <c r="C357" s="193"/>
      <c r="D357" s="193"/>
      <c r="E357" s="145">
        <f>固定资产台账1!C14</f>
        <v>0</v>
      </c>
      <c r="F357" s="145">
        <f>研发设备工时计算表2!AK16</f>
        <v>0</v>
      </c>
      <c r="G357" s="201">
        <f>研发设备工时计算表2!AJ16</f>
        <v>0</v>
      </c>
      <c r="H357" s="145">
        <f t="shared" si="227"/>
        <v>0</v>
      </c>
      <c r="I357" s="145"/>
      <c r="J357" s="145">
        <f t="shared" si="228"/>
        <v>0</v>
      </c>
      <c r="K357" s="145"/>
      <c r="L357" s="145">
        <f t="shared" si="229"/>
        <v>0</v>
      </c>
      <c r="M357" s="145"/>
      <c r="N357" s="145">
        <f t="shared" si="230"/>
        <v>0</v>
      </c>
      <c r="O357" s="145"/>
      <c r="P357" s="145">
        <f t="shared" si="231"/>
        <v>0</v>
      </c>
      <c r="Q357" s="145"/>
      <c r="R357" s="145">
        <f t="shared" si="232"/>
        <v>0</v>
      </c>
      <c r="S357" s="145"/>
      <c r="T357" s="145">
        <f t="shared" si="233"/>
        <v>0</v>
      </c>
      <c r="U357" s="145"/>
      <c r="V357" s="145">
        <f t="shared" si="234"/>
        <v>0</v>
      </c>
      <c r="W357" s="145"/>
      <c r="X357" s="145">
        <f t="shared" si="235"/>
        <v>0</v>
      </c>
      <c r="Y357" s="145"/>
      <c r="Z357" s="145">
        <f t="shared" si="236"/>
        <v>0</v>
      </c>
      <c r="AA357" s="145"/>
      <c r="AB357" s="145">
        <f t="shared" si="237"/>
        <v>0</v>
      </c>
      <c r="AC357" s="156"/>
      <c r="AD357" s="156">
        <f t="shared" si="226"/>
        <v>0</v>
      </c>
    </row>
    <row r="358" customHeight="1" spans="2:30">
      <c r="B358" s="193">
        <f>固定资产台账1!A15</f>
        <v>0</v>
      </c>
      <c r="C358" s="193"/>
      <c r="D358" s="193"/>
      <c r="E358" s="145">
        <f>固定资产台账1!C15</f>
        <v>0</v>
      </c>
      <c r="F358" s="145">
        <f>研发设备工时计算表2!AK17</f>
        <v>0</v>
      </c>
      <c r="G358" s="201">
        <f>研发设备工时计算表2!AJ17</f>
        <v>0</v>
      </c>
      <c r="H358" s="145">
        <f t="shared" si="227"/>
        <v>0</v>
      </c>
      <c r="I358" s="145"/>
      <c r="J358" s="145">
        <f t="shared" si="228"/>
        <v>0</v>
      </c>
      <c r="K358" s="145"/>
      <c r="L358" s="145">
        <f t="shared" si="229"/>
        <v>0</v>
      </c>
      <c r="M358" s="145"/>
      <c r="N358" s="145">
        <f t="shared" si="230"/>
        <v>0</v>
      </c>
      <c r="O358" s="145"/>
      <c r="P358" s="145">
        <f t="shared" si="231"/>
        <v>0</v>
      </c>
      <c r="Q358" s="145"/>
      <c r="R358" s="145">
        <f t="shared" si="232"/>
        <v>0</v>
      </c>
      <c r="S358" s="145"/>
      <c r="T358" s="145">
        <f t="shared" si="233"/>
        <v>0</v>
      </c>
      <c r="U358" s="145"/>
      <c r="V358" s="145">
        <f t="shared" si="234"/>
        <v>0</v>
      </c>
      <c r="W358" s="145"/>
      <c r="X358" s="145">
        <f t="shared" si="235"/>
        <v>0</v>
      </c>
      <c r="Y358" s="145"/>
      <c r="Z358" s="145">
        <f t="shared" si="236"/>
        <v>0</v>
      </c>
      <c r="AA358" s="145"/>
      <c r="AB358" s="145">
        <f t="shared" si="237"/>
        <v>0</v>
      </c>
      <c r="AC358" s="156"/>
      <c r="AD358" s="156">
        <f t="shared" si="226"/>
        <v>0</v>
      </c>
    </row>
    <row r="359" customHeight="1" spans="2:30">
      <c r="B359" s="193">
        <f>固定资产台账1!A16</f>
        <v>0</v>
      </c>
      <c r="C359" s="193"/>
      <c r="D359" s="193"/>
      <c r="E359" s="145">
        <f>固定资产台账1!C16</f>
        <v>0</v>
      </c>
      <c r="F359" s="145">
        <f>研发设备工时计算表2!AK18</f>
        <v>0</v>
      </c>
      <c r="G359" s="201">
        <f>研发设备工时计算表2!AJ18</f>
        <v>0</v>
      </c>
      <c r="H359" s="145">
        <f t="shared" si="227"/>
        <v>0</v>
      </c>
      <c r="I359" s="145"/>
      <c r="J359" s="145">
        <f t="shared" si="228"/>
        <v>0</v>
      </c>
      <c r="K359" s="145"/>
      <c r="L359" s="145">
        <f t="shared" si="229"/>
        <v>0</v>
      </c>
      <c r="M359" s="145"/>
      <c r="N359" s="145">
        <f t="shared" si="230"/>
        <v>0</v>
      </c>
      <c r="O359" s="145"/>
      <c r="P359" s="145">
        <f t="shared" si="231"/>
        <v>0</v>
      </c>
      <c r="Q359" s="145"/>
      <c r="R359" s="145">
        <f t="shared" si="232"/>
        <v>0</v>
      </c>
      <c r="S359" s="145"/>
      <c r="T359" s="145">
        <f t="shared" si="233"/>
        <v>0</v>
      </c>
      <c r="U359" s="145"/>
      <c r="V359" s="145">
        <f t="shared" si="234"/>
        <v>0</v>
      </c>
      <c r="W359" s="145"/>
      <c r="X359" s="145">
        <f t="shared" si="235"/>
        <v>0</v>
      </c>
      <c r="Y359" s="145"/>
      <c r="Z359" s="145">
        <f t="shared" si="236"/>
        <v>0</v>
      </c>
      <c r="AA359" s="145"/>
      <c r="AB359" s="145">
        <f t="shared" si="237"/>
        <v>0</v>
      </c>
      <c r="AC359" s="156"/>
      <c r="AD359" s="156">
        <f t="shared" si="226"/>
        <v>0</v>
      </c>
    </row>
    <row r="360" customHeight="1" spans="2:30">
      <c r="B360" s="193">
        <f>固定资产台账1!A17</f>
        <v>0</v>
      </c>
      <c r="C360" s="193"/>
      <c r="D360" s="193"/>
      <c r="E360" s="145">
        <f>固定资产台账1!C17</f>
        <v>0</v>
      </c>
      <c r="F360" s="145">
        <f>研发设备工时计算表2!AK19</f>
        <v>0</v>
      </c>
      <c r="G360" s="201">
        <f>研发设备工时计算表2!AJ19</f>
        <v>0</v>
      </c>
      <c r="H360" s="145">
        <f t="shared" si="227"/>
        <v>0</v>
      </c>
      <c r="I360" s="145"/>
      <c r="J360" s="145">
        <f t="shared" si="228"/>
        <v>0</v>
      </c>
      <c r="K360" s="145"/>
      <c r="L360" s="145">
        <f t="shared" si="229"/>
        <v>0</v>
      </c>
      <c r="M360" s="145"/>
      <c r="N360" s="145">
        <f t="shared" si="230"/>
        <v>0</v>
      </c>
      <c r="O360" s="145"/>
      <c r="P360" s="145">
        <f t="shared" si="231"/>
        <v>0</v>
      </c>
      <c r="Q360" s="145"/>
      <c r="R360" s="145">
        <f t="shared" si="232"/>
        <v>0</v>
      </c>
      <c r="S360" s="145"/>
      <c r="T360" s="145">
        <f t="shared" si="233"/>
        <v>0</v>
      </c>
      <c r="U360" s="145"/>
      <c r="V360" s="145">
        <f t="shared" si="234"/>
        <v>0</v>
      </c>
      <c r="W360" s="145"/>
      <c r="X360" s="145">
        <f t="shared" si="235"/>
        <v>0</v>
      </c>
      <c r="Y360" s="145"/>
      <c r="Z360" s="145">
        <f t="shared" si="236"/>
        <v>0</v>
      </c>
      <c r="AA360" s="145"/>
      <c r="AB360" s="145">
        <f t="shared" si="237"/>
        <v>0</v>
      </c>
      <c r="AC360" s="156"/>
      <c r="AD360" s="156">
        <f t="shared" si="226"/>
        <v>0</v>
      </c>
    </row>
    <row r="361" customHeight="1" spans="2:30">
      <c r="B361" s="193">
        <f>固定资产台账1!A18</f>
        <v>0</v>
      </c>
      <c r="C361" s="193"/>
      <c r="D361" s="193"/>
      <c r="E361" s="145">
        <f>固定资产台账1!C18</f>
        <v>0</v>
      </c>
      <c r="F361" s="145">
        <f>研发设备工时计算表2!AK20</f>
        <v>0</v>
      </c>
      <c r="G361" s="201">
        <f>研发设备工时计算表2!AJ20</f>
        <v>0</v>
      </c>
      <c r="H361" s="145">
        <f t="shared" si="227"/>
        <v>0</v>
      </c>
      <c r="I361" s="145"/>
      <c r="J361" s="145">
        <f t="shared" si="228"/>
        <v>0</v>
      </c>
      <c r="K361" s="145"/>
      <c r="L361" s="145">
        <f t="shared" si="229"/>
        <v>0</v>
      </c>
      <c r="M361" s="145"/>
      <c r="N361" s="145">
        <f t="shared" si="230"/>
        <v>0</v>
      </c>
      <c r="O361" s="145"/>
      <c r="P361" s="145">
        <f t="shared" si="231"/>
        <v>0</v>
      </c>
      <c r="Q361" s="145"/>
      <c r="R361" s="145">
        <f t="shared" si="232"/>
        <v>0</v>
      </c>
      <c r="S361" s="145"/>
      <c r="T361" s="145">
        <f t="shared" si="233"/>
        <v>0</v>
      </c>
      <c r="U361" s="145"/>
      <c r="V361" s="145">
        <f t="shared" si="234"/>
        <v>0</v>
      </c>
      <c r="W361" s="145"/>
      <c r="X361" s="145">
        <f t="shared" si="235"/>
        <v>0</v>
      </c>
      <c r="Y361" s="145"/>
      <c r="Z361" s="145">
        <f t="shared" si="236"/>
        <v>0</v>
      </c>
      <c r="AA361" s="145"/>
      <c r="AB361" s="145">
        <f t="shared" si="237"/>
        <v>0</v>
      </c>
      <c r="AC361" s="156"/>
      <c r="AD361" s="156">
        <f t="shared" si="226"/>
        <v>0</v>
      </c>
    </row>
    <row r="362" customHeight="1" spans="2:30">
      <c r="B362" s="193">
        <f>固定资产台账1!A19</f>
        <v>0</v>
      </c>
      <c r="C362" s="193"/>
      <c r="D362" s="193"/>
      <c r="E362" s="145">
        <f>固定资产台账1!C19</f>
        <v>0</v>
      </c>
      <c r="F362" s="145">
        <f>研发设备工时计算表2!AK21</f>
        <v>0</v>
      </c>
      <c r="G362" s="201">
        <f>研发设备工时计算表2!AJ21</f>
        <v>0</v>
      </c>
      <c r="H362" s="145">
        <f t="shared" si="227"/>
        <v>0</v>
      </c>
      <c r="I362" s="145"/>
      <c r="J362" s="145">
        <f t="shared" si="228"/>
        <v>0</v>
      </c>
      <c r="K362" s="145"/>
      <c r="L362" s="145">
        <f t="shared" si="229"/>
        <v>0</v>
      </c>
      <c r="M362" s="145"/>
      <c r="N362" s="145">
        <f t="shared" si="230"/>
        <v>0</v>
      </c>
      <c r="O362" s="145"/>
      <c r="P362" s="145">
        <f t="shared" si="231"/>
        <v>0</v>
      </c>
      <c r="Q362" s="145"/>
      <c r="R362" s="145">
        <f t="shared" si="232"/>
        <v>0</v>
      </c>
      <c r="S362" s="145"/>
      <c r="T362" s="145">
        <f t="shared" si="233"/>
        <v>0</v>
      </c>
      <c r="U362" s="145"/>
      <c r="V362" s="145">
        <f t="shared" si="234"/>
        <v>0</v>
      </c>
      <c r="W362" s="145"/>
      <c r="X362" s="145">
        <f t="shared" si="235"/>
        <v>0</v>
      </c>
      <c r="Y362" s="145"/>
      <c r="Z362" s="145">
        <f t="shared" si="236"/>
        <v>0</v>
      </c>
      <c r="AA362" s="145"/>
      <c r="AB362" s="145">
        <f t="shared" si="237"/>
        <v>0</v>
      </c>
      <c r="AC362" s="156"/>
      <c r="AD362" s="156">
        <f t="shared" si="226"/>
        <v>0</v>
      </c>
    </row>
    <row r="363" customHeight="1" spans="2:30">
      <c r="B363" s="193">
        <f>固定资产台账1!A20</f>
        <v>0</v>
      </c>
      <c r="C363" s="193"/>
      <c r="D363" s="193"/>
      <c r="E363" s="145">
        <f>固定资产台账1!C20</f>
        <v>0</v>
      </c>
      <c r="F363" s="145">
        <f>研发设备工时计算表2!AK22</f>
        <v>0</v>
      </c>
      <c r="G363" s="201">
        <f>研发设备工时计算表2!AJ22</f>
        <v>0</v>
      </c>
      <c r="H363" s="145">
        <f t="shared" si="227"/>
        <v>0</v>
      </c>
      <c r="I363" s="145"/>
      <c r="J363" s="145">
        <f t="shared" si="228"/>
        <v>0</v>
      </c>
      <c r="K363" s="145"/>
      <c r="L363" s="145">
        <f t="shared" si="229"/>
        <v>0</v>
      </c>
      <c r="M363" s="145"/>
      <c r="N363" s="145">
        <f t="shared" si="230"/>
        <v>0</v>
      </c>
      <c r="O363" s="145"/>
      <c r="P363" s="145">
        <f t="shared" si="231"/>
        <v>0</v>
      </c>
      <c r="Q363" s="145"/>
      <c r="R363" s="145">
        <f t="shared" si="232"/>
        <v>0</v>
      </c>
      <c r="S363" s="145"/>
      <c r="T363" s="145">
        <f t="shared" si="233"/>
        <v>0</v>
      </c>
      <c r="U363" s="145"/>
      <c r="V363" s="145">
        <f t="shared" si="234"/>
        <v>0</v>
      </c>
      <c r="W363" s="145"/>
      <c r="X363" s="145">
        <f t="shared" si="235"/>
        <v>0</v>
      </c>
      <c r="Y363" s="145"/>
      <c r="Z363" s="145">
        <f t="shared" si="236"/>
        <v>0</v>
      </c>
      <c r="AA363" s="145"/>
      <c r="AB363" s="145">
        <f t="shared" si="237"/>
        <v>0</v>
      </c>
      <c r="AC363" s="156"/>
      <c r="AD363" s="156">
        <f t="shared" si="226"/>
        <v>0</v>
      </c>
    </row>
    <row r="364" customHeight="1" spans="2:30">
      <c r="B364" s="193">
        <f>固定资产台账1!A21</f>
        <v>0</v>
      </c>
      <c r="C364" s="193"/>
      <c r="D364" s="193"/>
      <c r="E364" s="145">
        <f>固定资产台账1!C21</f>
        <v>0</v>
      </c>
      <c r="F364" s="145">
        <f>研发设备工时计算表2!AK23</f>
        <v>0</v>
      </c>
      <c r="G364" s="201">
        <f>研发设备工时计算表2!AJ23</f>
        <v>0</v>
      </c>
      <c r="H364" s="145">
        <f t="shared" si="227"/>
        <v>0</v>
      </c>
      <c r="I364" s="145"/>
      <c r="J364" s="145">
        <f t="shared" si="228"/>
        <v>0</v>
      </c>
      <c r="K364" s="145"/>
      <c r="L364" s="145">
        <f t="shared" si="229"/>
        <v>0</v>
      </c>
      <c r="M364" s="145"/>
      <c r="N364" s="145">
        <f t="shared" si="230"/>
        <v>0</v>
      </c>
      <c r="O364" s="145"/>
      <c r="P364" s="145">
        <f t="shared" si="231"/>
        <v>0</v>
      </c>
      <c r="Q364" s="145"/>
      <c r="R364" s="145">
        <f t="shared" si="232"/>
        <v>0</v>
      </c>
      <c r="S364" s="145"/>
      <c r="T364" s="145">
        <f t="shared" si="233"/>
        <v>0</v>
      </c>
      <c r="U364" s="145"/>
      <c r="V364" s="145">
        <f t="shared" si="234"/>
        <v>0</v>
      </c>
      <c r="W364" s="145"/>
      <c r="X364" s="145">
        <f t="shared" si="235"/>
        <v>0</v>
      </c>
      <c r="Y364" s="145"/>
      <c r="Z364" s="145">
        <f t="shared" si="236"/>
        <v>0</v>
      </c>
      <c r="AA364" s="145"/>
      <c r="AB364" s="145">
        <f t="shared" si="237"/>
        <v>0</v>
      </c>
      <c r="AC364" s="156"/>
      <c r="AD364" s="156">
        <f t="shared" si="226"/>
        <v>0</v>
      </c>
    </row>
    <row r="365" customHeight="1" spans="2:30">
      <c r="B365" s="193">
        <f>固定资产台账1!A22</f>
        <v>0</v>
      </c>
      <c r="C365" s="193"/>
      <c r="D365" s="193"/>
      <c r="E365" s="145">
        <f>固定资产台账1!C22</f>
        <v>0</v>
      </c>
      <c r="F365" s="145">
        <f>研发设备工时计算表2!AK24</f>
        <v>0</v>
      </c>
      <c r="G365" s="201">
        <f>研发设备工时计算表2!AJ24</f>
        <v>0</v>
      </c>
      <c r="H365" s="145">
        <f t="shared" si="227"/>
        <v>0</v>
      </c>
      <c r="I365" s="145"/>
      <c r="J365" s="145">
        <f t="shared" si="228"/>
        <v>0</v>
      </c>
      <c r="K365" s="145"/>
      <c r="L365" s="145">
        <f t="shared" si="229"/>
        <v>0</v>
      </c>
      <c r="M365" s="145"/>
      <c r="N365" s="145">
        <f t="shared" si="230"/>
        <v>0</v>
      </c>
      <c r="O365" s="145"/>
      <c r="P365" s="145">
        <f t="shared" si="231"/>
        <v>0</v>
      </c>
      <c r="Q365" s="145"/>
      <c r="R365" s="145">
        <f t="shared" si="232"/>
        <v>0</v>
      </c>
      <c r="S365" s="145"/>
      <c r="T365" s="145">
        <f t="shared" si="233"/>
        <v>0</v>
      </c>
      <c r="U365" s="145"/>
      <c r="V365" s="145">
        <f t="shared" si="234"/>
        <v>0</v>
      </c>
      <c r="W365" s="145"/>
      <c r="X365" s="145">
        <f t="shared" si="235"/>
        <v>0</v>
      </c>
      <c r="Y365" s="145"/>
      <c r="Z365" s="145">
        <f t="shared" si="236"/>
        <v>0</v>
      </c>
      <c r="AA365" s="145"/>
      <c r="AB365" s="145">
        <f t="shared" si="237"/>
        <v>0</v>
      </c>
      <c r="AC365" s="156"/>
      <c r="AD365" s="156">
        <f t="shared" si="226"/>
        <v>0</v>
      </c>
    </row>
    <row r="366" customHeight="1" spans="2:30">
      <c r="B366" s="193">
        <f>固定资产台账1!A23</f>
        <v>0</v>
      </c>
      <c r="C366" s="193"/>
      <c r="D366" s="193"/>
      <c r="E366" s="145">
        <f>固定资产台账1!C23</f>
        <v>0</v>
      </c>
      <c r="F366" s="145">
        <f>研发设备工时计算表2!AK25</f>
        <v>0</v>
      </c>
      <c r="G366" s="201">
        <f>研发设备工时计算表2!AJ25</f>
        <v>0</v>
      </c>
      <c r="H366" s="145">
        <f t="shared" si="227"/>
        <v>0</v>
      </c>
      <c r="I366" s="145"/>
      <c r="J366" s="145">
        <f t="shared" si="228"/>
        <v>0</v>
      </c>
      <c r="K366" s="145"/>
      <c r="L366" s="145">
        <f t="shared" si="229"/>
        <v>0</v>
      </c>
      <c r="M366" s="145"/>
      <c r="N366" s="145">
        <f t="shared" si="230"/>
        <v>0</v>
      </c>
      <c r="O366" s="145"/>
      <c r="P366" s="145">
        <f t="shared" si="231"/>
        <v>0</v>
      </c>
      <c r="Q366" s="145"/>
      <c r="R366" s="145">
        <f t="shared" si="232"/>
        <v>0</v>
      </c>
      <c r="S366" s="145"/>
      <c r="T366" s="145">
        <f t="shared" si="233"/>
        <v>0</v>
      </c>
      <c r="U366" s="145"/>
      <c r="V366" s="145">
        <f t="shared" si="234"/>
        <v>0</v>
      </c>
      <c r="W366" s="145"/>
      <c r="X366" s="145">
        <f t="shared" si="235"/>
        <v>0</v>
      </c>
      <c r="Y366" s="145"/>
      <c r="Z366" s="145">
        <f t="shared" si="236"/>
        <v>0</v>
      </c>
      <c r="AA366" s="145"/>
      <c r="AB366" s="145">
        <f t="shared" si="237"/>
        <v>0</v>
      </c>
      <c r="AC366" s="156"/>
      <c r="AD366" s="156">
        <f t="shared" si="226"/>
        <v>0</v>
      </c>
    </row>
    <row r="367" customHeight="1" spans="2:30">
      <c r="B367" s="193">
        <f>固定资产台账1!A25</f>
        <v>0</v>
      </c>
      <c r="C367" s="193"/>
      <c r="D367" s="193"/>
      <c r="E367" s="145">
        <f>固定资产台账1!C25</f>
        <v>0</v>
      </c>
      <c r="F367" s="145">
        <f>研发设备工时计算表2!AK26</f>
        <v>0</v>
      </c>
      <c r="G367" s="201">
        <f>研发设备工时计算表2!AJ26</f>
        <v>0</v>
      </c>
      <c r="H367" s="145">
        <f t="shared" si="227"/>
        <v>0</v>
      </c>
      <c r="I367" s="145"/>
      <c r="J367" s="145">
        <f t="shared" si="228"/>
        <v>0</v>
      </c>
      <c r="K367" s="145"/>
      <c r="L367" s="145">
        <f t="shared" si="229"/>
        <v>0</v>
      </c>
      <c r="M367" s="145"/>
      <c r="N367" s="145">
        <f t="shared" si="230"/>
        <v>0</v>
      </c>
      <c r="O367" s="145"/>
      <c r="P367" s="145">
        <f t="shared" si="231"/>
        <v>0</v>
      </c>
      <c r="Q367" s="145"/>
      <c r="R367" s="145">
        <f t="shared" si="232"/>
        <v>0</v>
      </c>
      <c r="S367" s="145"/>
      <c r="T367" s="145">
        <f t="shared" si="233"/>
        <v>0</v>
      </c>
      <c r="U367" s="145"/>
      <c r="V367" s="145">
        <f t="shared" si="234"/>
        <v>0</v>
      </c>
      <c r="W367" s="145"/>
      <c r="X367" s="145">
        <f t="shared" si="235"/>
        <v>0</v>
      </c>
      <c r="Y367" s="145"/>
      <c r="Z367" s="145">
        <f t="shared" si="236"/>
        <v>0</v>
      </c>
      <c r="AA367" s="145"/>
      <c r="AB367" s="145">
        <f t="shared" si="237"/>
        <v>0</v>
      </c>
      <c r="AD367" s="156">
        <f t="shared" si="226"/>
        <v>0</v>
      </c>
    </row>
    <row r="368" s="141" customFormat="1" customHeight="1" spans="2:30">
      <c r="B368" s="193">
        <f>固定资产台账1!A25</f>
        <v>0</v>
      </c>
      <c r="C368" s="193"/>
      <c r="D368" s="193"/>
      <c r="E368" s="145">
        <f>固定资产台账1!C25</f>
        <v>0</v>
      </c>
      <c r="F368" s="145">
        <f>研发设备工时计算表2!AK27</f>
        <v>0</v>
      </c>
      <c r="G368" s="201">
        <f>研发设备工时计算表2!AJ27</f>
        <v>0</v>
      </c>
      <c r="H368" s="145">
        <f t="shared" si="227"/>
        <v>0</v>
      </c>
      <c r="I368" s="145"/>
      <c r="J368" s="145">
        <f t="shared" si="228"/>
        <v>0</v>
      </c>
      <c r="K368" s="145"/>
      <c r="L368" s="145">
        <f t="shared" si="229"/>
        <v>0</v>
      </c>
      <c r="M368" s="145"/>
      <c r="N368" s="145">
        <f t="shared" si="230"/>
        <v>0</v>
      </c>
      <c r="O368" s="145"/>
      <c r="P368" s="145">
        <f t="shared" si="231"/>
        <v>0</v>
      </c>
      <c r="Q368" s="145"/>
      <c r="R368" s="145">
        <f t="shared" si="232"/>
        <v>0</v>
      </c>
      <c r="S368" s="145"/>
      <c r="T368" s="145">
        <f t="shared" si="233"/>
        <v>0</v>
      </c>
      <c r="U368" s="145"/>
      <c r="V368" s="145">
        <f t="shared" si="234"/>
        <v>0</v>
      </c>
      <c r="W368" s="145"/>
      <c r="X368" s="145">
        <f t="shared" si="235"/>
        <v>0</v>
      </c>
      <c r="Y368" s="145"/>
      <c r="Z368" s="145">
        <f t="shared" si="236"/>
        <v>0</v>
      </c>
      <c r="AA368" s="145"/>
      <c r="AB368" s="145">
        <f t="shared" si="237"/>
        <v>0</v>
      </c>
      <c r="AD368" s="156">
        <f t="shared" si="226"/>
        <v>0</v>
      </c>
    </row>
    <row r="369" s="141" customFormat="1" customHeight="1" spans="2:30">
      <c r="B369" s="193">
        <f>固定资产台账1!A26</f>
        <v>0</v>
      </c>
      <c r="C369" s="193"/>
      <c r="D369" s="193"/>
      <c r="E369" s="145">
        <f>固定资产台账1!C26</f>
        <v>0</v>
      </c>
      <c r="F369" s="145">
        <f>研发设备工时计算表2!AK28</f>
        <v>0</v>
      </c>
      <c r="G369" s="201">
        <f>研发设备工时计算表2!AJ28</f>
        <v>0</v>
      </c>
      <c r="H369" s="145">
        <f t="shared" si="227"/>
        <v>0</v>
      </c>
      <c r="I369" s="145"/>
      <c r="J369" s="145">
        <f t="shared" si="228"/>
        <v>0</v>
      </c>
      <c r="K369" s="145"/>
      <c r="L369" s="145">
        <f t="shared" si="229"/>
        <v>0</v>
      </c>
      <c r="M369" s="145"/>
      <c r="N369" s="145">
        <f t="shared" si="230"/>
        <v>0</v>
      </c>
      <c r="O369" s="145"/>
      <c r="P369" s="145">
        <f t="shared" si="231"/>
        <v>0</v>
      </c>
      <c r="Q369" s="145"/>
      <c r="R369" s="145">
        <f t="shared" si="232"/>
        <v>0</v>
      </c>
      <c r="S369" s="145"/>
      <c r="T369" s="145">
        <f t="shared" si="233"/>
        <v>0</v>
      </c>
      <c r="U369" s="145"/>
      <c r="V369" s="145">
        <f t="shared" si="234"/>
        <v>0</v>
      </c>
      <c r="W369" s="145"/>
      <c r="X369" s="145">
        <f t="shared" si="235"/>
        <v>0</v>
      </c>
      <c r="Y369" s="145"/>
      <c r="Z369" s="145">
        <f t="shared" si="236"/>
        <v>0</v>
      </c>
      <c r="AA369" s="145"/>
      <c r="AB369" s="145">
        <f t="shared" si="237"/>
        <v>0</v>
      </c>
      <c r="AD369" s="156">
        <f t="shared" si="226"/>
        <v>0</v>
      </c>
    </row>
    <row r="370" s="141" customFormat="1" customHeight="1" spans="2:30">
      <c r="B370" s="193">
        <f>固定资产台账1!A27</f>
        <v>0</v>
      </c>
      <c r="C370" s="193"/>
      <c r="D370" s="193"/>
      <c r="E370" s="145">
        <f>固定资产台账1!C27</f>
        <v>0</v>
      </c>
      <c r="F370" s="145">
        <f>研发设备工时计算表2!AK29</f>
        <v>0</v>
      </c>
      <c r="G370" s="201">
        <f>研发设备工时计算表2!AJ29</f>
        <v>0</v>
      </c>
      <c r="H370" s="145">
        <f t="shared" si="227"/>
        <v>0</v>
      </c>
      <c r="I370" s="145"/>
      <c r="J370" s="145">
        <f t="shared" si="228"/>
        <v>0</v>
      </c>
      <c r="K370" s="145"/>
      <c r="L370" s="145">
        <f t="shared" si="229"/>
        <v>0</v>
      </c>
      <c r="M370" s="145"/>
      <c r="N370" s="145">
        <f t="shared" si="230"/>
        <v>0</v>
      </c>
      <c r="O370" s="145"/>
      <c r="P370" s="145">
        <f t="shared" si="231"/>
        <v>0</v>
      </c>
      <c r="Q370" s="145"/>
      <c r="R370" s="145">
        <f t="shared" si="232"/>
        <v>0</v>
      </c>
      <c r="S370" s="145"/>
      <c r="T370" s="145">
        <f t="shared" si="233"/>
        <v>0</v>
      </c>
      <c r="U370" s="145"/>
      <c r="V370" s="145">
        <f t="shared" si="234"/>
        <v>0</v>
      </c>
      <c r="W370" s="145"/>
      <c r="X370" s="145">
        <f t="shared" si="235"/>
        <v>0</v>
      </c>
      <c r="Y370" s="145"/>
      <c r="Z370" s="145">
        <f t="shared" si="236"/>
        <v>0</v>
      </c>
      <c r="AA370" s="145"/>
      <c r="AB370" s="145">
        <f t="shared" si="237"/>
        <v>0</v>
      </c>
      <c r="AD370" s="156">
        <f t="shared" si="226"/>
        <v>0</v>
      </c>
    </row>
    <row r="371" customHeight="1" spans="2:30">
      <c r="B371" s="196" t="s">
        <v>255</v>
      </c>
      <c r="C371" s="197"/>
      <c r="D371" s="198"/>
      <c r="E371" s="199">
        <f t="shared" ref="E371:G371" si="238">SUM(E346:E370)</f>
        <v>0</v>
      </c>
      <c r="F371" s="188">
        <f t="shared" ref="F371:I371" si="239">SUM(F346:F370)</f>
        <v>0</v>
      </c>
      <c r="G371" s="188">
        <f t="shared" si="238"/>
        <v>0</v>
      </c>
      <c r="H371" s="188">
        <f t="shared" si="239"/>
        <v>0</v>
      </c>
      <c r="I371" s="188">
        <f t="shared" si="239"/>
        <v>0</v>
      </c>
      <c r="J371" s="188">
        <f t="shared" ref="J371:M371" si="240">SUM(J346:J370)</f>
        <v>0</v>
      </c>
      <c r="K371" s="188">
        <f t="shared" si="240"/>
        <v>0</v>
      </c>
      <c r="L371" s="188">
        <f t="shared" si="240"/>
        <v>0</v>
      </c>
      <c r="M371" s="188">
        <f t="shared" si="240"/>
        <v>0</v>
      </c>
      <c r="N371" s="188">
        <f t="shared" ref="N371:Q371" si="241">SUM(N346:N370)</f>
        <v>0</v>
      </c>
      <c r="O371" s="188">
        <f t="shared" si="241"/>
        <v>0</v>
      </c>
      <c r="P371" s="188">
        <f t="shared" si="241"/>
        <v>0</v>
      </c>
      <c r="Q371" s="188">
        <f t="shared" si="241"/>
        <v>0</v>
      </c>
      <c r="R371" s="188">
        <f t="shared" ref="R371:U371" si="242">SUM(R346:R370)</f>
        <v>0</v>
      </c>
      <c r="S371" s="188">
        <f t="shared" si="242"/>
        <v>0</v>
      </c>
      <c r="T371" s="188">
        <f t="shared" si="242"/>
        <v>0</v>
      </c>
      <c r="U371" s="188">
        <f t="shared" si="242"/>
        <v>0</v>
      </c>
      <c r="V371" s="188">
        <f t="shared" ref="V371:AB371" si="243">SUM(V346:V370)</f>
        <v>0</v>
      </c>
      <c r="W371" s="188">
        <f t="shared" si="243"/>
        <v>0</v>
      </c>
      <c r="X371" s="188">
        <f t="shared" si="243"/>
        <v>0</v>
      </c>
      <c r="Y371" s="188">
        <f t="shared" si="243"/>
        <v>0</v>
      </c>
      <c r="Z371" s="188">
        <f t="shared" si="243"/>
        <v>0</v>
      </c>
      <c r="AA371" s="188">
        <f t="shared" si="243"/>
        <v>0</v>
      </c>
      <c r="AB371" s="188">
        <f t="shared" si="243"/>
        <v>0</v>
      </c>
      <c r="AD371" s="156">
        <f t="shared" si="226"/>
        <v>0</v>
      </c>
    </row>
    <row r="372" s="151" customFormat="1" customHeight="1" spans="2:30">
      <c r="B372" s="202"/>
      <c r="C372" s="202"/>
      <c r="D372" s="202"/>
      <c r="E372" s="203"/>
      <c r="F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</row>
  </sheetData>
  <mergeCells count="504">
    <mergeCell ref="B2:AB2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3:AB33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4:AB64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5:AB95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6:AB126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7:AB157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8:AB188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9:AB219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50:AB250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81:AB281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2:AB312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3:AB343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E3:E4"/>
    <mergeCell ref="E34:E35"/>
    <mergeCell ref="E65:E66"/>
    <mergeCell ref="E96:E97"/>
    <mergeCell ref="E127:E128"/>
    <mergeCell ref="E158:E159"/>
    <mergeCell ref="E189:E190"/>
    <mergeCell ref="E220:E221"/>
    <mergeCell ref="E251:E252"/>
    <mergeCell ref="E282:E283"/>
    <mergeCell ref="E313:E314"/>
    <mergeCell ref="E344:E345"/>
    <mergeCell ref="F3:F4"/>
    <mergeCell ref="F34:F35"/>
    <mergeCell ref="F65:F66"/>
    <mergeCell ref="F96:F97"/>
    <mergeCell ref="F127:F128"/>
    <mergeCell ref="F158:F159"/>
    <mergeCell ref="F189:F190"/>
    <mergeCell ref="F220:F221"/>
    <mergeCell ref="F251:F252"/>
    <mergeCell ref="F282:F283"/>
    <mergeCell ref="F313:F314"/>
    <mergeCell ref="F344:F345"/>
    <mergeCell ref="G3:G4"/>
    <mergeCell ref="G34:G35"/>
    <mergeCell ref="G65:G66"/>
    <mergeCell ref="G96:G97"/>
    <mergeCell ref="G127:G128"/>
    <mergeCell ref="G158:G159"/>
    <mergeCell ref="G189:G190"/>
    <mergeCell ref="G220:G221"/>
    <mergeCell ref="G251:G252"/>
    <mergeCell ref="G282:G283"/>
    <mergeCell ref="G313:G314"/>
    <mergeCell ref="G344:G345"/>
    <mergeCell ref="H3:H4"/>
    <mergeCell ref="H34:H35"/>
    <mergeCell ref="H65:H66"/>
    <mergeCell ref="H96:H97"/>
    <mergeCell ref="H127:H128"/>
    <mergeCell ref="H158:H159"/>
    <mergeCell ref="H189:H190"/>
    <mergeCell ref="H220:H221"/>
    <mergeCell ref="H251:H252"/>
    <mergeCell ref="H282:H283"/>
    <mergeCell ref="H313:H314"/>
    <mergeCell ref="H344:H345"/>
    <mergeCell ref="B3:D4"/>
    <mergeCell ref="B34:D35"/>
    <mergeCell ref="B65:D66"/>
    <mergeCell ref="B96:D97"/>
    <mergeCell ref="B127:D128"/>
    <mergeCell ref="B158:D159"/>
    <mergeCell ref="B189:D190"/>
    <mergeCell ref="B220:D221"/>
    <mergeCell ref="B251:D252"/>
    <mergeCell ref="B282:D283"/>
    <mergeCell ref="B313:D314"/>
    <mergeCell ref="B344:D345"/>
  </mergeCells>
  <pageMargins left="0.354166666666667" right="0.354166666666667" top="0.75" bottom="0.75" header="0.3" footer="0.3"/>
  <pageSetup paperSize="9" scale="35" fitToHeight="0" orientation="landscape"/>
  <headerFooter/>
  <rowBreaks count="11" manualBreakCount="11">
    <brk id="31" max="28" man="1"/>
    <brk id="62" max="28" man="1"/>
    <brk id="93" max="28" man="1"/>
    <brk id="124" max="28" man="1"/>
    <brk id="155" max="28" man="1"/>
    <brk id="186" max="28" man="1"/>
    <brk id="217" max="28" man="1"/>
    <brk id="248" max="28" man="1"/>
    <brk id="279" max="28" man="1"/>
    <brk id="310" max="28" man="1"/>
    <brk id="341" max="28" man="1"/>
  </rowBreaks>
  <colBreaks count="1" manualBreakCount="1">
    <brk id="2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FAB5A"/>
    <pageSetUpPr fitToPage="1"/>
  </sheetPr>
  <dimension ref="A1:AJ370"/>
  <sheetViews>
    <sheetView showZeros="0" view="pageBreakPreview" zoomScaleNormal="100" workbookViewId="0">
      <selection activeCell="R21" sqref="R21"/>
    </sheetView>
  </sheetViews>
  <sheetFormatPr defaultColWidth="9" defaultRowHeight="15" customHeight="1"/>
  <cols>
    <col min="1" max="1" width="13.8796296296296" style="176" customWidth="1"/>
    <col min="2" max="31" width="5.62962962962963" style="176" customWidth="1"/>
    <col min="32" max="32" width="6.77777777777778" style="176" customWidth="1"/>
    <col min="33" max="33" width="9.25" style="176" customWidth="1"/>
    <col min="34" max="34" width="11.6296296296296" style="176" customWidth="1"/>
    <col min="35" max="16384" width="9" style="176"/>
  </cols>
  <sheetData>
    <row r="1" customHeight="1" spans="1:36">
      <c r="A1" s="177" t="s">
        <v>267</v>
      </c>
      <c r="B1" s="178"/>
      <c r="C1" s="178"/>
      <c r="D1" s="178"/>
      <c r="E1" s="178"/>
    </row>
    <row r="2" customHeight="1" spans="1:36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</row>
    <row r="3" customHeight="1" spans="1:36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</row>
    <row r="4" s="176" customFormat="1" customHeight="1" spans="1:36">
      <c r="A4" s="179" t="s">
        <v>269</v>
      </c>
      <c r="B4" s="165">
        <v>1</v>
      </c>
      <c r="C4" s="165">
        <v>2</v>
      </c>
      <c r="D4" s="165">
        <v>3</v>
      </c>
      <c r="E4" s="165">
        <v>4</v>
      </c>
      <c r="F4" s="165">
        <v>5</v>
      </c>
      <c r="G4" s="165">
        <v>6</v>
      </c>
      <c r="H4" s="165">
        <v>7</v>
      </c>
      <c r="I4" s="165">
        <v>8</v>
      </c>
      <c r="J4" s="165">
        <v>9</v>
      </c>
      <c r="K4" s="165">
        <v>10</v>
      </c>
      <c r="L4" s="165">
        <v>11</v>
      </c>
      <c r="M4" s="165">
        <v>12</v>
      </c>
      <c r="N4" s="165">
        <v>13</v>
      </c>
      <c r="O4" s="165">
        <v>14</v>
      </c>
      <c r="P4" s="165">
        <v>15</v>
      </c>
      <c r="Q4" s="165">
        <v>16</v>
      </c>
      <c r="R4" s="165">
        <v>17</v>
      </c>
      <c r="S4" s="165">
        <v>18</v>
      </c>
      <c r="T4" s="165">
        <v>19</v>
      </c>
      <c r="U4" s="165">
        <v>20</v>
      </c>
      <c r="V4" s="165">
        <v>21</v>
      </c>
      <c r="W4" s="165">
        <v>22</v>
      </c>
      <c r="X4" s="165">
        <v>23</v>
      </c>
      <c r="Y4" s="165">
        <v>25</v>
      </c>
      <c r="Z4" s="165">
        <v>25</v>
      </c>
      <c r="AA4" s="165">
        <v>26</v>
      </c>
      <c r="AB4" s="165">
        <v>27</v>
      </c>
      <c r="AC4" s="165">
        <v>28</v>
      </c>
      <c r="AD4" s="165">
        <v>29</v>
      </c>
      <c r="AE4" s="165">
        <v>30</v>
      </c>
      <c r="AF4" s="165">
        <v>31</v>
      </c>
      <c r="AG4" s="180"/>
      <c r="AH4" s="142"/>
    </row>
    <row r="5" customHeight="1" spans="1:36">
      <c r="A5" s="181">
        <f>固定资产台账1!A3</f>
        <v>0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3">
        <f>SUM(B5:AF5)</f>
        <v>0</v>
      </c>
      <c r="AH5" s="176">
        <f>AG5-研发设备工时计算表2!C5</f>
        <v>0</v>
      </c>
      <c r="AI5" s="176" t="e">
        <f>研发设备折旧表3!#REF!</f>
        <v>#REF!</v>
      </c>
      <c r="AJ5" s="176" t="e">
        <f>研发设备折旧表3!#REF!</f>
        <v>#REF!</v>
      </c>
    </row>
    <row r="6" customHeight="1" spans="1:36">
      <c r="A6" s="181">
        <f>固定资产台账1!A4</f>
        <v>0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3">
        <f t="shared" ref="AG6:AG20" si="0">SUM(B6:AF6)</f>
        <v>0</v>
      </c>
      <c r="AH6" s="176">
        <f>AG6-研发设备工时计算表2!C6</f>
        <v>0</v>
      </c>
      <c r="AI6" s="176" t="e">
        <f>研发设备折旧表3!#REF!</f>
        <v>#REF!</v>
      </c>
      <c r="AJ6" s="176" t="e">
        <f>研发设备折旧表3!#REF!</f>
        <v>#REF!</v>
      </c>
    </row>
    <row r="7" customHeight="1" spans="1:36">
      <c r="A7" s="181">
        <f>固定资产台账1!A5</f>
        <v>0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3">
        <f t="shared" si="0"/>
        <v>0</v>
      </c>
      <c r="AH7" s="176">
        <f>AG7-研发设备工时计算表2!C7</f>
        <v>0</v>
      </c>
      <c r="AI7" s="176" t="e">
        <f>研发设备折旧表3!#REF!</f>
        <v>#REF!</v>
      </c>
      <c r="AJ7" s="176" t="e">
        <f>研发设备折旧表3!#REF!</f>
        <v>#REF!</v>
      </c>
    </row>
    <row r="8" customHeight="1" spans="1:36">
      <c r="A8" s="181">
        <f>固定资产台账1!A6</f>
        <v>0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3">
        <f t="shared" si="0"/>
        <v>0</v>
      </c>
      <c r="AH8" s="176">
        <f>AG8-研发设备工时计算表2!C8</f>
        <v>0</v>
      </c>
      <c r="AI8" s="176" t="e">
        <f>研发设备折旧表3!#REF!</f>
        <v>#REF!</v>
      </c>
      <c r="AJ8" s="176" t="e">
        <f>研发设备折旧表3!#REF!</f>
        <v>#REF!</v>
      </c>
    </row>
    <row r="9" customHeight="1" spans="1:36">
      <c r="A9" s="181">
        <f>固定资产台账1!A7</f>
        <v>0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3">
        <f t="shared" si="0"/>
        <v>0</v>
      </c>
      <c r="AH9" s="176">
        <f>AG9-研发设备工时计算表2!C9</f>
        <v>0</v>
      </c>
      <c r="AI9" s="176" t="e">
        <f>研发设备折旧表3!#REF!</f>
        <v>#REF!</v>
      </c>
      <c r="AJ9" s="176" t="e">
        <f>研发设备折旧表3!#REF!</f>
        <v>#REF!</v>
      </c>
    </row>
    <row r="10" customHeight="1" spans="1:36">
      <c r="A10" s="181">
        <f>固定资产台账1!A8</f>
        <v>0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3">
        <f t="shared" si="0"/>
        <v>0</v>
      </c>
      <c r="AH10" s="176">
        <f>AG10-研发设备工时计算表2!C10</f>
        <v>0</v>
      </c>
      <c r="AI10" s="176" t="e">
        <f>研发设备折旧表3!#REF!</f>
        <v>#REF!</v>
      </c>
      <c r="AJ10" s="176" t="e">
        <f>研发设备折旧表3!#REF!</f>
        <v>#REF!</v>
      </c>
    </row>
    <row r="11" customHeight="1" spans="1:36">
      <c r="A11" s="181">
        <f>固定资产台账1!A9</f>
        <v>0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3">
        <f t="shared" si="0"/>
        <v>0</v>
      </c>
      <c r="AH11" s="176">
        <f>AG11-研发设备工时计算表2!C11</f>
        <v>0</v>
      </c>
      <c r="AI11" s="176" t="e">
        <f>研发设备折旧表3!#REF!</f>
        <v>#REF!</v>
      </c>
      <c r="AJ11" s="176" t="e">
        <f>研发设备折旧表3!#REF!</f>
        <v>#REF!</v>
      </c>
    </row>
    <row r="12" customHeight="1" spans="1:36">
      <c r="A12" s="181">
        <f>固定资产台账1!A10</f>
        <v>0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3">
        <f t="shared" si="0"/>
        <v>0</v>
      </c>
      <c r="AH12" s="176">
        <f>AG12-研发设备工时计算表2!C12</f>
        <v>0</v>
      </c>
      <c r="AI12" s="176" t="e">
        <f>研发设备折旧表3!#REF!</f>
        <v>#REF!</v>
      </c>
      <c r="AJ12" s="176" t="e">
        <f>研发设备折旧表3!#REF!</f>
        <v>#REF!</v>
      </c>
    </row>
    <row r="13" customHeight="1" spans="1:36">
      <c r="A13" s="181">
        <f>固定资产台账1!A11</f>
        <v>0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3">
        <f t="shared" si="0"/>
        <v>0</v>
      </c>
      <c r="AH13" s="176">
        <f>AG13-研发设备工时计算表2!C13</f>
        <v>0</v>
      </c>
      <c r="AI13" s="176" t="e">
        <f>研发设备折旧表3!#REF!</f>
        <v>#REF!</v>
      </c>
      <c r="AJ13" s="176" t="e">
        <f>研发设备折旧表3!#REF!</f>
        <v>#REF!</v>
      </c>
    </row>
    <row r="14" customHeight="1" spans="1:36">
      <c r="A14" s="181">
        <f>固定资产台账1!A12</f>
        <v>0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3">
        <f t="shared" si="0"/>
        <v>0</v>
      </c>
      <c r="AH14" s="176">
        <f>AG14-研发设备工时计算表2!C14</f>
        <v>0</v>
      </c>
      <c r="AI14" s="176" t="e">
        <f>研发设备折旧表3!#REF!</f>
        <v>#REF!</v>
      </c>
      <c r="AJ14" s="176" t="e">
        <f>研发设备折旧表3!#REF!</f>
        <v>#REF!</v>
      </c>
    </row>
    <row r="15" customHeight="1" spans="1:36">
      <c r="A15" s="181">
        <f>固定资产台账1!A13</f>
        <v>0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3">
        <f t="shared" si="0"/>
        <v>0</v>
      </c>
      <c r="AH15" s="176">
        <f>AG15-研发设备工时计算表2!C15</f>
        <v>0</v>
      </c>
    </row>
    <row r="16" customHeight="1" spans="1:36">
      <c r="A16" s="181">
        <f>固定资产台账1!A14</f>
        <v>0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3">
        <f t="shared" ref="AG16:AG29" si="1">SUM(B16:AF16)</f>
        <v>0</v>
      </c>
      <c r="AH16" s="176">
        <f>AG16-研发设备工时计算表2!C16</f>
        <v>0</v>
      </c>
    </row>
    <row r="17" customHeight="1" spans="1:34">
      <c r="A17" s="181">
        <f>固定资产台账1!A15</f>
        <v>0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3">
        <f t="shared" si="1"/>
        <v>0</v>
      </c>
      <c r="AH17" s="176">
        <f>AG17-研发设备工时计算表2!C17</f>
        <v>0</v>
      </c>
    </row>
    <row r="18" customHeight="1" spans="1:34">
      <c r="A18" s="181">
        <f>固定资产台账1!A16</f>
        <v>0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3">
        <f t="shared" si="1"/>
        <v>0</v>
      </c>
      <c r="AH18" s="176">
        <f>AG18-研发设备工时计算表2!C18</f>
        <v>0</v>
      </c>
    </row>
    <row r="19" customHeight="1" spans="1:34">
      <c r="A19" s="181">
        <f>固定资产台账1!A17</f>
        <v>0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3">
        <f t="shared" si="1"/>
        <v>0</v>
      </c>
      <c r="AH19" s="176">
        <f>AG19-研发设备工时计算表2!C19</f>
        <v>0</v>
      </c>
    </row>
    <row r="20" customHeight="1" spans="1:34">
      <c r="A20" s="181">
        <f>固定资产台账1!A18</f>
        <v>0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3">
        <f t="shared" si="1"/>
        <v>0</v>
      </c>
      <c r="AH20" s="176">
        <f>AG20-研发设备工时计算表2!C20</f>
        <v>0</v>
      </c>
    </row>
    <row r="21" customHeight="1" spans="1:34">
      <c r="A21" s="181">
        <f>固定资产台账1!A19</f>
        <v>0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3">
        <f t="shared" si="1"/>
        <v>0</v>
      </c>
      <c r="AH21" s="176">
        <f>AG21-研发设备工时计算表2!C21</f>
        <v>0</v>
      </c>
    </row>
    <row r="22" customHeight="1" spans="1:34">
      <c r="A22" s="181">
        <f>固定资产台账1!A20</f>
        <v>0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3">
        <f t="shared" si="1"/>
        <v>0</v>
      </c>
      <c r="AH22" s="176">
        <f>AG22-研发设备工时计算表2!C22</f>
        <v>0</v>
      </c>
    </row>
    <row r="23" customHeight="1" spans="1:34">
      <c r="A23" s="181">
        <f>固定资产台账1!A21</f>
        <v>0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3">
        <f>SUM(B24:AF24)</f>
        <v>0</v>
      </c>
      <c r="AH23" s="176">
        <f>AG24-研发设备工时计算表2!C23</f>
        <v>0</v>
      </c>
    </row>
    <row r="24" customHeight="1" spans="1:34">
      <c r="A24" s="181">
        <f>固定资产台账1!A22</f>
        <v>0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3">
        <f t="shared" si="1"/>
        <v>0</v>
      </c>
      <c r="AH24" s="176">
        <f>AG24-研发设备工时计算表2!C25</f>
        <v>0</v>
      </c>
    </row>
    <row r="25" customHeight="1" spans="1:34">
      <c r="A25" s="181">
        <f>固定资产台账1!A23</f>
        <v>0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3">
        <f t="shared" si="1"/>
        <v>0</v>
      </c>
      <c r="AH25" s="176">
        <f>AG25-研发设备工时计算表2!C25</f>
        <v>0</v>
      </c>
    </row>
    <row r="26" customHeight="1" spans="1:34">
      <c r="A26" s="181">
        <f>固定资产台账1!A25</f>
        <v>0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3">
        <f t="shared" si="1"/>
        <v>0</v>
      </c>
      <c r="AH26" s="176">
        <f>AG26-研发设备工时计算表2!C26</f>
        <v>0</v>
      </c>
    </row>
    <row r="27" customHeight="1" spans="1:34">
      <c r="A27" s="181">
        <f>固定资产台账1!A25</f>
        <v>0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3">
        <f t="shared" si="1"/>
        <v>0</v>
      </c>
      <c r="AH27" s="176">
        <f>AG27-研发设备工时计算表2!C27</f>
        <v>0</v>
      </c>
    </row>
    <row r="28" customHeight="1" spans="1:34">
      <c r="A28" s="181">
        <f>固定资产台账1!A26</f>
        <v>0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3">
        <f t="shared" si="1"/>
        <v>0</v>
      </c>
      <c r="AH28" s="176">
        <f>AG28-研发设备工时计算表2!C28</f>
        <v>0</v>
      </c>
    </row>
    <row r="29" customHeight="1" spans="1:34">
      <c r="A29" s="181">
        <f>固定资产台账1!A27</f>
        <v>0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3">
        <f t="shared" si="1"/>
        <v>0</v>
      </c>
      <c r="AH29" s="176">
        <f>AG29-研发设备工时计算表2!C29</f>
        <v>0</v>
      </c>
    </row>
    <row r="30" customHeight="1" spans="1:34">
      <c r="A30" s="181" t="s">
        <v>270</v>
      </c>
      <c r="B30" s="182">
        <f t="shared" ref="B30:AG30" si="2">SUM(B5:B29)</f>
        <v>0</v>
      </c>
      <c r="C30" s="182">
        <f t="shared" si="2"/>
        <v>0</v>
      </c>
      <c r="D30" s="182">
        <f t="shared" si="2"/>
        <v>0</v>
      </c>
      <c r="E30" s="182">
        <f t="shared" si="2"/>
        <v>0</v>
      </c>
      <c r="F30" s="182">
        <f t="shared" si="2"/>
        <v>0</v>
      </c>
      <c r="G30" s="182">
        <f t="shared" si="2"/>
        <v>0</v>
      </c>
      <c r="H30" s="182">
        <f t="shared" si="2"/>
        <v>0</v>
      </c>
      <c r="I30" s="182">
        <f t="shared" si="2"/>
        <v>0</v>
      </c>
      <c r="J30" s="182">
        <f t="shared" si="2"/>
        <v>0</v>
      </c>
      <c r="K30" s="182">
        <f t="shared" si="2"/>
        <v>0</v>
      </c>
      <c r="L30" s="182">
        <f t="shared" si="2"/>
        <v>0</v>
      </c>
      <c r="M30" s="182">
        <f t="shared" si="2"/>
        <v>0</v>
      </c>
      <c r="N30" s="182">
        <f t="shared" si="2"/>
        <v>0</v>
      </c>
      <c r="O30" s="182">
        <f t="shared" si="2"/>
        <v>0</v>
      </c>
      <c r="P30" s="182">
        <f t="shared" si="2"/>
        <v>0</v>
      </c>
      <c r="Q30" s="182">
        <f t="shared" si="2"/>
        <v>0</v>
      </c>
      <c r="R30" s="182">
        <f t="shared" si="2"/>
        <v>0</v>
      </c>
      <c r="S30" s="182">
        <f t="shared" si="2"/>
        <v>0</v>
      </c>
      <c r="T30" s="182">
        <f t="shared" si="2"/>
        <v>0</v>
      </c>
      <c r="U30" s="182">
        <f t="shared" si="2"/>
        <v>0</v>
      </c>
      <c r="V30" s="182">
        <f t="shared" si="2"/>
        <v>0</v>
      </c>
      <c r="W30" s="182">
        <f t="shared" si="2"/>
        <v>0</v>
      </c>
      <c r="X30" s="182">
        <f t="shared" si="2"/>
        <v>0</v>
      </c>
      <c r="Y30" s="182">
        <f t="shared" si="2"/>
        <v>0</v>
      </c>
      <c r="Z30" s="182">
        <f t="shared" si="2"/>
        <v>0</v>
      </c>
      <c r="AA30" s="182">
        <f t="shared" si="2"/>
        <v>0</v>
      </c>
      <c r="AB30" s="182">
        <f t="shared" si="2"/>
        <v>0</v>
      </c>
      <c r="AC30" s="182">
        <f t="shared" si="2"/>
        <v>0</v>
      </c>
      <c r="AD30" s="182">
        <f t="shared" si="2"/>
        <v>0</v>
      </c>
      <c r="AE30" s="182">
        <f t="shared" si="2"/>
        <v>0</v>
      </c>
      <c r="AF30" s="182">
        <f t="shared" si="2"/>
        <v>0</v>
      </c>
      <c r="AG30" s="182">
        <f t="shared" si="2"/>
        <v>0</v>
      </c>
    </row>
    <row r="31" customHeight="1" spans="1:34"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84"/>
    </row>
    <row r="32" customHeight="1" spans="1:34"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84"/>
    </row>
    <row r="33" customHeight="1" spans="1:36">
      <c r="A33" s="142" t="s">
        <v>271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</row>
    <row r="34" customHeight="1" spans="1:36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</row>
    <row r="35" customHeight="1" spans="1:36">
      <c r="A35" s="179" t="s">
        <v>269</v>
      </c>
      <c r="B35" s="165">
        <v>1</v>
      </c>
      <c r="C35" s="165">
        <v>2</v>
      </c>
      <c r="D35" s="165">
        <v>3</v>
      </c>
      <c r="E35" s="165">
        <v>4</v>
      </c>
      <c r="F35" s="165">
        <v>5</v>
      </c>
      <c r="G35" s="165">
        <v>6</v>
      </c>
      <c r="H35" s="165">
        <v>7</v>
      </c>
      <c r="I35" s="165">
        <v>8</v>
      </c>
      <c r="J35" s="165">
        <v>9</v>
      </c>
      <c r="K35" s="165">
        <v>10</v>
      </c>
      <c r="L35" s="165">
        <v>11</v>
      </c>
      <c r="M35" s="165">
        <v>12</v>
      </c>
      <c r="N35" s="165">
        <v>13</v>
      </c>
      <c r="O35" s="165">
        <v>14</v>
      </c>
      <c r="P35" s="165">
        <v>15</v>
      </c>
      <c r="Q35" s="165">
        <v>16</v>
      </c>
      <c r="R35" s="165">
        <v>17</v>
      </c>
      <c r="S35" s="165">
        <v>18</v>
      </c>
      <c r="T35" s="165">
        <v>19</v>
      </c>
      <c r="U35" s="165">
        <v>20</v>
      </c>
      <c r="V35" s="165">
        <v>21</v>
      </c>
      <c r="W35" s="165">
        <v>22</v>
      </c>
      <c r="X35" s="165">
        <v>23</v>
      </c>
      <c r="Y35" s="165">
        <v>25</v>
      </c>
      <c r="Z35" s="165">
        <v>25</v>
      </c>
      <c r="AA35" s="165">
        <v>26</v>
      </c>
      <c r="AB35" s="165">
        <v>27</v>
      </c>
      <c r="AC35" s="165">
        <v>28</v>
      </c>
      <c r="AD35" s="165"/>
      <c r="AE35" s="165"/>
      <c r="AF35" s="165"/>
      <c r="AG35" s="180"/>
    </row>
    <row r="36" customHeight="1" spans="1:36">
      <c r="A36" s="181">
        <f>固定资产台账1!A3</f>
        <v>0</v>
      </c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3">
        <f t="shared" ref="AG36:AG42" si="3">SUM(B36:AF36)</f>
        <v>0</v>
      </c>
      <c r="AH36" s="176">
        <f>AG36-研发设备工时计算表2!F5</f>
        <v>0</v>
      </c>
      <c r="AI36" s="176" t="e">
        <f>研发设备折旧表3!#REF!</f>
        <v>#REF!</v>
      </c>
      <c r="AJ36" s="176" t="e">
        <f>研发设备折旧表3!#REF!</f>
        <v>#REF!</v>
      </c>
    </row>
    <row r="37" customHeight="1" spans="1:36">
      <c r="A37" s="181">
        <f>固定资产台账1!A4</f>
        <v>0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3">
        <f t="shared" si="3"/>
        <v>0</v>
      </c>
      <c r="AH37" s="176">
        <f>AG37-研发设备工时计算表2!F6</f>
        <v>0</v>
      </c>
      <c r="AI37" s="176" t="e">
        <f>研发设备折旧表3!#REF!</f>
        <v>#REF!</v>
      </c>
      <c r="AJ37" s="176" t="e">
        <f>研发设备折旧表3!#REF!</f>
        <v>#REF!</v>
      </c>
    </row>
    <row r="38" customHeight="1" spans="1:36">
      <c r="A38" s="181">
        <f>固定资产台账1!A5</f>
        <v>0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3">
        <f t="shared" si="3"/>
        <v>0</v>
      </c>
      <c r="AH38" s="176">
        <f>AG38-研发设备工时计算表2!F7</f>
        <v>0</v>
      </c>
      <c r="AI38" s="176" t="e">
        <f>研发设备折旧表3!#REF!</f>
        <v>#REF!</v>
      </c>
      <c r="AJ38" s="176" t="e">
        <f>研发设备折旧表3!#REF!</f>
        <v>#REF!</v>
      </c>
    </row>
    <row r="39" customHeight="1" spans="1:36">
      <c r="A39" s="181">
        <f>固定资产台账1!A6</f>
        <v>0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3">
        <f t="shared" si="3"/>
        <v>0</v>
      </c>
      <c r="AH39" s="176">
        <f>AG39-研发设备工时计算表2!F8</f>
        <v>0</v>
      </c>
      <c r="AI39" s="176" t="e">
        <f>研发设备折旧表3!#REF!</f>
        <v>#REF!</v>
      </c>
      <c r="AJ39" s="176" t="e">
        <f>研发设备折旧表3!#REF!</f>
        <v>#REF!</v>
      </c>
    </row>
    <row r="40" customHeight="1" spans="1:36">
      <c r="A40" s="181">
        <f>固定资产台账1!A7</f>
        <v>0</v>
      </c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3">
        <f t="shared" si="3"/>
        <v>0</v>
      </c>
      <c r="AH40" s="176">
        <f>AG40-研发设备工时计算表2!F9</f>
        <v>0</v>
      </c>
      <c r="AI40" s="176" t="e">
        <f>研发设备折旧表3!#REF!</f>
        <v>#REF!</v>
      </c>
      <c r="AJ40" s="176" t="e">
        <f>研发设备折旧表3!#REF!</f>
        <v>#REF!</v>
      </c>
    </row>
    <row r="41" customHeight="1" spans="1:36">
      <c r="A41" s="181">
        <f>固定资产台账1!A8</f>
        <v>0</v>
      </c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3">
        <f t="shared" si="3"/>
        <v>0</v>
      </c>
      <c r="AH41" s="176">
        <f>AG41-研发设备工时计算表2!F10</f>
        <v>0</v>
      </c>
      <c r="AI41" s="176" t="e">
        <f>研发设备折旧表3!#REF!</f>
        <v>#REF!</v>
      </c>
      <c r="AJ41" s="176" t="e">
        <f>研发设备折旧表3!#REF!</f>
        <v>#REF!</v>
      </c>
    </row>
    <row r="42" customHeight="1" spans="1:36">
      <c r="A42" s="181">
        <f>固定资产台账1!A9</f>
        <v>0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3">
        <f t="shared" si="3"/>
        <v>0</v>
      </c>
      <c r="AH42" s="176">
        <f>AG42-研发设备工时计算表2!F11</f>
        <v>0</v>
      </c>
      <c r="AI42" s="176" t="e">
        <f>研发设备折旧表3!#REF!</f>
        <v>#REF!</v>
      </c>
      <c r="AJ42" s="176" t="e">
        <f>研发设备折旧表3!#REF!</f>
        <v>#REF!</v>
      </c>
    </row>
    <row r="43" customHeight="1" spans="1:36">
      <c r="A43" s="181">
        <f>固定资产台账1!A10</f>
        <v>0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3">
        <f t="shared" ref="AG43:AG60" si="4">SUM(B43:AF43)</f>
        <v>0</v>
      </c>
      <c r="AH43" s="176">
        <f>AG43-研发设备工时计算表2!F12</f>
        <v>0</v>
      </c>
      <c r="AI43" s="176" t="e">
        <f>研发设备折旧表3!#REF!</f>
        <v>#REF!</v>
      </c>
      <c r="AJ43" s="176" t="e">
        <f>研发设备折旧表3!#REF!</f>
        <v>#REF!</v>
      </c>
    </row>
    <row r="44" customHeight="1" spans="1:36">
      <c r="A44" s="181">
        <f>固定资产台账1!A11</f>
        <v>0</v>
      </c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3">
        <f t="shared" si="4"/>
        <v>0</v>
      </c>
      <c r="AH44" s="176">
        <f>AG44-研发设备工时计算表2!F13</f>
        <v>0</v>
      </c>
      <c r="AI44" s="176" t="e">
        <f>研发设备折旧表3!#REF!</f>
        <v>#REF!</v>
      </c>
      <c r="AJ44" s="176" t="e">
        <f>研发设备折旧表3!#REF!</f>
        <v>#REF!</v>
      </c>
    </row>
    <row r="45" customHeight="1" spans="1:36">
      <c r="A45" s="181">
        <f>固定资产台账1!A12</f>
        <v>0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3">
        <f t="shared" si="4"/>
        <v>0</v>
      </c>
      <c r="AH45" s="176">
        <f>AG45-研发设备工时计算表2!F14</f>
        <v>0</v>
      </c>
      <c r="AI45" s="176" t="e">
        <f>研发设备折旧表3!#REF!</f>
        <v>#REF!</v>
      </c>
      <c r="AJ45" s="176" t="e">
        <f>研发设备折旧表3!#REF!</f>
        <v>#REF!</v>
      </c>
    </row>
    <row r="46" customHeight="1" spans="1:36">
      <c r="A46" s="181">
        <f>固定资产台账1!A13</f>
        <v>0</v>
      </c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3">
        <f t="shared" si="4"/>
        <v>0</v>
      </c>
      <c r="AH46" s="176">
        <f>AG46-研发设备工时计算表2!F15</f>
        <v>0</v>
      </c>
    </row>
    <row r="47" customHeight="1" spans="1:36">
      <c r="A47" s="181">
        <f>固定资产台账1!A14</f>
        <v>0</v>
      </c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3">
        <f t="shared" si="4"/>
        <v>0</v>
      </c>
      <c r="AH47" s="176">
        <f>AG47-研发设备工时计算表2!F16</f>
        <v>0</v>
      </c>
    </row>
    <row r="48" customHeight="1" spans="1:36">
      <c r="A48" s="181">
        <f>固定资产台账1!A15</f>
        <v>0</v>
      </c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3">
        <f t="shared" si="4"/>
        <v>0</v>
      </c>
      <c r="AH48" s="176">
        <f>AG48-研发设备工时计算表2!F17</f>
        <v>0</v>
      </c>
    </row>
    <row r="49" customHeight="1" spans="1:34">
      <c r="A49" s="181">
        <f>固定资产台账1!A16</f>
        <v>0</v>
      </c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3">
        <f t="shared" si="4"/>
        <v>0</v>
      </c>
      <c r="AH49" s="176">
        <f>AG49-研发设备工时计算表2!F18</f>
        <v>0</v>
      </c>
    </row>
    <row r="50" customHeight="1" spans="1:34">
      <c r="A50" s="181">
        <f>固定资产台账1!A17</f>
        <v>0</v>
      </c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3">
        <f t="shared" si="4"/>
        <v>0</v>
      </c>
      <c r="AH50" s="176">
        <f>AG50-研发设备工时计算表2!F19</f>
        <v>0</v>
      </c>
    </row>
    <row r="51" customHeight="1" spans="1:34">
      <c r="A51" s="181">
        <f>固定资产台账1!A18</f>
        <v>0</v>
      </c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3">
        <f t="shared" si="4"/>
        <v>0</v>
      </c>
      <c r="AH51" s="176">
        <f>AG51-研发设备工时计算表2!F20</f>
        <v>0</v>
      </c>
    </row>
    <row r="52" customHeight="1" spans="1:34">
      <c r="A52" s="181">
        <f>固定资产台账1!A19</f>
        <v>0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3">
        <f t="shared" si="4"/>
        <v>0</v>
      </c>
      <c r="AH52" s="176">
        <f>AG52-研发设备工时计算表2!F21</f>
        <v>0</v>
      </c>
    </row>
    <row r="53" customHeight="1" spans="1:34">
      <c r="A53" s="181">
        <f>固定资产台账1!A20</f>
        <v>0</v>
      </c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3">
        <f t="shared" si="4"/>
        <v>0</v>
      </c>
      <c r="AH53" s="176">
        <f>AG53-研发设备工时计算表2!F22</f>
        <v>0</v>
      </c>
    </row>
    <row r="54" customHeight="1" spans="1:34">
      <c r="A54" s="181">
        <f>固定资产台账1!A21</f>
        <v>0</v>
      </c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3">
        <f t="shared" si="4"/>
        <v>0</v>
      </c>
      <c r="AH54" s="176">
        <f>AG54-研发设备工时计算表2!F23</f>
        <v>0</v>
      </c>
    </row>
    <row r="55" customHeight="1" spans="1:34">
      <c r="A55" s="181">
        <f>固定资产台账1!A22</f>
        <v>0</v>
      </c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3">
        <f t="shared" si="4"/>
        <v>0</v>
      </c>
      <c r="AH55" s="176">
        <f>AG55-研发设备工时计算表2!F25</f>
        <v>0</v>
      </c>
    </row>
    <row r="56" customHeight="1" spans="1:34">
      <c r="A56" s="181">
        <f>固定资产台账1!A23</f>
        <v>0</v>
      </c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3">
        <f t="shared" si="4"/>
        <v>0</v>
      </c>
      <c r="AH56" s="176">
        <f>AG56-研发设备工时计算表2!F25</f>
        <v>0</v>
      </c>
    </row>
    <row r="57" customHeight="1" spans="1:34">
      <c r="A57" s="181">
        <f>固定资产台账1!A25</f>
        <v>0</v>
      </c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3">
        <f t="shared" si="4"/>
        <v>0</v>
      </c>
      <c r="AH57" s="176">
        <f>AG57-研发设备工时计算表2!F26</f>
        <v>0</v>
      </c>
    </row>
    <row r="58" customHeight="1" spans="1:34">
      <c r="A58" s="181">
        <f>固定资产台账1!A25</f>
        <v>0</v>
      </c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3">
        <f t="shared" si="4"/>
        <v>0</v>
      </c>
      <c r="AH58" s="176">
        <f>AG58-研发设备工时计算表2!F27</f>
        <v>0</v>
      </c>
    </row>
    <row r="59" customHeight="1" spans="1:34">
      <c r="A59" s="181">
        <f>固定资产台账1!A26</f>
        <v>0</v>
      </c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3">
        <f t="shared" si="4"/>
        <v>0</v>
      </c>
      <c r="AH59" s="176">
        <f>AG59-研发设备工时计算表2!F28</f>
        <v>0</v>
      </c>
    </row>
    <row r="60" customHeight="1" spans="1:34">
      <c r="A60" s="181">
        <f>固定资产台账1!A27</f>
        <v>0</v>
      </c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3">
        <f t="shared" si="4"/>
        <v>0</v>
      </c>
      <c r="AH60" s="176">
        <f>AG60-研发设备工时计算表2!F29</f>
        <v>0</v>
      </c>
    </row>
    <row r="61" customHeight="1" spans="1:34">
      <c r="A61" s="181"/>
      <c r="B61" s="182">
        <f t="shared" ref="B61:AG61" si="5">SUM(B36:B60)</f>
        <v>0</v>
      </c>
      <c r="C61" s="182">
        <f t="shared" si="5"/>
        <v>0</v>
      </c>
      <c r="D61" s="182">
        <f t="shared" si="5"/>
        <v>0</v>
      </c>
      <c r="E61" s="182">
        <f t="shared" si="5"/>
        <v>0</v>
      </c>
      <c r="F61" s="182">
        <f t="shared" si="5"/>
        <v>0</v>
      </c>
      <c r="G61" s="182">
        <f t="shared" si="5"/>
        <v>0</v>
      </c>
      <c r="H61" s="182">
        <f t="shared" si="5"/>
        <v>0</v>
      </c>
      <c r="I61" s="182">
        <f t="shared" si="5"/>
        <v>0</v>
      </c>
      <c r="J61" s="182">
        <f t="shared" si="5"/>
        <v>0</v>
      </c>
      <c r="K61" s="182">
        <f t="shared" si="5"/>
        <v>0</v>
      </c>
      <c r="L61" s="182">
        <f t="shared" si="5"/>
        <v>0</v>
      </c>
      <c r="M61" s="182">
        <f t="shared" si="5"/>
        <v>0</v>
      </c>
      <c r="N61" s="182">
        <f t="shared" si="5"/>
        <v>0</v>
      </c>
      <c r="O61" s="182">
        <f t="shared" si="5"/>
        <v>0</v>
      </c>
      <c r="P61" s="182">
        <f t="shared" si="5"/>
        <v>0</v>
      </c>
      <c r="Q61" s="182">
        <f t="shared" si="5"/>
        <v>0</v>
      </c>
      <c r="R61" s="182">
        <f t="shared" si="5"/>
        <v>0</v>
      </c>
      <c r="S61" s="182">
        <f t="shared" si="5"/>
        <v>0</v>
      </c>
      <c r="T61" s="182">
        <f t="shared" si="5"/>
        <v>0</v>
      </c>
      <c r="U61" s="182">
        <f t="shared" si="5"/>
        <v>0</v>
      </c>
      <c r="V61" s="182">
        <f t="shared" si="5"/>
        <v>0</v>
      </c>
      <c r="W61" s="182">
        <f t="shared" si="5"/>
        <v>0</v>
      </c>
      <c r="X61" s="182">
        <f t="shared" si="5"/>
        <v>0</v>
      </c>
      <c r="Y61" s="182">
        <f t="shared" si="5"/>
        <v>0</v>
      </c>
      <c r="Z61" s="182">
        <f t="shared" si="5"/>
        <v>0</v>
      </c>
      <c r="AA61" s="182">
        <f t="shared" si="5"/>
        <v>0</v>
      </c>
      <c r="AB61" s="182">
        <f t="shared" si="5"/>
        <v>0</v>
      </c>
      <c r="AC61" s="182">
        <f t="shared" si="5"/>
        <v>0</v>
      </c>
      <c r="AD61" s="182">
        <f t="shared" si="5"/>
        <v>0</v>
      </c>
      <c r="AE61" s="182">
        <f t="shared" si="5"/>
        <v>0</v>
      </c>
      <c r="AF61" s="182">
        <f t="shared" si="5"/>
        <v>0</v>
      </c>
      <c r="AG61" s="182">
        <f t="shared" si="5"/>
        <v>0</v>
      </c>
    </row>
    <row r="63" customHeight="1" spans="1:34">
      <c r="A63" s="142" t="s">
        <v>272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</row>
    <row r="64" customHeight="1" spans="1:3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</row>
    <row r="65" s="176" customFormat="1" customHeight="1" spans="1:36">
      <c r="A65" s="179" t="s">
        <v>269</v>
      </c>
      <c r="B65" s="165">
        <v>1</v>
      </c>
      <c r="C65" s="165">
        <v>2</v>
      </c>
      <c r="D65" s="165">
        <v>3</v>
      </c>
      <c r="E65" s="165">
        <v>4</v>
      </c>
      <c r="F65" s="165">
        <v>5</v>
      </c>
      <c r="G65" s="165">
        <v>6</v>
      </c>
      <c r="H65" s="165">
        <v>7</v>
      </c>
      <c r="I65" s="165">
        <v>8</v>
      </c>
      <c r="J65" s="165">
        <v>9</v>
      </c>
      <c r="K65" s="165">
        <v>10</v>
      </c>
      <c r="L65" s="165">
        <v>11</v>
      </c>
      <c r="M65" s="165">
        <v>12</v>
      </c>
      <c r="N65" s="165">
        <v>13</v>
      </c>
      <c r="O65" s="165">
        <v>14</v>
      </c>
      <c r="P65" s="165">
        <v>15</v>
      </c>
      <c r="Q65" s="165">
        <v>16</v>
      </c>
      <c r="R65" s="165">
        <v>17</v>
      </c>
      <c r="S65" s="165">
        <v>18</v>
      </c>
      <c r="T65" s="165">
        <v>19</v>
      </c>
      <c r="U65" s="165">
        <v>20</v>
      </c>
      <c r="V65" s="165">
        <v>21</v>
      </c>
      <c r="W65" s="165">
        <v>22</v>
      </c>
      <c r="X65" s="165">
        <v>23</v>
      </c>
      <c r="Y65" s="165">
        <v>25</v>
      </c>
      <c r="Z65" s="165">
        <v>25</v>
      </c>
      <c r="AA65" s="165">
        <v>26</v>
      </c>
      <c r="AB65" s="165">
        <v>27</v>
      </c>
      <c r="AC65" s="165">
        <v>28</v>
      </c>
      <c r="AD65" s="165">
        <v>29</v>
      </c>
      <c r="AE65" s="165">
        <v>30</v>
      </c>
      <c r="AF65" s="165">
        <v>31</v>
      </c>
      <c r="AG65" s="180"/>
    </row>
    <row r="66" s="176" customFormat="1" customHeight="1" spans="1:36">
      <c r="A66" s="181">
        <f>固定资产台账1!A3</f>
        <v>0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3">
        <f t="shared" ref="AG66:AG81" si="6">SUM(B66:AF66)</f>
        <v>0</v>
      </c>
      <c r="AH66" s="176">
        <f>AG66-研发设备工时计算表2!I5</f>
        <v>0</v>
      </c>
      <c r="AI66" s="176" t="e">
        <f>研发设备折旧表3!#REF!</f>
        <v>#REF!</v>
      </c>
      <c r="AJ66" s="176" t="e">
        <f>研发设备折旧表3!#REF!</f>
        <v>#REF!</v>
      </c>
    </row>
    <row r="67" s="176" customFormat="1" customHeight="1" spans="1:36">
      <c r="A67" s="181">
        <f>固定资产台账1!A4</f>
        <v>0</v>
      </c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3">
        <f t="shared" si="6"/>
        <v>0</v>
      </c>
      <c r="AH67" s="176">
        <f>AG67-研发设备工时计算表2!I6</f>
        <v>0</v>
      </c>
      <c r="AI67" s="176" t="e">
        <f>研发设备折旧表3!#REF!</f>
        <v>#REF!</v>
      </c>
      <c r="AJ67" s="176" t="e">
        <f>研发设备折旧表3!#REF!</f>
        <v>#REF!</v>
      </c>
    </row>
    <row r="68" s="176" customFormat="1" customHeight="1" spans="1:36">
      <c r="A68" s="181">
        <f>固定资产台账1!A5</f>
        <v>0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3">
        <f t="shared" si="6"/>
        <v>0</v>
      </c>
      <c r="AH68" s="176">
        <f>AG68-研发设备工时计算表2!I7</f>
        <v>0</v>
      </c>
      <c r="AI68" s="176" t="e">
        <f>研发设备折旧表3!#REF!</f>
        <v>#REF!</v>
      </c>
      <c r="AJ68" s="176" t="e">
        <f>研发设备折旧表3!#REF!</f>
        <v>#REF!</v>
      </c>
    </row>
    <row r="69" s="176" customFormat="1" customHeight="1" spans="1:36">
      <c r="A69" s="181">
        <f>固定资产台账1!A6</f>
        <v>0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3">
        <f t="shared" si="6"/>
        <v>0</v>
      </c>
      <c r="AH69" s="176">
        <f>AG69-研发设备工时计算表2!I8</f>
        <v>0</v>
      </c>
      <c r="AI69" s="176" t="e">
        <f>研发设备折旧表3!#REF!</f>
        <v>#REF!</v>
      </c>
      <c r="AJ69" s="176" t="e">
        <f>研发设备折旧表3!#REF!</f>
        <v>#REF!</v>
      </c>
    </row>
    <row r="70" s="176" customFormat="1" customHeight="1" spans="1:36">
      <c r="A70" s="181">
        <f>固定资产台账1!A7</f>
        <v>0</v>
      </c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3">
        <f t="shared" si="6"/>
        <v>0</v>
      </c>
      <c r="AH70" s="176">
        <f>AG70-研发设备工时计算表2!I9</f>
        <v>0</v>
      </c>
      <c r="AI70" s="176" t="e">
        <f>研发设备折旧表3!#REF!</f>
        <v>#REF!</v>
      </c>
      <c r="AJ70" s="176" t="e">
        <f>研发设备折旧表3!#REF!</f>
        <v>#REF!</v>
      </c>
    </row>
    <row r="71" s="176" customFormat="1" customHeight="1" spans="1:36">
      <c r="A71" s="181">
        <f>固定资产台账1!A8</f>
        <v>0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3">
        <f t="shared" si="6"/>
        <v>0</v>
      </c>
      <c r="AH71" s="176">
        <f>AG71-研发设备工时计算表2!I10</f>
        <v>0</v>
      </c>
      <c r="AI71" s="176" t="e">
        <f>研发设备折旧表3!#REF!</f>
        <v>#REF!</v>
      </c>
      <c r="AJ71" s="176" t="e">
        <f>研发设备折旧表3!#REF!</f>
        <v>#REF!</v>
      </c>
    </row>
    <row r="72" s="176" customFormat="1" customHeight="1" spans="1:36">
      <c r="A72" s="181">
        <f>固定资产台账1!A9</f>
        <v>0</v>
      </c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3">
        <f t="shared" si="6"/>
        <v>0</v>
      </c>
      <c r="AH72" s="176">
        <f>AG72-研发设备工时计算表2!I11</f>
        <v>0</v>
      </c>
      <c r="AI72" s="176" t="e">
        <f>研发设备折旧表3!#REF!</f>
        <v>#REF!</v>
      </c>
      <c r="AJ72" s="176" t="e">
        <f>研发设备折旧表3!#REF!</f>
        <v>#REF!</v>
      </c>
    </row>
    <row r="73" s="176" customFormat="1" customHeight="1" spans="1:36">
      <c r="A73" s="181">
        <f>固定资产台账1!A10</f>
        <v>0</v>
      </c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3">
        <f t="shared" si="6"/>
        <v>0</v>
      </c>
      <c r="AH73" s="176">
        <f>AG73-研发设备工时计算表2!I12</f>
        <v>0</v>
      </c>
      <c r="AI73" s="176" t="e">
        <f>研发设备折旧表3!#REF!</f>
        <v>#REF!</v>
      </c>
      <c r="AJ73" s="176" t="e">
        <f>研发设备折旧表3!#REF!</f>
        <v>#REF!</v>
      </c>
    </row>
    <row r="74" s="176" customFormat="1" customHeight="1" spans="1:36">
      <c r="A74" s="181">
        <f>固定资产台账1!A11</f>
        <v>0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3">
        <f t="shared" si="6"/>
        <v>0</v>
      </c>
      <c r="AH74" s="176">
        <f>AG74-研发设备工时计算表2!I13</f>
        <v>0</v>
      </c>
      <c r="AI74" s="176" t="e">
        <f>研发设备折旧表3!#REF!</f>
        <v>#REF!</v>
      </c>
      <c r="AJ74" s="176" t="e">
        <f>研发设备折旧表3!#REF!</f>
        <v>#REF!</v>
      </c>
    </row>
    <row r="75" s="176" customFormat="1" customHeight="1" spans="1:36">
      <c r="A75" s="181">
        <f>固定资产台账1!A12</f>
        <v>0</v>
      </c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3">
        <f t="shared" si="6"/>
        <v>0</v>
      </c>
      <c r="AH75" s="176">
        <f>AG75-研发设备工时计算表2!I14</f>
        <v>0</v>
      </c>
      <c r="AI75" s="176" t="e">
        <f>研发设备折旧表3!#REF!</f>
        <v>#REF!</v>
      </c>
      <c r="AJ75" s="176" t="e">
        <f>研发设备折旧表3!#REF!</f>
        <v>#REF!</v>
      </c>
    </row>
    <row r="76" s="176" customFormat="1" customHeight="1" spans="1:36">
      <c r="A76" s="181">
        <f>固定资产台账1!A13</f>
        <v>0</v>
      </c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3">
        <f t="shared" si="6"/>
        <v>0</v>
      </c>
      <c r="AH76" s="176">
        <f>AG76-研发设备工时计算表2!I15</f>
        <v>0</v>
      </c>
    </row>
    <row r="77" s="176" customFormat="1" customHeight="1" spans="1:36">
      <c r="A77" s="181">
        <f>固定资产台账1!A14</f>
        <v>0</v>
      </c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3">
        <f t="shared" si="6"/>
        <v>0</v>
      </c>
      <c r="AH77" s="176">
        <f>AG77-研发设备工时计算表2!I16</f>
        <v>0</v>
      </c>
    </row>
    <row r="78" s="176" customFormat="1" customHeight="1" spans="1:36">
      <c r="A78" s="181">
        <f>固定资产台账1!A15</f>
        <v>0</v>
      </c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3">
        <f t="shared" si="6"/>
        <v>0</v>
      </c>
      <c r="AH78" s="176">
        <f>AG78-研发设备工时计算表2!I17</f>
        <v>0</v>
      </c>
    </row>
    <row r="79" s="176" customFormat="1" customHeight="1" spans="1:36">
      <c r="A79" s="181">
        <f>固定资产台账1!A16</f>
        <v>0</v>
      </c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3">
        <f t="shared" si="6"/>
        <v>0</v>
      </c>
      <c r="AH79" s="176">
        <f>AG79-研发设备工时计算表2!I18</f>
        <v>0</v>
      </c>
    </row>
    <row r="80" s="176" customFormat="1" customHeight="1" spans="1:36">
      <c r="A80" s="181">
        <f>固定资产台账1!A17</f>
        <v>0</v>
      </c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3">
        <f t="shared" ref="AG80:AG90" si="7">SUM(B80:AF80)</f>
        <v>0</v>
      </c>
      <c r="AH80" s="176">
        <f>AG80-研发设备工时计算表2!I19</f>
        <v>0</v>
      </c>
    </row>
    <row r="81" s="176" customFormat="1" customHeight="1" spans="1:34">
      <c r="A81" s="181">
        <f>固定资产台账1!A18</f>
        <v>0</v>
      </c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3">
        <f t="shared" si="7"/>
        <v>0</v>
      </c>
      <c r="AH81" s="176">
        <f>AG81-研发设备工时计算表2!I20</f>
        <v>0</v>
      </c>
    </row>
    <row r="82" s="176" customFormat="1" customHeight="1" spans="1:34">
      <c r="A82" s="181">
        <f>固定资产台账1!A19</f>
        <v>0</v>
      </c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3">
        <f t="shared" si="7"/>
        <v>0</v>
      </c>
      <c r="AH82" s="176">
        <f>AG82-研发设备工时计算表2!I21</f>
        <v>0</v>
      </c>
    </row>
    <row r="83" s="176" customFormat="1" customHeight="1" spans="1:34">
      <c r="A83" s="181">
        <f>固定资产台账1!A20</f>
        <v>0</v>
      </c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3">
        <f t="shared" si="7"/>
        <v>0</v>
      </c>
      <c r="AH83" s="176">
        <f>AG83-研发设备工时计算表2!I22</f>
        <v>0</v>
      </c>
    </row>
    <row r="84" s="176" customFormat="1" customHeight="1" spans="1:34">
      <c r="A84" s="181">
        <f>固定资产台账1!A21</f>
        <v>0</v>
      </c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3">
        <f t="shared" si="7"/>
        <v>0</v>
      </c>
      <c r="AH84" s="176">
        <f>AG84-研发设备工时计算表2!I23</f>
        <v>0</v>
      </c>
    </row>
    <row r="85" s="176" customFormat="1" customHeight="1" spans="1:34">
      <c r="A85" s="181">
        <f>固定资产台账1!A22</f>
        <v>0</v>
      </c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3">
        <f t="shared" si="7"/>
        <v>0</v>
      </c>
      <c r="AH85" s="176">
        <f>AG85-研发设备工时计算表2!I25</f>
        <v>0</v>
      </c>
    </row>
    <row r="86" s="176" customFormat="1" customHeight="1" spans="1:34">
      <c r="A86" s="181">
        <f>固定资产台账1!A23</f>
        <v>0</v>
      </c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3">
        <f t="shared" si="7"/>
        <v>0</v>
      </c>
      <c r="AH86" s="176">
        <f>AG86-研发设备工时计算表2!I25</f>
        <v>0</v>
      </c>
    </row>
    <row r="87" s="176" customFormat="1" customHeight="1" spans="1:34">
      <c r="A87" s="181">
        <f>固定资产台账1!A25</f>
        <v>0</v>
      </c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3">
        <f t="shared" si="7"/>
        <v>0</v>
      </c>
      <c r="AH87" s="176">
        <f>AG87-研发设备工时计算表2!I26</f>
        <v>0</v>
      </c>
    </row>
    <row r="88" s="176" customFormat="1" customHeight="1" spans="1:34">
      <c r="A88" s="181">
        <f>固定资产台账1!A25</f>
        <v>0</v>
      </c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3">
        <f t="shared" si="7"/>
        <v>0</v>
      </c>
      <c r="AH88" s="176">
        <f>AG88-研发设备工时计算表2!I27</f>
        <v>0</v>
      </c>
    </row>
    <row r="89" s="176" customFormat="1" customHeight="1" spans="1:34">
      <c r="A89" s="181">
        <f>固定资产台账1!A26</f>
        <v>0</v>
      </c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3">
        <f t="shared" si="7"/>
        <v>0</v>
      </c>
      <c r="AH89" s="176">
        <f>AG89-研发设备工时计算表2!I28</f>
        <v>0</v>
      </c>
    </row>
    <row r="90" s="176" customFormat="1" customHeight="1" spans="1:34">
      <c r="A90" s="181">
        <f>固定资产台账1!A27</f>
        <v>0</v>
      </c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3">
        <f t="shared" si="7"/>
        <v>0</v>
      </c>
      <c r="AH90" s="176">
        <f>AG90-研发设备工时计算表2!I29</f>
        <v>0</v>
      </c>
    </row>
    <row r="91" s="176" customFormat="1" customHeight="1" spans="1:34">
      <c r="A91" s="181" t="s">
        <v>270</v>
      </c>
      <c r="B91" s="182">
        <f t="shared" ref="B91:AG91" si="8">SUM(B66:B90)</f>
        <v>0</v>
      </c>
      <c r="C91" s="182">
        <f t="shared" si="8"/>
        <v>0</v>
      </c>
      <c r="D91" s="182">
        <f t="shared" si="8"/>
        <v>0</v>
      </c>
      <c r="E91" s="182">
        <f t="shared" si="8"/>
        <v>0</v>
      </c>
      <c r="F91" s="182">
        <f t="shared" si="8"/>
        <v>0</v>
      </c>
      <c r="G91" s="182">
        <f t="shared" si="8"/>
        <v>0</v>
      </c>
      <c r="H91" s="182">
        <f t="shared" si="8"/>
        <v>0</v>
      </c>
      <c r="I91" s="182">
        <f t="shared" si="8"/>
        <v>0</v>
      </c>
      <c r="J91" s="182">
        <f t="shared" si="8"/>
        <v>0</v>
      </c>
      <c r="K91" s="182">
        <f t="shared" si="8"/>
        <v>0</v>
      </c>
      <c r="L91" s="182">
        <f t="shared" si="8"/>
        <v>0</v>
      </c>
      <c r="M91" s="182">
        <f t="shared" si="8"/>
        <v>0</v>
      </c>
      <c r="N91" s="182">
        <f t="shared" si="8"/>
        <v>0</v>
      </c>
      <c r="O91" s="182">
        <f t="shared" si="8"/>
        <v>0</v>
      </c>
      <c r="P91" s="182">
        <f t="shared" si="8"/>
        <v>0</v>
      </c>
      <c r="Q91" s="182">
        <f t="shared" si="8"/>
        <v>0</v>
      </c>
      <c r="R91" s="182">
        <f t="shared" si="8"/>
        <v>0</v>
      </c>
      <c r="S91" s="182">
        <f t="shared" si="8"/>
        <v>0</v>
      </c>
      <c r="T91" s="182">
        <f t="shared" si="8"/>
        <v>0</v>
      </c>
      <c r="U91" s="182">
        <f t="shared" si="8"/>
        <v>0</v>
      </c>
      <c r="V91" s="182">
        <f t="shared" si="8"/>
        <v>0</v>
      </c>
      <c r="W91" s="182">
        <f t="shared" si="8"/>
        <v>0</v>
      </c>
      <c r="X91" s="182">
        <f t="shared" si="8"/>
        <v>0</v>
      </c>
      <c r="Y91" s="182">
        <f t="shared" si="8"/>
        <v>0</v>
      </c>
      <c r="Z91" s="182">
        <f t="shared" si="8"/>
        <v>0</v>
      </c>
      <c r="AA91" s="182">
        <f t="shared" si="8"/>
        <v>0</v>
      </c>
      <c r="AB91" s="182">
        <f t="shared" si="8"/>
        <v>0</v>
      </c>
      <c r="AC91" s="182">
        <f t="shared" si="8"/>
        <v>0</v>
      </c>
      <c r="AD91" s="182">
        <f t="shared" si="8"/>
        <v>0</v>
      </c>
      <c r="AE91" s="182">
        <f t="shared" si="8"/>
        <v>0</v>
      </c>
      <c r="AF91" s="182">
        <f t="shared" si="8"/>
        <v>0</v>
      </c>
      <c r="AG91" s="182">
        <f t="shared" si="8"/>
        <v>0</v>
      </c>
    </row>
    <row r="94" s="176" customFormat="1" customHeight="1" spans="1:34">
      <c r="A94" s="142" t="s">
        <v>273</v>
      </c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</row>
    <row r="95" s="176" customFormat="1" customHeight="1" spans="1:34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</row>
    <row r="96" s="176" customFormat="1" customHeight="1" spans="1:34">
      <c r="A96" s="179" t="s">
        <v>269</v>
      </c>
      <c r="B96" s="165">
        <v>1</v>
      </c>
      <c r="C96" s="165">
        <v>2</v>
      </c>
      <c r="D96" s="165">
        <v>3</v>
      </c>
      <c r="E96" s="165">
        <v>4</v>
      </c>
      <c r="F96" s="165">
        <v>5</v>
      </c>
      <c r="G96" s="165">
        <v>6</v>
      </c>
      <c r="H96" s="165">
        <v>7</v>
      </c>
      <c r="I96" s="165">
        <v>8</v>
      </c>
      <c r="J96" s="165">
        <v>9</v>
      </c>
      <c r="K96" s="165">
        <v>10</v>
      </c>
      <c r="L96" s="165">
        <v>11</v>
      </c>
      <c r="M96" s="165">
        <v>12</v>
      </c>
      <c r="N96" s="165">
        <v>13</v>
      </c>
      <c r="O96" s="165">
        <v>14</v>
      </c>
      <c r="P96" s="165">
        <v>15</v>
      </c>
      <c r="Q96" s="165">
        <v>16</v>
      </c>
      <c r="R96" s="165">
        <v>17</v>
      </c>
      <c r="S96" s="165">
        <v>18</v>
      </c>
      <c r="T96" s="165">
        <v>19</v>
      </c>
      <c r="U96" s="165">
        <v>20</v>
      </c>
      <c r="V96" s="165">
        <v>21</v>
      </c>
      <c r="W96" s="165">
        <v>22</v>
      </c>
      <c r="X96" s="165">
        <v>23</v>
      </c>
      <c r="Y96" s="165">
        <v>25</v>
      </c>
      <c r="Z96" s="165">
        <v>25</v>
      </c>
      <c r="AA96" s="165">
        <v>26</v>
      </c>
      <c r="AB96" s="165">
        <v>27</v>
      </c>
      <c r="AC96" s="165">
        <v>28</v>
      </c>
      <c r="AD96" s="165">
        <v>29</v>
      </c>
      <c r="AE96" s="165">
        <v>30</v>
      </c>
      <c r="AF96" s="165"/>
      <c r="AG96" s="180"/>
    </row>
    <row r="97" s="176" customFormat="1" customHeight="1" spans="1:36">
      <c r="A97" s="181">
        <f>固定资产台账1!A3</f>
        <v>0</v>
      </c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3">
        <f t="shared" ref="AG97:AG112" si="9">SUM(B97:AF97)</f>
        <v>0</v>
      </c>
      <c r="AH97" s="176">
        <f>AG97-研发设备工时计算表2!L5</f>
        <v>0</v>
      </c>
      <c r="AI97" s="176" t="e">
        <f>研发设备折旧表3!#REF!</f>
        <v>#REF!</v>
      </c>
      <c r="AJ97" s="176" t="e">
        <f>研发设备折旧表3!#REF!</f>
        <v>#REF!</v>
      </c>
    </row>
    <row r="98" s="176" customFormat="1" customHeight="1" spans="1:36">
      <c r="A98" s="181">
        <f>固定资产台账1!A4</f>
        <v>0</v>
      </c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3">
        <f t="shared" si="9"/>
        <v>0</v>
      </c>
      <c r="AH98" s="176">
        <f>AG98-研发设备工时计算表2!L6</f>
        <v>0</v>
      </c>
      <c r="AI98" s="176" t="e">
        <f>研发设备折旧表3!#REF!</f>
        <v>#REF!</v>
      </c>
      <c r="AJ98" s="176" t="e">
        <f>研发设备折旧表3!#REF!</f>
        <v>#REF!</v>
      </c>
    </row>
    <row r="99" s="176" customFormat="1" customHeight="1" spans="1:36">
      <c r="A99" s="181">
        <f>固定资产台账1!A5</f>
        <v>0</v>
      </c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3">
        <f t="shared" si="9"/>
        <v>0</v>
      </c>
      <c r="AH99" s="176">
        <f>AG99-研发设备工时计算表2!L7</f>
        <v>0</v>
      </c>
      <c r="AI99" s="176" t="e">
        <f>研发设备折旧表3!#REF!</f>
        <v>#REF!</v>
      </c>
      <c r="AJ99" s="176" t="e">
        <f>研发设备折旧表3!#REF!</f>
        <v>#REF!</v>
      </c>
    </row>
    <row r="100" s="176" customFormat="1" customHeight="1" spans="1:36">
      <c r="A100" s="181">
        <f>固定资产台账1!A6</f>
        <v>0</v>
      </c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3">
        <f t="shared" si="9"/>
        <v>0</v>
      </c>
      <c r="AH100" s="176">
        <f>AG100-研发设备工时计算表2!L8</f>
        <v>0</v>
      </c>
      <c r="AI100" s="176" t="e">
        <f>研发设备折旧表3!#REF!</f>
        <v>#REF!</v>
      </c>
      <c r="AJ100" s="176" t="e">
        <f>研发设备折旧表3!#REF!</f>
        <v>#REF!</v>
      </c>
    </row>
    <row r="101" s="176" customFormat="1" customHeight="1" spans="1:36">
      <c r="A101" s="181">
        <f>固定资产台账1!A7</f>
        <v>0</v>
      </c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3">
        <f t="shared" si="9"/>
        <v>0</v>
      </c>
      <c r="AH101" s="176">
        <f>AG101-研发设备工时计算表2!L9</f>
        <v>0</v>
      </c>
      <c r="AI101" s="176" t="e">
        <f>研发设备折旧表3!#REF!</f>
        <v>#REF!</v>
      </c>
      <c r="AJ101" s="176" t="e">
        <f>研发设备折旧表3!#REF!</f>
        <v>#REF!</v>
      </c>
    </row>
    <row r="102" s="176" customFormat="1" customHeight="1" spans="1:36">
      <c r="A102" s="181">
        <f>固定资产台账1!A8</f>
        <v>0</v>
      </c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3">
        <f t="shared" si="9"/>
        <v>0</v>
      </c>
      <c r="AH102" s="176">
        <f>AG102-研发设备工时计算表2!L10</f>
        <v>0</v>
      </c>
      <c r="AI102" s="176" t="e">
        <f>研发设备折旧表3!#REF!</f>
        <v>#REF!</v>
      </c>
      <c r="AJ102" s="176" t="e">
        <f>研发设备折旧表3!#REF!</f>
        <v>#REF!</v>
      </c>
    </row>
    <row r="103" s="176" customFormat="1" customHeight="1" spans="1:36">
      <c r="A103" s="181">
        <f>固定资产台账1!A9</f>
        <v>0</v>
      </c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3">
        <f t="shared" si="9"/>
        <v>0</v>
      </c>
      <c r="AH103" s="176">
        <f>AG103-研发设备工时计算表2!L11</f>
        <v>0</v>
      </c>
      <c r="AI103" s="176" t="e">
        <f>研发设备折旧表3!#REF!</f>
        <v>#REF!</v>
      </c>
      <c r="AJ103" s="176" t="e">
        <f>研发设备折旧表3!#REF!</f>
        <v>#REF!</v>
      </c>
    </row>
    <row r="104" s="176" customFormat="1" customHeight="1" spans="1:36">
      <c r="A104" s="181">
        <f>固定资产台账1!A10</f>
        <v>0</v>
      </c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3">
        <f t="shared" si="9"/>
        <v>0</v>
      </c>
      <c r="AH104" s="176">
        <f>AG104-研发设备工时计算表2!L12</f>
        <v>0</v>
      </c>
      <c r="AI104" s="176" t="e">
        <f>研发设备折旧表3!#REF!</f>
        <v>#REF!</v>
      </c>
      <c r="AJ104" s="176" t="e">
        <f>研发设备折旧表3!#REF!</f>
        <v>#REF!</v>
      </c>
    </row>
    <row r="105" s="176" customFormat="1" customHeight="1" spans="1:36">
      <c r="A105" s="181">
        <f>固定资产台账1!A11</f>
        <v>0</v>
      </c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3">
        <f t="shared" si="9"/>
        <v>0</v>
      </c>
      <c r="AH105" s="176">
        <f>AG105-研发设备工时计算表2!L13</f>
        <v>0</v>
      </c>
      <c r="AI105" s="176" t="e">
        <f>研发设备折旧表3!#REF!</f>
        <v>#REF!</v>
      </c>
      <c r="AJ105" s="176" t="e">
        <f>研发设备折旧表3!#REF!</f>
        <v>#REF!</v>
      </c>
    </row>
    <row r="106" s="176" customFormat="1" customHeight="1" spans="1:36">
      <c r="A106" s="181">
        <f>固定资产台账1!A12</f>
        <v>0</v>
      </c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3">
        <f t="shared" si="9"/>
        <v>0</v>
      </c>
      <c r="AH106" s="176">
        <f>AG106-研发设备工时计算表2!L14</f>
        <v>0</v>
      </c>
      <c r="AI106" s="176" t="e">
        <f>研发设备折旧表3!#REF!</f>
        <v>#REF!</v>
      </c>
      <c r="AJ106" s="176" t="e">
        <f>研发设备折旧表3!#REF!</f>
        <v>#REF!</v>
      </c>
    </row>
    <row r="107" s="176" customFormat="1" customHeight="1" spans="1:36">
      <c r="A107" s="181">
        <f>固定资产台账1!A13</f>
        <v>0</v>
      </c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3">
        <f t="shared" si="9"/>
        <v>0</v>
      </c>
      <c r="AH107" s="176">
        <f>AG107-研发设备工时计算表2!L15</f>
        <v>0</v>
      </c>
    </row>
    <row r="108" s="176" customFormat="1" customHeight="1" spans="1:36">
      <c r="A108" s="181">
        <f>固定资产台账1!A14</f>
        <v>0</v>
      </c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3">
        <f t="shared" si="9"/>
        <v>0</v>
      </c>
      <c r="AH108" s="176">
        <f>AG108-研发设备工时计算表2!L16</f>
        <v>0</v>
      </c>
    </row>
    <row r="109" s="176" customFormat="1" customHeight="1" spans="1:36">
      <c r="A109" s="181">
        <f>固定资产台账1!A15</f>
        <v>0</v>
      </c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3">
        <f t="shared" si="9"/>
        <v>0</v>
      </c>
      <c r="AH109" s="176">
        <f>AG109-研发设备工时计算表2!L17</f>
        <v>0</v>
      </c>
    </row>
    <row r="110" s="176" customFormat="1" customHeight="1" spans="1:36">
      <c r="A110" s="181">
        <f>固定资产台账1!A16</f>
        <v>0</v>
      </c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3">
        <f t="shared" ref="AG110:AG121" si="10">SUM(B110:AF110)</f>
        <v>0</v>
      </c>
      <c r="AH110" s="176">
        <f>AG110-研发设备工时计算表2!L18</f>
        <v>0</v>
      </c>
    </row>
    <row r="111" s="176" customFormat="1" customHeight="1" spans="1:36">
      <c r="A111" s="181">
        <f>固定资产台账1!A17</f>
        <v>0</v>
      </c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3">
        <f t="shared" si="10"/>
        <v>0</v>
      </c>
      <c r="AH111" s="176">
        <f>AG111-研发设备工时计算表2!L19</f>
        <v>0</v>
      </c>
    </row>
    <row r="112" s="176" customFormat="1" customHeight="1" spans="1:36">
      <c r="A112" s="181">
        <f>固定资产台账1!A18</f>
        <v>0</v>
      </c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3">
        <f t="shared" si="10"/>
        <v>0</v>
      </c>
      <c r="AH112" s="176">
        <f>AG112-研发设备工时计算表2!L20</f>
        <v>0</v>
      </c>
    </row>
    <row r="113" s="176" customFormat="1" customHeight="1" spans="1:36">
      <c r="A113" s="181">
        <f>固定资产台账1!A19</f>
        <v>0</v>
      </c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3">
        <f t="shared" si="10"/>
        <v>0</v>
      </c>
      <c r="AH113" s="176">
        <f>AG113-研发设备工时计算表2!L21</f>
        <v>0</v>
      </c>
    </row>
    <row r="114" s="176" customFormat="1" customHeight="1" spans="1:36">
      <c r="A114" s="181">
        <f>固定资产台账1!A20</f>
        <v>0</v>
      </c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3">
        <f t="shared" si="10"/>
        <v>0</v>
      </c>
      <c r="AH114" s="176">
        <f>AG114-研发设备工时计算表2!L22</f>
        <v>0</v>
      </c>
    </row>
    <row r="115" s="176" customFormat="1" customHeight="1" spans="1:36">
      <c r="A115" s="181">
        <f>固定资产台账1!A21</f>
        <v>0</v>
      </c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3">
        <f t="shared" si="10"/>
        <v>0</v>
      </c>
      <c r="AH115" s="176">
        <f>AG115-研发设备工时计算表2!L23</f>
        <v>0</v>
      </c>
    </row>
    <row r="116" s="176" customFormat="1" customHeight="1" spans="1:36">
      <c r="A116" s="181">
        <f>固定资产台账1!A22</f>
        <v>0</v>
      </c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3">
        <f t="shared" si="10"/>
        <v>0</v>
      </c>
      <c r="AH116" s="176">
        <f>AG116-研发设备工时计算表2!L25</f>
        <v>0</v>
      </c>
    </row>
    <row r="117" s="176" customFormat="1" customHeight="1" spans="1:36">
      <c r="A117" s="181">
        <f>固定资产台账1!A23</f>
        <v>0</v>
      </c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3">
        <f t="shared" si="10"/>
        <v>0</v>
      </c>
      <c r="AH117" s="176">
        <f>AG117-研发设备工时计算表2!L25</f>
        <v>0</v>
      </c>
    </row>
    <row r="118" s="176" customFormat="1" customHeight="1" spans="1:36">
      <c r="A118" s="181">
        <f>固定资产台账1!A25</f>
        <v>0</v>
      </c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3">
        <f t="shared" si="10"/>
        <v>0</v>
      </c>
      <c r="AH118" s="176">
        <f>AG118-研发设备工时计算表2!L26</f>
        <v>0</v>
      </c>
    </row>
    <row r="119" s="176" customFormat="1" customHeight="1" spans="1:36">
      <c r="A119" s="181">
        <f>固定资产台账1!A25</f>
        <v>0</v>
      </c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3">
        <f t="shared" si="10"/>
        <v>0</v>
      </c>
      <c r="AH119" s="176">
        <f>AG119-研发设备工时计算表2!L27</f>
        <v>0</v>
      </c>
    </row>
    <row r="120" s="176" customFormat="1" customHeight="1" spans="1:36">
      <c r="A120" s="181">
        <f>固定资产台账1!A26</f>
        <v>0</v>
      </c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3">
        <f>SUM(B121:AF121)</f>
        <v>0</v>
      </c>
      <c r="AH120" s="176">
        <f>AG121-研发设备工时计算表2!L28</f>
        <v>0</v>
      </c>
    </row>
    <row r="121" s="176" customFormat="1" customHeight="1" spans="1:36">
      <c r="A121" s="181">
        <f>固定资产台账1!A27</f>
        <v>0</v>
      </c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3">
        <f t="shared" si="10"/>
        <v>0</v>
      </c>
      <c r="AH121" s="176">
        <f>AG121-研发设备工时计算表2!L29</f>
        <v>0</v>
      </c>
    </row>
    <row r="122" s="176" customFormat="1" customHeight="1" spans="1:36">
      <c r="A122" s="181" t="s">
        <v>270</v>
      </c>
      <c r="B122" s="182">
        <f t="shared" ref="B122:AG122" si="11">SUM(B97:B121)</f>
        <v>0</v>
      </c>
      <c r="C122" s="182">
        <f t="shared" si="11"/>
        <v>0</v>
      </c>
      <c r="D122" s="182">
        <f t="shared" si="11"/>
        <v>0</v>
      </c>
      <c r="E122" s="182">
        <f t="shared" si="11"/>
        <v>0</v>
      </c>
      <c r="F122" s="182">
        <f t="shared" si="11"/>
        <v>0</v>
      </c>
      <c r="G122" s="182">
        <f t="shared" si="11"/>
        <v>0</v>
      </c>
      <c r="H122" s="182">
        <f t="shared" si="11"/>
        <v>0</v>
      </c>
      <c r="I122" s="182">
        <f t="shared" si="11"/>
        <v>0</v>
      </c>
      <c r="J122" s="182">
        <f t="shared" si="11"/>
        <v>0</v>
      </c>
      <c r="K122" s="182">
        <f t="shared" si="11"/>
        <v>0</v>
      </c>
      <c r="L122" s="182">
        <f t="shared" si="11"/>
        <v>0</v>
      </c>
      <c r="M122" s="182">
        <f t="shared" si="11"/>
        <v>0</v>
      </c>
      <c r="N122" s="182">
        <f t="shared" si="11"/>
        <v>0</v>
      </c>
      <c r="O122" s="182">
        <f t="shared" si="11"/>
        <v>0</v>
      </c>
      <c r="P122" s="182">
        <f t="shared" si="11"/>
        <v>0</v>
      </c>
      <c r="Q122" s="182">
        <f t="shared" si="11"/>
        <v>0</v>
      </c>
      <c r="R122" s="182">
        <f t="shared" si="11"/>
        <v>0</v>
      </c>
      <c r="S122" s="182">
        <f t="shared" si="11"/>
        <v>0</v>
      </c>
      <c r="T122" s="182">
        <f t="shared" si="11"/>
        <v>0</v>
      </c>
      <c r="U122" s="182">
        <f t="shared" si="11"/>
        <v>0</v>
      </c>
      <c r="V122" s="182">
        <f t="shared" si="11"/>
        <v>0</v>
      </c>
      <c r="W122" s="182">
        <f t="shared" si="11"/>
        <v>0</v>
      </c>
      <c r="X122" s="182">
        <f t="shared" si="11"/>
        <v>0</v>
      </c>
      <c r="Y122" s="182">
        <f t="shared" si="11"/>
        <v>0</v>
      </c>
      <c r="Z122" s="182">
        <f t="shared" si="11"/>
        <v>0</v>
      </c>
      <c r="AA122" s="182">
        <f t="shared" si="11"/>
        <v>0</v>
      </c>
      <c r="AB122" s="182">
        <f t="shared" si="11"/>
        <v>0</v>
      </c>
      <c r="AC122" s="182">
        <f t="shared" si="11"/>
        <v>0</v>
      </c>
      <c r="AD122" s="182">
        <f t="shared" si="11"/>
        <v>0</v>
      </c>
      <c r="AE122" s="182">
        <f t="shared" si="11"/>
        <v>0</v>
      </c>
      <c r="AF122" s="182">
        <f t="shared" si="11"/>
        <v>0</v>
      </c>
      <c r="AG122" s="182">
        <f t="shared" si="11"/>
        <v>0</v>
      </c>
    </row>
    <row r="125" s="176" customFormat="1" customHeight="1" spans="1:36">
      <c r="A125" s="142" t="s">
        <v>274</v>
      </c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</row>
    <row r="126" s="176" customFormat="1" customHeight="1" spans="1:3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</row>
    <row r="127" s="176" customFormat="1" customHeight="1" spans="1:36">
      <c r="A127" s="179" t="s">
        <v>269</v>
      </c>
      <c r="B127" s="165">
        <v>1</v>
      </c>
      <c r="C127" s="165">
        <v>2</v>
      </c>
      <c r="D127" s="165">
        <v>3</v>
      </c>
      <c r="E127" s="165">
        <v>4</v>
      </c>
      <c r="F127" s="165">
        <v>5</v>
      </c>
      <c r="G127" s="165">
        <v>6</v>
      </c>
      <c r="H127" s="165">
        <v>7</v>
      </c>
      <c r="I127" s="165">
        <v>8</v>
      </c>
      <c r="J127" s="165">
        <v>9</v>
      </c>
      <c r="K127" s="165">
        <v>10</v>
      </c>
      <c r="L127" s="165">
        <v>11</v>
      </c>
      <c r="M127" s="165">
        <v>12</v>
      </c>
      <c r="N127" s="165">
        <v>13</v>
      </c>
      <c r="O127" s="165">
        <v>14</v>
      </c>
      <c r="P127" s="165">
        <v>15</v>
      </c>
      <c r="Q127" s="165">
        <v>16</v>
      </c>
      <c r="R127" s="165">
        <v>17</v>
      </c>
      <c r="S127" s="165">
        <v>18</v>
      </c>
      <c r="T127" s="165">
        <v>19</v>
      </c>
      <c r="U127" s="165">
        <v>20</v>
      </c>
      <c r="V127" s="165">
        <v>21</v>
      </c>
      <c r="W127" s="165">
        <v>22</v>
      </c>
      <c r="X127" s="165">
        <v>23</v>
      </c>
      <c r="Y127" s="165">
        <v>25</v>
      </c>
      <c r="Z127" s="165">
        <v>25</v>
      </c>
      <c r="AA127" s="165">
        <v>26</v>
      </c>
      <c r="AB127" s="165">
        <v>27</v>
      </c>
      <c r="AC127" s="165">
        <v>28</v>
      </c>
      <c r="AD127" s="165">
        <v>29</v>
      </c>
      <c r="AE127" s="165">
        <v>30</v>
      </c>
      <c r="AF127" s="165">
        <v>31</v>
      </c>
      <c r="AG127" s="180"/>
    </row>
    <row r="128" s="176" customFormat="1" customHeight="1" spans="1:36">
      <c r="A128" s="181">
        <f>固定资产台账1!A3</f>
        <v>0</v>
      </c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3">
        <f t="shared" ref="AG128:AG143" si="12">SUM(B128:AF128)</f>
        <v>0</v>
      </c>
      <c r="AH128" s="176">
        <f>AG128-研发设备工时计算表2!O5</f>
        <v>0</v>
      </c>
      <c r="AI128" s="176" t="e">
        <f>研发设备折旧表3!#REF!</f>
        <v>#REF!</v>
      </c>
      <c r="AJ128" s="176" t="e">
        <f>研发设备折旧表3!#REF!</f>
        <v>#REF!</v>
      </c>
    </row>
    <row r="129" s="176" customFormat="1" customHeight="1" spans="1:36">
      <c r="A129" s="181">
        <f>固定资产台账1!A4</f>
        <v>0</v>
      </c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3">
        <f t="shared" si="12"/>
        <v>0</v>
      </c>
      <c r="AH129" s="176">
        <f>AG129-研发设备工时计算表2!O6</f>
        <v>0</v>
      </c>
      <c r="AI129" s="176" t="e">
        <f>研发设备折旧表3!#REF!</f>
        <v>#REF!</v>
      </c>
      <c r="AJ129" s="176" t="e">
        <f>研发设备折旧表3!#REF!</f>
        <v>#REF!</v>
      </c>
    </row>
    <row r="130" s="176" customFormat="1" customHeight="1" spans="1:36">
      <c r="A130" s="181">
        <f>固定资产台账1!A5</f>
        <v>0</v>
      </c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3">
        <f t="shared" si="12"/>
        <v>0</v>
      </c>
      <c r="AH130" s="176">
        <f>AG130-研发设备工时计算表2!O7</f>
        <v>0</v>
      </c>
      <c r="AI130" s="176" t="e">
        <f>研发设备折旧表3!#REF!</f>
        <v>#REF!</v>
      </c>
      <c r="AJ130" s="176" t="e">
        <f>研发设备折旧表3!#REF!</f>
        <v>#REF!</v>
      </c>
    </row>
    <row r="131" s="176" customFormat="1" customHeight="1" spans="1:36">
      <c r="A131" s="181">
        <f>固定资产台账1!A6</f>
        <v>0</v>
      </c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3">
        <f t="shared" si="12"/>
        <v>0</v>
      </c>
      <c r="AH131" s="176">
        <f>AG131-研发设备工时计算表2!O8</f>
        <v>0</v>
      </c>
      <c r="AI131" s="176" t="e">
        <f>研发设备折旧表3!#REF!</f>
        <v>#REF!</v>
      </c>
      <c r="AJ131" s="176" t="e">
        <f>研发设备折旧表3!#REF!</f>
        <v>#REF!</v>
      </c>
    </row>
    <row r="132" s="176" customFormat="1" customHeight="1" spans="1:36">
      <c r="A132" s="181">
        <f>固定资产台账1!A7</f>
        <v>0</v>
      </c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3">
        <f t="shared" si="12"/>
        <v>0</v>
      </c>
      <c r="AH132" s="176">
        <f>AG132-研发设备工时计算表2!O9</f>
        <v>0</v>
      </c>
      <c r="AI132" s="176" t="e">
        <f>研发设备折旧表3!#REF!</f>
        <v>#REF!</v>
      </c>
      <c r="AJ132" s="176" t="e">
        <f>研发设备折旧表3!#REF!</f>
        <v>#REF!</v>
      </c>
    </row>
    <row r="133" s="176" customFormat="1" customHeight="1" spans="1:36">
      <c r="A133" s="181">
        <f>固定资产台账1!A8</f>
        <v>0</v>
      </c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3">
        <f t="shared" si="12"/>
        <v>0</v>
      </c>
      <c r="AH133" s="176">
        <f>AG133-研发设备工时计算表2!O10</f>
        <v>0</v>
      </c>
      <c r="AI133" s="176" t="e">
        <f>研发设备折旧表3!#REF!</f>
        <v>#REF!</v>
      </c>
      <c r="AJ133" s="176" t="e">
        <f>研发设备折旧表3!#REF!</f>
        <v>#REF!</v>
      </c>
    </row>
    <row r="134" s="176" customFormat="1" customHeight="1" spans="1:36">
      <c r="A134" s="181">
        <f>固定资产台账1!A9</f>
        <v>0</v>
      </c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3">
        <f t="shared" si="12"/>
        <v>0</v>
      </c>
      <c r="AH134" s="176">
        <f>AG134-研发设备工时计算表2!O11</f>
        <v>0</v>
      </c>
      <c r="AI134" s="176" t="e">
        <f>研发设备折旧表3!#REF!</f>
        <v>#REF!</v>
      </c>
      <c r="AJ134" s="176" t="e">
        <f>研发设备折旧表3!#REF!</f>
        <v>#REF!</v>
      </c>
    </row>
    <row r="135" s="176" customFormat="1" customHeight="1" spans="1:36">
      <c r="A135" s="181">
        <f>固定资产台账1!A10</f>
        <v>0</v>
      </c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3">
        <f t="shared" si="12"/>
        <v>0</v>
      </c>
      <c r="AH135" s="176">
        <f>AG135-研发设备工时计算表2!O12</f>
        <v>0</v>
      </c>
      <c r="AI135" s="176" t="e">
        <f>研发设备折旧表3!#REF!</f>
        <v>#REF!</v>
      </c>
      <c r="AJ135" s="176" t="e">
        <f>研发设备折旧表3!#REF!</f>
        <v>#REF!</v>
      </c>
    </row>
    <row r="136" s="176" customFormat="1" customHeight="1" spans="1:36">
      <c r="A136" s="181">
        <f>固定资产台账1!A11</f>
        <v>0</v>
      </c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3">
        <f t="shared" si="12"/>
        <v>0</v>
      </c>
      <c r="AH136" s="176">
        <f>AG136-研发设备工时计算表2!O13</f>
        <v>0</v>
      </c>
      <c r="AI136" s="176" t="e">
        <f>研发设备折旧表3!#REF!</f>
        <v>#REF!</v>
      </c>
      <c r="AJ136" s="176" t="e">
        <f>研发设备折旧表3!#REF!</f>
        <v>#REF!</v>
      </c>
    </row>
    <row r="137" s="176" customFormat="1" customHeight="1" spans="1:36">
      <c r="A137" s="181">
        <f>固定资产台账1!A12</f>
        <v>0</v>
      </c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3">
        <f t="shared" si="12"/>
        <v>0</v>
      </c>
      <c r="AH137" s="176">
        <f>AG137-研发设备工时计算表2!O14</f>
        <v>0</v>
      </c>
      <c r="AI137" s="176" t="e">
        <f>研发设备折旧表3!#REF!</f>
        <v>#REF!</v>
      </c>
      <c r="AJ137" s="176" t="e">
        <f>研发设备折旧表3!#REF!</f>
        <v>#REF!</v>
      </c>
    </row>
    <row r="138" s="176" customFormat="1" customHeight="1" spans="1:36">
      <c r="A138" s="181">
        <f>固定资产台账1!A13</f>
        <v>0</v>
      </c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3">
        <f t="shared" si="12"/>
        <v>0</v>
      </c>
      <c r="AH138" s="176">
        <f>AG138-研发设备工时计算表2!O15</f>
        <v>0</v>
      </c>
    </row>
    <row r="139" s="176" customFormat="1" customHeight="1" spans="1:36">
      <c r="A139" s="181">
        <f>固定资产台账1!A14</f>
        <v>0</v>
      </c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3">
        <f t="shared" si="12"/>
        <v>0</v>
      </c>
      <c r="AH139" s="176">
        <f>AG139-研发设备工时计算表2!O16</f>
        <v>0</v>
      </c>
    </row>
    <row r="140" s="176" customFormat="1" customHeight="1" spans="1:36">
      <c r="A140" s="181">
        <f>固定资产台账1!A15</f>
        <v>0</v>
      </c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3">
        <f t="shared" si="12"/>
        <v>0</v>
      </c>
      <c r="AH140" s="176">
        <f>AG140-研发设备工时计算表2!O17</f>
        <v>0</v>
      </c>
    </row>
    <row r="141" s="176" customFormat="1" customHeight="1" spans="1:36">
      <c r="A141" s="181">
        <f>固定资产台账1!A16</f>
        <v>0</v>
      </c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3">
        <f t="shared" ref="AG141:AG152" si="13">SUM(B141:AF141)</f>
        <v>0</v>
      </c>
      <c r="AH141" s="176">
        <f>AG141-研发设备工时计算表2!O18</f>
        <v>0</v>
      </c>
    </row>
    <row r="142" s="176" customFormat="1" customHeight="1" spans="1:36">
      <c r="A142" s="181">
        <f>固定资产台账1!A17</f>
        <v>0</v>
      </c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3">
        <f t="shared" si="13"/>
        <v>0</v>
      </c>
      <c r="AH142" s="176">
        <f>AG142-研发设备工时计算表2!O19</f>
        <v>0</v>
      </c>
    </row>
    <row r="143" s="176" customFormat="1" customHeight="1" spans="1:36">
      <c r="A143" s="181">
        <f>固定资产台账1!A18</f>
        <v>0</v>
      </c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3">
        <f t="shared" si="13"/>
        <v>0</v>
      </c>
      <c r="AH143" s="176">
        <f>AG143-研发设备工时计算表2!O20</f>
        <v>0</v>
      </c>
    </row>
    <row r="144" s="176" customFormat="1" customHeight="1" spans="1:36">
      <c r="A144" s="181">
        <f>固定资产台账1!A19</f>
        <v>0</v>
      </c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3">
        <f t="shared" si="13"/>
        <v>0</v>
      </c>
      <c r="AH144" s="176">
        <f>AG144-研发设备工时计算表2!O21</f>
        <v>0</v>
      </c>
    </row>
    <row r="145" s="176" customFormat="1" customHeight="1" spans="1:36">
      <c r="A145" s="181">
        <f>固定资产台账1!A20</f>
        <v>0</v>
      </c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3">
        <f t="shared" si="13"/>
        <v>0</v>
      </c>
      <c r="AH145" s="176">
        <f>AG145-研发设备工时计算表2!O22</f>
        <v>0</v>
      </c>
    </row>
    <row r="146" s="176" customFormat="1" customHeight="1" spans="1:36">
      <c r="A146" s="181">
        <f>固定资产台账1!A21</f>
        <v>0</v>
      </c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3">
        <f t="shared" si="13"/>
        <v>0</v>
      </c>
      <c r="AH146" s="176">
        <f>AG146-研发设备工时计算表2!O23</f>
        <v>0</v>
      </c>
    </row>
    <row r="147" s="176" customFormat="1" customHeight="1" spans="1:36">
      <c r="A147" s="181">
        <f>固定资产台账1!A22</f>
        <v>0</v>
      </c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3">
        <f t="shared" si="13"/>
        <v>0</v>
      </c>
      <c r="AH147" s="176">
        <f>AG147-研发设备工时计算表2!O25</f>
        <v>0</v>
      </c>
    </row>
    <row r="148" s="176" customFormat="1" customHeight="1" spans="1:36">
      <c r="A148" s="181">
        <f>固定资产台账1!A23</f>
        <v>0</v>
      </c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3">
        <f t="shared" si="13"/>
        <v>0</v>
      </c>
      <c r="AH148" s="176">
        <f>AG148-研发设备工时计算表2!O25</f>
        <v>0</v>
      </c>
    </row>
    <row r="149" s="176" customFormat="1" customHeight="1" spans="1:36">
      <c r="A149" s="181">
        <f>固定资产台账1!A25</f>
        <v>0</v>
      </c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3">
        <f t="shared" si="13"/>
        <v>0</v>
      </c>
      <c r="AH149" s="176">
        <f>AG149-研发设备工时计算表2!O26</f>
        <v>0</v>
      </c>
    </row>
    <row r="150" s="176" customFormat="1" customHeight="1" spans="1:36">
      <c r="A150" s="181">
        <f>固定资产台账1!A25</f>
        <v>0</v>
      </c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3">
        <f t="shared" si="13"/>
        <v>0</v>
      </c>
      <c r="AH150" s="176">
        <f>AG150-研发设备工时计算表2!O27</f>
        <v>0</v>
      </c>
    </row>
    <row r="151" s="176" customFormat="1" customHeight="1" spans="1:36">
      <c r="A151" s="181">
        <f>固定资产台账1!A26</f>
        <v>0</v>
      </c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3">
        <f t="shared" si="13"/>
        <v>0</v>
      </c>
      <c r="AH151" s="176">
        <f>AG151-研发设备工时计算表2!O28</f>
        <v>0</v>
      </c>
    </row>
    <row r="152" s="176" customFormat="1" customHeight="1" spans="1:36">
      <c r="A152" s="181">
        <f>固定资产台账1!A27</f>
        <v>0</v>
      </c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3">
        <f t="shared" si="13"/>
        <v>0</v>
      </c>
      <c r="AH152" s="176">
        <f>AG152-研发设备工时计算表2!O29</f>
        <v>0</v>
      </c>
    </row>
    <row r="153" s="176" customFormat="1" customHeight="1" spans="1:36">
      <c r="A153" s="181" t="s">
        <v>270</v>
      </c>
      <c r="B153" s="182">
        <f t="shared" ref="B153:AG153" si="14">SUM(B128:B152)</f>
        <v>0</v>
      </c>
      <c r="C153" s="182">
        <f t="shared" si="14"/>
        <v>0</v>
      </c>
      <c r="D153" s="182">
        <f t="shared" si="14"/>
        <v>0</v>
      </c>
      <c r="E153" s="182">
        <f t="shared" si="14"/>
        <v>0</v>
      </c>
      <c r="F153" s="182">
        <f t="shared" si="14"/>
        <v>0</v>
      </c>
      <c r="G153" s="182">
        <f t="shared" si="14"/>
        <v>0</v>
      </c>
      <c r="H153" s="182">
        <f t="shared" si="14"/>
        <v>0</v>
      </c>
      <c r="I153" s="182">
        <f t="shared" si="14"/>
        <v>0</v>
      </c>
      <c r="J153" s="182">
        <f t="shared" si="14"/>
        <v>0</v>
      </c>
      <c r="K153" s="182">
        <f t="shared" si="14"/>
        <v>0</v>
      </c>
      <c r="L153" s="182">
        <f t="shared" si="14"/>
        <v>0</v>
      </c>
      <c r="M153" s="182">
        <f t="shared" si="14"/>
        <v>0</v>
      </c>
      <c r="N153" s="182">
        <f t="shared" si="14"/>
        <v>0</v>
      </c>
      <c r="O153" s="182">
        <f t="shared" si="14"/>
        <v>0</v>
      </c>
      <c r="P153" s="182">
        <f t="shared" si="14"/>
        <v>0</v>
      </c>
      <c r="Q153" s="182">
        <f t="shared" si="14"/>
        <v>0</v>
      </c>
      <c r="R153" s="182">
        <f t="shared" si="14"/>
        <v>0</v>
      </c>
      <c r="S153" s="182">
        <f t="shared" si="14"/>
        <v>0</v>
      </c>
      <c r="T153" s="182">
        <f t="shared" si="14"/>
        <v>0</v>
      </c>
      <c r="U153" s="182">
        <f t="shared" si="14"/>
        <v>0</v>
      </c>
      <c r="V153" s="182">
        <f t="shared" si="14"/>
        <v>0</v>
      </c>
      <c r="W153" s="182">
        <f t="shared" si="14"/>
        <v>0</v>
      </c>
      <c r="X153" s="182">
        <f t="shared" si="14"/>
        <v>0</v>
      </c>
      <c r="Y153" s="182">
        <f t="shared" si="14"/>
        <v>0</v>
      </c>
      <c r="Z153" s="182">
        <f t="shared" si="14"/>
        <v>0</v>
      </c>
      <c r="AA153" s="182">
        <f t="shared" si="14"/>
        <v>0</v>
      </c>
      <c r="AB153" s="182">
        <f t="shared" si="14"/>
        <v>0</v>
      </c>
      <c r="AC153" s="182">
        <f t="shared" si="14"/>
        <v>0</v>
      </c>
      <c r="AD153" s="182">
        <f t="shared" si="14"/>
        <v>0</v>
      </c>
      <c r="AE153" s="182">
        <f t="shared" si="14"/>
        <v>0</v>
      </c>
      <c r="AF153" s="182">
        <f t="shared" si="14"/>
        <v>0</v>
      </c>
      <c r="AG153" s="182">
        <f t="shared" si="14"/>
        <v>0</v>
      </c>
    </row>
    <row r="155" s="176" customFormat="1" customHeight="1" spans="1:36">
      <c r="A155" s="142" t="s">
        <v>275</v>
      </c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</row>
    <row r="156" s="176" customFormat="1" customHeight="1" spans="1:3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</row>
    <row r="157" s="176" customFormat="1" customHeight="1" spans="1:36">
      <c r="A157" s="179" t="s">
        <v>269</v>
      </c>
      <c r="B157" s="165">
        <v>1</v>
      </c>
      <c r="C157" s="165">
        <v>2</v>
      </c>
      <c r="D157" s="165">
        <v>3</v>
      </c>
      <c r="E157" s="165">
        <v>4</v>
      </c>
      <c r="F157" s="165">
        <v>5</v>
      </c>
      <c r="G157" s="165">
        <v>6</v>
      </c>
      <c r="H157" s="165">
        <v>7</v>
      </c>
      <c r="I157" s="165">
        <v>8</v>
      </c>
      <c r="J157" s="165">
        <v>9</v>
      </c>
      <c r="K157" s="165">
        <v>10</v>
      </c>
      <c r="L157" s="165">
        <v>11</v>
      </c>
      <c r="M157" s="165">
        <v>12</v>
      </c>
      <c r="N157" s="165">
        <v>13</v>
      </c>
      <c r="O157" s="165">
        <v>14</v>
      </c>
      <c r="P157" s="165">
        <v>15</v>
      </c>
      <c r="Q157" s="165">
        <v>16</v>
      </c>
      <c r="R157" s="165">
        <v>17</v>
      </c>
      <c r="S157" s="165">
        <v>18</v>
      </c>
      <c r="T157" s="165">
        <v>19</v>
      </c>
      <c r="U157" s="165">
        <v>20</v>
      </c>
      <c r="V157" s="165">
        <v>21</v>
      </c>
      <c r="W157" s="165">
        <v>22</v>
      </c>
      <c r="X157" s="165">
        <v>23</v>
      </c>
      <c r="Y157" s="165">
        <v>25</v>
      </c>
      <c r="Z157" s="165">
        <v>25</v>
      </c>
      <c r="AA157" s="165">
        <v>26</v>
      </c>
      <c r="AB157" s="165">
        <v>27</v>
      </c>
      <c r="AC157" s="165">
        <v>28</v>
      </c>
      <c r="AD157" s="165">
        <v>29</v>
      </c>
      <c r="AE157" s="165">
        <v>30</v>
      </c>
      <c r="AF157" s="165"/>
      <c r="AG157" s="180"/>
    </row>
    <row r="158" s="176" customFormat="1" customHeight="1" spans="1:36">
      <c r="A158" s="181">
        <f>固定资产台账1!A3</f>
        <v>0</v>
      </c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  <c r="AG158" s="183">
        <f t="shared" ref="AG158:AG173" si="15">SUM(B158:AF158)</f>
        <v>0</v>
      </c>
      <c r="AH158" s="176">
        <f>AG158-研发设备工时计算表2!R5</f>
        <v>0</v>
      </c>
      <c r="AI158" s="176" t="e">
        <f>研发设备折旧表3!#REF!</f>
        <v>#REF!</v>
      </c>
      <c r="AJ158" s="176" t="e">
        <f>研发设备折旧表3!#REF!</f>
        <v>#REF!</v>
      </c>
    </row>
    <row r="159" s="176" customFormat="1" customHeight="1" spans="1:36">
      <c r="A159" s="181">
        <f>固定资产台账1!A4</f>
        <v>0</v>
      </c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  <c r="AG159" s="183">
        <f t="shared" si="15"/>
        <v>0</v>
      </c>
      <c r="AH159" s="176">
        <f>AG159-研发设备工时计算表2!R6</f>
        <v>0</v>
      </c>
      <c r="AI159" s="176" t="e">
        <f>研发设备折旧表3!#REF!</f>
        <v>#REF!</v>
      </c>
      <c r="AJ159" s="176" t="e">
        <f>研发设备折旧表3!#REF!</f>
        <v>#REF!</v>
      </c>
    </row>
    <row r="160" s="176" customFormat="1" customHeight="1" spans="1:36">
      <c r="A160" s="181">
        <f>固定资产台账1!A5</f>
        <v>0</v>
      </c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  <c r="AG160" s="183">
        <f t="shared" si="15"/>
        <v>0</v>
      </c>
      <c r="AH160" s="176">
        <f>AG160-研发设备工时计算表2!R7</f>
        <v>0</v>
      </c>
      <c r="AI160" s="176" t="e">
        <f>研发设备折旧表3!#REF!</f>
        <v>#REF!</v>
      </c>
      <c r="AJ160" s="176" t="e">
        <f>研发设备折旧表3!#REF!</f>
        <v>#REF!</v>
      </c>
    </row>
    <row r="161" s="176" customFormat="1" customHeight="1" spans="1:36">
      <c r="A161" s="181">
        <f>固定资产台账1!A6</f>
        <v>0</v>
      </c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3">
        <f t="shared" si="15"/>
        <v>0</v>
      </c>
      <c r="AH161" s="176">
        <f>AG161-研发设备工时计算表2!R8</f>
        <v>0</v>
      </c>
      <c r="AI161" s="176" t="e">
        <f>研发设备折旧表3!#REF!</f>
        <v>#REF!</v>
      </c>
      <c r="AJ161" s="176" t="e">
        <f>研发设备折旧表3!#REF!</f>
        <v>#REF!</v>
      </c>
    </row>
    <row r="162" s="176" customFormat="1" customHeight="1" spans="1:36">
      <c r="A162" s="181">
        <f>固定资产台账1!A7</f>
        <v>0</v>
      </c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3">
        <f t="shared" si="15"/>
        <v>0</v>
      </c>
      <c r="AH162" s="176">
        <f>AG162-研发设备工时计算表2!R9</f>
        <v>0</v>
      </c>
      <c r="AI162" s="176" t="e">
        <f>研发设备折旧表3!#REF!</f>
        <v>#REF!</v>
      </c>
      <c r="AJ162" s="176" t="e">
        <f>研发设备折旧表3!#REF!</f>
        <v>#REF!</v>
      </c>
    </row>
    <row r="163" s="176" customFormat="1" customHeight="1" spans="1:36">
      <c r="A163" s="181">
        <f>固定资产台账1!A8</f>
        <v>0</v>
      </c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3">
        <f t="shared" si="15"/>
        <v>0</v>
      </c>
      <c r="AH163" s="176">
        <f>AG163-研发设备工时计算表2!R10</f>
        <v>0</v>
      </c>
      <c r="AI163" s="176" t="e">
        <f>研发设备折旧表3!#REF!</f>
        <v>#REF!</v>
      </c>
      <c r="AJ163" s="176" t="e">
        <f>研发设备折旧表3!#REF!</f>
        <v>#REF!</v>
      </c>
    </row>
    <row r="164" s="176" customFormat="1" customHeight="1" spans="1:36">
      <c r="A164" s="181">
        <f>固定资产台账1!A9</f>
        <v>0</v>
      </c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3">
        <f t="shared" si="15"/>
        <v>0</v>
      </c>
      <c r="AH164" s="176">
        <f>AG164-研发设备工时计算表2!R11</f>
        <v>0</v>
      </c>
      <c r="AI164" s="176" t="e">
        <f>研发设备折旧表3!#REF!</f>
        <v>#REF!</v>
      </c>
      <c r="AJ164" s="176" t="e">
        <f>研发设备折旧表3!#REF!</f>
        <v>#REF!</v>
      </c>
    </row>
    <row r="165" s="176" customFormat="1" customHeight="1" spans="1:36">
      <c r="A165" s="181">
        <f>固定资产台账1!A10</f>
        <v>0</v>
      </c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3">
        <f t="shared" si="15"/>
        <v>0</v>
      </c>
      <c r="AH165" s="176">
        <f>AG165-研发设备工时计算表2!R12</f>
        <v>0</v>
      </c>
      <c r="AI165" s="176" t="e">
        <f>研发设备折旧表3!#REF!</f>
        <v>#REF!</v>
      </c>
      <c r="AJ165" s="176" t="e">
        <f>研发设备折旧表3!#REF!</f>
        <v>#REF!</v>
      </c>
    </row>
    <row r="166" s="176" customFormat="1" customHeight="1" spans="1:36">
      <c r="A166" s="181">
        <f>固定资产台账1!A11</f>
        <v>0</v>
      </c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3">
        <f t="shared" si="15"/>
        <v>0</v>
      </c>
      <c r="AH166" s="176">
        <f>AG166-研发设备工时计算表2!R13</f>
        <v>0</v>
      </c>
      <c r="AI166" s="176" t="e">
        <f>研发设备折旧表3!#REF!</f>
        <v>#REF!</v>
      </c>
      <c r="AJ166" s="176" t="e">
        <f>研发设备折旧表3!#REF!</f>
        <v>#REF!</v>
      </c>
    </row>
    <row r="167" s="176" customFormat="1" customHeight="1" spans="1:36">
      <c r="A167" s="181">
        <f>固定资产台账1!A12</f>
        <v>0</v>
      </c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3">
        <f t="shared" si="15"/>
        <v>0</v>
      </c>
      <c r="AH167" s="176">
        <f>AG167-研发设备工时计算表2!R14</f>
        <v>0</v>
      </c>
      <c r="AI167" s="176" t="e">
        <f>研发设备折旧表3!#REF!</f>
        <v>#REF!</v>
      </c>
      <c r="AJ167" s="176" t="e">
        <f>研发设备折旧表3!#REF!</f>
        <v>#REF!</v>
      </c>
    </row>
    <row r="168" s="176" customFormat="1" customHeight="1" spans="1:36">
      <c r="A168" s="181">
        <f>固定资产台账1!A13</f>
        <v>0</v>
      </c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3">
        <f t="shared" si="15"/>
        <v>0</v>
      </c>
      <c r="AH168" s="176">
        <f>AG168-研发设备工时计算表2!R15</f>
        <v>0</v>
      </c>
    </row>
    <row r="169" s="176" customFormat="1" customHeight="1" spans="1:36">
      <c r="A169" s="181">
        <f>固定资产台账1!A14</f>
        <v>0</v>
      </c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3">
        <f t="shared" si="15"/>
        <v>0</v>
      </c>
      <c r="AH169" s="176">
        <f>AG169-研发设备工时计算表2!R16</f>
        <v>0</v>
      </c>
    </row>
    <row r="170" s="176" customFormat="1" customHeight="1" spans="1:36">
      <c r="A170" s="181">
        <f>固定资产台账1!A15</f>
        <v>0</v>
      </c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3">
        <f t="shared" si="15"/>
        <v>0</v>
      </c>
      <c r="AH170" s="176">
        <f>AG170-研发设备工时计算表2!R17</f>
        <v>0</v>
      </c>
    </row>
    <row r="171" s="176" customFormat="1" customHeight="1" spans="1:36">
      <c r="A171" s="181">
        <f>固定资产台账1!A16</f>
        <v>0</v>
      </c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3">
        <f t="shared" si="15"/>
        <v>0</v>
      </c>
      <c r="AH171" s="176">
        <f>AG171-研发设备工时计算表2!R18</f>
        <v>0</v>
      </c>
    </row>
    <row r="172" s="176" customFormat="1" customHeight="1" spans="1:36">
      <c r="A172" s="181">
        <f>固定资产台账1!A17</f>
        <v>0</v>
      </c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3">
        <f t="shared" ref="AG172:AG182" si="16">SUM(B172:AF172)</f>
        <v>0</v>
      </c>
      <c r="AH172" s="176">
        <f>AG172-研发设备工时计算表2!R19</f>
        <v>0</v>
      </c>
    </row>
    <row r="173" s="176" customFormat="1" customHeight="1" spans="1:36">
      <c r="A173" s="181">
        <f>固定资产台账1!A18</f>
        <v>0</v>
      </c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  <c r="AG173" s="183">
        <f t="shared" si="16"/>
        <v>0</v>
      </c>
      <c r="AH173" s="176">
        <f>AG173-研发设备工时计算表2!R20</f>
        <v>0</v>
      </c>
    </row>
    <row r="174" s="176" customFormat="1" customHeight="1" spans="1:36">
      <c r="A174" s="181">
        <f>固定资产台账1!A19</f>
        <v>0</v>
      </c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  <c r="AG174" s="183">
        <f t="shared" si="16"/>
        <v>0</v>
      </c>
      <c r="AH174" s="176">
        <f>AG174-研发设备工时计算表2!R21</f>
        <v>0</v>
      </c>
    </row>
    <row r="175" s="176" customFormat="1" customHeight="1" spans="1:36">
      <c r="A175" s="181">
        <f>固定资产台账1!A20</f>
        <v>0</v>
      </c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  <c r="AG175" s="183">
        <f t="shared" si="16"/>
        <v>0</v>
      </c>
      <c r="AH175" s="176">
        <f>AG175-研发设备工时计算表2!R22</f>
        <v>0</v>
      </c>
    </row>
    <row r="176" s="176" customFormat="1" customHeight="1" spans="1:36">
      <c r="A176" s="181">
        <f>固定资产台账1!A21</f>
        <v>0</v>
      </c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3">
        <f t="shared" si="16"/>
        <v>0</v>
      </c>
      <c r="AH176" s="176">
        <f>AG176-研发设备工时计算表2!R23</f>
        <v>0</v>
      </c>
    </row>
    <row r="177" s="176" customFormat="1" customHeight="1" spans="1:36">
      <c r="A177" s="181">
        <f>固定资产台账1!A22</f>
        <v>0</v>
      </c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3">
        <f t="shared" si="16"/>
        <v>0</v>
      </c>
      <c r="AH177" s="176">
        <f>AG177-研发设备工时计算表2!R25</f>
        <v>0</v>
      </c>
    </row>
    <row r="178" s="176" customFormat="1" customHeight="1" spans="1:36">
      <c r="A178" s="181">
        <f>固定资产台账1!A23</f>
        <v>0</v>
      </c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3">
        <f t="shared" si="16"/>
        <v>0</v>
      </c>
      <c r="AH178" s="176">
        <f>AG178-研发设备工时计算表2!R25</f>
        <v>0</v>
      </c>
    </row>
    <row r="179" s="176" customFormat="1" customHeight="1" spans="1:36">
      <c r="A179" s="181">
        <f>固定资产台账1!A25</f>
        <v>0</v>
      </c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3">
        <f t="shared" si="16"/>
        <v>0</v>
      </c>
      <c r="AH179" s="176">
        <f>AG179-研发设备工时计算表2!R26</f>
        <v>0</v>
      </c>
    </row>
    <row r="180" s="176" customFormat="1" customHeight="1" spans="1:36">
      <c r="A180" s="181">
        <f>固定资产台账1!A25</f>
        <v>0</v>
      </c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3">
        <f t="shared" si="16"/>
        <v>0</v>
      </c>
      <c r="AH180" s="176">
        <f>AG180-研发设备工时计算表2!R27</f>
        <v>0</v>
      </c>
    </row>
    <row r="181" s="176" customFormat="1" customHeight="1" spans="1:36">
      <c r="A181" s="181">
        <f>固定资产台账1!A26</f>
        <v>0</v>
      </c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3">
        <f t="shared" si="16"/>
        <v>0</v>
      </c>
      <c r="AH181" s="176">
        <f>AG181-研发设备工时计算表2!R28</f>
        <v>0</v>
      </c>
    </row>
    <row r="182" s="176" customFormat="1" customHeight="1" spans="1:36">
      <c r="A182" s="181">
        <f>固定资产台账1!A27</f>
        <v>0</v>
      </c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3">
        <f t="shared" si="16"/>
        <v>0</v>
      </c>
      <c r="AH182" s="176">
        <f>AG182-研发设备工时计算表2!R29</f>
        <v>0</v>
      </c>
    </row>
    <row r="183" s="176" customFormat="1" customHeight="1" spans="1:36">
      <c r="A183" s="181" t="s">
        <v>270</v>
      </c>
      <c r="B183" s="182">
        <f t="shared" ref="B183:AG183" si="17">SUM(B158:B182)</f>
        <v>0</v>
      </c>
      <c r="C183" s="182">
        <f t="shared" si="17"/>
        <v>0</v>
      </c>
      <c r="D183" s="182">
        <f t="shared" si="17"/>
        <v>0</v>
      </c>
      <c r="E183" s="182">
        <f t="shared" si="17"/>
        <v>0</v>
      </c>
      <c r="F183" s="182">
        <f t="shared" si="17"/>
        <v>0</v>
      </c>
      <c r="G183" s="182">
        <f t="shared" si="17"/>
        <v>0</v>
      </c>
      <c r="H183" s="182">
        <f t="shared" si="17"/>
        <v>0</v>
      </c>
      <c r="I183" s="182">
        <f t="shared" si="17"/>
        <v>0</v>
      </c>
      <c r="J183" s="182">
        <f t="shared" si="17"/>
        <v>0</v>
      </c>
      <c r="K183" s="182">
        <f t="shared" si="17"/>
        <v>0</v>
      </c>
      <c r="L183" s="182">
        <f t="shared" si="17"/>
        <v>0</v>
      </c>
      <c r="M183" s="182">
        <f t="shared" si="17"/>
        <v>0</v>
      </c>
      <c r="N183" s="182">
        <f t="shared" si="17"/>
        <v>0</v>
      </c>
      <c r="O183" s="182">
        <f t="shared" si="17"/>
        <v>0</v>
      </c>
      <c r="P183" s="182">
        <f t="shared" si="17"/>
        <v>0</v>
      </c>
      <c r="Q183" s="182">
        <f t="shared" si="17"/>
        <v>0</v>
      </c>
      <c r="R183" s="182">
        <f t="shared" si="17"/>
        <v>0</v>
      </c>
      <c r="S183" s="182">
        <f t="shared" si="17"/>
        <v>0</v>
      </c>
      <c r="T183" s="182">
        <f t="shared" si="17"/>
        <v>0</v>
      </c>
      <c r="U183" s="182">
        <f t="shared" si="17"/>
        <v>0</v>
      </c>
      <c r="V183" s="182">
        <f t="shared" si="17"/>
        <v>0</v>
      </c>
      <c r="W183" s="182">
        <f t="shared" si="17"/>
        <v>0</v>
      </c>
      <c r="X183" s="182">
        <f t="shared" si="17"/>
        <v>0</v>
      </c>
      <c r="Y183" s="182">
        <f t="shared" si="17"/>
        <v>0</v>
      </c>
      <c r="Z183" s="182">
        <f t="shared" si="17"/>
        <v>0</v>
      </c>
      <c r="AA183" s="182">
        <f t="shared" si="17"/>
        <v>0</v>
      </c>
      <c r="AB183" s="182">
        <f t="shared" si="17"/>
        <v>0</v>
      </c>
      <c r="AC183" s="182">
        <f t="shared" si="17"/>
        <v>0</v>
      </c>
      <c r="AD183" s="182">
        <f t="shared" si="17"/>
        <v>0</v>
      </c>
      <c r="AE183" s="182">
        <f t="shared" si="17"/>
        <v>0</v>
      </c>
      <c r="AF183" s="182">
        <f t="shared" si="17"/>
        <v>0</v>
      </c>
      <c r="AG183" s="182">
        <f t="shared" si="17"/>
        <v>0</v>
      </c>
    </row>
    <row r="186" s="176" customFormat="1" customHeight="1" spans="1:36">
      <c r="A186" s="142" t="s">
        <v>276</v>
      </c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</row>
    <row r="187" s="176" customFormat="1" customHeight="1" spans="1:36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</row>
    <row r="188" s="176" customFormat="1" customHeight="1" spans="1:36">
      <c r="A188" s="179" t="s">
        <v>269</v>
      </c>
      <c r="B188" s="165">
        <v>1</v>
      </c>
      <c r="C188" s="165">
        <v>2</v>
      </c>
      <c r="D188" s="165">
        <v>3</v>
      </c>
      <c r="E188" s="165">
        <v>4</v>
      </c>
      <c r="F188" s="165">
        <v>5</v>
      </c>
      <c r="G188" s="165">
        <v>6</v>
      </c>
      <c r="H188" s="165">
        <v>7</v>
      </c>
      <c r="I188" s="165">
        <v>8</v>
      </c>
      <c r="J188" s="165">
        <v>9</v>
      </c>
      <c r="K188" s="165">
        <v>10</v>
      </c>
      <c r="L188" s="165">
        <v>11</v>
      </c>
      <c r="M188" s="165">
        <v>12</v>
      </c>
      <c r="N188" s="165">
        <v>13</v>
      </c>
      <c r="O188" s="165">
        <v>14</v>
      </c>
      <c r="P188" s="165">
        <v>15</v>
      </c>
      <c r="Q188" s="165">
        <v>16</v>
      </c>
      <c r="R188" s="165">
        <v>17</v>
      </c>
      <c r="S188" s="165">
        <v>18</v>
      </c>
      <c r="T188" s="165">
        <v>19</v>
      </c>
      <c r="U188" s="165">
        <v>20</v>
      </c>
      <c r="V188" s="165">
        <v>21</v>
      </c>
      <c r="W188" s="165">
        <v>22</v>
      </c>
      <c r="X188" s="165">
        <v>23</v>
      </c>
      <c r="Y188" s="165">
        <v>25</v>
      </c>
      <c r="Z188" s="165">
        <v>25</v>
      </c>
      <c r="AA188" s="165">
        <v>26</v>
      </c>
      <c r="AB188" s="165">
        <v>27</v>
      </c>
      <c r="AC188" s="165">
        <v>28</v>
      </c>
      <c r="AD188" s="165">
        <v>29</v>
      </c>
      <c r="AE188" s="165">
        <v>30</v>
      </c>
      <c r="AF188" s="165">
        <v>31</v>
      </c>
      <c r="AG188" s="180"/>
    </row>
    <row r="189" s="176" customFormat="1" customHeight="1" spans="1:36">
      <c r="A189" s="181">
        <f>固定资产台账1!A3</f>
        <v>0</v>
      </c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83">
        <f t="shared" ref="AG189:AG204" si="18">SUM(B189:AF189)</f>
        <v>0</v>
      </c>
      <c r="AH189" s="176">
        <f>AG189-研发设备工时计算表2!U5</f>
        <v>0</v>
      </c>
      <c r="AI189" s="176" t="e">
        <f>研发设备折旧表3!#REF!</f>
        <v>#REF!</v>
      </c>
      <c r="AJ189" s="176" t="e">
        <f>研发设备折旧表3!#REF!</f>
        <v>#REF!</v>
      </c>
    </row>
    <row r="190" s="176" customFormat="1" customHeight="1" spans="1:36">
      <c r="A190" s="181">
        <f>固定资产台账1!A4</f>
        <v>0</v>
      </c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83">
        <f t="shared" si="18"/>
        <v>0</v>
      </c>
      <c r="AH190" s="176">
        <f>AG190-研发设备工时计算表2!U6</f>
        <v>0</v>
      </c>
      <c r="AI190" s="176" t="e">
        <f>研发设备折旧表3!#REF!</f>
        <v>#REF!</v>
      </c>
      <c r="AJ190" s="176" t="e">
        <f>研发设备折旧表3!#REF!</f>
        <v>#REF!</v>
      </c>
    </row>
    <row r="191" s="176" customFormat="1" customHeight="1" spans="1:36">
      <c r="A191" s="181">
        <f>固定资产台账1!A5</f>
        <v>0</v>
      </c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3">
        <f t="shared" si="18"/>
        <v>0</v>
      </c>
      <c r="AH191" s="176">
        <f>AG191-研发设备工时计算表2!U7</f>
        <v>0</v>
      </c>
      <c r="AI191" s="176" t="e">
        <f>研发设备折旧表3!#REF!</f>
        <v>#REF!</v>
      </c>
      <c r="AJ191" s="176" t="e">
        <f>研发设备折旧表3!#REF!</f>
        <v>#REF!</v>
      </c>
    </row>
    <row r="192" s="176" customFormat="1" customHeight="1" spans="1:36">
      <c r="A192" s="181">
        <f>固定资产台账1!A6</f>
        <v>0</v>
      </c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83">
        <f t="shared" si="18"/>
        <v>0</v>
      </c>
      <c r="AH192" s="176">
        <f>AG192-研发设备工时计算表2!U8</f>
        <v>0</v>
      </c>
      <c r="AI192" s="176" t="e">
        <f>研发设备折旧表3!#REF!</f>
        <v>#REF!</v>
      </c>
      <c r="AJ192" s="176" t="e">
        <f>研发设备折旧表3!#REF!</f>
        <v>#REF!</v>
      </c>
    </row>
    <row r="193" s="176" customFormat="1" customHeight="1" spans="1:36">
      <c r="A193" s="181">
        <f>固定资产台账1!A7</f>
        <v>0</v>
      </c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3">
        <f t="shared" si="18"/>
        <v>0</v>
      </c>
      <c r="AH193" s="176">
        <f>AG193-研发设备工时计算表2!U9</f>
        <v>0</v>
      </c>
      <c r="AI193" s="176" t="e">
        <f>研发设备折旧表3!#REF!</f>
        <v>#REF!</v>
      </c>
      <c r="AJ193" s="176" t="e">
        <f>研发设备折旧表3!#REF!</f>
        <v>#REF!</v>
      </c>
    </row>
    <row r="194" s="176" customFormat="1" customHeight="1" spans="1:36">
      <c r="A194" s="181">
        <f>固定资产台账1!A8</f>
        <v>0</v>
      </c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G194" s="183">
        <f t="shared" si="18"/>
        <v>0</v>
      </c>
      <c r="AH194" s="176">
        <f>AG194-研发设备工时计算表2!U10</f>
        <v>0</v>
      </c>
      <c r="AI194" s="176" t="e">
        <f>研发设备折旧表3!#REF!</f>
        <v>#REF!</v>
      </c>
      <c r="AJ194" s="176" t="e">
        <f>研发设备折旧表3!#REF!</f>
        <v>#REF!</v>
      </c>
    </row>
    <row r="195" s="176" customFormat="1" customHeight="1" spans="1:36">
      <c r="A195" s="181">
        <f>固定资产台账1!A9</f>
        <v>0</v>
      </c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G195" s="183">
        <f t="shared" si="18"/>
        <v>0</v>
      </c>
      <c r="AH195" s="176">
        <f>AG195-研发设备工时计算表2!U11</f>
        <v>0</v>
      </c>
      <c r="AI195" s="176" t="e">
        <f>研发设备折旧表3!#REF!</f>
        <v>#REF!</v>
      </c>
      <c r="AJ195" s="176" t="e">
        <f>研发设备折旧表3!#REF!</f>
        <v>#REF!</v>
      </c>
    </row>
    <row r="196" s="176" customFormat="1" customHeight="1" spans="1:36">
      <c r="A196" s="181">
        <f>固定资产台账1!A10</f>
        <v>0</v>
      </c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3">
        <f t="shared" si="18"/>
        <v>0</v>
      </c>
      <c r="AH196" s="176">
        <f>AG196-研发设备工时计算表2!U12</f>
        <v>0</v>
      </c>
      <c r="AI196" s="176" t="e">
        <f>研发设备折旧表3!#REF!</f>
        <v>#REF!</v>
      </c>
      <c r="AJ196" s="176" t="e">
        <f>研发设备折旧表3!#REF!</f>
        <v>#REF!</v>
      </c>
    </row>
    <row r="197" s="176" customFormat="1" customHeight="1" spans="1:36">
      <c r="A197" s="181">
        <f>固定资产台账1!A11</f>
        <v>0</v>
      </c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3">
        <f t="shared" si="18"/>
        <v>0</v>
      </c>
      <c r="AH197" s="176">
        <f>AG197-研发设备工时计算表2!U13</f>
        <v>0</v>
      </c>
      <c r="AI197" s="176" t="e">
        <f>研发设备折旧表3!#REF!</f>
        <v>#REF!</v>
      </c>
      <c r="AJ197" s="176" t="e">
        <f>研发设备折旧表3!#REF!</f>
        <v>#REF!</v>
      </c>
    </row>
    <row r="198" s="176" customFormat="1" customHeight="1" spans="1:36">
      <c r="A198" s="181">
        <f>固定资产台账1!A12</f>
        <v>0</v>
      </c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3">
        <f t="shared" si="18"/>
        <v>0</v>
      </c>
      <c r="AH198" s="176">
        <f>AG198-研发设备工时计算表2!U14</f>
        <v>0</v>
      </c>
      <c r="AI198" s="176" t="e">
        <f>研发设备折旧表3!#REF!</f>
        <v>#REF!</v>
      </c>
      <c r="AJ198" s="176" t="e">
        <f>研发设备折旧表3!#REF!</f>
        <v>#REF!</v>
      </c>
    </row>
    <row r="199" s="176" customFormat="1" customHeight="1" spans="1:36">
      <c r="A199" s="181">
        <f>固定资产台账1!A13</f>
        <v>0</v>
      </c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3">
        <f t="shared" si="18"/>
        <v>0</v>
      </c>
      <c r="AH199" s="176">
        <f>AG199-研发设备工时计算表2!U15</f>
        <v>0</v>
      </c>
    </row>
    <row r="200" s="176" customFormat="1" customHeight="1" spans="1:36">
      <c r="A200" s="181">
        <f>固定资产台账1!A14</f>
        <v>0</v>
      </c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3">
        <f t="shared" si="18"/>
        <v>0</v>
      </c>
      <c r="AH200" s="176">
        <f>AG200-研发设备工时计算表2!U16</f>
        <v>0</v>
      </c>
    </row>
    <row r="201" s="176" customFormat="1" customHeight="1" spans="1:36">
      <c r="A201" s="181">
        <f>固定资产台账1!A15</f>
        <v>0</v>
      </c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3">
        <f t="shared" si="18"/>
        <v>0</v>
      </c>
      <c r="AH201" s="176">
        <f>AG201-研发设备工时计算表2!U17</f>
        <v>0</v>
      </c>
    </row>
    <row r="202" s="176" customFormat="1" customHeight="1" spans="1:36">
      <c r="A202" s="181">
        <f>固定资产台账1!A16</f>
        <v>0</v>
      </c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3">
        <f t="shared" si="18"/>
        <v>0</v>
      </c>
      <c r="AH202" s="176">
        <f>AG202-研发设备工时计算表2!U18</f>
        <v>0</v>
      </c>
    </row>
    <row r="203" s="176" customFormat="1" customHeight="1" spans="1:36">
      <c r="A203" s="181">
        <f>固定资产台账1!A17</f>
        <v>0</v>
      </c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3">
        <f t="shared" ref="AG203:AG213" si="19">SUM(B203:AF203)</f>
        <v>0</v>
      </c>
      <c r="AH203" s="176">
        <f>AG203-研发设备工时计算表2!U19</f>
        <v>0</v>
      </c>
    </row>
    <row r="204" s="176" customFormat="1" customHeight="1" spans="1:36">
      <c r="A204" s="181">
        <f>固定资产台账1!A18</f>
        <v>0</v>
      </c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3">
        <f t="shared" si="19"/>
        <v>0</v>
      </c>
      <c r="AH204" s="176">
        <f>AG204-研发设备工时计算表2!U20</f>
        <v>0</v>
      </c>
    </row>
    <row r="205" s="176" customFormat="1" customHeight="1" spans="1:36">
      <c r="A205" s="181">
        <f>固定资产台账1!A19</f>
        <v>0</v>
      </c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3">
        <f t="shared" si="19"/>
        <v>0</v>
      </c>
      <c r="AH205" s="176">
        <f>AG205-研发设备工时计算表2!U21</f>
        <v>0</v>
      </c>
    </row>
    <row r="206" s="176" customFormat="1" customHeight="1" spans="1:36">
      <c r="A206" s="181">
        <f>固定资产台账1!A20</f>
        <v>0</v>
      </c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3">
        <f t="shared" si="19"/>
        <v>0</v>
      </c>
      <c r="AH206" s="176">
        <f>AG206-研发设备工时计算表2!U22</f>
        <v>0</v>
      </c>
    </row>
    <row r="207" s="176" customFormat="1" customHeight="1" spans="1:36">
      <c r="A207" s="181">
        <f>固定资产台账1!A21</f>
        <v>0</v>
      </c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  <c r="AC207" s="182"/>
      <c r="AD207" s="182"/>
      <c r="AE207" s="182"/>
      <c r="AF207" s="182"/>
      <c r="AG207" s="183">
        <f t="shared" si="19"/>
        <v>0</v>
      </c>
      <c r="AH207" s="176">
        <f>AG207-研发设备工时计算表2!U23</f>
        <v>0</v>
      </c>
    </row>
    <row r="208" s="176" customFormat="1" customHeight="1" spans="1:36">
      <c r="A208" s="181">
        <f>固定资产台账1!A22</f>
        <v>0</v>
      </c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  <c r="AG208" s="183">
        <f t="shared" si="19"/>
        <v>0</v>
      </c>
      <c r="AH208" s="176">
        <f>AG208-研发设备工时计算表2!U25</f>
        <v>0</v>
      </c>
    </row>
    <row r="209" s="176" customFormat="1" customHeight="1" spans="1:36">
      <c r="A209" s="181">
        <f>固定资产台账1!A23</f>
        <v>0</v>
      </c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  <c r="AD209" s="182"/>
      <c r="AE209" s="182"/>
      <c r="AF209" s="182"/>
      <c r="AG209" s="183">
        <f t="shared" si="19"/>
        <v>0</v>
      </c>
      <c r="AH209" s="176">
        <f>AG209-研发设备工时计算表2!U25</f>
        <v>0</v>
      </c>
    </row>
    <row r="210" s="176" customFormat="1" customHeight="1" spans="1:36">
      <c r="A210" s="181">
        <f>固定资产台账1!A25</f>
        <v>0</v>
      </c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  <c r="AG210" s="183">
        <f t="shared" si="19"/>
        <v>0</v>
      </c>
      <c r="AH210" s="176">
        <f>AG210-研发设备工时计算表2!U26</f>
        <v>0</v>
      </c>
    </row>
    <row r="211" s="176" customFormat="1" customHeight="1" spans="1:36">
      <c r="A211" s="181">
        <f>固定资产台账1!A25</f>
        <v>0</v>
      </c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  <c r="AD211" s="182"/>
      <c r="AE211" s="182"/>
      <c r="AF211" s="182"/>
      <c r="AG211" s="183">
        <f t="shared" si="19"/>
        <v>0</v>
      </c>
      <c r="AH211" s="176">
        <f>AG211-研发设备工时计算表2!U27</f>
        <v>0</v>
      </c>
    </row>
    <row r="212" s="176" customFormat="1" customHeight="1" spans="1:36">
      <c r="A212" s="181">
        <f>固定资产台账1!A26</f>
        <v>0</v>
      </c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  <c r="AG212" s="183">
        <f t="shared" si="19"/>
        <v>0</v>
      </c>
      <c r="AH212" s="176">
        <f>AG212-研发设备工时计算表2!U28</f>
        <v>0</v>
      </c>
    </row>
    <row r="213" s="176" customFormat="1" customHeight="1" spans="1:36">
      <c r="A213" s="181">
        <f>固定资产台账1!A27</f>
        <v>0</v>
      </c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  <c r="AC213" s="182"/>
      <c r="AD213" s="182"/>
      <c r="AE213" s="182"/>
      <c r="AF213" s="182"/>
      <c r="AG213" s="183">
        <f t="shared" si="19"/>
        <v>0</v>
      </c>
      <c r="AH213" s="176">
        <f>AG213-研发设备工时计算表2!U29</f>
        <v>0</v>
      </c>
    </row>
    <row r="214" s="176" customFormat="1" customHeight="1" spans="1:36">
      <c r="A214" s="181" t="s">
        <v>270</v>
      </c>
      <c r="B214" s="182">
        <f t="shared" ref="B214:AG214" si="20">SUM(B189:B213)</f>
        <v>0</v>
      </c>
      <c r="C214" s="182">
        <f t="shared" si="20"/>
        <v>0</v>
      </c>
      <c r="D214" s="182">
        <f t="shared" si="20"/>
        <v>0</v>
      </c>
      <c r="E214" s="182">
        <f t="shared" si="20"/>
        <v>0</v>
      </c>
      <c r="F214" s="182">
        <f t="shared" si="20"/>
        <v>0</v>
      </c>
      <c r="G214" s="182">
        <f t="shared" si="20"/>
        <v>0</v>
      </c>
      <c r="H214" s="182">
        <f t="shared" si="20"/>
        <v>0</v>
      </c>
      <c r="I214" s="182">
        <f t="shared" si="20"/>
        <v>0</v>
      </c>
      <c r="J214" s="182">
        <f t="shared" si="20"/>
        <v>0</v>
      </c>
      <c r="K214" s="182">
        <f t="shared" si="20"/>
        <v>0</v>
      </c>
      <c r="L214" s="182">
        <f t="shared" si="20"/>
        <v>0</v>
      </c>
      <c r="M214" s="182">
        <f t="shared" si="20"/>
        <v>0</v>
      </c>
      <c r="N214" s="182">
        <f t="shared" si="20"/>
        <v>0</v>
      </c>
      <c r="O214" s="182">
        <f t="shared" si="20"/>
        <v>0</v>
      </c>
      <c r="P214" s="182">
        <f t="shared" si="20"/>
        <v>0</v>
      </c>
      <c r="Q214" s="182">
        <f t="shared" si="20"/>
        <v>0</v>
      </c>
      <c r="R214" s="182">
        <f t="shared" si="20"/>
        <v>0</v>
      </c>
      <c r="S214" s="182">
        <f t="shared" si="20"/>
        <v>0</v>
      </c>
      <c r="T214" s="182">
        <f t="shared" si="20"/>
        <v>0</v>
      </c>
      <c r="U214" s="182">
        <f t="shared" si="20"/>
        <v>0</v>
      </c>
      <c r="V214" s="182">
        <f t="shared" si="20"/>
        <v>0</v>
      </c>
      <c r="W214" s="182">
        <f t="shared" si="20"/>
        <v>0</v>
      </c>
      <c r="X214" s="182">
        <f t="shared" si="20"/>
        <v>0</v>
      </c>
      <c r="Y214" s="182">
        <f t="shared" si="20"/>
        <v>0</v>
      </c>
      <c r="Z214" s="182">
        <f t="shared" si="20"/>
        <v>0</v>
      </c>
      <c r="AA214" s="182">
        <f t="shared" si="20"/>
        <v>0</v>
      </c>
      <c r="AB214" s="182">
        <f t="shared" si="20"/>
        <v>0</v>
      </c>
      <c r="AC214" s="182">
        <f t="shared" si="20"/>
        <v>0</v>
      </c>
      <c r="AD214" s="182">
        <f t="shared" si="20"/>
        <v>0</v>
      </c>
      <c r="AE214" s="182">
        <f t="shared" si="20"/>
        <v>0</v>
      </c>
      <c r="AF214" s="182">
        <f t="shared" si="20"/>
        <v>0</v>
      </c>
      <c r="AG214" s="182">
        <f t="shared" si="20"/>
        <v>0</v>
      </c>
    </row>
    <row r="217" s="176" customFormat="1" customHeight="1" spans="1:36">
      <c r="A217" s="142" t="s">
        <v>277</v>
      </c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</row>
    <row r="218" s="176" customFormat="1" customHeight="1" spans="1:36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</row>
    <row r="219" s="176" customFormat="1" customHeight="1" spans="1:36">
      <c r="A219" s="179" t="s">
        <v>269</v>
      </c>
      <c r="B219" s="165">
        <v>1</v>
      </c>
      <c r="C219" s="165">
        <v>2</v>
      </c>
      <c r="D219" s="165">
        <v>3</v>
      </c>
      <c r="E219" s="165">
        <v>4</v>
      </c>
      <c r="F219" s="165">
        <v>5</v>
      </c>
      <c r="G219" s="165">
        <v>6</v>
      </c>
      <c r="H219" s="165">
        <v>7</v>
      </c>
      <c r="I219" s="165">
        <v>8</v>
      </c>
      <c r="J219" s="165">
        <v>9</v>
      </c>
      <c r="K219" s="165">
        <v>10</v>
      </c>
      <c r="L219" s="165">
        <v>11</v>
      </c>
      <c r="M219" s="165">
        <v>12</v>
      </c>
      <c r="N219" s="165">
        <v>13</v>
      </c>
      <c r="O219" s="165">
        <v>14</v>
      </c>
      <c r="P219" s="165">
        <v>15</v>
      </c>
      <c r="Q219" s="165">
        <v>16</v>
      </c>
      <c r="R219" s="165">
        <v>17</v>
      </c>
      <c r="S219" s="165">
        <v>18</v>
      </c>
      <c r="T219" s="165">
        <v>19</v>
      </c>
      <c r="U219" s="165">
        <v>20</v>
      </c>
      <c r="V219" s="165">
        <v>21</v>
      </c>
      <c r="W219" s="165">
        <v>22</v>
      </c>
      <c r="X219" s="165">
        <v>23</v>
      </c>
      <c r="Y219" s="165">
        <v>25</v>
      </c>
      <c r="Z219" s="165">
        <v>25</v>
      </c>
      <c r="AA219" s="165">
        <v>26</v>
      </c>
      <c r="AB219" s="165">
        <v>27</v>
      </c>
      <c r="AC219" s="165">
        <v>28</v>
      </c>
      <c r="AD219" s="165">
        <v>29</v>
      </c>
      <c r="AE219" s="165">
        <v>30</v>
      </c>
      <c r="AF219" s="165">
        <v>31</v>
      </c>
      <c r="AG219" s="180"/>
    </row>
    <row r="220" s="176" customFormat="1" customHeight="1" spans="1:36">
      <c r="A220" s="181">
        <f>固定资产台账1!A3</f>
        <v>0</v>
      </c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3">
        <f t="shared" ref="AG220:AG235" si="21">SUM(B220:AF220)</f>
        <v>0</v>
      </c>
      <c r="AH220" s="176">
        <f>AG220-研发设备工时计算表2!X5</f>
        <v>0</v>
      </c>
      <c r="AI220" s="176" t="e">
        <f>研发设备折旧表3!#REF!</f>
        <v>#REF!</v>
      </c>
      <c r="AJ220" s="176" t="e">
        <f>研发设备折旧表3!#REF!</f>
        <v>#REF!</v>
      </c>
    </row>
    <row r="221" s="176" customFormat="1" customHeight="1" spans="1:36">
      <c r="A221" s="181">
        <f>固定资产台账1!A4</f>
        <v>0</v>
      </c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3">
        <f t="shared" si="21"/>
        <v>0</v>
      </c>
      <c r="AH221" s="176">
        <f>AG221-研发设备工时计算表2!X6</f>
        <v>0</v>
      </c>
      <c r="AI221" s="176" t="e">
        <f>研发设备折旧表3!#REF!</f>
        <v>#REF!</v>
      </c>
      <c r="AJ221" s="176" t="e">
        <f>研发设备折旧表3!#REF!</f>
        <v>#REF!</v>
      </c>
    </row>
    <row r="222" s="176" customFormat="1" customHeight="1" spans="1:36">
      <c r="A222" s="181">
        <f>固定资产台账1!A5</f>
        <v>0</v>
      </c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3">
        <f t="shared" si="21"/>
        <v>0</v>
      </c>
      <c r="AH222" s="176">
        <f>AG222-研发设备工时计算表2!X7</f>
        <v>0</v>
      </c>
      <c r="AI222" s="176" t="e">
        <f>研发设备折旧表3!#REF!</f>
        <v>#REF!</v>
      </c>
      <c r="AJ222" s="176" t="e">
        <f>研发设备折旧表3!#REF!</f>
        <v>#REF!</v>
      </c>
    </row>
    <row r="223" s="176" customFormat="1" customHeight="1" spans="1:36">
      <c r="A223" s="181">
        <f>固定资产台账1!A6</f>
        <v>0</v>
      </c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3">
        <f t="shared" si="21"/>
        <v>0</v>
      </c>
      <c r="AH223" s="176">
        <f>AG223-研发设备工时计算表2!X8</f>
        <v>0</v>
      </c>
      <c r="AI223" s="176" t="e">
        <f>研发设备折旧表3!#REF!</f>
        <v>#REF!</v>
      </c>
      <c r="AJ223" s="176" t="e">
        <f>研发设备折旧表3!#REF!</f>
        <v>#REF!</v>
      </c>
    </row>
    <row r="224" s="176" customFormat="1" customHeight="1" spans="1:36">
      <c r="A224" s="181">
        <f>固定资产台账1!A7</f>
        <v>0</v>
      </c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  <c r="AG224" s="183">
        <f t="shared" si="21"/>
        <v>0</v>
      </c>
      <c r="AH224" s="176">
        <f>AG224-研发设备工时计算表2!X9</f>
        <v>0</v>
      </c>
      <c r="AI224" s="176" t="e">
        <f>研发设备折旧表3!#REF!</f>
        <v>#REF!</v>
      </c>
      <c r="AJ224" s="176" t="e">
        <f>研发设备折旧表3!#REF!</f>
        <v>#REF!</v>
      </c>
    </row>
    <row r="225" s="176" customFormat="1" customHeight="1" spans="1:36">
      <c r="A225" s="181">
        <f>固定资产台账1!A8</f>
        <v>0</v>
      </c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  <c r="AD225" s="182"/>
      <c r="AE225" s="182"/>
      <c r="AF225" s="182"/>
      <c r="AG225" s="183">
        <f t="shared" si="21"/>
        <v>0</v>
      </c>
      <c r="AH225" s="176">
        <f>AG225-研发设备工时计算表2!X10</f>
        <v>0</v>
      </c>
      <c r="AI225" s="176" t="e">
        <f>研发设备折旧表3!#REF!</f>
        <v>#REF!</v>
      </c>
      <c r="AJ225" s="176" t="e">
        <f>研发设备折旧表3!#REF!</f>
        <v>#REF!</v>
      </c>
    </row>
    <row r="226" s="176" customFormat="1" customHeight="1" spans="1:36">
      <c r="A226" s="181">
        <f>固定资产台账1!A9</f>
        <v>0</v>
      </c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3">
        <f t="shared" si="21"/>
        <v>0</v>
      </c>
      <c r="AH226" s="176">
        <f>AG226-研发设备工时计算表2!X11</f>
        <v>0</v>
      </c>
      <c r="AI226" s="176" t="e">
        <f>研发设备折旧表3!#REF!</f>
        <v>#REF!</v>
      </c>
      <c r="AJ226" s="176" t="e">
        <f>研发设备折旧表3!#REF!</f>
        <v>#REF!</v>
      </c>
    </row>
    <row r="227" s="176" customFormat="1" customHeight="1" spans="1:36">
      <c r="A227" s="181">
        <f>固定资产台账1!A10</f>
        <v>0</v>
      </c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  <c r="AD227" s="182"/>
      <c r="AE227" s="182"/>
      <c r="AF227" s="182"/>
      <c r="AG227" s="183">
        <f t="shared" si="21"/>
        <v>0</v>
      </c>
      <c r="AH227" s="176">
        <f>AG227-研发设备工时计算表2!X12</f>
        <v>0</v>
      </c>
      <c r="AI227" s="176" t="e">
        <f>研发设备折旧表3!#REF!</f>
        <v>#REF!</v>
      </c>
      <c r="AJ227" s="176" t="e">
        <f>研发设备折旧表3!#REF!</f>
        <v>#REF!</v>
      </c>
    </row>
    <row r="228" s="176" customFormat="1" customHeight="1" spans="1:36">
      <c r="A228" s="181">
        <f>固定资产台账1!A11</f>
        <v>0</v>
      </c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  <c r="AG228" s="183">
        <f t="shared" si="21"/>
        <v>0</v>
      </c>
      <c r="AH228" s="176">
        <f>AG228-研发设备工时计算表2!X13</f>
        <v>0</v>
      </c>
      <c r="AI228" s="176" t="e">
        <f>研发设备折旧表3!#REF!</f>
        <v>#REF!</v>
      </c>
      <c r="AJ228" s="176" t="e">
        <f>研发设备折旧表3!#REF!</f>
        <v>#REF!</v>
      </c>
    </row>
    <row r="229" s="176" customFormat="1" customHeight="1" spans="1:36">
      <c r="A229" s="181">
        <f>固定资产台账1!A12</f>
        <v>0</v>
      </c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  <c r="AD229" s="182"/>
      <c r="AE229" s="182"/>
      <c r="AF229" s="182"/>
      <c r="AG229" s="183">
        <f t="shared" si="21"/>
        <v>0</v>
      </c>
      <c r="AH229" s="176">
        <f>AG229-研发设备工时计算表2!X14</f>
        <v>0</v>
      </c>
      <c r="AI229" s="176" t="e">
        <f>研发设备折旧表3!#REF!</f>
        <v>#REF!</v>
      </c>
      <c r="AJ229" s="176" t="e">
        <f>研发设备折旧表3!#REF!</f>
        <v>#REF!</v>
      </c>
    </row>
    <row r="230" s="176" customFormat="1" customHeight="1" spans="1:36">
      <c r="A230" s="181">
        <f>固定资产台账1!A13</f>
        <v>0</v>
      </c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3">
        <f t="shared" si="21"/>
        <v>0</v>
      </c>
      <c r="AH230" s="176">
        <f>AG230-研发设备工时计算表2!X15</f>
        <v>0</v>
      </c>
    </row>
    <row r="231" s="176" customFormat="1" customHeight="1" spans="1:36">
      <c r="A231" s="181">
        <f>固定资产台账1!A14</f>
        <v>0</v>
      </c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  <c r="AD231" s="182"/>
      <c r="AE231" s="182"/>
      <c r="AF231" s="182"/>
      <c r="AG231" s="183">
        <f t="shared" si="21"/>
        <v>0</v>
      </c>
      <c r="AH231" s="176">
        <f>AG231-研发设备工时计算表2!X16</f>
        <v>0</v>
      </c>
    </row>
    <row r="232" s="176" customFormat="1" customHeight="1" spans="1:36">
      <c r="A232" s="181">
        <f>固定资产台账1!A15</f>
        <v>0</v>
      </c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3">
        <f t="shared" ref="AG232:AG239" si="22">SUM(B242:AF242)</f>
        <v>0</v>
      </c>
      <c r="AH232" s="176">
        <f>AG242-研发设备工时计算表2!X17</f>
        <v>0</v>
      </c>
    </row>
    <row r="233" s="176" customFormat="1" customHeight="1" spans="1:36">
      <c r="A233" s="181">
        <f>固定资产台账1!A16</f>
        <v>0</v>
      </c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3">
        <f t="shared" si="22"/>
        <v>0</v>
      </c>
      <c r="AH233" s="176">
        <f>AG243-研发设备工时计算表2!X18</f>
        <v>0</v>
      </c>
    </row>
    <row r="234" s="176" customFormat="1" customHeight="1" spans="1:36">
      <c r="A234" s="181">
        <f>固定资产台账1!A17</f>
        <v>0</v>
      </c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3">
        <f t="shared" si="22"/>
        <v>0</v>
      </c>
      <c r="AH234" s="176">
        <f>AG244-研发设备工时计算表2!X19</f>
        <v>0</v>
      </c>
    </row>
    <row r="235" s="176" customFormat="1" customHeight="1" spans="1:36">
      <c r="A235" s="181">
        <f>固定资产台账1!A18</f>
        <v>0</v>
      </c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3">
        <f t="shared" si="22"/>
        <v>0</v>
      </c>
    </row>
    <row r="236" s="176" customFormat="1" customHeight="1" spans="1:36">
      <c r="A236" s="181">
        <f>固定资产台账1!A19</f>
        <v>0</v>
      </c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3">
        <f t="shared" si="22"/>
        <v>0</v>
      </c>
      <c r="AH236" s="176">
        <f>AG246-研发设备工时计算表2!X21</f>
        <v>0</v>
      </c>
    </row>
    <row r="237" s="176" customFormat="1" customHeight="1" spans="1:36">
      <c r="A237" s="181">
        <f>固定资产台账1!A20</f>
        <v>0</v>
      </c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3">
        <f t="shared" si="22"/>
        <v>0</v>
      </c>
      <c r="AH237" s="176">
        <f>AG247-研发设备工时计算表2!X22</f>
        <v>0</v>
      </c>
    </row>
    <row r="238" s="176" customFormat="1" customHeight="1" spans="1:36">
      <c r="A238" s="181">
        <f>固定资产台账1!A21</f>
        <v>0</v>
      </c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3">
        <f t="shared" si="22"/>
        <v>0</v>
      </c>
      <c r="AH238" s="176">
        <f>AG248-研发设备工时计算表2!X23</f>
        <v>0</v>
      </c>
    </row>
    <row r="239" s="176" customFormat="1" customHeight="1" spans="1:36">
      <c r="A239" s="181">
        <f>固定资产台账1!A22</f>
        <v>0</v>
      </c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3">
        <f t="shared" si="22"/>
        <v>0</v>
      </c>
      <c r="AH239" s="176">
        <f>AG249-研发设备工时计算表2!X25</f>
        <v>0</v>
      </c>
    </row>
    <row r="240" s="176" customFormat="1" customHeight="1" spans="1:36">
      <c r="A240" s="181">
        <f>固定资产台账1!A23</f>
        <v>0</v>
      </c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3"/>
    </row>
    <row r="241" s="176" customFormat="1" customHeight="1" spans="1:36">
      <c r="A241" s="181">
        <f>固定资产台账1!A25</f>
        <v>0</v>
      </c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3">
        <f>SUM(B251:AF251)</f>
        <v>0</v>
      </c>
      <c r="AH241" s="176">
        <f>AG250-研发设备工时计算表2!X26</f>
        <v>0</v>
      </c>
    </row>
    <row r="242" s="176" customFormat="1" customHeight="1" spans="1:36">
      <c r="A242" s="181">
        <f>固定资产台账1!A25</f>
        <v>0</v>
      </c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3">
        <f>SUM(B252:AF252)</f>
        <v>0</v>
      </c>
      <c r="AH242" s="176">
        <f>AG242-研发设备工时计算表2!X27</f>
        <v>0</v>
      </c>
    </row>
    <row r="243" s="176" customFormat="1" customHeight="1" spans="1:36">
      <c r="A243" s="181">
        <f>固定资产台账1!A26</f>
        <v>0</v>
      </c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  <c r="AC243" s="182"/>
      <c r="AD243" s="182"/>
      <c r="AE243" s="182"/>
      <c r="AF243" s="182"/>
      <c r="AG243" s="183">
        <f>SUM(B243:AF243)</f>
        <v>0</v>
      </c>
      <c r="AH243" s="176">
        <f>AG243-研发设备工时计算表2!X28</f>
        <v>0</v>
      </c>
    </row>
    <row r="244" s="176" customFormat="1" customHeight="1" spans="1:36">
      <c r="A244" s="181">
        <f>固定资产台账1!A27</f>
        <v>0</v>
      </c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  <c r="AD244" s="182"/>
      <c r="AE244" s="182"/>
      <c r="AF244" s="182"/>
      <c r="AG244" s="183">
        <f>SUM(B244:AF244)</f>
        <v>0</v>
      </c>
      <c r="AH244" s="176">
        <f>AG244-研发设备工时计算表2!X29</f>
        <v>0</v>
      </c>
    </row>
    <row r="245" s="176" customFormat="1" customHeight="1" spans="1:36">
      <c r="A245" s="181" t="s">
        <v>270</v>
      </c>
      <c r="B245" s="182">
        <f t="shared" ref="B245:AG245" si="23">SUM(B220:B244)</f>
        <v>0</v>
      </c>
      <c r="C245" s="182">
        <f t="shared" si="23"/>
        <v>0</v>
      </c>
      <c r="D245" s="182">
        <f t="shared" si="23"/>
        <v>0</v>
      </c>
      <c r="E245" s="182">
        <f t="shared" si="23"/>
        <v>0</v>
      </c>
      <c r="F245" s="182">
        <f t="shared" si="23"/>
        <v>0</v>
      </c>
      <c r="G245" s="182">
        <f t="shared" si="23"/>
        <v>0</v>
      </c>
      <c r="H245" s="182">
        <f t="shared" si="23"/>
        <v>0</v>
      </c>
      <c r="I245" s="182">
        <f t="shared" si="23"/>
        <v>0</v>
      </c>
      <c r="J245" s="182">
        <f t="shared" si="23"/>
        <v>0</v>
      </c>
      <c r="K245" s="182">
        <f t="shared" si="23"/>
        <v>0</v>
      </c>
      <c r="L245" s="182">
        <f t="shared" si="23"/>
        <v>0</v>
      </c>
      <c r="M245" s="182">
        <f t="shared" si="23"/>
        <v>0</v>
      </c>
      <c r="N245" s="182">
        <f t="shared" si="23"/>
        <v>0</v>
      </c>
      <c r="O245" s="182">
        <f t="shared" si="23"/>
        <v>0</v>
      </c>
      <c r="P245" s="182">
        <f t="shared" si="23"/>
        <v>0</v>
      </c>
      <c r="Q245" s="182">
        <f t="shared" si="23"/>
        <v>0</v>
      </c>
      <c r="R245" s="182">
        <f t="shared" si="23"/>
        <v>0</v>
      </c>
      <c r="S245" s="182">
        <f t="shared" si="23"/>
        <v>0</v>
      </c>
      <c r="T245" s="182">
        <f t="shared" si="23"/>
        <v>0</v>
      </c>
      <c r="U245" s="182">
        <f t="shared" si="23"/>
        <v>0</v>
      </c>
      <c r="V245" s="182">
        <f t="shared" si="23"/>
        <v>0</v>
      </c>
      <c r="W245" s="182">
        <f t="shared" si="23"/>
        <v>0</v>
      </c>
      <c r="X245" s="182">
        <f t="shared" si="23"/>
        <v>0</v>
      </c>
      <c r="Y245" s="182">
        <f t="shared" si="23"/>
        <v>0</v>
      </c>
      <c r="Z245" s="182">
        <f t="shared" si="23"/>
        <v>0</v>
      </c>
      <c r="AA245" s="182">
        <f t="shared" si="23"/>
        <v>0</v>
      </c>
      <c r="AB245" s="182">
        <f t="shared" si="23"/>
        <v>0</v>
      </c>
      <c r="AC245" s="182">
        <f t="shared" si="23"/>
        <v>0</v>
      </c>
      <c r="AD245" s="182">
        <f t="shared" si="23"/>
        <v>0</v>
      </c>
      <c r="AE245" s="182">
        <f t="shared" si="23"/>
        <v>0</v>
      </c>
      <c r="AF245" s="182">
        <f t="shared" si="23"/>
        <v>0</v>
      </c>
      <c r="AG245" s="182">
        <f t="shared" si="23"/>
        <v>0</v>
      </c>
    </row>
    <row r="248" s="176" customFormat="1" customHeight="1" spans="1:36">
      <c r="A248" s="142" t="s">
        <v>278</v>
      </c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</row>
    <row r="249" s="176" customFormat="1" customHeight="1" spans="1:36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</row>
    <row r="250" s="176" customFormat="1" customHeight="1" spans="1:36">
      <c r="A250" s="179" t="s">
        <v>269</v>
      </c>
      <c r="B250" s="165">
        <v>1</v>
      </c>
      <c r="C250" s="165">
        <v>2</v>
      </c>
      <c r="D250" s="165">
        <v>3</v>
      </c>
      <c r="E250" s="165">
        <v>4</v>
      </c>
      <c r="F250" s="165">
        <v>5</v>
      </c>
      <c r="G250" s="165">
        <v>6</v>
      </c>
      <c r="H250" s="165">
        <v>7</v>
      </c>
      <c r="I250" s="165">
        <v>8</v>
      </c>
      <c r="J250" s="165">
        <v>9</v>
      </c>
      <c r="K250" s="165">
        <v>10</v>
      </c>
      <c r="L250" s="165">
        <v>11</v>
      </c>
      <c r="M250" s="165">
        <v>12</v>
      </c>
      <c r="N250" s="165">
        <v>13</v>
      </c>
      <c r="O250" s="165">
        <v>14</v>
      </c>
      <c r="P250" s="165">
        <v>15</v>
      </c>
      <c r="Q250" s="165">
        <v>16</v>
      </c>
      <c r="R250" s="165">
        <v>17</v>
      </c>
      <c r="S250" s="165">
        <v>18</v>
      </c>
      <c r="T250" s="165">
        <v>19</v>
      </c>
      <c r="U250" s="165">
        <v>20</v>
      </c>
      <c r="V250" s="165">
        <v>21</v>
      </c>
      <c r="W250" s="165">
        <v>22</v>
      </c>
      <c r="X250" s="165">
        <v>23</v>
      </c>
      <c r="Y250" s="165">
        <v>25</v>
      </c>
      <c r="Z250" s="165">
        <v>25</v>
      </c>
      <c r="AA250" s="165">
        <v>26</v>
      </c>
      <c r="AB250" s="165">
        <v>27</v>
      </c>
      <c r="AC250" s="165">
        <v>28</v>
      </c>
      <c r="AD250" s="165">
        <v>29</v>
      </c>
      <c r="AE250" s="165">
        <v>30</v>
      </c>
      <c r="AF250" s="165"/>
      <c r="AG250" s="180"/>
    </row>
    <row r="251" s="176" customFormat="1" customHeight="1" spans="1:36">
      <c r="A251" s="181">
        <f>固定资产台账1!A3</f>
        <v>0</v>
      </c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3">
        <f t="shared" ref="AG251:AG266" si="24">SUM(B251:AF251)</f>
        <v>0</v>
      </c>
      <c r="AH251" s="176">
        <f>AG251-研发设备工时计算表2!AA5</f>
        <v>0</v>
      </c>
      <c r="AI251" s="176" t="e">
        <f>研发设备折旧表3!#REF!</f>
        <v>#REF!</v>
      </c>
      <c r="AJ251" s="176" t="e">
        <f>研发设备折旧表3!#REF!</f>
        <v>#REF!</v>
      </c>
    </row>
    <row r="252" s="176" customFormat="1" customHeight="1" spans="1:36">
      <c r="A252" s="181">
        <f>固定资产台账1!A4</f>
        <v>0</v>
      </c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3">
        <f t="shared" si="24"/>
        <v>0</v>
      </c>
      <c r="AH252" s="176">
        <f>AG252-研发设备工时计算表2!AA6</f>
        <v>0</v>
      </c>
      <c r="AI252" s="176" t="e">
        <f>研发设备折旧表3!#REF!</f>
        <v>#REF!</v>
      </c>
      <c r="AJ252" s="176" t="e">
        <f>研发设备折旧表3!#REF!</f>
        <v>#REF!</v>
      </c>
    </row>
    <row r="253" s="176" customFormat="1" customHeight="1" spans="1:36">
      <c r="A253" s="181">
        <f>固定资产台账1!A5</f>
        <v>0</v>
      </c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3">
        <f t="shared" si="24"/>
        <v>0</v>
      </c>
      <c r="AH253" s="176">
        <f>AG253-研发设备工时计算表2!AA7</f>
        <v>0</v>
      </c>
      <c r="AI253" s="176" t="e">
        <f>研发设备折旧表3!#REF!</f>
        <v>#REF!</v>
      </c>
      <c r="AJ253" s="176" t="e">
        <f>研发设备折旧表3!#REF!</f>
        <v>#REF!</v>
      </c>
    </row>
    <row r="254" s="176" customFormat="1" customHeight="1" spans="1:36">
      <c r="A254" s="181">
        <f>固定资产台账1!A6</f>
        <v>0</v>
      </c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3">
        <f t="shared" si="24"/>
        <v>0</v>
      </c>
      <c r="AH254" s="176">
        <f>AG254-研发设备工时计算表2!AA8</f>
        <v>0</v>
      </c>
      <c r="AI254" s="176" t="e">
        <f>研发设备折旧表3!#REF!</f>
        <v>#REF!</v>
      </c>
      <c r="AJ254" s="176" t="e">
        <f>研发设备折旧表3!#REF!</f>
        <v>#REF!</v>
      </c>
    </row>
    <row r="255" s="176" customFormat="1" customHeight="1" spans="1:36">
      <c r="A255" s="181">
        <f>固定资产台账1!A7</f>
        <v>0</v>
      </c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3">
        <f t="shared" si="24"/>
        <v>0</v>
      </c>
      <c r="AH255" s="176">
        <f>AG255-研发设备工时计算表2!AA9</f>
        <v>0</v>
      </c>
      <c r="AI255" s="176" t="e">
        <f>研发设备折旧表3!#REF!</f>
        <v>#REF!</v>
      </c>
      <c r="AJ255" s="176" t="e">
        <f>研发设备折旧表3!#REF!</f>
        <v>#REF!</v>
      </c>
    </row>
    <row r="256" s="176" customFormat="1" customHeight="1" spans="1:36">
      <c r="A256" s="181">
        <f>固定资产台账1!A8</f>
        <v>0</v>
      </c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3">
        <f t="shared" si="24"/>
        <v>0</v>
      </c>
      <c r="AH256" s="176">
        <f>AG256-研发设备工时计算表2!AA10</f>
        <v>0</v>
      </c>
      <c r="AI256" s="176" t="e">
        <f>研发设备折旧表3!#REF!</f>
        <v>#REF!</v>
      </c>
      <c r="AJ256" s="176" t="e">
        <f>研发设备折旧表3!#REF!</f>
        <v>#REF!</v>
      </c>
    </row>
    <row r="257" s="176" customFormat="1" customHeight="1" spans="1:36">
      <c r="A257" s="181">
        <f>固定资产台账1!A9</f>
        <v>0</v>
      </c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3">
        <f t="shared" si="24"/>
        <v>0</v>
      </c>
      <c r="AH257" s="176">
        <f>AG257-研发设备工时计算表2!AA11</f>
        <v>0</v>
      </c>
      <c r="AI257" s="176" t="e">
        <f>研发设备折旧表3!#REF!</f>
        <v>#REF!</v>
      </c>
      <c r="AJ257" s="176" t="e">
        <f>研发设备折旧表3!#REF!</f>
        <v>#REF!</v>
      </c>
    </row>
    <row r="258" s="176" customFormat="1" customHeight="1" spans="1:36">
      <c r="A258" s="181">
        <f>固定资产台账1!A10</f>
        <v>0</v>
      </c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3">
        <f t="shared" si="24"/>
        <v>0</v>
      </c>
      <c r="AH258" s="176">
        <f>AG258-研发设备工时计算表2!AA12</f>
        <v>0</v>
      </c>
      <c r="AI258" s="176" t="e">
        <f>研发设备折旧表3!#REF!</f>
        <v>#REF!</v>
      </c>
      <c r="AJ258" s="176" t="e">
        <f>研发设备折旧表3!#REF!</f>
        <v>#REF!</v>
      </c>
    </row>
    <row r="259" s="176" customFormat="1" customHeight="1" spans="1:36">
      <c r="A259" s="181">
        <f>固定资产台账1!A11</f>
        <v>0</v>
      </c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3">
        <f t="shared" si="24"/>
        <v>0</v>
      </c>
      <c r="AH259" s="176">
        <f>AG259-研发设备工时计算表2!AA13</f>
        <v>0</v>
      </c>
      <c r="AI259" s="176" t="e">
        <f>研发设备折旧表3!#REF!</f>
        <v>#REF!</v>
      </c>
      <c r="AJ259" s="176" t="e">
        <f>研发设备折旧表3!#REF!</f>
        <v>#REF!</v>
      </c>
    </row>
    <row r="260" s="176" customFormat="1" customHeight="1" spans="1:36">
      <c r="A260" s="181">
        <f>固定资产台账1!A12</f>
        <v>0</v>
      </c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3">
        <f t="shared" si="24"/>
        <v>0</v>
      </c>
      <c r="AH260" s="176">
        <f>AG260-研发设备工时计算表2!AA14</f>
        <v>0</v>
      </c>
      <c r="AI260" s="176" t="e">
        <f>研发设备折旧表3!#REF!</f>
        <v>#REF!</v>
      </c>
      <c r="AJ260" s="176" t="e">
        <f>研发设备折旧表3!#REF!</f>
        <v>#REF!</v>
      </c>
    </row>
    <row r="261" s="176" customFormat="1" customHeight="1" spans="1:36">
      <c r="A261" s="181">
        <f>固定资产台账1!A13</f>
        <v>0</v>
      </c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  <c r="AD261" s="182"/>
      <c r="AE261" s="182"/>
      <c r="AF261" s="182"/>
      <c r="AG261" s="183">
        <f t="shared" si="24"/>
        <v>0</v>
      </c>
      <c r="AH261" s="176">
        <f>AG261-研发设备工时计算表2!AA15</f>
        <v>0</v>
      </c>
    </row>
    <row r="262" s="176" customFormat="1" customHeight="1" spans="1:36">
      <c r="A262" s="181">
        <f>固定资产台账1!A14</f>
        <v>0</v>
      </c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  <c r="AC262" s="182"/>
      <c r="AD262" s="182"/>
      <c r="AE262" s="182"/>
      <c r="AF262" s="182"/>
      <c r="AG262" s="183">
        <f t="shared" si="24"/>
        <v>0</v>
      </c>
      <c r="AH262" s="176">
        <f>AG262-研发设备工时计算表2!AA16</f>
        <v>0</v>
      </c>
    </row>
    <row r="263" s="176" customFormat="1" customHeight="1" spans="1:36">
      <c r="A263" s="181">
        <f>固定资产台账1!A15</f>
        <v>0</v>
      </c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  <c r="AD263" s="182"/>
      <c r="AE263" s="182"/>
      <c r="AF263" s="182"/>
      <c r="AG263" s="183">
        <f t="shared" si="24"/>
        <v>0</v>
      </c>
      <c r="AH263" s="176">
        <f>AG263-研发设备工时计算表2!AA17</f>
        <v>0</v>
      </c>
    </row>
    <row r="264" s="176" customFormat="1" customHeight="1" spans="1:36">
      <c r="A264" s="181">
        <f>固定资产台账1!A16</f>
        <v>0</v>
      </c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  <c r="AC264" s="182"/>
      <c r="AD264" s="182"/>
      <c r="AE264" s="182"/>
      <c r="AF264" s="182"/>
      <c r="AG264" s="183">
        <f t="shared" si="24"/>
        <v>0</v>
      </c>
      <c r="AH264" s="176">
        <f>AG264-研发设备工时计算表2!AA18</f>
        <v>0</v>
      </c>
    </row>
    <row r="265" s="176" customFormat="1" customHeight="1" spans="1:36">
      <c r="A265" s="181">
        <f>固定资产台账1!A17</f>
        <v>0</v>
      </c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  <c r="AD265" s="182"/>
      <c r="AE265" s="182"/>
      <c r="AF265" s="182"/>
      <c r="AG265" s="183">
        <f t="shared" ref="AG265:AG275" si="25">SUM(B265:AF265)</f>
        <v>0</v>
      </c>
      <c r="AH265" s="176">
        <f>AG265-研发设备工时计算表2!AA19</f>
        <v>0</v>
      </c>
    </row>
    <row r="266" s="176" customFormat="1" customHeight="1" spans="1:36">
      <c r="A266" s="181">
        <f>固定资产台账1!A18</f>
        <v>0</v>
      </c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  <c r="AC266" s="182"/>
      <c r="AD266" s="182"/>
      <c r="AE266" s="182"/>
      <c r="AF266" s="182"/>
      <c r="AG266" s="183">
        <f t="shared" si="25"/>
        <v>0</v>
      </c>
      <c r="AH266" s="176">
        <f>AG266-研发设备工时计算表2!AA20</f>
        <v>0</v>
      </c>
    </row>
    <row r="267" s="176" customFormat="1" customHeight="1" spans="1:36">
      <c r="A267" s="181">
        <f>固定资产台账1!A19</f>
        <v>0</v>
      </c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  <c r="AD267" s="182"/>
      <c r="AE267" s="182"/>
      <c r="AF267" s="182"/>
      <c r="AG267" s="183">
        <f t="shared" si="25"/>
        <v>0</v>
      </c>
      <c r="AH267" s="176">
        <f>AG267-研发设备工时计算表2!AA21</f>
        <v>0</v>
      </c>
    </row>
    <row r="268" s="176" customFormat="1" customHeight="1" spans="1:36">
      <c r="A268" s="181">
        <f>固定资产台账1!A20</f>
        <v>0</v>
      </c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  <c r="AC268" s="182"/>
      <c r="AD268" s="182"/>
      <c r="AE268" s="182"/>
      <c r="AF268" s="182"/>
      <c r="AG268" s="183">
        <f t="shared" si="25"/>
        <v>0</v>
      </c>
      <c r="AH268" s="176">
        <f>AG268-研发设备工时计算表2!AA22</f>
        <v>0</v>
      </c>
    </row>
    <row r="269" s="176" customFormat="1" customHeight="1" spans="1:36">
      <c r="A269" s="181">
        <f>固定资产台账1!A21</f>
        <v>0</v>
      </c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/>
      <c r="AD269" s="182"/>
      <c r="AE269" s="182"/>
      <c r="AF269" s="182"/>
      <c r="AG269" s="183">
        <f t="shared" si="25"/>
        <v>0</v>
      </c>
      <c r="AH269" s="176">
        <f>AG269-研发设备工时计算表2!AA23</f>
        <v>0</v>
      </c>
    </row>
    <row r="270" s="176" customFormat="1" customHeight="1" spans="1:36">
      <c r="A270" s="181">
        <f>固定资产台账1!A22</f>
        <v>0</v>
      </c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3">
        <f t="shared" si="25"/>
        <v>0</v>
      </c>
      <c r="AH270" s="176">
        <f>AG270-研发设备工时计算表2!AA25</f>
        <v>0</v>
      </c>
    </row>
    <row r="271" s="176" customFormat="1" customHeight="1" spans="1:36">
      <c r="A271" s="181">
        <f>固定资产台账1!A23</f>
        <v>0</v>
      </c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3">
        <f t="shared" si="25"/>
        <v>0</v>
      </c>
      <c r="AH271" s="176">
        <f>AG271-研发设备工时计算表2!AA25</f>
        <v>0</v>
      </c>
    </row>
    <row r="272" s="176" customFormat="1" customHeight="1" spans="1:36">
      <c r="A272" s="181">
        <f>固定资产台账1!A25</f>
        <v>0</v>
      </c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  <c r="AC272" s="182"/>
      <c r="AD272" s="182"/>
      <c r="AE272" s="182"/>
      <c r="AF272" s="182"/>
      <c r="AG272" s="183">
        <f t="shared" si="25"/>
        <v>0</v>
      </c>
      <c r="AH272" s="176">
        <f>AG272-研发设备工时计算表2!AA26</f>
        <v>0</v>
      </c>
    </row>
    <row r="273" s="176" customFormat="1" customHeight="1" spans="1:36">
      <c r="A273" s="181">
        <f>固定资产台账1!A25</f>
        <v>0</v>
      </c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  <c r="AD273" s="182"/>
      <c r="AE273" s="182"/>
      <c r="AF273" s="182"/>
      <c r="AG273" s="183">
        <f t="shared" si="25"/>
        <v>0</v>
      </c>
      <c r="AH273" s="176">
        <f>AG273-研发设备工时计算表2!AA27</f>
        <v>0</v>
      </c>
    </row>
    <row r="274" s="176" customFormat="1" customHeight="1" spans="1:36">
      <c r="A274" s="181">
        <f>固定资产台账1!A26</f>
        <v>0</v>
      </c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  <c r="AC274" s="182"/>
      <c r="AD274" s="182"/>
      <c r="AE274" s="182"/>
      <c r="AF274" s="182"/>
      <c r="AG274" s="183">
        <f t="shared" si="25"/>
        <v>0</v>
      </c>
      <c r="AH274" s="176">
        <f>AG274-研发设备工时计算表2!AA28</f>
        <v>0</v>
      </c>
    </row>
    <row r="275" s="176" customFormat="1" customHeight="1" spans="1:36">
      <c r="A275" s="181">
        <f>固定资产台账1!A27</f>
        <v>0</v>
      </c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  <c r="AD275" s="182"/>
      <c r="AE275" s="182"/>
      <c r="AF275" s="182"/>
      <c r="AG275" s="183">
        <f t="shared" si="25"/>
        <v>0</v>
      </c>
      <c r="AH275" s="176">
        <f>AG275-研发设备工时计算表2!AA29</f>
        <v>0</v>
      </c>
    </row>
    <row r="276" s="176" customFormat="1" customHeight="1" spans="1:36">
      <c r="A276" s="181" t="s">
        <v>270</v>
      </c>
      <c r="B276" s="182">
        <f t="shared" ref="B276:AG276" si="26">SUM(B251:B275)</f>
        <v>0</v>
      </c>
      <c r="C276" s="182">
        <f t="shared" si="26"/>
        <v>0</v>
      </c>
      <c r="D276" s="182">
        <f t="shared" si="26"/>
        <v>0</v>
      </c>
      <c r="E276" s="182">
        <f t="shared" si="26"/>
        <v>0</v>
      </c>
      <c r="F276" s="182">
        <f t="shared" si="26"/>
        <v>0</v>
      </c>
      <c r="G276" s="182">
        <f t="shared" si="26"/>
        <v>0</v>
      </c>
      <c r="H276" s="182">
        <f t="shared" si="26"/>
        <v>0</v>
      </c>
      <c r="I276" s="182">
        <f t="shared" si="26"/>
        <v>0</v>
      </c>
      <c r="J276" s="182">
        <f t="shared" si="26"/>
        <v>0</v>
      </c>
      <c r="K276" s="182">
        <f t="shared" si="26"/>
        <v>0</v>
      </c>
      <c r="L276" s="182">
        <f t="shared" si="26"/>
        <v>0</v>
      </c>
      <c r="M276" s="182">
        <f t="shared" si="26"/>
        <v>0</v>
      </c>
      <c r="N276" s="182">
        <f t="shared" si="26"/>
        <v>0</v>
      </c>
      <c r="O276" s="182">
        <f t="shared" si="26"/>
        <v>0</v>
      </c>
      <c r="P276" s="182">
        <f t="shared" si="26"/>
        <v>0</v>
      </c>
      <c r="Q276" s="182">
        <f t="shared" si="26"/>
        <v>0</v>
      </c>
      <c r="R276" s="182">
        <f t="shared" si="26"/>
        <v>0</v>
      </c>
      <c r="S276" s="182">
        <f t="shared" si="26"/>
        <v>0</v>
      </c>
      <c r="T276" s="182">
        <f t="shared" si="26"/>
        <v>0</v>
      </c>
      <c r="U276" s="182">
        <f t="shared" si="26"/>
        <v>0</v>
      </c>
      <c r="V276" s="182">
        <f t="shared" si="26"/>
        <v>0</v>
      </c>
      <c r="W276" s="182">
        <f t="shared" si="26"/>
        <v>0</v>
      </c>
      <c r="X276" s="182">
        <f t="shared" si="26"/>
        <v>0</v>
      </c>
      <c r="Y276" s="182">
        <f t="shared" si="26"/>
        <v>0</v>
      </c>
      <c r="Z276" s="182">
        <f t="shared" si="26"/>
        <v>0</v>
      </c>
      <c r="AA276" s="182">
        <f t="shared" si="26"/>
        <v>0</v>
      </c>
      <c r="AB276" s="182">
        <f t="shared" si="26"/>
        <v>0</v>
      </c>
      <c r="AC276" s="182">
        <f t="shared" si="26"/>
        <v>0</v>
      </c>
      <c r="AD276" s="182">
        <f t="shared" si="26"/>
        <v>0</v>
      </c>
      <c r="AE276" s="182">
        <f t="shared" si="26"/>
        <v>0</v>
      </c>
      <c r="AF276" s="182">
        <f t="shared" si="26"/>
        <v>0</v>
      </c>
      <c r="AG276" s="182">
        <f t="shared" si="26"/>
        <v>0</v>
      </c>
    </row>
    <row r="279" s="176" customFormat="1" customHeight="1" spans="1:36">
      <c r="A279" s="142" t="s">
        <v>279</v>
      </c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</row>
    <row r="280" s="176" customFormat="1" customHeight="1" spans="1:36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</row>
    <row r="281" s="176" customFormat="1" customHeight="1" spans="1:36">
      <c r="A281" s="179" t="s">
        <v>269</v>
      </c>
      <c r="B281" s="165">
        <v>1</v>
      </c>
      <c r="C281" s="165">
        <v>2</v>
      </c>
      <c r="D281" s="165">
        <v>3</v>
      </c>
      <c r="E281" s="165">
        <v>4</v>
      </c>
      <c r="F281" s="165">
        <v>5</v>
      </c>
      <c r="G281" s="165">
        <v>6</v>
      </c>
      <c r="H281" s="165">
        <v>7</v>
      </c>
      <c r="I281" s="165">
        <v>8</v>
      </c>
      <c r="J281" s="165">
        <v>9</v>
      </c>
      <c r="K281" s="165">
        <v>10</v>
      </c>
      <c r="L281" s="165">
        <v>11</v>
      </c>
      <c r="M281" s="165">
        <v>12</v>
      </c>
      <c r="N281" s="165">
        <v>13</v>
      </c>
      <c r="O281" s="165">
        <v>14</v>
      </c>
      <c r="P281" s="165">
        <v>15</v>
      </c>
      <c r="Q281" s="165">
        <v>16</v>
      </c>
      <c r="R281" s="165">
        <v>17</v>
      </c>
      <c r="S281" s="165">
        <v>18</v>
      </c>
      <c r="T281" s="165">
        <v>19</v>
      </c>
      <c r="U281" s="165">
        <v>20</v>
      </c>
      <c r="V281" s="165">
        <v>21</v>
      </c>
      <c r="W281" s="165">
        <v>22</v>
      </c>
      <c r="X281" s="165">
        <v>23</v>
      </c>
      <c r="Y281" s="165">
        <v>25</v>
      </c>
      <c r="Z281" s="165">
        <v>25</v>
      </c>
      <c r="AA281" s="165">
        <v>26</v>
      </c>
      <c r="AB281" s="165">
        <v>27</v>
      </c>
      <c r="AC281" s="165">
        <v>28</v>
      </c>
      <c r="AD281" s="165">
        <v>29</v>
      </c>
      <c r="AE281" s="165">
        <v>30</v>
      </c>
      <c r="AF281" s="165">
        <v>31</v>
      </c>
      <c r="AG281" s="179" t="s">
        <v>280</v>
      </c>
    </row>
    <row r="282" customHeight="1" spans="1:36">
      <c r="A282" s="181">
        <f>固定资产台账1!A3</f>
        <v>0</v>
      </c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  <c r="AD282" s="182"/>
      <c r="AE282" s="182"/>
      <c r="AF282" s="182"/>
      <c r="AG282" s="183">
        <f t="shared" ref="AG282:AG297" si="27">SUM(B282:AF282)</f>
        <v>0</v>
      </c>
      <c r="AH282" s="176">
        <f>AG282-研发设备工时计算表2!AD5</f>
        <v>0</v>
      </c>
      <c r="AI282" s="176" t="e">
        <f>研发设备折旧表3!#REF!</f>
        <v>#REF!</v>
      </c>
      <c r="AJ282" s="176" t="e">
        <f>研发设备折旧表3!#REF!</f>
        <v>#REF!</v>
      </c>
    </row>
    <row r="283" customHeight="1" spans="1:36">
      <c r="A283" s="181">
        <f>固定资产台账1!A4</f>
        <v>0</v>
      </c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3">
        <f t="shared" si="27"/>
        <v>0</v>
      </c>
      <c r="AH283" s="176">
        <f>AG283-研发设备工时计算表2!AD6</f>
        <v>0</v>
      </c>
      <c r="AI283" s="176" t="e">
        <f>研发设备折旧表3!#REF!</f>
        <v>#REF!</v>
      </c>
      <c r="AJ283" s="176" t="e">
        <f>研发设备折旧表3!#REF!</f>
        <v>#REF!</v>
      </c>
    </row>
    <row r="284" customHeight="1" spans="1:36">
      <c r="A284" s="181">
        <f>固定资产台账1!A5</f>
        <v>0</v>
      </c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3">
        <f t="shared" si="27"/>
        <v>0</v>
      </c>
      <c r="AH284" s="176">
        <f>AG284-研发设备工时计算表2!AD7</f>
        <v>0</v>
      </c>
      <c r="AI284" s="176" t="e">
        <f>研发设备折旧表3!#REF!</f>
        <v>#REF!</v>
      </c>
      <c r="AJ284" s="176" t="e">
        <f>研发设备折旧表3!#REF!</f>
        <v>#REF!</v>
      </c>
    </row>
    <row r="285" customHeight="1" spans="1:36">
      <c r="A285" s="181">
        <f>固定资产台账1!A6</f>
        <v>0</v>
      </c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  <c r="AD285" s="182"/>
      <c r="AE285" s="182"/>
      <c r="AF285" s="182"/>
      <c r="AG285" s="183">
        <f t="shared" si="27"/>
        <v>0</v>
      </c>
      <c r="AH285" s="176">
        <f>AG285-研发设备工时计算表2!AD8</f>
        <v>0</v>
      </c>
      <c r="AI285" s="176" t="e">
        <f>研发设备折旧表3!#REF!</f>
        <v>#REF!</v>
      </c>
      <c r="AJ285" s="176" t="e">
        <f>研发设备折旧表3!#REF!</f>
        <v>#REF!</v>
      </c>
    </row>
    <row r="286" customHeight="1" spans="1:36">
      <c r="A286" s="181">
        <f>固定资产台账1!A7</f>
        <v>0</v>
      </c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  <c r="AC286" s="182"/>
      <c r="AD286" s="182"/>
      <c r="AE286" s="182"/>
      <c r="AF286" s="182"/>
      <c r="AG286" s="183">
        <f t="shared" si="27"/>
        <v>0</v>
      </c>
      <c r="AH286" s="176">
        <f>AG286-研发设备工时计算表2!AD9</f>
        <v>0</v>
      </c>
      <c r="AI286" s="176" t="e">
        <f>研发设备折旧表3!#REF!</f>
        <v>#REF!</v>
      </c>
      <c r="AJ286" s="176" t="e">
        <f>研发设备折旧表3!#REF!</f>
        <v>#REF!</v>
      </c>
    </row>
    <row r="287" customHeight="1" spans="1:36">
      <c r="A287" s="181">
        <f>固定资产台账1!A8</f>
        <v>0</v>
      </c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  <c r="AD287" s="182"/>
      <c r="AE287" s="182"/>
      <c r="AF287" s="182"/>
      <c r="AG287" s="183">
        <f t="shared" si="27"/>
        <v>0</v>
      </c>
      <c r="AH287" s="176">
        <f>AG287-研发设备工时计算表2!AD10</f>
        <v>0</v>
      </c>
      <c r="AI287" s="176" t="e">
        <f>研发设备折旧表3!#REF!</f>
        <v>#REF!</v>
      </c>
      <c r="AJ287" s="176" t="e">
        <f>研发设备折旧表3!#REF!</f>
        <v>#REF!</v>
      </c>
    </row>
    <row r="288" customHeight="1" spans="1:36">
      <c r="A288" s="181">
        <f>固定资产台账1!A9</f>
        <v>0</v>
      </c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  <c r="AC288" s="182"/>
      <c r="AD288" s="182"/>
      <c r="AE288" s="182"/>
      <c r="AF288" s="182"/>
      <c r="AG288" s="183">
        <f t="shared" si="27"/>
        <v>0</v>
      </c>
      <c r="AH288" s="176">
        <f>AG288-研发设备工时计算表2!AD11</f>
        <v>0</v>
      </c>
      <c r="AI288" s="176" t="e">
        <f>研发设备折旧表3!#REF!</f>
        <v>#REF!</v>
      </c>
      <c r="AJ288" s="176" t="e">
        <f>研发设备折旧表3!#REF!</f>
        <v>#REF!</v>
      </c>
    </row>
    <row r="289" customHeight="1" spans="1:36">
      <c r="A289" s="181">
        <f>固定资产台账1!A10</f>
        <v>0</v>
      </c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  <c r="AD289" s="182"/>
      <c r="AE289" s="182"/>
      <c r="AF289" s="182"/>
      <c r="AG289" s="183">
        <f t="shared" si="27"/>
        <v>0</v>
      </c>
      <c r="AH289" s="176">
        <f>AG289-研发设备工时计算表2!AD12</f>
        <v>0</v>
      </c>
      <c r="AI289" s="176" t="e">
        <f>研发设备折旧表3!#REF!</f>
        <v>#REF!</v>
      </c>
      <c r="AJ289" s="176" t="e">
        <f>研发设备折旧表3!#REF!</f>
        <v>#REF!</v>
      </c>
    </row>
    <row r="290" customHeight="1" spans="1:36">
      <c r="A290" s="181">
        <f>固定资产台账1!A11</f>
        <v>0</v>
      </c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  <c r="AC290" s="182"/>
      <c r="AD290" s="182"/>
      <c r="AE290" s="182"/>
      <c r="AF290" s="182"/>
      <c r="AG290" s="183">
        <f t="shared" si="27"/>
        <v>0</v>
      </c>
      <c r="AH290" s="176">
        <f>AG290-研发设备工时计算表2!AD13</f>
        <v>0</v>
      </c>
      <c r="AI290" s="176" t="e">
        <f>研发设备折旧表3!#REF!</f>
        <v>#REF!</v>
      </c>
      <c r="AJ290" s="176" t="e">
        <f>研发设备折旧表3!#REF!</f>
        <v>#REF!</v>
      </c>
    </row>
    <row r="291" customHeight="1" spans="1:36">
      <c r="A291" s="181">
        <f>固定资产台账1!A12</f>
        <v>0</v>
      </c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  <c r="AD291" s="182"/>
      <c r="AE291" s="182"/>
      <c r="AF291" s="182"/>
      <c r="AG291" s="183">
        <f t="shared" si="27"/>
        <v>0</v>
      </c>
      <c r="AH291" s="176">
        <f>AG291-研发设备工时计算表2!AD14</f>
        <v>0</v>
      </c>
      <c r="AI291" s="176" t="e">
        <f>研发设备折旧表3!#REF!</f>
        <v>#REF!</v>
      </c>
      <c r="AJ291" s="176" t="e">
        <f>研发设备折旧表3!#REF!</f>
        <v>#REF!</v>
      </c>
    </row>
    <row r="292" customHeight="1" spans="1:36">
      <c r="A292" s="181">
        <f>固定资产台账1!A13</f>
        <v>0</v>
      </c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  <c r="AD292" s="182"/>
      <c r="AE292" s="182"/>
      <c r="AF292" s="182"/>
      <c r="AG292" s="183">
        <f t="shared" si="27"/>
        <v>0</v>
      </c>
      <c r="AH292" s="176">
        <f>AG292-研发设备工时计算表2!AD15</f>
        <v>0</v>
      </c>
    </row>
    <row r="293" customHeight="1" spans="1:36">
      <c r="A293" s="181">
        <f>固定资产台账1!A14</f>
        <v>0</v>
      </c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  <c r="AC293" s="182"/>
      <c r="AD293" s="182"/>
      <c r="AE293" s="182"/>
      <c r="AF293" s="182"/>
      <c r="AG293" s="183">
        <f t="shared" si="27"/>
        <v>0</v>
      </c>
      <c r="AH293" s="176">
        <f>AG293-研发设备工时计算表2!AD16</f>
        <v>0</v>
      </c>
    </row>
    <row r="294" customHeight="1" spans="1:36">
      <c r="A294" s="181">
        <f>固定资产台账1!A15</f>
        <v>0</v>
      </c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  <c r="AD294" s="182"/>
      <c r="AE294" s="182"/>
      <c r="AF294" s="182"/>
      <c r="AG294" s="183">
        <f t="shared" si="27"/>
        <v>0</v>
      </c>
      <c r="AH294" s="176">
        <f>AG294-研发设备工时计算表2!AD17</f>
        <v>0</v>
      </c>
    </row>
    <row r="295" customHeight="1" spans="1:36">
      <c r="A295" s="181">
        <f>固定资产台账1!A16</f>
        <v>0</v>
      </c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  <c r="AD295" s="182"/>
      <c r="AE295" s="182"/>
      <c r="AF295" s="182"/>
      <c r="AG295" s="183">
        <f t="shared" si="27"/>
        <v>0</v>
      </c>
      <c r="AH295" s="176">
        <f>AG295-研发设备工时计算表2!AD18</f>
        <v>0</v>
      </c>
    </row>
    <row r="296" customHeight="1" spans="1:36">
      <c r="A296" s="181">
        <f>固定资产台账1!A17</f>
        <v>0</v>
      </c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  <c r="AC296" s="182"/>
      <c r="AD296" s="182"/>
      <c r="AE296" s="182"/>
      <c r="AF296" s="182"/>
      <c r="AG296" s="183">
        <f t="shared" ref="AG296:AG306" si="28">SUM(B296:AF296)</f>
        <v>0</v>
      </c>
      <c r="AH296" s="176">
        <f>AG296-研发设备工时计算表2!AD19</f>
        <v>0</v>
      </c>
    </row>
    <row r="297" customHeight="1" spans="1:36">
      <c r="A297" s="181">
        <f>固定资产台账1!A18</f>
        <v>0</v>
      </c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  <c r="AC297" s="182"/>
      <c r="AD297" s="182"/>
      <c r="AE297" s="182"/>
      <c r="AF297" s="182"/>
      <c r="AG297" s="183">
        <f t="shared" si="28"/>
        <v>0</v>
      </c>
      <c r="AH297" s="176">
        <f>AG297-研发设备工时计算表2!AD20</f>
        <v>0</v>
      </c>
    </row>
    <row r="298" customHeight="1" spans="1:36">
      <c r="A298" s="181">
        <f>固定资产台账1!A19</f>
        <v>0</v>
      </c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  <c r="AD298" s="182"/>
      <c r="AE298" s="182"/>
      <c r="AF298" s="182"/>
      <c r="AG298" s="183">
        <f t="shared" si="28"/>
        <v>0</v>
      </c>
      <c r="AH298" s="176">
        <f>AG298-研发设备工时计算表2!AD21</f>
        <v>0</v>
      </c>
    </row>
    <row r="299" customHeight="1" spans="1:36">
      <c r="A299" s="181">
        <f>固定资产台账1!A20</f>
        <v>0</v>
      </c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  <c r="AC299" s="182"/>
      <c r="AD299" s="182"/>
      <c r="AE299" s="182"/>
      <c r="AF299" s="182"/>
      <c r="AG299" s="183">
        <f t="shared" si="28"/>
        <v>0</v>
      </c>
      <c r="AH299" s="176">
        <f>AG299-研发设备工时计算表2!AD22</f>
        <v>0</v>
      </c>
    </row>
    <row r="300" customHeight="1" spans="1:36">
      <c r="A300" s="181">
        <f>固定资产台账1!A21</f>
        <v>0</v>
      </c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  <c r="AC300" s="182"/>
      <c r="AD300" s="182"/>
      <c r="AE300" s="182"/>
      <c r="AF300" s="182"/>
      <c r="AG300" s="183">
        <f t="shared" si="28"/>
        <v>0</v>
      </c>
      <c r="AH300" s="176">
        <f>AG300-研发设备工时计算表2!AD23</f>
        <v>0</v>
      </c>
    </row>
    <row r="301" customHeight="1" spans="1:36">
      <c r="A301" s="181">
        <f>固定资产台账1!A22</f>
        <v>0</v>
      </c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  <c r="AC301" s="182"/>
      <c r="AD301" s="182"/>
      <c r="AE301" s="182"/>
      <c r="AF301" s="182"/>
      <c r="AG301" s="183">
        <f t="shared" si="28"/>
        <v>0</v>
      </c>
      <c r="AH301" s="176">
        <f>AG301-研发设备工时计算表2!AD25</f>
        <v>0</v>
      </c>
    </row>
    <row r="302" customHeight="1" spans="1:36">
      <c r="A302" s="181">
        <f>固定资产台账1!A23</f>
        <v>0</v>
      </c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  <c r="AC302" s="182"/>
      <c r="AD302" s="182"/>
      <c r="AE302" s="182"/>
      <c r="AF302" s="182"/>
      <c r="AG302" s="183">
        <f t="shared" si="28"/>
        <v>0</v>
      </c>
      <c r="AH302" s="176">
        <f>AG302-研发设备工时计算表2!AD25</f>
        <v>0</v>
      </c>
    </row>
    <row r="303" customHeight="1" spans="1:36">
      <c r="A303" s="181">
        <f>固定资产台账1!A25</f>
        <v>0</v>
      </c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  <c r="AC303" s="182"/>
      <c r="AD303" s="182"/>
      <c r="AE303" s="182"/>
      <c r="AF303" s="182"/>
      <c r="AG303" s="183">
        <f t="shared" si="28"/>
        <v>0</v>
      </c>
      <c r="AH303" s="176">
        <f>AG303-研发设备工时计算表2!AD26</f>
        <v>0</v>
      </c>
    </row>
    <row r="304" customHeight="1" spans="1:36">
      <c r="A304" s="181">
        <f>固定资产台账1!A25</f>
        <v>0</v>
      </c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  <c r="AC304" s="182"/>
      <c r="AD304" s="182"/>
      <c r="AE304" s="182"/>
      <c r="AF304" s="182"/>
      <c r="AG304" s="183">
        <f t="shared" si="28"/>
        <v>0</v>
      </c>
      <c r="AH304" s="176">
        <f>AG304-研发设备工时计算表2!AD27</f>
        <v>0</v>
      </c>
    </row>
    <row r="305" customHeight="1" spans="1:36">
      <c r="A305" s="181">
        <f>固定资产台账1!A26</f>
        <v>0</v>
      </c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  <c r="AC305" s="182"/>
      <c r="AD305" s="182"/>
      <c r="AE305" s="182"/>
      <c r="AF305" s="182"/>
      <c r="AG305" s="183">
        <f t="shared" si="28"/>
        <v>0</v>
      </c>
      <c r="AH305" s="176">
        <f>AG305-研发设备工时计算表2!AD28</f>
        <v>0</v>
      </c>
    </row>
    <row r="306" customHeight="1" spans="1:36">
      <c r="A306" s="181">
        <f>固定资产台账1!A27</f>
        <v>0</v>
      </c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  <c r="AC306" s="182"/>
      <c r="AD306" s="182"/>
      <c r="AE306" s="182"/>
      <c r="AF306" s="182"/>
      <c r="AG306" s="183">
        <f t="shared" si="28"/>
        <v>0</v>
      </c>
      <c r="AH306" s="176">
        <f>AG306-研发设备工时计算表2!AD29</f>
        <v>0</v>
      </c>
    </row>
    <row r="307" customHeight="1" spans="1:36">
      <c r="A307" s="181" t="s">
        <v>270</v>
      </c>
      <c r="B307" s="182">
        <f t="shared" ref="B307:AG307" si="29">SUM(B282:B306)</f>
        <v>0</v>
      </c>
      <c r="C307" s="182">
        <f t="shared" si="29"/>
        <v>0</v>
      </c>
      <c r="D307" s="182">
        <f t="shared" si="29"/>
        <v>0</v>
      </c>
      <c r="E307" s="182">
        <f t="shared" si="29"/>
        <v>0</v>
      </c>
      <c r="F307" s="182">
        <f t="shared" si="29"/>
        <v>0</v>
      </c>
      <c r="G307" s="182">
        <f t="shared" si="29"/>
        <v>0</v>
      </c>
      <c r="H307" s="182">
        <f t="shared" si="29"/>
        <v>0</v>
      </c>
      <c r="I307" s="182">
        <f t="shared" si="29"/>
        <v>0</v>
      </c>
      <c r="J307" s="182">
        <f t="shared" si="29"/>
        <v>0</v>
      </c>
      <c r="K307" s="182">
        <f t="shared" si="29"/>
        <v>0</v>
      </c>
      <c r="L307" s="182">
        <f t="shared" si="29"/>
        <v>0</v>
      </c>
      <c r="M307" s="182">
        <f t="shared" si="29"/>
        <v>0</v>
      </c>
      <c r="N307" s="182">
        <f t="shared" si="29"/>
        <v>0</v>
      </c>
      <c r="O307" s="182">
        <f t="shared" si="29"/>
        <v>0</v>
      </c>
      <c r="P307" s="182">
        <f t="shared" si="29"/>
        <v>0</v>
      </c>
      <c r="Q307" s="182">
        <f t="shared" si="29"/>
        <v>0</v>
      </c>
      <c r="R307" s="182">
        <f t="shared" si="29"/>
        <v>0</v>
      </c>
      <c r="S307" s="182">
        <f t="shared" si="29"/>
        <v>0</v>
      </c>
      <c r="T307" s="182">
        <f t="shared" si="29"/>
        <v>0</v>
      </c>
      <c r="U307" s="182">
        <f t="shared" si="29"/>
        <v>0</v>
      </c>
      <c r="V307" s="182">
        <f t="shared" si="29"/>
        <v>0</v>
      </c>
      <c r="W307" s="182">
        <f t="shared" si="29"/>
        <v>0</v>
      </c>
      <c r="X307" s="182">
        <f t="shared" si="29"/>
        <v>0</v>
      </c>
      <c r="Y307" s="182">
        <f t="shared" si="29"/>
        <v>0</v>
      </c>
      <c r="Z307" s="182">
        <f t="shared" si="29"/>
        <v>0</v>
      </c>
      <c r="AA307" s="182">
        <f t="shared" si="29"/>
        <v>0</v>
      </c>
      <c r="AB307" s="182">
        <f t="shared" si="29"/>
        <v>0</v>
      </c>
      <c r="AC307" s="182">
        <f t="shared" si="29"/>
        <v>0</v>
      </c>
      <c r="AD307" s="182">
        <f t="shared" si="29"/>
        <v>0</v>
      </c>
      <c r="AE307" s="182">
        <f t="shared" si="29"/>
        <v>0</v>
      </c>
      <c r="AF307" s="182">
        <f t="shared" si="29"/>
        <v>0</v>
      </c>
      <c r="AG307" s="182">
        <f t="shared" si="29"/>
        <v>0</v>
      </c>
    </row>
    <row r="310" customHeight="1" spans="1:36">
      <c r="A310" s="142" t="s">
        <v>281</v>
      </c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</row>
    <row r="311" customHeight="1" spans="1:36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</row>
    <row r="312" s="176" customFormat="1" customHeight="1" spans="1:36">
      <c r="A312" s="179" t="s">
        <v>269</v>
      </c>
      <c r="B312" s="165">
        <v>1</v>
      </c>
      <c r="C312" s="165">
        <v>2</v>
      </c>
      <c r="D312" s="165">
        <v>3</v>
      </c>
      <c r="E312" s="165">
        <v>4</v>
      </c>
      <c r="F312" s="165">
        <v>5</v>
      </c>
      <c r="G312" s="165">
        <v>6</v>
      </c>
      <c r="H312" s="165">
        <v>7</v>
      </c>
      <c r="I312" s="165">
        <v>8</v>
      </c>
      <c r="J312" s="165">
        <v>9</v>
      </c>
      <c r="K312" s="165">
        <v>10</v>
      </c>
      <c r="L312" s="165">
        <v>11</v>
      </c>
      <c r="M312" s="165">
        <v>12</v>
      </c>
      <c r="N312" s="165">
        <v>13</v>
      </c>
      <c r="O312" s="165">
        <v>14</v>
      </c>
      <c r="P312" s="165">
        <v>15</v>
      </c>
      <c r="Q312" s="165">
        <v>16</v>
      </c>
      <c r="R312" s="165">
        <v>17</v>
      </c>
      <c r="S312" s="165">
        <v>18</v>
      </c>
      <c r="T312" s="165">
        <v>19</v>
      </c>
      <c r="U312" s="165">
        <v>20</v>
      </c>
      <c r="V312" s="165">
        <v>21</v>
      </c>
      <c r="W312" s="165">
        <v>22</v>
      </c>
      <c r="X312" s="165">
        <v>23</v>
      </c>
      <c r="Y312" s="165">
        <v>25</v>
      </c>
      <c r="Z312" s="165">
        <v>25</v>
      </c>
      <c r="AA312" s="165">
        <v>26</v>
      </c>
      <c r="AB312" s="165">
        <v>27</v>
      </c>
      <c r="AC312" s="165">
        <v>28</v>
      </c>
      <c r="AD312" s="165">
        <v>29</v>
      </c>
      <c r="AE312" s="165">
        <v>30</v>
      </c>
      <c r="AF312" s="165"/>
      <c r="AG312" s="179" t="s">
        <v>280</v>
      </c>
    </row>
    <row r="313" customHeight="1" spans="1:36">
      <c r="A313" s="181">
        <f>固定资产台账1!A3</f>
        <v>0</v>
      </c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  <c r="AC313" s="182"/>
      <c r="AD313" s="182"/>
      <c r="AE313" s="182"/>
      <c r="AF313" s="182"/>
      <c r="AG313" s="183">
        <f>SUM(B314:AF314)</f>
        <v>0</v>
      </c>
      <c r="AH313" s="176">
        <f>AG314-研发设备工时计算表2!AG5</f>
        <v>0</v>
      </c>
      <c r="AI313" s="176" t="e">
        <f>研发设备折旧表3!#REF!</f>
        <v>#REF!</v>
      </c>
      <c r="AJ313" s="176" t="e">
        <f>研发设备折旧表3!#REF!</f>
        <v>#REF!</v>
      </c>
    </row>
    <row r="314" customHeight="1" spans="1:36">
      <c r="A314" s="181">
        <f>固定资产台账1!A4</f>
        <v>0</v>
      </c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  <c r="AC314" s="182"/>
      <c r="AD314" s="182"/>
      <c r="AE314" s="182"/>
      <c r="AF314" s="182"/>
      <c r="AG314" s="183">
        <f t="shared" ref="AG313:AG328" si="30">SUM(B314:AF314)</f>
        <v>0</v>
      </c>
      <c r="AH314" s="176">
        <f>AG314-研发设备工时计算表2!AG6</f>
        <v>0</v>
      </c>
      <c r="AI314" s="176" t="e">
        <f>研发设备折旧表3!#REF!</f>
        <v>#REF!</v>
      </c>
      <c r="AJ314" s="176" t="e">
        <f>研发设备折旧表3!#REF!</f>
        <v>#REF!</v>
      </c>
    </row>
    <row r="315" customHeight="1" spans="1:36">
      <c r="A315" s="181">
        <f>固定资产台账1!A5</f>
        <v>0</v>
      </c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  <c r="AC315" s="182"/>
      <c r="AD315" s="182"/>
      <c r="AE315" s="182"/>
      <c r="AF315" s="182"/>
      <c r="AG315" s="183">
        <f t="shared" si="30"/>
        <v>0</v>
      </c>
      <c r="AH315" s="176">
        <f>AG315-研发设备工时计算表2!AG7</f>
        <v>0</v>
      </c>
      <c r="AI315" s="176" t="e">
        <f>研发设备折旧表3!#REF!</f>
        <v>#REF!</v>
      </c>
      <c r="AJ315" s="176" t="e">
        <f>研发设备折旧表3!#REF!</f>
        <v>#REF!</v>
      </c>
    </row>
    <row r="316" customHeight="1" spans="1:36">
      <c r="A316" s="181">
        <f>固定资产台账1!A6</f>
        <v>0</v>
      </c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  <c r="AC316" s="182"/>
      <c r="AD316" s="182"/>
      <c r="AE316" s="182"/>
      <c r="AF316" s="182"/>
      <c r="AG316" s="183">
        <f t="shared" si="30"/>
        <v>0</v>
      </c>
      <c r="AH316" s="176">
        <f>AG316-研发设备工时计算表2!AG8</f>
        <v>0</v>
      </c>
      <c r="AI316" s="176" t="e">
        <f>研发设备折旧表3!#REF!</f>
        <v>#REF!</v>
      </c>
      <c r="AJ316" s="176" t="e">
        <f>研发设备折旧表3!#REF!</f>
        <v>#REF!</v>
      </c>
    </row>
    <row r="317" customHeight="1" spans="1:36">
      <c r="A317" s="181">
        <f>固定资产台账1!A7</f>
        <v>0</v>
      </c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  <c r="AC317" s="182"/>
      <c r="AD317" s="182"/>
      <c r="AE317" s="182"/>
      <c r="AF317" s="182"/>
      <c r="AG317" s="183">
        <f t="shared" si="30"/>
        <v>0</v>
      </c>
      <c r="AH317" s="176">
        <f>AG317-研发设备工时计算表2!AG9</f>
        <v>0</v>
      </c>
      <c r="AI317" s="176" t="e">
        <f>研发设备折旧表3!#REF!</f>
        <v>#REF!</v>
      </c>
      <c r="AJ317" s="176" t="e">
        <f>研发设备折旧表3!#REF!</f>
        <v>#REF!</v>
      </c>
    </row>
    <row r="318" customHeight="1" spans="1:36">
      <c r="A318" s="181">
        <f>固定资产台账1!A8</f>
        <v>0</v>
      </c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  <c r="AC318" s="182"/>
      <c r="AD318" s="182"/>
      <c r="AE318" s="182"/>
      <c r="AF318" s="182"/>
      <c r="AG318" s="183">
        <f t="shared" si="30"/>
        <v>0</v>
      </c>
      <c r="AH318" s="176">
        <f>AG318-研发设备工时计算表2!AG10</f>
        <v>0</v>
      </c>
      <c r="AI318" s="176" t="e">
        <f>研发设备折旧表3!#REF!</f>
        <v>#REF!</v>
      </c>
      <c r="AJ318" s="176" t="e">
        <f>研发设备折旧表3!#REF!</f>
        <v>#REF!</v>
      </c>
    </row>
    <row r="319" customHeight="1" spans="1:36">
      <c r="A319" s="181">
        <f>固定资产台账1!A9</f>
        <v>0</v>
      </c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  <c r="AC319" s="182"/>
      <c r="AD319" s="182"/>
      <c r="AE319" s="182"/>
      <c r="AF319" s="182"/>
      <c r="AG319" s="183">
        <f t="shared" si="30"/>
        <v>0</v>
      </c>
      <c r="AH319" s="176">
        <f>AG319-研发设备工时计算表2!AG11</f>
        <v>0</v>
      </c>
      <c r="AI319" s="176" t="e">
        <f>研发设备折旧表3!#REF!</f>
        <v>#REF!</v>
      </c>
      <c r="AJ319" s="176" t="e">
        <f>研发设备折旧表3!#REF!</f>
        <v>#REF!</v>
      </c>
    </row>
    <row r="320" customHeight="1" spans="1:36">
      <c r="A320" s="181">
        <f>固定资产台账1!A10</f>
        <v>0</v>
      </c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  <c r="AC320" s="182"/>
      <c r="AD320" s="182"/>
      <c r="AE320" s="182"/>
      <c r="AF320" s="182"/>
      <c r="AG320" s="183">
        <f t="shared" si="30"/>
        <v>0</v>
      </c>
      <c r="AH320" s="176">
        <f>AG320-研发设备工时计算表2!AG12</f>
        <v>0</v>
      </c>
      <c r="AI320" s="176" t="e">
        <f>研发设备折旧表3!#REF!</f>
        <v>#REF!</v>
      </c>
      <c r="AJ320" s="176" t="e">
        <f>研发设备折旧表3!#REF!</f>
        <v>#REF!</v>
      </c>
    </row>
    <row r="321" customHeight="1" spans="1:36">
      <c r="A321" s="181">
        <f>固定资产台账1!A11</f>
        <v>0</v>
      </c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2"/>
      <c r="AG321" s="183">
        <f t="shared" si="30"/>
        <v>0</v>
      </c>
      <c r="AH321" s="176">
        <f>AG321-研发设备工时计算表2!AG13</f>
        <v>0</v>
      </c>
      <c r="AI321" s="176" t="e">
        <f>研发设备折旧表3!#REF!</f>
        <v>#REF!</v>
      </c>
      <c r="AJ321" s="176" t="e">
        <f>研发设备折旧表3!#REF!</f>
        <v>#REF!</v>
      </c>
    </row>
    <row r="322" customHeight="1" spans="1:36">
      <c r="A322" s="181">
        <f>固定资产台账1!A12</f>
        <v>0</v>
      </c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3">
        <f t="shared" si="30"/>
        <v>0</v>
      </c>
      <c r="AH322" s="176">
        <f>AG322-研发设备工时计算表2!AG14</f>
        <v>0</v>
      </c>
      <c r="AI322" s="176" t="e">
        <f>研发设备折旧表3!#REF!</f>
        <v>#REF!</v>
      </c>
      <c r="AJ322" s="176" t="e">
        <f>研发设备折旧表3!#REF!</f>
        <v>#REF!</v>
      </c>
    </row>
    <row r="323" customHeight="1" spans="1:36">
      <c r="A323" s="181">
        <f>固定资产台账1!A13</f>
        <v>0</v>
      </c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3">
        <f t="shared" si="30"/>
        <v>0</v>
      </c>
      <c r="AH323" s="176">
        <f>AG323-研发设备工时计算表2!AG15</f>
        <v>0</v>
      </c>
    </row>
    <row r="324" customHeight="1" spans="1:36">
      <c r="A324" s="181">
        <f>固定资产台账1!A14</f>
        <v>0</v>
      </c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  <c r="AC324" s="182"/>
      <c r="AD324" s="182"/>
      <c r="AE324" s="182"/>
      <c r="AF324" s="182"/>
      <c r="AG324" s="183">
        <f t="shared" si="30"/>
        <v>0</v>
      </c>
      <c r="AH324" s="176">
        <f>AG324-研发设备工时计算表2!AG16</f>
        <v>0</v>
      </c>
    </row>
    <row r="325" customHeight="1" spans="1:36">
      <c r="A325" s="181">
        <f>固定资产台账1!A15</f>
        <v>0</v>
      </c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  <c r="AC325" s="182"/>
      <c r="AD325" s="182"/>
      <c r="AE325" s="182"/>
      <c r="AF325" s="182"/>
      <c r="AG325" s="183">
        <f t="shared" si="30"/>
        <v>0</v>
      </c>
      <c r="AH325" s="176">
        <f>AG325-研发设备工时计算表2!AG17</f>
        <v>0</v>
      </c>
    </row>
    <row r="326" customHeight="1" spans="1:36">
      <c r="A326" s="181">
        <f>固定资产台账1!A16</f>
        <v>0</v>
      </c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  <c r="AC326" s="182"/>
      <c r="AD326" s="182"/>
      <c r="AE326" s="182"/>
      <c r="AF326" s="182"/>
      <c r="AG326" s="183">
        <f t="shared" ref="AG326:AG337" si="31">SUM(B326:AF326)</f>
        <v>0</v>
      </c>
      <c r="AH326" s="176">
        <f>AG326-研发设备工时计算表2!AG18</f>
        <v>0</v>
      </c>
    </row>
    <row r="327" customHeight="1" spans="1:36">
      <c r="A327" s="181">
        <f>固定资产台账1!A17</f>
        <v>0</v>
      </c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  <c r="AC327" s="182"/>
      <c r="AD327" s="182"/>
      <c r="AE327" s="182"/>
      <c r="AF327" s="182"/>
      <c r="AG327" s="183">
        <f t="shared" si="31"/>
        <v>0</v>
      </c>
      <c r="AH327" s="176">
        <f>AG327-研发设备工时计算表2!AG19</f>
        <v>0</v>
      </c>
    </row>
    <row r="328" customHeight="1" spans="1:36">
      <c r="A328" s="181">
        <f>固定资产台账1!A18</f>
        <v>0</v>
      </c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  <c r="AC328" s="182"/>
      <c r="AD328" s="182"/>
      <c r="AE328" s="182"/>
      <c r="AF328" s="182"/>
      <c r="AG328" s="183">
        <f t="shared" si="31"/>
        <v>0</v>
      </c>
      <c r="AH328" s="176">
        <f>AG328-研发设备工时计算表2!AG20</f>
        <v>0</v>
      </c>
    </row>
    <row r="329" customHeight="1" spans="1:36">
      <c r="A329" s="181">
        <f>固定资产台账1!A19</f>
        <v>0</v>
      </c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  <c r="AC329" s="182"/>
      <c r="AD329" s="182"/>
      <c r="AE329" s="182"/>
      <c r="AF329" s="182"/>
      <c r="AG329" s="183">
        <f t="shared" si="31"/>
        <v>0</v>
      </c>
      <c r="AH329" s="176">
        <f>AG329-研发设备工时计算表2!AG21</f>
        <v>0</v>
      </c>
    </row>
    <row r="330" customHeight="1" spans="1:36">
      <c r="A330" s="181">
        <f>固定资产台账1!A20</f>
        <v>0</v>
      </c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  <c r="AC330" s="182"/>
      <c r="AD330" s="182"/>
      <c r="AE330" s="182"/>
      <c r="AF330" s="182"/>
      <c r="AG330" s="183">
        <f t="shared" si="31"/>
        <v>0</v>
      </c>
      <c r="AH330" s="176">
        <f>AG330-研发设备工时计算表2!AG22</f>
        <v>0</v>
      </c>
    </row>
    <row r="331" customHeight="1" spans="1:36">
      <c r="A331" s="181">
        <f>固定资产台账1!A21</f>
        <v>0</v>
      </c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  <c r="AC331" s="182"/>
      <c r="AD331" s="182"/>
      <c r="AE331" s="182"/>
      <c r="AF331" s="182"/>
      <c r="AG331" s="183">
        <f t="shared" si="31"/>
        <v>0</v>
      </c>
      <c r="AH331" s="176">
        <f>AG331-研发设备工时计算表2!AG23</f>
        <v>0</v>
      </c>
    </row>
    <row r="332" customHeight="1" spans="1:36">
      <c r="A332" s="181">
        <f>固定资产台账1!A22</f>
        <v>0</v>
      </c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  <c r="AC332" s="182"/>
      <c r="AD332" s="182"/>
      <c r="AE332" s="182"/>
      <c r="AF332" s="182"/>
      <c r="AG332" s="183">
        <f t="shared" si="31"/>
        <v>0</v>
      </c>
      <c r="AH332" s="176">
        <f>AG332-研发设备工时计算表2!AG25</f>
        <v>0</v>
      </c>
    </row>
    <row r="333" customHeight="1" spans="1:36">
      <c r="A333" s="181">
        <f>固定资产台账1!A23</f>
        <v>0</v>
      </c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  <c r="AC333" s="182"/>
      <c r="AD333" s="182"/>
      <c r="AE333" s="182"/>
      <c r="AF333" s="182"/>
      <c r="AG333" s="183">
        <f t="shared" si="31"/>
        <v>0</v>
      </c>
      <c r="AH333" s="176">
        <f>AG333-研发设备工时计算表2!AG25</f>
        <v>0</v>
      </c>
    </row>
    <row r="334" customHeight="1" spans="1:36">
      <c r="A334" s="181">
        <f>固定资产台账1!A25</f>
        <v>0</v>
      </c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  <c r="AC334" s="182"/>
      <c r="AD334" s="182"/>
      <c r="AE334" s="182"/>
      <c r="AF334" s="182"/>
      <c r="AG334" s="183">
        <f t="shared" si="31"/>
        <v>0</v>
      </c>
      <c r="AH334" s="176">
        <f>AG334-研发设备工时计算表2!AG26</f>
        <v>0</v>
      </c>
    </row>
    <row r="335" customHeight="1" spans="1:36">
      <c r="A335" s="181">
        <f>固定资产台账1!A25</f>
        <v>0</v>
      </c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  <c r="AC335" s="182"/>
      <c r="AD335" s="182"/>
      <c r="AE335" s="182"/>
      <c r="AF335" s="182"/>
      <c r="AG335" s="183">
        <f t="shared" si="31"/>
        <v>0</v>
      </c>
      <c r="AH335" s="176">
        <f>AG335-研发设备工时计算表2!AG27</f>
        <v>0</v>
      </c>
    </row>
    <row r="336" customHeight="1" spans="1:36">
      <c r="A336" s="181">
        <f>固定资产台账1!A26</f>
        <v>0</v>
      </c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  <c r="AC336" s="182"/>
      <c r="AD336" s="182"/>
      <c r="AE336" s="182"/>
      <c r="AF336" s="182"/>
      <c r="AG336" s="183">
        <f t="shared" si="31"/>
        <v>0</v>
      </c>
      <c r="AH336" s="176">
        <f>AG336-研发设备工时计算表2!AG28</f>
        <v>0</v>
      </c>
    </row>
    <row r="337" customHeight="1" spans="1:36">
      <c r="A337" s="181">
        <f>固定资产台账1!A27</f>
        <v>0</v>
      </c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  <c r="AC337" s="182"/>
      <c r="AD337" s="182"/>
      <c r="AE337" s="182"/>
      <c r="AF337" s="182"/>
      <c r="AG337" s="183">
        <f t="shared" si="31"/>
        <v>0</v>
      </c>
      <c r="AH337" s="176">
        <f>AG337-研发设备工时计算表2!AG29</f>
        <v>0</v>
      </c>
    </row>
    <row r="338" customHeight="1" spans="1:36">
      <c r="A338" s="181" t="s">
        <v>270</v>
      </c>
      <c r="B338" s="182">
        <f t="shared" ref="B338:AG338" si="32">SUM(B314:B337)</f>
        <v>0</v>
      </c>
      <c r="C338" s="182">
        <f t="shared" si="32"/>
        <v>0</v>
      </c>
      <c r="D338" s="182">
        <f t="shared" si="32"/>
        <v>0</v>
      </c>
      <c r="E338" s="182">
        <f t="shared" si="32"/>
        <v>0</v>
      </c>
      <c r="F338" s="182">
        <f t="shared" si="32"/>
        <v>0</v>
      </c>
      <c r="G338" s="182">
        <f t="shared" si="32"/>
        <v>0</v>
      </c>
      <c r="H338" s="182">
        <f t="shared" si="32"/>
        <v>0</v>
      </c>
      <c r="I338" s="182">
        <f t="shared" si="32"/>
        <v>0</v>
      </c>
      <c r="J338" s="182">
        <f t="shared" si="32"/>
        <v>0</v>
      </c>
      <c r="K338" s="182">
        <f t="shared" si="32"/>
        <v>0</v>
      </c>
      <c r="L338" s="182">
        <f t="shared" si="32"/>
        <v>0</v>
      </c>
      <c r="M338" s="182">
        <f t="shared" si="32"/>
        <v>0</v>
      </c>
      <c r="N338" s="182">
        <f t="shared" si="32"/>
        <v>0</v>
      </c>
      <c r="O338" s="182">
        <f t="shared" si="32"/>
        <v>0</v>
      </c>
      <c r="P338" s="182">
        <f t="shared" si="32"/>
        <v>0</v>
      </c>
      <c r="Q338" s="182">
        <f t="shared" si="32"/>
        <v>0</v>
      </c>
      <c r="R338" s="182">
        <f t="shared" si="32"/>
        <v>0</v>
      </c>
      <c r="S338" s="182">
        <f t="shared" si="32"/>
        <v>0</v>
      </c>
      <c r="T338" s="182">
        <f t="shared" si="32"/>
        <v>0</v>
      </c>
      <c r="U338" s="182">
        <f t="shared" si="32"/>
        <v>0</v>
      </c>
      <c r="V338" s="182">
        <f t="shared" si="32"/>
        <v>0</v>
      </c>
      <c r="W338" s="182">
        <f t="shared" si="32"/>
        <v>0</v>
      </c>
      <c r="X338" s="182">
        <f t="shared" si="32"/>
        <v>0</v>
      </c>
      <c r="Y338" s="182">
        <f t="shared" si="32"/>
        <v>0</v>
      </c>
      <c r="Z338" s="182">
        <f t="shared" si="32"/>
        <v>0</v>
      </c>
      <c r="AA338" s="182">
        <f t="shared" si="32"/>
        <v>0</v>
      </c>
      <c r="AB338" s="182">
        <f t="shared" si="32"/>
        <v>0</v>
      </c>
      <c r="AC338" s="182">
        <f t="shared" si="32"/>
        <v>0</v>
      </c>
      <c r="AD338" s="182">
        <f t="shared" si="32"/>
        <v>0</v>
      </c>
      <c r="AE338" s="182">
        <f t="shared" si="32"/>
        <v>0</v>
      </c>
      <c r="AF338" s="182">
        <f t="shared" si="32"/>
        <v>0</v>
      </c>
      <c r="AG338" s="182">
        <f t="shared" si="32"/>
        <v>0</v>
      </c>
    </row>
    <row r="342" customHeight="1" spans="1:36">
      <c r="A342" s="142" t="s">
        <v>282</v>
      </c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</row>
    <row r="343" customHeight="1" spans="1:36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</row>
    <row r="344" s="176" customFormat="1" customHeight="1" spans="1:36">
      <c r="A344" s="179" t="s">
        <v>269</v>
      </c>
      <c r="B344" s="165">
        <v>1</v>
      </c>
      <c r="C344" s="165">
        <v>2</v>
      </c>
      <c r="D344" s="165">
        <v>3</v>
      </c>
      <c r="E344" s="165">
        <v>4</v>
      </c>
      <c r="F344" s="165">
        <v>5</v>
      </c>
      <c r="G344" s="165">
        <v>6</v>
      </c>
      <c r="H344" s="165">
        <v>7</v>
      </c>
      <c r="I344" s="165">
        <v>8</v>
      </c>
      <c r="J344" s="165">
        <v>9</v>
      </c>
      <c r="K344" s="165">
        <v>10</v>
      </c>
      <c r="L344" s="165">
        <v>11</v>
      </c>
      <c r="M344" s="165">
        <v>12</v>
      </c>
      <c r="N344" s="165">
        <v>13</v>
      </c>
      <c r="O344" s="165">
        <v>14</v>
      </c>
      <c r="P344" s="165">
        <v>15</v>
      </c>
      <c r="Q344" s="165">
        <v>16</v>
      </c>
      <c r="R344" s="165">
        <v>17</v>
      </c>
      <c r="S344" s="165">
        <v>18</v>
      </c>
      <c r="T344" s="165">
        <v>19</v>
      </c>
      <c r="U344" s="165">
        <v>20</v>
      </c>
      <c r="V344" s="165">
        <v>21</v>
      </c>
      <c r="W344" s="165">
        <v>22</v>
      </c>
      <c r="X344" s="165">
        <v>23</v>
      </c>
      <c r="Y344" s="165">
        <v>25</v>
      </c>
      <c r="Z344" s="165">
        <v>25</v>
      </c>
      <c r="AA344" s="165">
        <v>26</v>
      </c>
      <c r="AB344" s="165">
        <v>27</v>
      </c>
      <c r="AC344" s="165">
        <v>28</v>
      </c>
      <c r="AD344" s="165">
        <v>29</v>
      </c>
      <c r="AE344" s="165">
        <v>30</v>
      </c>
      <c r="AF344" s="165">
        <v>31</v>
      </c>
      <c r="AG344" s="179" t="s">
        <v>280</v>
      </c>
    </row>
    <row r="345" customHeight="1" spans="1:36">
      <c r="A345" s="181">
        <f>固定资产台账1!A3</f>
        <v>0</v>
      </c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  <c r="AC345" s="182"/>
      <c r="AD345" s="182"/>
      <c r="AE345" s="182"/>
      <c r="AF345" s="182"/>
      <c r="AG345" s="183">
        <f t="shared" ref="AG345:AG360" si="33">SUM(B345:AF345)</f>
        <v>0</v>
      </c>
      <c r="AH345" s="176">
        <f>AG345-研发设备工时计算表2!AJ5</f>
        <v>0</v>
      </c>
      <c r="AI345" s="176" t="e">
        <f>研发设备折旧表3!#REF!</f>
        <v>#REF!</v>
      </c>
      <c r="AJ345" s="176" t="e">
        <f>研发设备折旧表3!#REF!</f>
        <v>#REF!</v>
      </c>
    </row>
    <row r="346" customHeight="1" spans="1:36">
      <c r="A346" s="181">
        <f>固定资产台账1!A4</f>
        <v>0</v>
      </c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  <c r="AC346" s="182"/>
      <c r="AD346" s="182"/>
      <c r="AE346" s="182"/>
      <c r="AF346" s="182"/>
      <c r="AG346" s="183">
        <f t="shared" si="33"/>
        <v>0</v>
      </c>
      <c r="AH346" s="176">
        <f>AG346-研发设备工时计算表2!AJ6</f>
        <v>0</v>
      </c>
      <c r="AI346" s="176" t="e">
        <f>研发设备折旧表3!#REF!</f>
        <v>#REF!</v>
      </c>
      <c r="AJ346" s="176" t="e">
        <f>研发设备折旧表3!#REF!</f>
        <v>#REF!</v>
      </c>
    </row>
    <row r="347" customHeight="1" spans="1:36">
      <c r="A347" s="181">
        <f>固定资产台账1!A5</f>
        <v>0</v>
      </c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  <c r="AC347" s="182"/>
      <c r="AD347" s="182"/>
      <c r="AE347" s="182"/>
      <c r="AF347" s="182"/>
      <c r="AG347" s="183">
        <f t="shared" si="33"/>
        <v>0</v>
      </c>
      <c r="AH347" s="176">
        <f>AG347-研发设备工时计算表2!AJ7</f>
        <v>0</v>
      </c>
      <c r="AI347" s="176" t="e">
        <f>研发设备折旧表3!#REF!</f>
        <v>#REF!</v>
      </c>
      <c r="AJ347" s="176" t="e">
        <f>研发设备折旧表3!#REF!</f>
        <v>#REF!</v>
      </c>
    </row>
    <row r="348" customHeight="1" spans="1:36">
      <c r="A348" s="181">
        <f>固定资产台账1!A6</f>
        <v>0</v>
      </c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  <c r="AC348" s="182"/>
      <c r="AD348" s="182"/>
      <c r="AE348" s="182"/>
      <c r="AF348" s="182"/>
      <c r="AG348" s="183">
        <f t="shared" si="33"/>
        <v>0</v>
      </c>
      <c r="AH348" s="176">
        <f>AG348-研发设备工时计算表2!AJ8</f>
        <v>0</v>
      </c>
      <c r="AI348" s="176" t="e">
        <f>研发设备折旧表3!#REF!</f>
        <v>#REF!</v>
      </c>
      <c r="AJ348" s="176" t="e">
        <f>研发设备折旧表3!#REF!</f>
        <v>#REF!</v>
      </c>
    </row>
    <row r="349" customHeight="1" spans="1:36">
      <c r="A349" s="181">
        <f>固定资产台账1!A7</f>
        <v>0</v>
      </c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  <c r="AC349" s="182"/>
      <c r="AD349" s="182"/>
      <c r="AE349" s="182"/>
      <c r="AF349" s="182"/>
      <c r="AG349" s="183">
        <f t="shared" si="33"/>
        <v>0</v>
      </c>
      <c r="AH349" s="176">
        <f>AG349-研发设备工时计算表2!AJ9</f>
        <v>0</v>
      </c>
      <c r="AI349" s="176" t="e">
        <f>研发设备折旧表3!#REF!</f>
        <v>#REF!</v>
      </c>
      <c r="AJ349" s="176" t="e">
        <f>研发设备折旧表3!#REF!</f>
        <v>#REF!</v>
      </c>
    </row>
    <row r="350" customHeight="1" spans="1:36">
      <c r="A350" s="181">
        <f>固定资产台账1!A8</f>
        <v>0</v>
      </c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  <c r="AC350" s="182"/>
      <c r="AD350" s="182"/>
      <c r="AE350" s="182"/>
      <c r="AF350" s="182"/>
      <c r="AG350" s="183">
        <f t="shared" si="33"/>
        <v>0</v>
      </c>
      <c r="AH350" s="176">
        <f>AG350-研发设备工时计算表2!AJ10</f>
        <v>0</v>
      </c>
      <c r="AI350" s="176" t="e">
        <f>研发设备折旧表3!#REF!</f>
        <v>#REF!</v>
      </c>
      <c r="AJ350" s="176" t="e">
        <f>研发设备折旧表3!#REF!</f>
        <v>#REF!</v>
      </c>
    </row>
    <row r="351" customHeight="1" spans="1:36">
      <c r="A351" s="181">
        <f>固定资产台账1!A9</f>
        <v>0</v>
      </c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  <c r="AC351" s="182"/>
      <c r="AD351" s="182"/>
      <c r="AE351" s="182"/>
      <c r="AF351" s="182"/>
      <c r="AG351" s="183">
        <f t="shared" si="33"/>
        <v>0</v>
      </c>
      <c r="AH351" s="176">
        <f>AG351-研发设备工时计算表2!AJ11</f>
        <v>0</v>
      </c>
      <c r="AI351" s="176" t="e">
        <f>研发设备折旧表3!#REF!</f>
        <v>#REF!</v>
      </c>
      <c r="AJ351" s="176" t="e">
        <f>研发设备折旧表3!#REF!</f>
        <v>#REF!</v>
      </c>
    </row>
    <row r="352" customHeight="1" spans="1:36">
      <c r="A352" s="181">
        <f>固定资产台账1!A10</f>
        <v>0</v>
      </c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  <c r="AC352" s="182"/>
      <c r="AD352" s="182"/>
      <c r="AE352" s="182"/>
      <c r="AF352" s="182"/>
      <c r="AG352" s="183">
        <f t="shared" si="33"/>
        <v>0</v>
      </c>
      <c r="AH352" s="176">
        <f>AG352-研发设备工时计算表2!AJ12</f>
        <v>0</v>
      </c>
      <c r="AI352" s="176" t="e">
        <f>研发设备折旧表3!#REF!</f>
        <v>#REF!</v>
      </c>
      <c r="AJ352" s="176" t="e">
        <f>研发设备折旧表3!#REF!</f>
        <v>#REF!</v>
      </c>
    </row>
    <row r="353" customHeight="1" spans="1:36">
      <c r="A353" s="181">
        <f>固定资产台账1!A11</f>
        <v>0</v>
      </c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  <c r="AC353" s="182"/>
      <c r="AD353" s="182"/>
      <c r="AE353" s="182"/>
      <c r="AF353" s="182"/>
      <c r="AG353" s="183">
        <f t="shared" si="33"/>
        <v>0</v>
      </c>
      <c r="AH353" s="176">
        <f>AG353-研发设备工时计算表2!AJ13</f>
        <v>0</v>
      </c>
      <c r="AI353" s="176" t="e">
        <f>研发设备折旧表3!#REF!</f>
        <v>#REF!</v>
      </c>
      <c r="AJ353" s="176" t="e">
        <f>研发设备折旧表3!#REF!</f>
        <v>#REF!</v>
      </c>
    </row>
    <row r="354" customHeight="1" spans="1:36">
      <c r="A354" s="181">
        <f>固定资产台账1!A12</f>
        <v>0</v>
      </c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  <c r="AC354" s="182"/>
      <c r="AD354" s="182"/>
      <c r="AE354" s="182"/>
      <c r="AF354" s="182"/>
      <c r="AG354" s="183">
        <f t="shared" si="33"/>
        <v>0</v>
      </c>
      <c r="AH354" s="176">
        <f>AG354-研发设备工时计算表2!AJ14</f>
        <v>0</v>
      </c>
      <c r="AI354" s="176" t="e">
        <f>研发设备折旧表3!#REF!</f>
        <v>#REF!</v>
      </c>
      <c r="AJ354" s="176" t="e">
        <f>研发设备折旧表3!#REF!</f>
        <v>#REF!</v>
      </c>
    </row>
    <row r="355" customHeight="1" spans="1:36">
      <c r="A355" s="181">
        <f>固定资产台账1!A13</f>
        <v>0</v>
      </c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3">
        <f t="shared" si="33"/>
        <v>0</v>
      </c>
      <c r="AH355" s="176">
        <f>AG355-研发设备工时计算表2!AJ15</f>
        <v>0</v>
      </c>
    </row>
    <row r="356" customHeight="1" spans="1:36">
      <c r="A356" s="181">
        <f>固定资产台账1!A14</f>
        <v>0</v>
      </c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  <c r="AC356" s="182"/>
      <c r="AD356" s="182"/>
      <c r="AE356" s="182"/>
      <c r="AF356" s="182"/>
      <c r="AG356" s="183">
        <f t="shared" si="33"/>
        <v>0</v>
      </c>
      <c r="AH356" s="176">
        <f>AG356-研发设备工时计算表2!AJ16</f>
        <v>0</v>
      </c>
    </row>
    <row r="357" customHeight="1" spans="1:36">
      <c r="A357" s="181">
        <f>固定资产台账1!A15</f>
        <v>0</v>
      </c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3">
        <f t="shared" si="33"/>
        <v>0</v>
      </c>
      <c r="AH357" s="176">
        <f>AG357-研发设备工时计算表2!AJ17</f>
        <v>0</v>
      </c>
    </row>
    <row r="358" customHeight="1" spans="1:36">
      <c r="A358" s="181">
        <f>固定资产台账1!A16</f>
        <v>0</v>
      </c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  <c r="AC358" s="182"/>
      <c r="AD358" s="182"/>
      <c r="AE358" s="182"/>
      <c r="AF358" s="182"/>
      <c r="AG358" s="183">
        <f t="shared" si="33"/>
        <v>0</v>
      </c>
      <c r="AH358" s="176">
        <f>AG358-研发设备工时计算表2!AJ18</f>
        <v>0</v>
      </c>
    </row>
    <row r="359" customHeight="1" spans="1:36">
      <c r="A359" s="181">
        <f>固定资产台账1!A17</f>
        <v>0</v>
      </c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  <c r="AC359" s="182"/>
      <c r="AD359" s="182"/>
      <c r="AE359" s="182"/>
      <c r="AF359" s="182"/>
      <c r="AG359" s="183">
        <f t="shared" ref="AG359:AG369" si="34">SUM(B359:AF359)</f>
        <v>0</v>
      </c>
      <c r="AH359" s="176">
        <f>AG359-研发设备工时计算表2!AJ19</f>
        <v>0</v>
      </c>
    </row>
    <row r="360" customHeight="1" spans="1:36">
      <c r="A360" s="181">
        <f>固定资产台账1!A18</f>
        <v>0</v>
      </c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  <c r="AC360" s="182"/>
      <c r="AD360" s="182"/>
      <c r="AE360" s="182"/>
      <c r="AF360" s="182"/>
      <c r="AG360" s="183">
        <f t="shared" si="34"/>
        <v>0</v>
      </c>
      <c r="AH360" s="176">
        <f>AG360-研发设备工时计算表2!AJ20</f>
        <v>0</v>
      </c>
    </row>
    <row r="361" customHeight="1" spans="1:36">
      <c r="A361" s="181">
        <f>固定资产台账1!A19</f>
        <v>0</v>
      </c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  <c r="AD361" s="182"/>
      <c r="AE361" s="182"/>
      <c r="AF361" s="182"/>
      <c r="AG361" s="183">
        <f t="shared" si="34"/>
        <v>0</v>
      </c>
      <c r="AH361" s="176">
        <f>AG361-研发设备工时计算表2!AJ21</f>
        <v>0</v>
      </c>
    </row>
    <row r="362" customHeight="1" spans="1:36">
      <c r="A362" s="181">
        <f>固定资产台账1!A20</f>
        <v>0</v>
      </c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  <c r="AC362" s="182"/>
      <c r="AD362" s="182"/>
      <c r="AE362" s="182"/>
      <c r="AF362" s="182"/>
      <c r="AG362" s="183">
        <f t="shared" si="34"/>
        <v>0</v>
      </c>
      <c r="AH362" s="176">
        <f>AG362-研发设备工时计算表2!AJ22</f>
        <v>0</v>
      </c>
    </row>
    <row r="363" customHeight="1" spans="1:36">
      <c r="A363" s="181">
        <f>固定资产台账1!A21</f>
        <v>0</v>
      </c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  <c r="AC363" s="182"/>
      <c r="AD363" s="182"/>
      <c r="AE363" s="182"/>
      <c r="AF363" s="182"/>
      <c r="AG363" s="183">
        <f t="shared" si="34"/>
        <v>0</v>
      </c>
      <c r="AH363" s="176">
        <f>AG363-研发设备工时计算表2!AJ23</f>
        <v>0</v>
      </c>
    </row>
    <row r="364" customHeight="1" spans="1:36">
      <c r="A364" s="181">
        <f>固定资产台账1!A22</f>
        <v>0</v>
      </c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  <c r="AC364" s="182"/>
      <c r="AD364" s="182"/>
      <c r="AE364" s="182"/>
      <c r="AF364" s="182"/>
      <c r="AG364" s="183">
        <f t="shared" si="34"/>
        <v>0</v>
      </c>
      <c r="AH364" s="176">
        <f>AG364-研发设备工时计算表2!AJ25</f>
        <v>0</v>
      </c>
    </row>
    <row r="365" customHeight="1" spans="1:36">
      <c r="A365" s="181">
        <f>固定资产台账1!A23</f>
        <v>0</v>
      </c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  <c r="AC365" s="182"/>
      <c r="AD365" s="182"/>
      <c r="AE365" s="182"/>
      <c r="AF365" s="182"/>
      <c r="AG365" s="183">
        <f t="shared" si="34"/>
        <v>0</v>
      </c>
      <c r="AH365" s="176">
        <f>AG365-研发设备工时计算表2!AJ25</f>
        <v>0</v>
      </c>
    </row>
    <row r="366" customHeight="1" spans="1:36">
      <c r="A366" s="181">
        <f>固定资产台账1!A25</f>
        <v>0</v>
      </c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  <c r="AC366" s="182"/>
      <c r="AD366" s="182"/>
      <c r="AE366" s="182"/>
      <c r="AF366" s="182"/>
      <c r="AG366" s="183">
        <f t="shared" si="34"/>
        <v>0</v>
      </c>
      <c r="AH366" s="176">
        <f>AG366-研发设备工时计算表2!AJ26</f>
        <v>0</v>
      </c>
    </row>
    <row r="367" customHeight="1" spans="1:36">
      <c r="A367" s="181">
        <f>固定资产台账1!A25</f>
        <v>0</v>
      </c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  <c r="AC367" s="182"/>
      <c r="AD367" s="182"/>
      <c r="AE367" s="182"/>
      <c r="AF367" s="182"/>
      <c r="AG367" s="183">
        <f t="shared" si="34"/>
        <v>0</v>
      </c>
      <c r="AH367" s="176">
        <f>AG367-研发设备工时计算表2!AJ27</f>
        <v>0</v>
      </c>
    </row>
    <row r="368" customHeight="1" spans="1:36">
      <c r="A368" s="181">
        <f>固定资产台账1!A26</f>
        <v>0</v>
      </c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  <c r="AC368" s="182"/>
      <c r="AD368" s="182"/>
      <c r="AE368" s="182"/>
      <c r="AF368" s="182"/>
      <c r="AG368" s="183">
        <f t="shared" si="34"/>
        <v>0</v>
      </c>
      <c r="AH368" s="176">
        <f>AG368-研发设备工时计算表2!AJ28</f>
        <v>0</v>
      </c>
    </row>
    <row r="369" customHeight="1" spans="1:34">
      <c r="A369" s="181">
        <f>固定资产台账1!A27</f>
        <v>0</v>
      </c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  <c r="AC369" s="182"/>
      <c r="AD369" s="182"/>
      <c r="AE369" s="182"/>
      <c r="AF369" s="182"/>
      <c r="AG369" s="183">
        <f t="shared" si="34"/>
        <v>0</v>
      </c>
      <c r="AH369" s="176">
        <f>AG369-研发设备工时计算表2!AJ29</f>
        <v>0</v>
      </c>
    </row>
    <row r="370" customHeight="1" spans="1:34">
      <c r="A370" s="181" t="s">
        <v>270</v>
      </c>
      <c r="B370" s="182">
        <f t="shared" ref="B370:AG370" si="35">SUM(B345:B369)</f>
        <v>0</v>
      </c>
      <c r="C370" s="182">
        <f t="shared" si="35"/>
        <v>0</v>
      </c>
      <c r="D370" s="182">
        <f t="shared" si="35"/>
        <v>0</v>
      </c>
      <c r="E370" s="182">
        <f t="shared" si="35"/>
        <v>0</v>
      </c>
      <c r="F370" s="182">
        <f t="shared" si="35"/>
        <v>0</v>
      </c>
      <c r="G370" s="182">
        <f t="shared" si="35"/>
        <v>0</v>
      </c>
      <c r="H370" s="182">
        <f t="shared" si="35"/>
        <v>0</v>
      </c>
      <c r="I370" s="182">
        <f t="shared" si="35"/>
        <v>0</v>
      </c>
      <c r="J370" s="182">
        <f t="shared" si="35"/>
        <v>0</v>
      </c>
      <c r="K370" s="182">
        <f t="shared" si="35"/>
        <v>0</v>
      </c>
      <c r="L370" s="182">
        <f t="shared" si="35"/>
        <v>0</v>
      </c>
      <c r="M370" s="182">
        <f t="shared" si="35"/>
        <v>0</v>
      </c>
      <c r="N370" s="182">
        <f t="shared" si="35"/>
        <v>0</v>
      </c>
      <c r="O370" s="182">
        <f t="shared" si="35"/>
        <v>0</v>
      </c>
      <c r="P370" s="182">
        <f t="shared" si="35"/>
        <v>0</v>
      </c>
      <c r="Q370" s="182">
        <f t="shared" si="35"/>
        <v>0</v>
      </c>
      <c r="R370" s="182">
        <f t="shared" si="35"/>
        <v>0</v>
      </c>
      <c r="S370" s="182">
        <f t="shared" si="35"/>
        <v>0</v>
      </c>
      <c r="T370" s="182">
        <f t="shared" si="35"/>
        <v>0</v>
      </c>
      <c r="U370" s="182">
        <f t="shared" si="35"/>
        <v>0</v>
      </c>
      <c r="V370" s="182">
        <f t="shared" si="35"/>
        <v>0</v>
      </c>
      <c r="W370" s="182">
        <f t="shared" si="35"/>
        <v>0</v>
      </c>
      <c r="X370" s="182">
        <f t="shared" si="35"/>
        <v>0</v>
      </c>
      <c r="Y370" s="182">
        <f t="shared" si="35"/>
        <v>0</v>
      </c>
      <c r="Z370" s="182">
        <f t="shared" si="35"/>
        <v>0</v>
      </c>
      <c r="AA370" s="182">
        <f t="shared" si="35"/>
        <v>0</v>
      </c>
      <c r="AB370" s="182">
        <f t="shared" si="35"/>
        <v>0</v>
      </c>
      <c r="AC370" s="182">
        <f t="shared" si="35"/>
        <v>0</v>
      </c>
      <c r="AD370" s="182">
        <f t="shared" si="35"/>
        <v>0</v>
      </c>
      <c r="AE370" s="182">
        <f t="shared" si="35"/>
        <v>0</v>
      </c>
      <c r="AF370" s="182">
        <f t="shared" si="35"/>
        <v>0</v>
      </c>
      <c r="AG370" s="182">
        <f t="shared" si="35"/>
        <v>0</v>
      </c>
    </row>
  </sheetData>
  <mergeCells count="12">
    <mergeCell ref="A2:AG3"/>
    <mergeCell ref="A33:AG34"/>
    <mergeCell ref="A63:AG64"/>
    <mergeCell ref="A94:AG95"/>
    <mergeCell ref="A125:AG126"/>
    <mergeCell ref="A155:AG156"/>
    <mergeCell ref="A186:AG187"/>
    <mergeCell ref="A217:AG218"/>
    <mergeCell ref="A248:AG249"/>
    <mergeCell ref="A279:AG280"/>
    <mergeCell ref="A310:AG311"/>
    <mergeCell ref="A342:AG343"/>
  </mergeCells>
  <pageMargins left="0.393055555555556" right="0.393055555555556" top="1" bottom="1" header="0.5" footer="0.5"/>
  <pageSetup paperSize="9" scale="71" fitToHeight="0" orientation="landscape"/>
  <headerFooter/>
  <rowBreaks count="11" manualBreakCount="11">
    <brk id="30" max="32" man="1"/>
    <brk id="61" max="32" man="1"/>
    <brk id="91" max="32" man="1"/>
    <brk id="122" max="32" man="1"/>
    <brk id="153" max="32" man="1"/>
    <brk id="183" max="32" man="1"/>
    <brk id="214" max="32" man="1"/>
    <brk id="245" max="32" man="1"/>
    <brk id="276" max="32" man="1"/>
    <brk id="307" max="32" man="1"/>
    <brk id="338" max="3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10"/>
  <sheetViews>
    <sheetView showZeros="0" view="pageBreakPreview" zoomScaleNormal="100" topLeftCell="B13" workbookViewId="0">
      <selection activeCell="H127" sqref="H127"/>
    </sheetView>
  </sheetViews>
  <sheetFormatPr defaultColWidth="9" defaultRowHeight="18" customHeight="1"/>
  <cols>
    <col min="1" max="1" width="4.25" style="142" customWidth="1"/>
    <col min="2" max="2" width="8.62962962962963" style="142" customWidth="1"/>
    <col min="3" max="5" width="19.1296296296296" style="142" customWidth="1"/>
    <col min="6" max="6" width="23.2222222222222" style="142" customWidth="1"/>
    <col min="7" max="7" width="23.3333333333333" style="142" customWidth="1"/>
    <col min="8" max="8" width="10.3796296296296" style="142" customWidth="1"/>
    <col min="9" max="11" width="8.62962962962963" style="142" customWidth="1"/>
    <col min="12" max="18" width="10.3796296296296" style="142" customWidth="1"/>
    <col min="19" max="16384" width="9" style="142"/>
  </cols>
  <sheetData>
    <row r="1" customHeight="1" spans="1:19">
      <c r="G1" s="142" t="s">
        <v>283</v>
      </c>
    </row>
    <row r="2" customHeight="1" spans="1:19">
      <c r="G2" s="143" t="s">
        <v>67</v>
      </c>
      <c r="H2" s="143" t="str">
        <f>立项!A3</f>
        <v>RD01</v>
      </c>
      <c r="I2" s="143" t="str">
        <f>立项!A4</f>
        <v>RD02</v>
      </c>
      <c r="J2" s="143" t="str">
        <f>立项!A5</f>
        <v>RD03</v>
      </c>
      <c r="K2" s="143" t="str">
        <f>立项!A6</f>
        <v>RD04</v>
      </c>
      <c r="L2" s="143" t="str">
        <f>立项!A7</f>
        <v>RD05</v>
      </c>
      <c r="M2" s="143" t="str">
        <f>立项!A8</f>
        <v>RD06</v>
      </c>
      <c r="N2" s="143" t="str">
        <f>立项!A9</f>
        <v>RD07</v>
      </c>
      <c r="O2" s="143" t="str">
        <f>立项!A10</f>
        <v>RD08</v>
      </c>
      <c r="P2" s="143" t="str">
        <f>立项!A11</f>
        <v>RD09</v>
      </c>
      <c r="Q2" s="143" t="str">
        <f>立项!A12</f>
        <v>RD10</v>
      </c>
      <c r="R2" s="143" t="s">
        <v>284</v>
      </c>
    </row>
    <row r="3" customHeight="1" spans="1:19">
      <c r="G3" s="143">
        <v>1</v>
      </c>
      <c r="H3" s="144">
        <f>研发设备折旧表3!I30</f>
        <v>0</v>
      </c>
      <c r="I3" s="144">
        <f>研发设备折旧表3!K30</f>
        <v>0</v>
      </c>
      <c r="J3" s="144">
        <f>研发设备折旧表3!M30</f>
        <v>0</v>
      </c>
      <c r="K3" s="144">
        <f>研发设备折旧表3!O30</f>
        <v>0</v>
      </c>
      <c r="L3" s="144">
        <f>研发设备折旧表3!Q30</f>
        <v>0</v>
      </c>
      <c r="M3" s="144">
        <f>研发设备折旧表3!S30</f>
        <v>0</v>
      </c>
      <c r="N3" s="144">
        <f>研发设备折旧表3!U30</f>
        <v>0</v>
      </c>
      <c r="O3" s="144">
        <f>研发设备折旧表3!W30</f>
        <v>0</v>
      </c>
      <c r="P3" s="144">
        <f>研发设备折旧表3!Y30</f>
        <v>0</v>
      </c>
      <c r="Q3" s="144">
        <f>研发设备折旧表3!AA30</f>
        <v>0</v>
      </c>
      <c r="R3" s="145">
        <f>SUM(H3:Q3)</f>
        <v>0</v>
      </c>
    </row>
    <row r="4" customHeight="1" spans="1:19">
      <c r="G4" s="143">
        <v>2</v>
      </c>
      <c r="H4" s="144">
        <f>研发设备折旧表3!I61</f>
        <v>0</v>
      </c>
      <c r="I4" s="144">
        <f>研发设备折旧表3!K61</f>
        <v>0</v>
      </c>
      <c r="J4" s="144">
        <f>研发设备折旧表3!M61</f>
        <v>0</v>
      </c>
      <c r="K4" s="144">
        <f>研发设备折旧表3!O61</f>
        <v>0</v>
      </c>
      <c r="L4" s="144">
        <f>研发设备折旧表3!Q61</f>
        <v>0</v>
      </c>
      <c r="M4" s="144">
        <f>研发设备折旧表3!S61</f>
        <v>0</v>
      </c>
      <c r="N4" s="144">
        <f>研发设备折旧表3!U61</f>
        <v>0</v>
      </c>
      <c r="O4" s="144">
        <f>研发设备折旧表3!W61</f>
        <v>0</v>
      </c>
      <c r="P4" s="144">
        <f>研发设备折旧表3!Y61</f>
        <v>0</v>
      </c>
      <c r="Q4" s="144">
        <f>研发设备折旧表3!AA61</f>
        <v>0</v>
      </c>
      <c r="R4" s="145">
        <f t="shared" ref="R4:R14" si="0">SUM(H4:Q4)</f>
        <v>0</v>
      </c>
    </row>
    <row r="5" customHeight="1" spans="1:19">
      <c r="G5" s="143">
        <v>3</v>
      </c>
      <c r="H5" s="144">
        <f>研发设备折旧表3!I92</f>
        <v>0</v>
      </c>
      <c r="I5" s="144">
        <f>研发设备折旧表3!K92</f>
        <v>0</v>
      </c>
      <c r="J5" s="144">
        <f>研发设备折旧表3!M92</f>
        <v>0</v>
      </c>
      <c r="K5" s="144">
        <f>研发设备折旧表3!O92</f>
        <v>0</v>
      </c>
      <c r="L5" s="144">
        <f>研发设备折旧表3!Q92</f>
        <v>0</v>
      </c>
      <c r="M5" s="144">
        <f>研发设备折旧表3!S92</f>
        <v>0</v>
      </c>
      <c r="N5" s="144">
        <f>研发设备折旧表3!U92</f>
        <v>0</v>
      </c>
      <c r="O5" s="144">
        <f>研发设备折旧表3!W92</f>
        <v>0</v>
      </c>
      <c r="P5" s="144">
        <f>研发设备折旧表3!Y92</f>
        <v>0</v>
      </c>
      <c r="Q5" s="144">
        <f>研发设备折旧表3!AA92</f>
        <v>0</v>
      </c>
      <c r="R5" s="145">
        <f t="shared" si="0"/>
        <v>0</v>
      </c>
    </row>
    <row r="6" customHeight="1" spans="1:19">
      <c r="G6" s="143">
        <v>4</v>
      </c>
      <c r="H6" s="144">
        <f>研发设备折旧表3!I123</f>
        <v>0</v>
      </c>
      <c r="I6" s="144">
        <f>研发设备折旧表3!K123</f>
        <v>0</v>
      </c>
      <c r="J6" s="144">
        <f>研发设备折旧表3!M123</f>
        <v>0</v>
      </c>
      <c r="K6" s="144">
        <f>研发设备折旧表3!O123</f>
        <v>0</v>
      </c>
      <c r="L6" s="144">
        <f>研发设备折旧表3!Q123</f>
        <v>0</v>
      </c>
      <c r="M6" s="144">
        <f>研发设备折旧表3!S123</f>
        <v>0</v>
      </c>
      <c r="N6" s="144">
        <f>研发设备折旧表3!U123</f>
        <v>0</v>
      </c>
      <c r="O6" s="144">
        <f>研发设备折旧表3!W123</f>
        <v>0</v>
      </c>
      <c r="P6" s="144">
        <f>研发设备折旧表3!Y123</f>
        <v>0</v>
      </c>
      <c r="Q6" s="144">
        <f>研发设备折旧表3!AA123</f>
        <v>0</v>
      </c>
      <c r="R6" s="145">
        <f t="shared" si="0"/>
        <v>0</v>
      </c>
    </row>
    <row r="7" customHeight="1" spans="1:19">
      <c r="G7" s="143">
        <v>5</v>
      </c>
      <c r="H7" s="144">
        <f>研发设备折旧表3!I154</f>
        <v>0</v>
      </c>
      <c r="I7" s="144">
        <f>研发设备折旧表3!K154</f>
        <v>0</v>
      </c>
      <c r="J7" s="144">
        <f>研发设备折旧表3!M154</f>
        <v>0</v>
      </c>
      <c r="K7" s="144">
        <f>研发设备折旧表3!O154</f>
        <v>0</v>
      </c>
      <c r="L7" s="144">
        <f>研发设备折旧表3!Q154</f>
        <v>0</v>
      </c>
      <c r="M7" s="144">
        <f>研发设备折旧表3!S154</f>
        <v>0</v>
      </c>
      <c r="N7" s="144">
        <f>研发设备折旧表3!U154</f>
        <v>0</v>
      </c>
      <c r="O7" s="144">
        <f>研发设备折旧表3!W154</f>
        <v>0</v>
      </c>
      <c r="P7" s="144">
        <f>研发设备折旧表3!Y154</f>
        <v>0</v>
      </c>
      <c r="Q7" s="144">
        <f>研发设备折旧表3!AA154</f>
        <v>0</v>
      </c>
      <c r="R7" s="145">
        <f t="shared" si="0"/>
        <v>0</v>
      </c>
    </row>
    <row r="8" customHeight="1" spans="1:19">
      <c r="G8" s="143">
        <v>6</v>
      </c>
      <c r="H8" s="144">
        <f>研发设备折旧表3!I185</f>
        <v>0</v>
      </c>
      <c r="I8" s="144">
        <f>研发设备折旧表3!K185</f>
        <v>0</v>
      </c>
      <c r="J8" s="144">
        <f>研发设备折旧表3!M185</f>
        <v>0</v>
      </c>
      <c r="K8" s="144">
        <f>研发设备折旧表3!O185</f>
        <v>0</v>
      </c>
      <c r="L8" s="144">
        <f>研发设备折旧表3!Q185</f>
        <v>0</v>
      </c>
      <c r="M8" s="144">
        <f>研发设备折旧表3!S185</f>
        <v>0</v>
      </c>
      <c r="N8" s="144">
        <f>研发设备折旧表3!U185</f>
        <v>0</v>
      </c>
      <c r="O8" s="144">
        <f>研发设备折旧表3!W185</f>
        <v>0</v>
      </c>
      <c r="P8" s="144">
        <f>研发设备折旧表3!Y185</f>
        <v>0</v>
      </c>
      <c r="Q8" s="144">
        <f>研发设备折旧表3!AA185</f>
        <v>0</v>
      </c>
      <c r="R8" s="145">
        <f t="shared" si="0"/>
        <v>0</v>
      </c>
    </row>
    <row r="9" customHeight="1" spans="1:19">
      <c r="G9" s="143">
        <v>7</v>
      </c>
      <c r="H9" s="144">
        <f>研发设备折旧表3!I216</f>
        <v>0</v>
      </c>
      <c r="I9" s="144">
        <f>研发设备折旧表3!K216</f>
        <v>0</v>
      </c>
      <c r="J9" s="144">
        <f>研发设备折旧表3!M216</f>
        <v>0</v>
      </c>
      <c r="K9" s="144">
        <f>研发设备折旧表3!O216</f>
        <v>0</v>
      </c>
      <c r="L9" s="144">
        <f>研发设备折旧表3!Q216</f>
        <v>0</v>
      </c>
      <c r="M9" s="144">
        <f>研发设备折旧表3!S216</f>
        <v>0</v>
      </c>
      <c r="N9" s="144">
        <f>研发设备折旧表3!U216</f>
        <v>0</v>
      </c>
      <c r="O9" s="144">
        <f>研发设备折旧表3!W216</f>
        <v>0</v>
      </c>
      <c r="P9" s="144">
        <f>研发设备折旧表3!Y216</f>
        <v>0</v>
      </c>
      <c r="Q9" s="144">
        <f>研发设备折旧表3!AA216</f>
        <v>0</v>
      </c>
      <c r="R9" s="145">
        <f t="shared" si="0"/>
        <v>0</v>
      </c>
    </row>
    <row r="10" customHeight="1" spans="1:19">
      <c r="G10" s="143">
        <v>8</v>
      </c>
      <c r="H10" s="144">
        <f>研发设备折旧表3!I247</f>
        <v>0</v>
      </c>
      <c r="I10" s="144">
        <f>研发设备折旧表3!K247</f>
        <v>0</v>
      </c>
      <c r="J10" s="144">
        <f>研发设备折旧表3!M247</f>
        <v>0</v>
      </c>
      <c r="K10" s="144">
        <f>研发设备折旧表3!O247</f>
        <v>0</v>
      </c>
      <c r="L10" s="144">
        <f>研发设备折旧表3!Q247</f>
        <v>0</v>
      </c>
      <c r="M10" s="144">
        <f>研发设备折旧表3!S247</f>
        <v>0</v>
      </c>
      <c r="N10" s="144">
        <f>研发设备折旧表3!U247</f>
        <v>0</v>
      </c>
      <c r="O10" s="144">
        <f>研发设备折旧表3!W247</f>
        <v>0</v>
      </c>
      <c r="P10" s="144">
        <f>研发设备折旧表3!Y247</f>
        <v>0</v>
      </c>
      <c r="Q10" s="144">
        <f>研发设备折旧表3!AA247</f>
        <v>0</v>
      </c>
      <c r="R10" s="145">
        <f t="shared" si="0"/>
        <v>0</v>
      </c>
    </row>
    <row r="11" customHeight="1" spans="1:19">
      <c r="G11" s="143">
        <v>9</v>
      </c>
      <c r="H11" s="144">
        <f>研发设备折旧表3!I278</f>
        <v>0</v>
      </c>
      <c r="I11" s="144">
        <f>研发设备折旧表3!K278</f>
        <v>0</v>
      </c>
      <c r="J11" s="144">
        <f>研发设备折旧表3!M278</f>
        <v>0</v>
      </c>
      <c r="K11" s="144">
        <f>研发设备折旧表3!O278</f>
        <v>0</v>
      </c>
      <c r="L11" s="144">
        <f>研发设备折旧表3!Q278</f>
        <v>0</v>
      </c>
      <c r="M11" s="144">
        <f>研发设备折旧表3!S278</f>
        <v>0</v>
      </c>
      <c r="N11" s="144">
        <f>研发设备折旧表3!U278</f>
        <v>0</v>
      </c>
      <c r="O11" s="144">
        <f>研发设备折旧表3!W278</f>
        <v>0</v>
      </c>
      <c r="P11" s="144">
        <f>研发设备折旧表3!Y278</f>
        <v>0</v>
      </c>
      <c r="Q11" s="144">
        <f>研发设备折旧表3!AA278</f>
        <v>0</v>
      </c>
      <c r="R11" s="145">
        <f t="shared" si="0"/>
        <v>0</v>
      </c>
    </row>
    <row r="12" customHeight="1" spans="1:19">
      <c r="G12" s="143">
        <v>10</v>
      </c>
      <c r="H12" s="144">
        <f>研发设备折旧表3!I309</f>
        <v>0</v>
      </c>
      <c r="I12" s="144">
        <f>研发设备折旧表3!K309</f>
        <v>0</v>
      </c>
      <c r="J12" s="144">
        <f>研发设备折旧表3!M309</f>
        <v>0</v>
      </c>
      <c r="K12" s="144">
        <f>研发设备折旧表3!O309</f>
        <v>0</v>
      </c>
      <c r="L12" s="144">
        <f>研发设备折旧表3!Q309</f>
        <v>0</v>
      </c>
      <c r="M12" s="144">
        <f>研发设备折旧表3!S309</f>
        <v>0</v>
      </c>
      <c r="N12" s="144">
        <f>研发设备折旧表3!U309</f>
        <v>0</v>
      </c>
      <c r="O12" s="144">
        <f>研发设备折旧表3!W309</f>
        <v>0</v>
      </c>
      <c r="P12" s="144">
        <f>研发设备折旧表3!Y309</f>
        <v>0</v>
      </c>
      <c r="Q12" s="144">
        <f>研发设备折旧表3!AA309</f>
        <v>0</v>
      </c>
      <c r="R12" s="145">
        <f t="shared" si="0"/>
        <v>0</v>
      </c>
    </row>
    <row r="13" customHeight="1" spans="1:19">
      <c r="G13" s="143">
        <v>11</v>
      </c>
      <c r="H13" s="144">
        <f>研发设备折旧表3!I340</f>
        <v>0</v>
      </c>
      <c r="I13" s="144">
        <f>研发设备折旧表3!K340</f>
        <v>0</v>
      </c>
      <c r="J13" s="144">
        <f>研发设备折旧表3!M340</f>
        <v>0</v>
      </c>
      <c r="K13" s="144">
        <f>研发设备折旧表3!O340</f>
        <v>0</v>
      </c>
      <c r="L13" s="144">
        <f>研发设备折旧表3!Q340</f>
        <v>0</v>
      </c>
      <c r="M13" s="144">
        <f>研发设备折旧表3!S340</f>
        <v>0</v>
      </c>
      <c r="N13" s="144">
        <f>研发设备折旧表3!U340</f>
        <v>0</v>
      </c>
      <c r="O13" s="144">
        <f>研发设备折旧表3!W340</f>
        <v>0</v>
      </c>
      <c r="P13" s="144">
        <f>研发设备折旧表3!Y340</f>
        <v>0</v>
      </c>
      <c r="Q13" s="144">
        <f>研发设备折旧表3!AA340</f>
        <v>0</v>
      </c>
      <c r="R13" s="145">
        <f t="shared" si="0"/>
        <v>0</v>
      </c>
    </row>
    <row r="14" customHeight="1" spans="1:19">
      <c r="G14" s="143">
        <v>12</v>
      </c>
      <c r="H14" s="144">
        <f>研发设备折旧表3!I371</f>
        <v>0</v>
      </c>
      <c r="I14" s="144">
        <f>研发设备折旧表3!K371</f>
        <v>0</v>
      </c>
      <c r="J14" s="144">
        <f>研发设备折旧表3!M371</f>
        <v>0</v>
      </c>
      <c r="K14" s="144">
        <f>研发设备折旧表3!O371</f>
        <v>0</v>
      </c>
      <c r="L14" s="144">
        <f>研发设备折旧表3!Q371</f>
        <v>0</v>
      </c>
      <c r="M14" s="144">
        <f>研发设备折旧表3!S371</f>
        <v>0</v>
      </c>
      <c r="N14" s="144">
        <f>研发设备折旧表3!U371</f>
        <v>0</v>
      </c>
      <c r="O14" s="144">
        <f>研发设备折旧表3!W371</f>
        <v>0</v>
      </c>
      <c r="P14" s="144">
        <f>研发设备折旧表3!Y371</f>
        <v>0</v>
      </c>
      <c r="Q14" s="144">
        <f>研发设备折旧表3!AA371</f>
        <v>0</v>
      </c>
      <c r="R14" s="145">
        <f t="shared" si="0"/>
        <v>0</v>
      </c>
    </row>
    <row r="16" customHeight="1" spans="1:19">
      <c r="A16" s="146"/>
      <c r="B16" s="147" t="s">
        <v>285</v>
      </c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8"/>
    </row>
    <row r="17" customHeight="1" spans="2:21">
      <c r="B17" s="143" t="s">
        <v>67</v>
      </c>
      <c r="C17" s="149" t="s">
        <v>286</v>
      </c>
      <c r="D17" s="143" t="s">
        <v>287</v>
      </c>
      <c r="E17" s="150" t="s">
        <v>288</v>
      </c>
      <c r="F17" s="150" t="s">
        <v>289</v>
      </c>
      <c r="G17" s="150" t="s">
        <v>290</v>
      </c>
      <c r="H17" s="143" t="str">
        <f>立项!A3</f>
        <v>RD01</v>
      </c>
      <c r="I17" s="143" t="str">
        <f>立项!A4</f>
        <v>RD02</v>
      </c>
      <c r="J17" s="143" t="str">
        <f>立项!A5</f>
        <v>RD03</v>
      </c>
      <c r="K17" s="143" t="str">
        <f>立项!A6</f>
        <v>RD04</v>
      </c>
      <c r="L17" s="143" t="str">
        <f>立项!A7</f>
        <v>RD05</v>
      </c>
      <c r="M17" s="143" t="str">
        <f>立项!A8</f>
        <v>RD06</v>
      </c>
      <c r="N17" s="143" t="str">
        <f>立项!A9</f>
        <v>RD07</v>
      </c>
      <c r="O17" s="143" t="str">
        <f>立项!A10</f>
        <v>RD08</v>
      </c>
      <c r="P17" s="143" t="str">
        <f>立项!A11</f>
        <v>RD09</v>
      </c>
      <c r="Q17" s="143" t="str">
        <f>立项!A12</f>
        <v>RD10</v>
      </c>
      <c r="R17" s="143" t="s">
        <v>291</v>
      </c>
      <c r="S17" s="151"/>
      <c r="T17" s="151"/>
      <c r="U17" s="151"/>
    </row>
    <row r="18" customHeight="1" spans="2:21">
      <c r="B18" s="143">
        <v>1</v>
      </c>
      <c r="C18" s="102">
        <f>IF(固定资产台账1!F$34=0,0,固定资产台账1!F$35)</f>
        <v>0</v>
      </c>
      <c r="D18" s="102">
        <f>R3</f>
        <v>0</v>
      </c>
      <c r="E18" s="102">
        <f>研发设备工时计算表2!B30</f>
        <v>0</v>
      </c>
      <c r="F18" s="152">
        <f>IF(E18=0,0,D18/E18)</f>
        <v>0</v>
      </c>
      <c r="G18" s="102">
        <f>ROUND(C18*F18,2)</f>
        <v>0</v>
      </c>
      <c r="H18" s="101">
        <f>IF($E18=0,0,ROUND(H3/$D18*$G18,2))</f>
        <v>0</v>
      </c>
      <c r="I18" s="101">
        <f>IF($E18=0,0,ROUND(I3/$D18*$G18,2))</f>
        <v>0</v>
      </c>
      <c r="J18" s="101">
        <f t="shared" ref="J18:J29" si="1">IF($E18=0,0,ROUND(J3/$D18*$G18,2))</f>
        <v>0</v>
      </c>
      <c r="K18" s="101">
        <f t="shared" ref="K18:K29" si="2">IF($E18=0,0,ROUND(K3/$D18*$G18,2))</f>
        <v>0</v>
      </c>
      <c r="L18" s="101">
        <f t="shared" ref="L18:L29" si="3">IF($E18=0,0,ROUND(L3/$D18*$G18,2))</f>
        <v>0</v>
      </c>
      <c r="M18" s="101">
        <f t="shared" ref="M18:M29" si="4">IF($E18=0,0,ROUND(M3/$D18*$G18,2))</f>
        <v>0</v>
      </c>
      <c r="N18" s="101">
        <f t="shared" ref="N18:N29" si="5">IF($E18=0,0,ROUND(N3/$D18*$G18,2))</f>
        <v>0</v>
      </c>
      <c r="O18" s="101">
        <f t="shared" ref="O18:O29" si="6">IF($E18=0,0,ROUND(O3/$D18*$G18,2))</f>
        <v>0</v>
      </c>
      <c r="P18" s="101">
        <f t="shared" ref="P18:P29" si="7">IF($E18=0,0,ROUND(P3/$D18*$G18,2))</f>
        <v>0</v>
      </c>
      <c r="Q18" s="101">
        <f t="shared" ref="Q18:Q29" si="8">IF($E18=0,0,ROUND(Q3/$D18*$G18,2))</f>
        <v>0</v>
      </c>
      <c r="R18" s="102">
        <f>SUM(H18:Q18)</f>
        <v>0</v>
      </c>
      <c r="S18" s="153"/>
      <c r="T18" s="153"/>
      <c r="U18" s="154"/>
    </row>
    <row r="19" customHeight="1" spans="2:21">
      <c r="B19" s="143">
        <v>2</v>
      </c>
      <c r="C19" s="102">
        <f>IF(固定资产台账1!G$34=0,0,固定资产台账1!G$35)</f>
        <v>0</v>
      </c>
      <c r="D19" s="102">
        <f t="shared" ref="D19:D29" si="9">R4</f>
        <v>0</v>
      </c>
      <c r="E19" s="102">
        <f>研发设备工时计算表2!E30</f>
        <v>0</v>
      </c>
      <c r="F19" s="152">
        <f t="shared" ref="F18:F29" si="10">IF(E19=0,0,D19/E19)</f>
        <v>0</v>
      </c>
      <c r="G19" s="102">
        <f t="shared" ref="G18:G29" si="11">ROUND(C19*F19,2)</f>
        <v>0</v>
      </c>
      <c r="H19" s="101">
        <f t="shared" ref="H18:H29" si="12">IF($E19=0,0,ROUND(H4/$D19*$G19,2))</f>
        <v>0</v>
      </c>
      <c r="I19" s="101">
        <f t="shared" ref="I18:I29" si="13">IF($E19=0,0,ROUND(I4/$D19*$G19,2))</f>
        <v>0</v>
      </c>
      <c r="J19" s="101">
        <f t="shared" si="1"/>
        <v>0</v>
      </c>
      <c r="K19" s="101">
        <f t="shared" si="2"/>
        <v>0</v>
      </c>
      <c r="L19" s="101">
        <f t="shared" si="3"/>
        <v>0</v>
      </c>
      <c r="M19" s="101">
        <f t="shared" si="4"/>
        <v>0</v>
      </c>
      <c r="N19" s="101">
        <f t="shared" si="5"/>
        <v>0</v>
      </c>
      <c r="O19" s="101">
        <f t="shared" si="6"/>
        <v>0</v>
      </c>
      <c r="P19" s="101">
        <f t="shared" si="7"/>
        <v>0</v>
      </c>
      <c r="Q19" s="101">
        <f t="shared" si="8"/>
        <v>0</v>
      </c>
      <c r="R19" s="102">
        <f t="shared" ref="R19:R29" si="14">SUM(H19:Q19)</f>
        <v>0</v>
      </c>
      <c r="S19" s="153"/>
      <c r="T19" s="153"/>
      <c r="U19" s="154"/>
    </row>
    <row r="20" customHeight="1" spans="2:21">
      <c r="B20" s="143">
        <v>3</v>
      </c>
      <c r="C20" s="102">
        <f>IF(固定资产台账1!H$34=0,0,固定资产台账1!H$35)</f>
        <v>0</v>
      </c>
      <c r="D20" s="102">
        <f t="shared" si="9"/>
        <v>0</v>
      </c>
      <c r="E20" s="102">
        <f>研发设备工时计算表2!H30</f>
        <v>0</v>
      </c>
      <c r="F20" s="152">
        <f t="shared" si="10"/>
        <v>0</v>
      </c>
      <c r="G20" s="102">
        <f t="shared" si="11"/>
        <v>0</v>
      </c>
      <c r="H20" s="101">
        <f t="shared" si="12"/>
        <v>0</v>
      </c>
      <c r="I20" s="101">
        <f t="shared" si="13"/>
        <v>0</v>
      </c>
      <c r="J20" s="101">
        <f t="shared" si="1"/>
        <v>0</v>
      </c>
      <c r="K20" s="101">
        <f t="shared" si="2"/>
        <v>0</v>
      </c>
      <c r="L20" s="101">
        <f t="shared" si="3"/>
        <v>0</v>
      </c>
      <c r="M20" s="101">
        <f t="shared" si="4"/>
        <v>0</v>
      </c>
      <c r="N20" s="101">
        <f t="shared" si="5"/>
        <v>0</v>
      </c>
      <c r="O20" s="101">
        <f t="shared" si="6"/>
        <v>0</v>
      </c>
      <c r="P20" s="101">
        <f t="shared" si="7"/>
        <v>0</v>
      </c>
      <c r="Q20" s="101">
        <f t="shared" si="8"/>
        <v>0</v>
      </c>
      <c r="R20" s="102">
        <f t="shared" si="14"/>
        <v>0</v>
      </c>
      <c r="S20" s="153"/>
      <c r="T20" s="153"/>
      <c r="U20" s="154"/>
    </row>
    <row r="21" customHeight="1" spans="2:21">
      <c r="B21" s="143">
        <v>4</v>
      </c>
      <c r="C21" s="102">
        <f>IF(固定资产台账1!I$34=0,0,固定资产台账1!I$35)</f>
        <v>0</v>
      </c>
      <c r="D21" s="102">
        <f t="shared" si="9"/>
        <v>0</v>
      </c>
      <c r="E21" s="102">
        <f>研发设备工时计算表2!K30</f>
        <v>0</v>
      </c>
      <c r="F21" s="152">
        <f t="shared" si="10"/>
        <v>0</v>
      </c>
      <c r="G21" s="102">
        <f t="shared" si="11"/>
        <v>0</v>
      </c>
      <c r="H21" s="101">
        <f t="shared" si="12"/>
        <v>0</v>
      </c>
      <c r="I21" s="101">
        <f t="shared" si="13"/>
        <v>0</v>
      </c>
      <c r="J21" s="101">
        <f t="shared" si="1"/>
        <v>0</v>
      </c>
      <c r="K21" s="101">
        <f t="shared" si="2"/>
        <v>0</v>
      </c>
      <c r="L21" s="101">
        <f t="shared" si="3"/>
        <v>0</v>
      </c>
      <c r="M21" s="101">
        <f t="shared" si="4"/>
        <v>0</v>
      </c>
      <c r="N21" s="101">
        <f t="shared" si="5"/>
        <v>0</v>
      </c>
      <c r="O21" s="101">
        <f t="shared" si="6"/>
        <v>0</v>
      </c>
      <c r="P21" s="101">
        <f t="shared" si="7"/>
        <v>0</v>
      </c>
      <c r="Q21" s="101">
        <f t="shared" si="8"/>
        <v>0</v>
      </c>
      <c r="R21" s="102">
        <f t="shared" si="14"/>
        <v>0</v>
      </c>
      <c r="S21" s="153"/>
      <c r="T21" s="153"/>
      <c r="U21" s="154"/>
    </row>
    <row r="22" customHeight="1" spans="2:21">
      <c r="B22" s="143">
        <v>5</v>
      </c>
      <c r="C22" s="102">
        <f>IF(固定资产台账1!J$34=0,0,固定资产台账1!J$35)</f>
        <v>0</v>
      </c>
      <c r="D22" s="102">
        <f t="shared" si="9"/>
        <v>0</v>
      </c>
      <c r="E22" s="102">
        <f>研发设备工时计算表2!N30</f>
        <v>0</v>
      </c>
      <c r="F22" s="152">
        <f t="shared" si="10"/>
        <v>0</v>
      </c>
      <c r="G22" s="102">
        <f t="shared" si="11"/>
        <v>0</v>
      </c>
      <c r="H22" s="101">
        <f t="shared" si="12"/>
        <v>0</v>
      </c>
      <c r="I22" s="101">
        <f t="shared" si="13"/>
        <v>0</v>
      </c>
      <c r="J22" s="101">
        <f t="shared" si="1"/>
        <v>0</v>
      </c>
      <c r="K22" s="101">
        <f t="shared" si="2"/>
        <v>0</v>
      </c>
      <c r="L22" s="101">
        <f t="shared" si="3"/>
        <v>0</v>
      </c>
      <c r="M22" s="101">
        <f t="shared" si="4"/>
        <v>0</v>
      </c>
      <c r="N22" s="101">
        <f t="shared" si="5"/>
        <v>0</v>
      </c>
      <c r="O22" s="101">
        <f t="shared" si="6"/>
        <v>0</v>
      </c>
      <c r="P22" s="101">
        <f t="shared" si="7"/>
        <v>0</v>
      </c>
      <c r="Q22" s="101">
        <f t="shared" si="8"/>
        <v>0</v>
      </c>
      <c r="R22" s="102">
        <f t="shared" si="14"/>
        <v>0</v>
      </c>
      <c r="S22" s="153"/>
      <c r="T22" s="153"/>
      <c r="U22" s="154"/>
    </row>
    <row r="23" customHeight="1" spans="2:21">
      <c r="B23" s="143">
        <v>6</v>
      </c>
      <c r="C23" s="102">
        <f>IF(固定资产台账1!K$34=0,0,固定资产台账1!K$35)</f>
        <v>0</v>
      </c>
      <c r="D23" s="102">
        <f t="shared" si="9"/>
        <v>0</v>
      </c>
      <c r="E23" s="102">
        <f>研发设备工时计算表2!Q30</f>
        <v>0</v>
      </c>
      <c r="F23" s="152">
        <f t="shared" si="10"/>
        <v>0</v>
      </c>
      <c r="G23" s="102">
        <f t="shared" si="11"/>
        <v>0</v>
      </c>
      <c r="H23" s="101">
        <f t="shared" si="12"/>
        <v>0</v>
      </c>
      <c r="I23" s="101">
        <f t="shared" si="13"/>
        <v>0</v>
      </c>
      <c r="J23" s="101">
        <f t="shared" si="1"/>
        <v>0</v>
      </c>
      <c r="K23" s="101">
        <f t="shared" si="2"/>
        <v>0</v>
      </c>
      <c r="L23" s="101">
        <f t="shared" si="3"/>
        <v>0</v>
      </c>
      <c r="M23" s="101">
        <f t="shared" si="4"/>
        <v>0</v>
      </c>
      <c r="N23" s="101">
        <f t="shared" si="5"/>
        <v>0</v>
      </c>
      <c r="O23" s="101">
        <f t="shared" si="6"/>
        <v>0</v>
      </c>
      <c r="P23" s="101">
        <f t="shared" si="7"/>
        <v>0</v>
      </c>
      <c r="Q23" s="101">
        <f t="shared" si="8"/>
        <v>0</v>
      </c>
      <c r="R23" s="102">
        <f t="shared" si="14"/>
        <v>0</v>
      </c>
      <c r="S23" s="153"/>
      <c r="T23" s="153"/>
      <c r="U23" s="154"/>
    </row>
    <row r="24" customHeight="1" spans="2:21">
      <c r="B24" s="143">
        <v>7</v>
      </c>
      <c r="C24" s="102">
        <f>IF(固定资产台账1!L$34=0,0,固定资产台账1!L$35)</f>
        <v>0</v>
      </c>
      <c r="D24" s="102">
        <f t="shared" si="9"/>
        <v>0</v>
      </c>
      <c r="E24" s="102">
        <f>研发设备工时计算表2!T30</f>
        <v>0</v>
      </c>
      <c r="F24" s="152">
        <f t="shared" si="10"/>
        <v>0</v>
      </c>
      <c r="G24" s="102">
        <f t="shared" si="11"/>
        <v>0</v>
      </c>
      <c r="H24" s="101">
        <f t="shared" si="12"/>
        <v>0</v>
      </c>
      <c r="I24" s="101">
        <f t="shared" si="13"/>
        <v>0</v>
      </c>
      <c r="J24" s="101">
        <f t="shared" si="1"/>
        <v>0</v>
      </c>
      <c r="K24" s="101">
        <f t="shared" si="2"/>
        <v>0</v>
      </c>
      <c r="L24" s="101">
        <f t="shared" si="3"/>
        <v>0</v>
      </c>
      <c r="M24" s="101">
        <f t="shared" si="4"/>
        <v>0</v>
      </c>
      <c r="N24" s="101">
        <f t="shared" si="5"/>
        <v>0</v>
      </c>
      <c r="O24" s="101">
        <f t="shared" si="6"/>
        <v>0</v>
      </c>
      <c r="P24" s="101">
        <f t="shared" si="7"/>
        <v>0</v>
      </c>
      <c r="Q24" s="101">
        <f t="shared" si="8"/>
        <v>0</v>
      </c>
      <c r="R24" s="102">
        <f t="shared" si="14"/>
        <v>0</v>
      </c>
      <c r="S24" s="153"/>
      <c r="T24" s="153"/>
      <c r="U24" s="154"/>
    </row>
    <row r="25" customHeight="1" spans="2:21">
      <c r="B25" s="143">
        <v>8</v>
      </c>
      <c r="C25" s="102">
        <f>IF(固定资产台账1!M$34=0,0,固定资产台账1!M$35)</f>
        <v>0</v>
      </c>
      <c r="D25" s="102">
        <f t="shared" si="9"/>
        <v>0</v>
      </c>
      <c r="E25" s="102">
        <f>研发设备工时计算表2!W30</f>
        <v>0</v>
      </c>
      <c r="F25" s="152">
        <f t="shared" si="10"/>
        <v>0</v>
      </c>
      <c r="G25" s="102">
        <f t="shared" si="11"/>
        <v>0</v>
      </c>
      <c r="H25" s="101">
        <f t="shared" si="12"/>
        <v>0</v>
      </c>
      <c r="I25" s="101">
        <f t="shared" si="13"/>
        <v>0</v>
      </c>
      <c r="J25" s="101">
        <f t="shared" si="1"/>
        <v>0</v>
      </c>
      <c r="K25" s="101">
        <f t="shared" si="2"/>
        <v>0</v>
      </c>
      <c r="L25" s="101">
        <f t="shared" si="3"/>
        <v>0</v>
      </c>
      <c r="M25" s="101">
        <f t="shared" si="4"/>
        <v>0</v>
      </c>
      <c r="N25" s="101">
        <f t="shared" si="5"/>
        <v>0</v>
      </c>
      <c r="O25" s="101">
        <f t="shared" si="6"/>
        <v>0</v>
      </c>
      <c r="P25" s="101">
        <f t="shared" si="7"/>
        <v>0</v>
      </c>
      <c r="Q25" s="101">
        <f t="shared" si="8"/>
        <v>0</v>
      </c>
      <c r="R25" s="102">
        <f t="shared" si="14"/>
        <v>0</v>
      </c>
      <c r="S25" s="153"/>
      <c r="T25" s="153"/>
      <c r="U25" s="154"/>
    </row>
    <row r="26" customHeight="1" spans="2:21">
      <c r="B26" s="143">
        <v>9</v>
      </c>
      <c r="C26" s="102">
        <f>IF(固定资产台账1!N$34=0,0,固定资产台账1!N$35)</f>
        <v>0</v>
      </c>
      <c r="D26" s="102">
        <f t="shared" si="9"/>
        <v>0</v>
      </c>
      <c r="E26" s="102">
        <f>研发设备工时计算表2!Z30</f>
        <v>0</v>
      </c>
      <c r="F26" s="152">
        <f t="shared" si="10"/>
        <v>0</v>
      </c>
      <c r="G26" s="102">
        <f t="shared" si="11"/>
        <v>0</v>
      </c>
      <c r="H26" s="101">
        <f t="shared" si="12"/>
        <v>0</v>
      </c>
      <c r="I26" s="101">
        <f t="shared" si="13"/>
        <v>0</v>
      </c>
      <c r="J26" s="101">
        <f t="shared" si="1"/>
        <v>0</v>
      </c>
      <c r="K26" s="101">
        <f t="shared" si="2"/>
        <v>0</v>
      </c>
      <c r="L26" s="101">
        <f t="shared" si="3"/>
        <v>0</v>
      </c>
      <c r="M26" s="101">
        <f t="shared" si="4"/>
        <v>0</v>
      </c>
      <c r="N26" s="101">
        <f t="shared" si="5"/>
        <v>0</v>
      </c>
      <c r="O26" s="101">
        <f t="shared" si="6"/>
        <v>0</v>
      </c>
      <c r="P26" s="101">
        <f t="shared" si="7"/>
        <v>0</v>
      </c>
      <c r="Q26" s="101">
        <f t="shared" si="8"/>
        <v>0</v>
      </c>
      <c r="R26" s="102">
        <f t="shared" si="14"/>
        <v>0</v>
      </c>
      <c r="S26" s="153"/>
      <c r="T26" s="153"/>
      <c r="U26" s="154"/>
    </row>
    <row r="27" customHeight="1" spans="2:21">
      <c r="B27" s="143">
        <v>10</v>
      </c>
      <c r="C27" s="102">
        <f>IF(固定资产台账1!O$34=0,0,固定资产台账1!O$35)</f>
        <v>0</v>
      </c>
      <c r="D27" s="102">
        <f t="shared" si="9"/>
        <v>0</v>
      </c>
      <c r="E27" s="102">
        <f>研发设备工时计算表2!AC30</f>
        <v>0</v>
      </c>
      <c r="F27" s="152">
        <f t="shared" si="10"/>
        <v>0</v>
      </c>
      <c r="G27" s="102">
        <f t="shared" si="11"/>
        <v>0</v>
      </c>
      <c r="H27" s="101">
        <f t="shared" si="12"/>
        <v>0</v>
      </c>
      <c r="I27" s="101">
        <f t="shared" si="13"/>
        <v>0</v>
      </c>
      <c r="J27" s="101">
        <f t="shared" si="1"/>
        <v>0</v>
      </c>
      <c r="K27" s="101">
        <f t="shared" si="2"/>
        <v>0</v>
      </c>
      <c r="L27" s="101">
        <f t="shared" si="3"/>
        <v>0</v>
      </c>
      <c r="M27" s="101">
        <f t="shared" si="4"/>
        <v>0</v>
      </c>
      <c r="N27" s="101">
        <f t="shared" si="5"/>
        <v>0</v>
      </c>
      <c r="O27" s="101">
        <f t="shared" si="6"/>
        <v>0</v>
      </c>
      <c r="P27" s="101">
        <f t="shared" si="7"/>
        <v>0</v>
      </c>
      <c r="Q27" s="101">
        <f t="shared" si="8"/>
        <v>0</v>
      </c>
      <c r="R27" s="102">
        <f t="shared" si="14"/>
        <v>0</v>
      </c>
      <c r="S27" s="153"/>
      <c r="T27" s="153"/>
      <c r="U27" s="154"/>
    </row>
    <row r="28" customHeight="1" spans="2:21">
      <c r="B28" s="143">
        <v>11</v>
      </c>
      <c r="C28" s="102">
        <f>IF(固定资产台账1!P$34=0,0,固定资产台账1!P$35)</f>
        <v>0</v>
      </c>
      <c r="D28" s="102">
        <f t="shared" si="9"/>
        <v>0</v>
      </c>
      <c r="E28" s="102">
        <f>研发设备工时计算表2!AF30</f>
        <v>0</v>
      </c>
      <c r="F28" s="152">
        <f t="shared" si="10"/>
        <v>0</v>
      </c>
      <c r="G28" s="102">
        <f t="shared" si="11"/>
        <v>0</v>
      </c>
      <c r="H28" s="101">
        <f t="shared" si="12"/>
        <v>0</v>
      </c>
      <c r="I28" s="101">
        <f t="shared" si="13"/>
        <v>0</v>
      </c>
      <c r="J28" s="101">
        <f t="shared" si="1"/>
        <v>0</v>
      </c>
      <c r="K28" s="101">
        <f t="shared" si="2"/>
        <v>0</v>
      </c>
      <c r="L28" s="101">
        <f t="shared" si="3"/>
        <v>0</v>
      </c>
      <c r="M28" s="101">
        <f t="shared" si="4"/>
        <v>0</v>
      </c>
      <c r="N28" s="101">
        <f t="shared" si="5"/>
        <v>0</v>
      </c>
      <c r="O28" s="101">
        <f t="shared" si="6"/>
        <v>0</v>
      </c>
      <c r="P28" s="101">
        <f t="shared" si="7"/>
        <v>0</v>
      </c>
      <c r="Q28" s="101">
        <f t="shared" si="8"/>
        <v>0</v>
      </c>
      <c r="R28" s="102">
        <f t="shared" si="14"/>
        <v>0</v>
      </c>
      <c r="S28" s="153"/>
      <c r="T28" s="153"/>
      <c r="U28" s="154"/>
    </row>
    <row r="29" customHeight="1" spans="2:21">
      <c r="B29" s="143">
        <v>12</v>
      </c>
      <c r="C29" s="102">
        <f>IF(固定资产台账1!Q$34=0,0,固定资产台账1!Q$35)</f>
        <v>0</v>
      </c>
      <c r="D29" s="102">
        <f t="shared" si="9"/>
        <v>0</v>
      </c>
      <c r="E29" s="102">
        <f>研发设备工时计算表2!AI30</f>
        <v>0</v>
      </c>
      <c r="F29" s="152">
        <f t="shared" si="10"/>
        <v>0</v>
      </c>
      <c r="G29" s="102">
        <f t="shared" si="11"/>
        <v>0</v>
      </c>
      <c r="H29" s="101">
        <f t="shared" si="12"/>
        <v>0</v>
      </c>
      <c r="I29" s="101">
        <f t="shared" si="13"/>
        <v>0</v>
      </c>
      <c r="J29" s="101">
        <f t="shared" si="1"/>
        <v>0</v>
      </c>
      <c r="K29" s="101">
        <f t="shared" si="2"/>
        <v>0</v>
      </c>
      <c r="L29" s="101">
        <f t="shared" si="3"/>
        <v>0</v>
      </c>
      <c r="M29" s="101">
        <f t="shared" si="4"/>
        <v>0</v>
      </c>
      <c r="N29" s="101">
        <f t="shared" si="5"/>
        <v>0</v>
      </c>
      <c r="O29" s="101">
        <f t="shared" si="6"/>
        <v>0</v>
      </c>
      <c r="P29" s="101">
        <f t="shared" si="7"/>
        <v>0</v>
      </c>
      <c r="Q29" s="101">
        <f t="shared" si="8"/>
        <v>0</v>
      </c>
      <c r="R29" s="102">
        <f t="shared" si="14"/>
        <v>0</v>
      </c>
      <c r="S29" s="153"/>
      <c r="T29" s="153"/>
      <c r="U29" s="154"/>
    </row>
    <row r="30" customHeight="1" spans="2:21">
      <c r="B30" s="143" t="s">
        <v>22</v>
      </c>
      <c r="C30" s="102">
        <f>SUM(C18:C29)</f>
        <v>0</v>
      </c>
      <c r="D30" s="102">
        <f>SUM(D18:D29)</f>
        <v>0</v>
      </c>
      <c r="E30" s="102">
        <f>SUM(E18:E29)</f>
        <v>0</v>
      </c>
      <c r="F30" s="152"/>
      <c r="G30" s="102">
        <f>SUM(G18:G29)</f>
        <v>0</v>
      </c>
      <c r="H30" s="101">
        <f>SUM(H18:H29)</f>
        <v>0</v>
      </c>
      <c r="I30" s="101">
        <f t="shared" ref="I30:R30" si="15">SUM(I18:I29)</f>
        <v>0</v>
      </c>
      <c r="J30" s="101">
        <f t="shared" si="15"/>
        <v>0</v>
      </c>
      <c r="K30" s="101">
        <f t="shared" si="15"/>
        <v>0</v>
      </c>
      <c r="L30" s="101">
        <f t="shared" si="15"/>
        <v>0</v>
      </c>
      <c r="M30" s="101">
        <f t="shared" si="15"/>
        <v>0</v>
      </c>
      <c r="N30" s="101">
        <f t="shared" si="15"/>
        <v>0</v>
      </c>
      <c r="O30" s="101">
        <f t="shared" si="15"/>
        <v>0</v>
      </c>
      <c r="P30" s="101">
        <f t="shared" si="15"/>
        <v>0</v>
      </c>
      <c r="Q30" s="101">
        <f t="shared" si="15"/>
        <v>0</v>
      </c>
      <c r="R30" s="101">
        <f t="shared" si="15"/>
        <v>0</v>
      </c>
      <c r="S30" s="155"/>
      <c r="T30" s="155"/>
      <c r="U30" s="155"/>
    </row>
    <row r="31" customHeight="1" spans="2:21">
      <c r="B31" s="153"/>
      <c r="C31" s="148"/>
      <c r="D31" s="148"/>
      <c r="E31" s="148"/>
      <c r="F31" s="148"/>
      <c r="G31" s="148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3"/>
      <c r="T31" s="151"/>
      <c r="U31" s="151"/>
    </row>
    <row r="32" customHeight="1" spans="2:21">
      <c r="B32" s="157" t="s">
        <v>292</v>
      </c>
      <c r="C32" s="157"/>
      <c r="D32" s="157"/>
      <c r="E32" s="157"/>
      <c r="F32" s="157"/>
      <c r="G32" s="157"/>
      <c r="H32" s="158"/>
    </row>
    <row r="33" s="141" customFormat="1" customHeight="1" spans="2:14">
      <c r="B33" s="159" t="s">
        <v>293</v>
      </c>
      <c r="C33" s="160">
        <f>E18-C34</f>
        <v>0</v>
      </c>
      <c r="D33" s="161" t="s">
        <v>294</v>
      </c>
      <c r="E33" s="162">
        <f>1-E34</f>
        <v>1</v>
      </c>
      <c r="F33" s="159" t="s">
        <v>295</v>
      </c>
      <c r="G33" s="160">
        <f>C18-G34</f>
        <v>0</v>
      </c>
      <c r="H33" s="163"/>
    </row>
    <row r="34" s="141" customFormat="1" customHeight="1" spans="2:14">
      <c r="B34" s="159" t="s">
        <v>287</v>
      </c>
      <c r="C34" s="160">
        <f>D18</f>
        <v>0</v>
      </c>
      <c r="D34" s="161" t="s">
        <v>296</v>
      </c>
      <c r="E34" s="162">
        <f>F18</f>
        <v>0</v>
      </c>
      <c r="F34" s="159" t="s">
        <v>297</v>
      </c>
      <c r="G34" s="160">
        <f>R18</f>
        <v>0</v>
      </c>
      <c r="H34" s="163"/>
    </row>
    <row r="35" s="141" customFormat="1" customHeight="1" spans="2:14">
      <c r="B35" s="159" t="s">
        <v>298</v>
      </c>
      <c r="C35" s="164" t="s">
        <v>299</v>
      </c>
      <c r="D35" s="164"/>
      <c r="E35" s="159" t="s">
        <v>300</v>
      </c>
      <c r="F35" s="161" t="s">
        <v>301</v>
      </c>
      <c r="G35" s="159" t="s">
        <v>302</v>
      </c>
      <c r="H35" s="163"/>
    </row>
    <row r="36" customHeight="1" spans="2:14">
      <c r="B36" s="165" t="str">
        <f>立项!A3</f>
        <v>RD01</v>
      </c>
      <c r="C36" s="166">
        <f>立项!B3</f>
        <v>0</v>
      </c>
      <c r="D36" s="166"/>
      <c r="E36" s="167">
        <f>H3</f>
        <v>0</v>
      </c>
      <c r="F36" s="168">
        <f>IF($C$34=0,0,E36/$C$34)</f>
        <v>0</v>
      </c>
      <c r="G36" s="169">
        <f>H18</f>
        <v>0</v>
      </c>
      <c r="H36" s="158"/>
    </row>
    <row r="37" customHeight="1" spans="2:14">
      <c r="B37" s="165" t="str">
        <f>立项!A4</f>
        <v>RD02</v>
      </c>
      <c r="C37" s="166">
        <f>立项!B4</f>
        <v>0</v>
      </c>
      <c r="D37" s="166"/>
      <c r="E37" s="167">
        <f>I3</f>
        <v>0</v>
      </c>
      <c r="F37" s="168">
        <f t="shared" ref="F37:F45" si="16">IF($C$34=0,0,E37/$C$34)</f>
        <v>0</v>
      </c>
      <c r="G37" s="169">
        <f>I18</f>
        <v>0</v>
      </c>
      <c r="H37" s="158"/>
    </row>
    <row r="38" customHeight="1" spans="2:14">
      <c r="B38" s="165" t="str">
        <f>立项!A5</f>
        <v>RD03</v>
      </c>
      <c r="C38" s="166">
        <f>立项!B5</f>
        <v>0</v>
      </c>
      <c r="D38" s="166"/>
      <c r="E38" s="167">
        <f>J3</f>
        <v>0</v>
      </c>
      <c r="F38" s="168">
        <f t="shared" si="16"/>
        <v>0</v>
      </c>
      <c r="G38" s="169">
        <f>J18</f>
        <v>0</v>
      </c>
      <c r="H38" s="158"/>
    </row>
    <row r="39" customHeight="1" spans="2:14">
      <c r="B39" s="165" t="str">
        <f>立项!A6</f>
        <v>RD04</v>
      </c>
      <c r="C39" s="166">
        <f>立项!B6</f>
        <v>0</v>
      </c>
      <c r="D39" s="166"/>
      <c r="E39" s="167">
        <f>K3</f>
        <v>0</v>
      </c>
      <c r="F39" s="168">
        <f t="shared" si="16"/>
        <v>0</v>
      </c>
      <c r="G39" s="169">
        <f>K18</f>
        <v>0</v>
      </c>
      <c r="H39" s="158"/>
    </row>
    <row r="40" customHeight="1" spans="2:14">
      <c r="B40" s="165" t="str">
        <f>立项!A7</f>
        <v>RD05</v>
      </c>
      <c r="C40" s="166">
        <f>立项!B7</f>
        <v>0</v>
      </c>
      <c r="D40" s="166"/>
      <c r="E40" s="167">
        <f>L3</f>
        <v>0</v>
      </c>
      <c r="F40" s="168">
        <f t="shared" si="16"/>
        <v>0</v>
      </c>
      <c r="G40" s="169">
        <f>L18</f>
        <v>0</v>
      </c>
      <c r="H40" s="158"/>
    </row>
    <row r="41" customHeight="1" spans="2:14">
      <c r="B41" s="165" t="str">
        <f>立项!A8</f>
        <v>RD06</v>
      </c>
      <c r="C41" s="166">
        <f>立项!B8</f>
        <v>0</v>
      </c>
      <c r="D41" s="166"/>
      <c r="E41" s="167">
        <f>M3</f>
        <v>0</v>
      </c>
      <c r="F41" s="168">
        <f t="shared" si="16"/>
        <v>0</v>
      </c>
      <c r="G41" s="169">
        <f>M18</f>
        <v>0</v>
      </c>
      <c r="H41" s="158"/>
    </row>
    <row r="42" customHeight="1" spans="2:14">
      <c r="B42" s="165" t="str">
        <f>立项!A9</f>
        <v>RD07</v>
      </c>
      <c r="C42" s="166">
        <f>立项!B9</f>
        <v>0</v>
      </c>
      <c r="D42" s="166"/>
      <c r="E42" s="167">
        <f>N3</f>
        <v>0</v>
      </c>
      <c r="F42" s="168">
        <f t="shared" si="16"/>
        <v>0</v>
      </c>
      <c r="G42" s="169">
        <f>N18</f>
        <v>0</v>
      </c>
      <c r="H42" s="158"/>
    </row>
    <row r="43" customHeight="1" spans="2:14">
      <c r="B43" s="165" t="str">
        <f>立项!A10</f>
        <v>RD08</v>
      </c>
      <c r="C43" s="166">
        <f>立项!B10</f>
        <v>0</v>
      </c>
      <c r="D43" s="166"/>
      <c r="E43" s="167">
        <f>O3</f>
        <v>0</v>
      </c>
      <c r="F43" s="168">
        <f t="shared" si="16"/>
        <v>0</v>
      </c>
      <c r="G43" s="169">
        <f>O18</f>
        <v>0</v>
      </c>
      <c r="H43" s="158"/>
    </row>
    <row r="44" customHeight="1" spans="2:14">
      <c r="B44" s="165" t="str">
        <f>立项!A11</f>
        <v>RD09</v>
      </c>
      <c r="C44" s="166">
        <f>立项!B11</f>
        <v>0</v>
      </c>
      <c r="D44" s="166"/>
      <c r="E44" s="167">
        <f>P3</f>
        <v>0</v>
      </c>
      <c r="F44" s="168">
        <f t="shared" si="16"/>
        <v>0</v>
      </c>
      <c r="G44" s="169">
        <f>P18</f>
        <v>0</v>
      </c>
      <c r="H44" s="158"/>
    </row>
    <row r="45" customHeight="1" spans="2:14">
      <c r="B45" s="165" t="str">
        <f>立项!A12</f>
        <v>RD10</v>
      </c>
      <c r="C45" s="166">
        <f>立项!B12</f>
        <v>0</v>
      </c>
      <c r="D45" s="166"/>
      <c r="E45" s="167">
        <f>Q3</f>
        <v>0</v>
      </c>
      <c r="F45" s="168">
        <f t="shared" si="16"/>
        <v>0</v>
      </c>
      <c r="G45" s="169">
        <f>Q18</f>
        <v>0</v>
      </c>
      <c r="H45" s="158"/>
    </row>
    <row r="46" customHeight="1" spans="2:14">
      <c r="B46" s="170"/>
      <c r="C46" s="171"/>
      <c r="D46" s="171"/>
      <c r="E46" s="172"/>
      <c r="F46" s="173"/>
      <c r="G46" s="170"/>
      <c r="H46" s="158"/>
      <c r="I46" s="170"/>
      <c r="J46" s="171"/>
      <c r="K46" s="171"/>
      <c r="L46" s="170"/>
      <c r="M46" s="173"/>
      <c r="N46" s="170"/>
    </row>
    <row r="47" customHeight="1" spans="2:14">
      <c r="B47" s="157" t="s">
        <v>303</v>
      </c>
      <c r="C47" s="157"/>
      <c r="D47" s="157"/>
      <c r="E47" s="157"/>
      <c r="F47" s="157"/>
      <c r="G47" s="157"/>
      <c r="H47" s="158"/>
      <c r="I47" s="170"/>
      <c r="J47" s="171"/>
      <c r="K47" s="171"/>
      <c r="L47" s="170"/>
      <c r="M47" s="173"/>
      <c r="N47" s="170"/>
    </row>
    <row r="48" customHeight="1" spans="2:14">
      <c r="B48" s="159" t="s">
        <v>293</v>
      </c>
      <c r="C48" s="160">
        <f>E19-C49</f>
        <v>0</v>
      </c>
      <c r="D48" s="161" t="s">
        <v>294</v>
      </c>
      <c r="E48" s="162">
        <f>1-E49</f>
        <v>1</v>
      </c>
      <c r="F48" s="159" t="s">
        <v>295</v>
      </c>
      <c r="G48" s="160">
        <f>C19-G49</f>
        <v>0</v>
      </c>
      <c r="H48" s="158"/>
      <c r="I48" s="170"/>
      <c r="J48" s="171"/>
      <c r="K48" s="171"/>
      <c r="L48" s="170"/>
      <c r="M48" s="173"/>
      <c r="N48" s="170"/>
    </row>
    <row r="49" customHeight="1" spans="2:14">
      <c r="B49" s="159" t="s">
        <v>287</v>
      </c>
      <c r="C49" s="160">
        <f>D19</f>
        <v>0</v>
      </c>
      <c r="D49" s="161" t="s">
        <v>296</v>
      </c>
      <c r="E49" s="162">
        <f>F19</f>
        <v>0</v>
      </c>
      <c r="F49" s="159" t="s">
        <v>297</v>
      </c>
      <c r="G49" s="160">
        <f>R19</f>
        <v>0</v>
      </c>
      <c r="H49" s="158"/>
      <c r="I49" s="170"/>
      <c r="J49" s="171"/>
      <c r="K49" s="171"/>
      <c r="L49" s="170"/>
      <c r="M49" s="173"/>
      <c r="N49" s="170"/>
    </row>
    <row r="50" customHeight="1" spans="2:14">
      <c r="B50" s="159" t="s">
        <v>298</v>
      </c>
      <c r="C50" s="164" t="s">
        <v>299</v>
      </c>
      <c r="D50" s="164"/>
      <c r="E50" s="159" t="s">
        <v>300</v>
      </c>
      <c r="F50" s="161" t="s">
        <v>301</v>
      </c>
      <c r="G50" s="159" t="s">
        <v>302</v>
      </c>
      <c r="H50" s="158"/>
      <c r="I50" s="170"/>
      <c r="J50" s="171"/>
      <c r="K50" s="171"/>
      <c r="L50" s="170"/>
      <c r="M50" s="173"/>
      <c r="N50" s="170"/>
    </row>
    <row r="51" customHeight="1" spans="2:14">
      <c r="B51" s="165" t="str">
        <f>立项!A3</f>
        <v>RD01</v>
      </c>
      <c r="C51" s="166">
        <f>立项!B3</f>
        <v>0</v>
      </c>
      <c r="D51" s="166"/>
      <c r="E51" s="167">
        <f>H4</f>
        <v>0</v>
      </c>
      <c r="F51" s="168">
        <f>IF($C$49=0,0,E51/$C$49)</f>
        <v>0</v>
      </c>
      <c r="G51" s="169">
        <f>H19</f>
        <v>0</v>
      </c>
      <c r="H51" s="158"/>
      <c r="I51" s="170"/>
      <c r="J51" s="171"/>
      <c r="K51" s="171"/>
      <c r="L51" s="170"/>
      <c r="M51" s="173"/>
      <c r="N51" s="170"/>
    </row>
    <row r="52" customHeight="1" spans="2:14">
      <c r="B52" s="165" t="str">
        <f>立项!A4</f>
        <v>RD02</v>
      </c>
      <c r="C52" s="166">
        <f>立项!B4</f>
        <v>0</v>
      </c>
      <c r="D52" s="166"/>
      <c r="E52" s="167">
        <f>I4</f>
        <v>0</v>
      </c>
      <c r="F52" s="168">
        <f t="shared" ref="F52:F60" si="17">IF($C$49=0,0,E52/$C$49)</f>
        <v>0</v>
      </c>
      <c r="G52" s="169">
        <f>I19</f>
        <v>0</v>
      </c>
      <c r="H52" s="158"/>
      <c r="I52" s="170"/>
      <c r="J52" s="171"/>
      <c r="K52" s="171"/>
      <c r="L52" s="170"/>
      <c r="M52" s="173"/>
      <c r="N52" s="170"/>
    </row>
    <row r="53" customHeight="1" spans="2:14">
      <c r="B53" s="165" t="str">
        <f>立项!A5</f>
        <v>RD03</v>
      </c>
      <c r="C53" s="166">
        <f>立项!B5</f>
        <v>0</v>
      </c>
      <c r="D53" s="166"/>
      <c r="E53" s="167">
        <f>J4</f>
        <v>0</v>
      </c>
      <c r="F53" s="168">
        <f t="shared" si="17"/>
        <v>0</v>
      </c>
      <c r="G53" s="169">
        <f>J19</f>
        <v>0</v>
      </c>
      <c r="H53" s="158"/>
      <c r="I53" s="170"/>
      <c r="J53" s="171"/>
      <c r="K53" s="171"/>
      <c r="L53" s="170"/>
      <c r="M53" s="173"/>
      <c r="N53" s="170"/>
    </row>
    <row r="54" customHeight="1" spans="2:14">
      <c r="B54" s="165" t="str">
        <f>立项!A6</f>
        <v>RD04</v>
      </c>
      <c r="C54" s="166">
        <f>立项!B6</f>
        <v>0</v>
      </c>
      <c r="D54" s="166"/>
      <c r="E54" s="167">
        <f>K4</f>
        <v>0</v>
      </c>
      <c r="F54" s="168">
        <f t="shared" si="17"/>
        <v>0</v>
      </c>
      <c r="G54" s="169">
        <f>K19</f>
        <v>0</v>
      </c>
      <c r="H54" s="158"/>
      <c r="I54" s="170"/>
      <c r="J54" s="171"/>
      <c r="K54" s="171"/>
      <c r="L54" s="170"/>
      <c r="M54" s="173"/>
      <c r="N54" s="170"/>
    </row>
    <row r="55" customHeight="1" spans="2:14">
      <c r="B55" s="165" t="str">
        <f>立项!A7</f>
        <v>RD05</v>
      </c>
      <c r="C55" s="166">
        <f>立项!B7</f>
        <v>0</v>
      </c>
      <c r="D55" s="166"/>
      <c r="E55" s="167">
        <f>L4</f>
        <v>0</v>
      </c>
      <c r="F55" s="168">
        <f t="shared" si="17"/>
        <v>0</v>
      </c>
      <c r="G55" s="169">
        <f>L19</f>
        <v>0</v>
      </c>
      <c r="H55" s="158"/>
      <c r="I55" s="170"/>
      <c r="J55" s="171"/>
      <c r="K55" s="171"/>
      <c r="L55" s="170"/>
      <c r="M55" s="173"/>
      <c r="N55" s="170"/>
    </row>
    <row r="56" customHeight="1" spans="2:14">
      <c r="B56" s="165" t="str">
        <f>立项!A8</f>
        <v>RD06</v>
      </c>
      <c r="C56" s="166">
        <f>立项!B8</f>
        <v>0</v>
      </c>
      <c r="D56" s="166"/>
      <c r="E56" s="167">
        <f>M4</f>
        <v>0</v>
      </c>
      <c r="F56" s="168">
        <f t="shared" si="17"/>
        <v>0</v>
      </c>
      <c r="G56" s="169">
        <f>M19</f>
        <v>0</v>
      </c>
      <c r="H56" s="158"/>
      <c r="I56" s="170"/>
      <c r="J56" s="171"/>
      <c r="K56" s="171"/>
      <c r="L56" s="170"/>
      <c r="M56" s="173"/>
      <c r="N56" s="170"/>
    </row>
    <row r="57" customHeight="1" spans="2:14">
      <c r="B57" s="165" t="str">
        <f>立项!A9</f>
        <v>RD07</v>
      </c>
      <c r="C57" s="166">
        <f>立项!B9</f>
        <v>0</v>
      </c>
      <c r="D57" s="166"/>
      <c r="E57" s="167">
        <f>N4</f>
        <v>0</v>
      </c>
      <c r="F57" s="168">
        <f t="shared" si="17"/>
        <v>0</v>
      </c>
      <c r="G57" s="169">
        <f>N19</f>
        <v>0</v>
      </c>
      <c r="H57" s="158"/>
      <c r="I57" s="170"/>
      <c r="J57" s="171"/>
      <c r="K57" s="171"/>
      <c r="L57" s="170"/>
      <c r="M57" s="173"/>
      <c r="N57" s="170"/>
    </row>
    <row r="58" customHeight="1" spans="2:14">
      <c r="B58" s="165" t="str">
        <f>立项!A10</f>
        <v>RD08</v>
      </c>
      <c r="C58" s="166">
        <f>立项!B10</f>
        <v>0</v>
      </c>
      <c r="D58" s="166"/>
      <c r="E58" s="167">
        <f>O4</f>
        <v>0</v>
      </c>
      <c r="F58" s="168">
        <f t="shared" si="17"/>
        <v>0</v>
      </c>
      <c r="G58" s="169">
        <f>O19</f>
        <v>0</v>
      </c>
      <c r="H58" s="158"/>
      <c r="I58" s="170"/>
      <c r="J58" s="171"/>
      <c r="K58" s="171"/>
      <c r="L58" s="170"/>
      <c r="M58" s="173"/>
      <c r="N58" s="170"/>
    </row>
    <row r="59" customHeight="1" spans="2:14">
      <c r="B59" s="165" t="str">
        <f>立项!A11</f>
        <v>RD09</v>
      </c>
      <c r="C59" s="166">
        <f>立项!B11</f>
        <v>0</v>
      </c>
      <c r="D59" s="166"/>
      <c r="E59" s="165">
        <f>P4</f>
        <v>0</v>
      </c>
      <c r="F59" s="168">
        <f t="shared" si="17"/>
        <v>0</v>
      </c>
      <c r="G59" s="169">
        <f>P19</f>
        <v>0</v>
      </c>
      <c r="H59" s="158"/>
      <c r="I59" s="170"/>
      <c r="J59" s="171"/>
      <c r="K59" s="171"/>
      <c r="L59" s="170"/>
      <c r="M59" s="173"/>
      <c r="N59" s="170"/>
    </row>
    <row r="60" customHeight="1" spans="2:14">
      <c r="B60" s="165" t="str">
        <f>立项!A12</f>
        <v>RD10</v>
      </c>
      <c r="C60" s="166">
        <f>立项!B12</f>
        <v>0</v>
      </c>
      <c r="D60" s="166"/>
      <c r="E60" s="165">
        <f>Q4</f>
        <v>0</v>
      </c>
      <c r="F60" s="168">
        <f t="shared" si="17"/>
        <v>0</v>
      </c>
      <c r="G60" s="169">
        <f>Q19</f>
        <v>0</v>
      </c>
      <c r="H60" s="158"/>
      <c r="I60" s="170"/>
      <c r="J60" s="171"/>
      <c r="K60" s="171"/>
      <c r="L60" s="170"/>
      <c r="M60" s="173"/>
      <c r="N60" s="170"/>
    </row>
    <row r="61" customHeight="1" spans="2:14">
      <c r="B61" s="170"/>
      <c r="C61" s="171"/>
      <c r="D61" s="171"/>
      <c r="E61" s="172"/>
      <c r="F61" s="172"/>
      <c r="G61" s="170"/>
      <c r="H61" s="158"/>
      <c r="I61" s="170"/>
      <c r="J61" s="171"/>
      <c r="K61" s="171"/>
      <c r="L61" s="170"/>
      <c r="M61" s="172"/>
      <c r="N61" s="170"/>
    </row>
    <row r="62" customHeight="1" spans="2:14">
      <c r="B62" s="157" t="s">
        <v>304</v>
      </c>
      <c r="C62" s="157"/>
      <c r="D62" s="157"/>
      <c r="E62" s="157"/>
      <c r="F62" s="157"/>
      <c r="G62" s="157"/>
      <c r="H62" s="158"/>
    </row>
    <row r="63" s="141" customFormat="1" customHeight="1" spans="2:14">
      <c r="B63" s="159" t="s">
        <v>293</v>
      </c>
      <c r="C63" s="160">
        <f>E20-C64</f>
        <v>0</v>
      </c>
      <c r="D63" s="161" t="s">
        <v>294</v>
      </c>
      <c r="E63" s="162">
        <f>1-E64</f>
        <v>1</v>
      </c>
      <c r="F63" s="159" t="s">
        <v>295</v>
      </c>
      <c r="G63" s="160">
        <f>C20-G64</f>
        <v>0</v>
      </c>
      <c r="H63" s="163"/>
    </row>
    <row r="64" s="141" customFormat="1" customHeight="1" spans="2:14">
      <c r="B64" s="159" t="s">
        <v>287</v>
      </c>
      <c r="C64" s="160">
        <f>D20</f>
        <v>0</v>
      </c>
      <c r="D64" s="161" t="s">
        <v>296</v>
      </c>
      <c r="E64" s="162">
        <f>F20</f>
        <v>0</v>
      </c>
      <c r="F64" s="159" t="s">
        <v>297</v>
      </c>
      <c r="G64" s="160">
        <f>R20</f>
        <v>0</v>
      </c>
      <c r="H64" s="163"/>
    </row>
    <row r="65" s="141" customFormat="1" customHeight="1" spans="2:14">
      <c r="B65" s="159" t="s">
        <v>298</v>
      </c>
      <c r="C65" s="164" t="s">
        <v>299</v>
      </c>
      <c r="D65" s="164"/>
      <c r="E65" s="159" t="s">
        <v>300</v>
      </c>
      <c r="F65" s="161" t="s">
        <v>301</v>
      </c>
      <c r="G65" s="159" t="s">
        <v>302</v>
      </c>
      <c r="H65" s="163"/>
    </row>
    <row r="66" customHeight="1" spans="2:14">
      <c r="B66" s="165" t="str">
        <f>立项!A3</f>
        <v>RD01</v>
      </c>
      <c r="C66" s="166">
        <f>立项!B3</f>
        <v>0</v>
      </c>
      <c r="D66" s="166"/>
      <c r="E66" s="167">
        <f>H5</f>
        <v>0</v>
      </c>
      <c r="F66" s="168">
        <f t="shared" ref="F66:F75" si="18">IF($C$64=0,0,E66/$C$64)</f>
        <v>0</v>
      </c>
      <c r="G66" s="169">
        <f>H20</f>
        <v>0</v>
      </c>
      <c r="H66" s="158"/>
    </row>
    <row r="67" customHeight="1" spans="2:14">
      <c r="B67" s="165" t="str">
        <f>立项!A4</f>
        <v>RD02</v>
      </c>
      <c r="C67" s="166">
        <f>立项!B4</f>
        <v>0</v>
      </c>
      <c r="D67" s="166"/>
      <c r="E67" s="167">
        <f>I5</f>
        <v>0</v>
      </c>
      <c r="F67" s="168">
        <f t="shared" si="18"/>
        <v>0</v>
      </c>
      <c r="G67" s="169">
        <f>I20</f>
        <v>0</v>
      </c>
      <c r="H67" s="158"/>
    </row>
    <row r="68" customHeight="1" spans="2:14">
      <c r="B68" s="165" t="str">
        <f>立项!A5</f>
        <v>RD03</v>
      </c>
      <c r="C68" s="166">
        <f>立项!B5</f>
        <v>0</v>
      </c>
      <c r="D68" s="166"/>
      <c r="E68" s="167">
        <f>J5</f>
        <v>0</v>
      </c>
      <c r="F68" s="168">
        <f t="shared" si="18"/>
        <v>0</v>
      </c>
      <c r="G68" s="169">
        <f>J20</f>
        <v>0</v>
      </c>
      <c r="H68" s="158"/>
    </row>
    <row r="69" customHeight="1" spans="2:14">
      <c r="B69" s="165" t="str">
        <f>立项!A6</f>
        <v>RD04</v>
      </c>
      <c r="C69" s="166">
        <f>立项!B6</f>
        <v>0</v>
      </c>
      <c r="D69" s="166"/>
      <c r="E69" s="167">
        <f>K5</f>
        <v>0</v>
      </c>
      <c r="F69" s="168">
        <f t="shared" si="18"/>
        <v>0</v>
      </c>
      <c r="G69" s="169">
        <f>K20</f>
        <v>0</v>
      </c>
      <c r="H69" s="158"/>
    </row>
    <row r="70" customHeight="1" spans="2:14">
      <c r="B70" s="165" t="str">
        <f>立项!A7</f>
        <v>RD05</v>
      </c>
      <c r="C70" s="166">
        <f>立项!B7</f>
        <v>0</v>
      </c>
      <c r="D70" s="166"/>
      <c r="E70" s="167">
        <f>L5</f>
        <v>0</v>
      </c>
      <c r="F70" s="168">
        <f t="shared" si="18"/>
        <v>0</v>
      </c>
      <c r="G70" s="169">
        <f>L20</f>
        <v>0</v>
      </c>
      <c r="H70" s="158"/>
    </row>
    <row r="71" customHeight="1" spans="2:14">
      <c r="B71" s="165" t="str">
        <f>立项!A8</f>
        <v>RD06</v>
      </c>
      <c r="C71" s="166">
        <f>立项!B8</f>
        <v>0</v>
      </c>
      <c r="D71" s="166"/>
      <c r="E71" s="167">
        <f>M5</f>
        <v>0</v>
      </c>
      <c r="F71" s="168">
        <f t="shared" si="18"/>
        <v>0</v>
      </c>
      <c r="G71" s="169">
        <f>M20</f>
        <v>0</v>
      </c>
      <c r="H71" s="158"/>
    </row>
    <row r="72" customHeight="1" spans="2:14">
      <c r="B72" s="165" t="str">
        <f>立项!A9</f>
        <v>RD07</v>
      </c>
      <c r="C72" s="166">
        <f>立项!B9</f>
        <v>0</v>
      </c>
      <c r="D72" s="166"/>
      <c r="E72" s="167">
        <f>N5</f>
        <v>0</v>
      </c>
      <c r="F72" s="168">
        <f t="shared" si="18"/>
        <v>0</v>
      </c>
      <c r="G72" s="169">
        <f>N20</f>
        <v>0</v>
      </c>
      <c r="H72" s="158"/>
    </row>
    <row r="73" customHeight="1" spans="2:14">
      <c r="B73" s="165" t="str">
        <f>立项!A10</f>
        <v>RD08</v>
      </c>
      <c r="C73" s="166">
        <f>立项!B10</f>
        <v>0</v>
      </c>
      <c r="D73" s="166"/>
      <c r="E73" s="167">
        <f>O5</f>
        <v>0</v>
      </c>
      <c r="F73" s="168">
        <f t="shared" si="18"/>
        <v>0</v>
      </c>
      <c r="G73" s="169">
        <f>O20</f>
        <v>0</v>
      </c>
      <c r="H73" s="158"/>
    </row>
    <row r="74" customHeight="1" spans="2:14">
      <c r="B74" s="165" t="str">
        <f>立项!A11</f>
        <v>RD09</v>
      </c>
      <c r="C74" s="166">
        <f>立项!B11</f>
        <v>0</v>
      </c>
      <c r="D74" s="166"/>
      <c r="E74" s="167">
        <f>P5</f>
        <v>0</v>
      </c>
      <c r="F74" s="168">
        <f t="shared" si="18"/>
        <v>0</v>
      </c>
      <c r="G74" s="169">
        <f>P20</f>
        <v>0</v>
      </c>
      <c r="H74" s="158"/>
    </row>
    <row r="75" customHeight="1" spans="2:14">
      <c r="B75" s="165" t="str">
        <f>立项!A12</f>
        <v>RD10</v>
      </c>
      <c r="C75" s="166">
        <f>立项!B12</f>
        <v>0</v>
      </c>
      <c r="D75" s="166"/>
      <c r="E75" s="167">
        <f>Q5</f>
        <v>0</v>
      </c>
      <c r="F75" s="168">
        <f t="shared" si="18"/>
        <v>0</v>
      </c>
      <c r="G75" s="169">
        <f>Q20</f>
        <v>0</v>
      </c>
      <c r="H75" s="158"/>
    </row>
    <row r="76" customHeight="1" spans="2:14">
      <c r="B76" s="170"/>
      <c r="C76" s="171"/>
      <c r="D76" s="171"/>
      <c r="E76" s="172"/>
      <c r="F76" s="172"/>
      <c r="G76" s="170"/>
      <c r="H76" s="158"/>
      <c r="I76" s="170"/>
      <c r="J76" s="171"/>
      <c r="K76" s="171"/>
      <c r="L76" s="172"/>
      <c r="M76" s="172"/>
      <c r="N76" s="170"/>
    </row>
    <row r="77" customHeight="1" spans="2:14">
      <c r="B77" s="157" t="s">
        <v>305</v>
      </c>
      <c r="C77" s="157"/>
      <c r="D77" s="157"/>
      <c r="E77" s="157"/>
      <c r="F77" s="157"/>
      <c r="G77" s="157"/>
      <c r="H77" s="158"/>
      <c r="I77" s="170"/>
      <c r="J77" s="171"/>
      <c r="K77" s="171"/>
      <c r="L77" s="172"/>
      <c r="M77" s="172"/>
      <c r="N77" s="170"/>
    </row>
    <row r="78" customHeight="1" spans="2:14">
      <c r="B78" s="159" t="s">
        <v>293</v>
      </c>
      <c r="C78" s="160">
        <f>E21-C79</f>
        <v>0</v>
      </c>
      <c r="D78" s="161" t="s">
        <v>294</v>
      </c>
      <c r="E78" s="162">
        <f>1-E79</f>
        <v>1</v>
      </c>
      <c r="F78" s="159" t="s">
        <v>295</v>
      </c>
      <c r="G78" s="160">
        <f>C21-G79</f>
        <v>0</v>
      </c>
      <c r="H78" s="158"/>
      <c r="I78" s="170"/>
      <c r="J78" s="171"/>
      <c r="K78" s="171"/>
      <c r="L78" s="172"/>
      <c r="M78" s="172"/>
      <c r="N78" s="170"/>
    </row>
    <row r="79" customHeight="1" spans="2:14">
      <c r="B79" s="159" t="s">
        <v>287</v>
      </c>
      <c r="C79" s="160">
        <f>D21</f>
        <v>0</v>
      </c>
      <c r="D79" s="161" t="s">
        <v>296</v>
      </c>
      <c r="E79" s="162">
        <f>F21</f>
        <v>0</v>
      </c>
      <c r="F79" s="159" t="s">
        <v>297</v>
      </c>
      <c r="G79" s="160">
        <f>R21</f>
        <v>0</v>
      </c>
      <c r="H79" s="158"/>
      <c r="I79" s="170"/>
      <c r="J79" s="171"/>
      <c r="K79" s="171"/>
      <c r="L79" s="172"/>
      <c r="M79" s="172"/>
      <c r="N79" s="170"/>
    </row>
    <row r="80" customHeight="1" spans="2:14">
      <c r="B80" s="159" t="s">
        <v>298</v>
      </c>
      <c r="C80" s="164" t="s">
        <v>299</v>
      </c>
      <c r="D80" s="164"/>
      <c r="E80" s="159" t="s">
        <v>300</v>
      </c>
      <c r="F80" s="161" t="s">
        <v>301</v>
      </c>
      <c r="G80" s="159" t="s">
        <v>302</v>
      </c>
      <c r="H80" s="158"/>
      <c r="I80" s="170"/>
      <c r="J80" s="171"/>
      <c r="K80" s="171"/>
      <c r="L80" s="172"/>
      <c r="M80" s="172"/>
      <c r="N80" s="170"/>
    </row>
    <row r="81" customHeight="1" spans="2:14">
      <c r="B81" s="165" t="str">
        <f>立项!A3</f>
        <v>RD01</v>
      </c>
      <c r="C81" s="166">
        <f>立项!B3</f>
        <v>0</v>
      </c>
      <c r="D81" s="166"/>
      <c r="E81" s="167">
        <f>H6</f>
        <v>0</v>
      </c>
      <c r="F81" s="168">
        <f t="shared" ref="F81:F90" si="19">IF($C$79=0,0,E81/$C$79)</f>
        <v>0</v>
      </c>
      <c r="G81" s="169">
        <f>H21</f>
        <v>0</v>
      </c>
      <c r="H81" s="158"/>
      <c r="I81" s="170"/>
      <c r="J81" s="171"/>
      <c r="K81" s="171"/>
      <c r="L81" s="172"/>
      <c r="M81" s="172"/>
      <c r="N81" s="170"/>
    </row>
    <row r="82" customHeight="1" spans="2:14">
      <c r="B82" s="165" t="str">
        <f>立项!A4</f>
        <v>RD02</v>
      </c>
      <c r="C82" s="166">
        <f>立项!B4</f>
        <v>0</v>
      </c>
      <c r="D82" s="166"/>
      <c r="E82" s="167">
        <f>I6</f>
        <v>0</v>
      </c>
      <c r="F82" s="168">
        <f t="shared" si="19"/>
        <v>0</v>
      </c>
      <c r="G82" s="169">
        <f>I21</f>
        <v>0</v>
      </c>
      <c r="H82" s="158"/>
      <c r="I82" s="170"/>
      <c r="J82" s="171"/>
      <c r="K82" s="171"/>
      <c r="L82" s="172"/>
      <c r="M82" s="172"/>
      <c r="N82" s="170"/>
    </row>
    <row r="83" customHeight="1" spans="2:14">
      <c r="B83" s="165" t="str">
        <f>立项!A5</f>
        <v>RD03</v>
      </c>
      <c r="C83" s="166">
        <f>立项!B5</f>
        <v>0</v>
      </c>
      <c r="D83" s="166"/>
      <c r="E83" s="167">
        <f>J6</f>
        <v>0</v>
      </c>
      <c r="F83" s="168">
        <f t="shared" si="19"/>
        <v>0</v>
      </c>
      <c r="G83" s="169">
        <f>J21</f>
        <v>0</v>
      </c>
      <c r="H83" s="158"/>
      <c r="I83" s="170"/>
      <c r="J83" s="171"/>
      <c r="K83" s="171"/>
      <c r="L83" s="172"/>
      <c r="M83" s="172"/>
      <c r="N83" s="170"/>
    </row>
    <row r="84" customHeight="1" spans="2:14">
      <c r="B84" s="165" t="str">
        <f>立项!A6</f>
        <v>RD04</v>
      </c>
      <c r="C84" s="166">
        <f>立项!B6</f>
        <v>0</v>
      </c>
      <c r="D84" s="166"/>
      <c r="E84" s="167">
        <f>K6</f>
        <v>0</v>
      </c>
      <c r="F84" s="168">
        <f t="shared" si="19"/>
        <v>0</v>
      </c>
      <c r="G84" s="169">
        <f>K21</f>
        <v>0</v>
      </c>
      <c r="H84" s="158"/>
      <c r="I84" s="170"/>
      <c r="J84" s="171"/>
      <c r="K84" s="171"/>
      <c r="L84" s="172"/>
      <c r="M84" s="172"/>
      <c r="N84" s="170"/>
    </row>
    <row r="85" customHeight="1" spans="2:14">
      <c r="B85" s="165" t="str">
        <f>立项!A7</f>
        <v>RD05</v>
      </c>
      <c r="C85" s="166">
        <f>立项!B7</f>
        <v>0</v>
      </c>
      <c r="D85" s="166"/>
      <c r="E85" s="167">
        <f>L6</f>
        <v>0</v>
      </c>
      <c r="F85" s="168">
        <f t="shared" si="19"/>
        <v>0</v>
      </c>
      <c r="G85" s="169">
        <f>L21</f>
        <v>0</v>
      </c>
      <c r="H85" s="158"/>
      <c r="I85" s="170"/>
      <c r="J85" s="171"/>
      <c r="K85" s="171"/>
      <c r="L85" s="172"/>
      <c r="M85" s="172"/>
      <c r="N85" s="170"/>
    </row>
    <row r="86" customHeight="1" spans="2:14">
      <c r="B86" s="165" t="str">
        <f>立项!A8</f>
        <v>RD06</v>
      </c>
      <c r="C86" s="166">
        <f>立项!B8</f>
        <v>0</v>
      </c>
      <c r="D86" s="166"/>
      <c r="E86" s="167">
        <f>M6</f>
        <v>0</v>
      </c>
      <c r="F86" s="168">
        <f t="shared" si="19"/>
        <v>0</v>
      </c>
      <c r="G86" s="169">
        <f>M21</f>
        <v>0</v>
      </c>
      <c r="H86" s="158"/>
      <c r="I86" s="170"/>
      <c r="J86" s="171"/>
      <c r="K86" s="171"/>
      <c r="L86" s="172"/>
      <c r="M86" s="172"/>
      <c r="N86" s="170"/>
    </row>
    <row r="87" customHeight="1" spans="2:14">
      <c r="B87" s="165" t="str">
        <f>立项!A9</f>
        <v>RD07</v>
      </c>
      <c r="C87" s="166">
        <f>立项!B9</f>
        <v>0</v>
      </c>
      <c r="D87" s="166"/>
      <c r="E87" s="167">
        <f>N6</f>
        <v>0</v>
      </c>
      <c r="F87" s="168">
        <f t="shared" si="19"/>
        <v>0</v>
      </c>
      <c r="G87" s="169">
        <f>N21</f>
        <v>0</v>
      </c>
      <c r="H87" s="158"/>
      <c r="I87" s="170"/>
      <c r="J87" s="171"/>
      <c r="K87" s="171"/>
      <c r="L87" s="172"/>
      <c r="M87" s="172"/>
      <c r="N87" s="170"/>
    </row>
    <row r="88" customHeight="1" spans="2:14">
      <c r="B88" s="165" t="str">
        <f>立项!A10</f>
        <v>RD08</v>
      </c>
      <c r="C88" s="166">
        <f>立项!B10</f>
        <v>0</v>
      </c>
      <c r="D88" s="166"/>
      <c r="E88" s="167">
        <f>O6</f>
        <v>0</v>
      </c>
      <c r="F88" s="168">
        <f t="shared" si="19"/>
        <v>0</v>
      </c>
      <c r="G88" s="169">
        <f>O21</f>
        <v>0</v>
      </c>
      <c r="H88" s="158"/>
      <c r="I88" s="170"/>
      <c r="J88" s="171"/>
      <c r="K88" s="171"/>
      <c r="L88" s="172"/>
      <c r="M88" s="172"/>
      <c r="N88" s="170"/>
    </row>
    <row r="89" customHeight="1" spans="2:14">
      <c r="B89" s="165" t="str">
        <f>立项!A11</f>
        <v>RD09</v>
      </c>
      <c r="C89" s="166">
        <f>立项!B11</f>
        <v>0</v>
      </c>
      <c r="D89" s="166"/>
      <c r="E89" s="165">
        <f>P6</f>
        <v>0</v>
      </c>
      <c r="F89" s="168">
        <f t="shared" si="19"/>
        <v>0</v>
      </c>
      <c r="G89" s="169">
        <f>P21</f>
        <v>0</v>
      </c>
      <c r="H89" s="158"/>
      <c r="I89" s="170"/>
      <c r="J89" s="171"/>
      <c r="K89" s="171"/>
      <c r="L89" s="172"/>
      <c r="M89" s="172"/>
      <c r="N89" s="170"/>
    </row>
    <row r="90" customHeight="1" spans="2:14">
      <c r="B90" s="165" t="str">
        <f>立项!A12</f>
        <v>RD10</v>
      </c>
      <c r="C90" s="166">
        <f>立项!B12</f>
        <v>0</v>
      </c>
      <c r="D90" s="166"/>
      <c r="E90" s="165">
        <f>Q6</f>
        <v>0</v>
      </c>
      <c r="F90" s="168">
        <f t="shared" si="19"/>
        <v>0</v>
      </c>
      <c r="G90" s="169">
        <f>Q21</f>
        <v>0</v>
      </c>
      <c r="H90" s="158"/>
      <c r="I90" s="170"/>
      <c r="J90" s="171"/>
      <c r="K90" s="171"/>
      <c r="L90" s="172"/>
      <c r="M90" s="172"/>
      <c r="N90" s="170"/>
    </row>
    <row r="91" customHeight="1" spans="2:14">
      <c r="B91" s="170"/>
      <c r="C91" s="171"/>
      <c r="D91" s="171"/>
      <c r="E91" s="172"/>
      <c r="F91" s="172"/>
      <c r="G91" s="170"/>
      <c r="H91" s="158"/>
      <c r="I91" s="170"/>
      <c r="J91" s="171"/>
      <c r="K91" s="171"/>
      <c r="L91" s="172"/>
      <c r="M91" s="172"/>
      <c r="N91" s="170"/>
    </row>
    <row r="92" customHeight="1" spans="2:14">
      <c r="B92" s="157" t="s">
        <v>306</v>
      </c>
      <c r="C92" s="157"/>
      <c r="D92" s="157"/>
      <c r="E92" s="157"/>
      <c r="F92" s="157"/>
      <c r="G92" s="157"/>
      <c r="H92" s="158"/>
    </row>
    <row r="93" s="141" customFormat="1" customHeight="1" spans="2:14">
      <c r="B93" s="159" t="s">
        <v>293</v>
      </c>
      <c r="C93" s="160">
        <f>E22-C94</f>
        <v>0</v>
      </c>
      <c r="D93" s="161" t="s">
        <v>294</v>
      </c>
      <c r="E93" s="162">
        <f>1-E94</f>
        <v>1</v>
      </c>
      <c r="F93" s="159" t="s">
        <v>295</v>
      </c>
      <c r="G93" s="160">
        <f>C22-G94</f>
        <v>0</v>
      </c>
      <c r="H93" s="163"/>
    </row>
    <row r="94" s="141" customFormat="1" customHeight="1" spans="2:14">
      <c r="B94" s="159" t="s">
        <v>287</v>
      </c>
      <c r="C94" s="160">
        <f>D22</f>
        <v>0</v>
      </c>
      <c r="D94" s="161" t="s">
        <v>296</v>
      </c>
      <c r="E94" s="162">
        <f>F22</f>
        <v>0</v>
      </c>
      <c r="F94" s="159" t="s">
        <v>297</v>
      </c>
      <c r="G94" s="160">
        <f>R22</f>
        <v>0</v>
      </c>
      <c r="H94" s="163"/>
    </row>
    <row r="95" s="141" customFormat="1" customHeight="1" spans="2:14">
      <c r="B95" s="159" t="s">
        <v>298</v>
      </c>
      <c r="C95" s="164" t="s">
        <v>299</v>
      </c>
      <c r="D95" s="164"/>
      <c r="E95" s="159" t="s">
        <v>300</v>
      </c>
      <c r="F95" s="161" t="s">
        <v>301</v>
      </c>
      <c r="G95" s="159" t="s">
        <v>302</v>
      </c>
      <c r="H95" s="163"/>
    </row>
    <row r="96" customHeight="1" spans="2:14">
      <c r="B96" s="165" t="str">
        <f>立项!A3</f>
        <v>RD01</v>
      </c>
      <c r="C96" s="174">
        <f>立项!B3</f>
        <v>0</v>
      </c>
      <c r="D96" s="175"/>
      <c r="E96" s="167">
        <f>H7</f>
        <v>0</v>
      </c>
      <c r="F96" s="168">
        <f t="shared" ref="F96:F105" si="20">IF($C$94=0,0,E96/$C$94)</f>
        <v>0</v>
      </c>
      <c r="G96" s="169">
        <f>H22</f>
        <v>0</v>
      </c>
      <c r="H96" s="158"/>
    </row>
    <row r="97" customHeight="1" spans="2:14">
      <c r="B97" s="165" t="str">
        <f>立项!A4</f>
        <v>RD02</v>
      </c>
      <c r="C97" s="174">
        <f>立项!B4</f>
        <v>0</v>
      </c>
      <c r="D97" s="175"/>
      <c r="E97" s="167">
        <f>I7</f>
        <v>0</v>
      </c>
      <c r="F97" s="168">
        <f t="shared" si="20"/>
        <v>0</v>
      </c>
      <c r="G97" s="169">
        <f>I22</f>
        <v>0</v>
      </c>
      <c r="H97" s="158"/>
    </row>
    <row r="98" customHeight="1" spans="2:14">
      <c r="B98" s="165" t="str">
        <f>立项!A5</f>
        <v>RD03</v>
      </c>
      <c r="C98" s="174">
        <f>立项!B5</f>
        <v>0</v>
      </c>
      <c r="D98" s="175"/>
      <c r="E98" s="167">
        <f>J7</f>
        <v>0</v>
      </c>
      <c r="F98" s="168">
        <f t="shared" si="20"/>
        <v>0</v>
      </c>
      <c r="G98" s="169">
        <f>J22</f>
        <v>0</v>
      </c>
      <c r="H98" s="158"/>
    </row>
    <row r="99" customHeight="1" spans="2:14">
      <c r="B99" s="165" t="str">
        <f>立项!A6</f>
        <v>RD04</v>
      </c>
      <c r="C99" s="174">
        <f>立项!B6</f>
        <v>0</v>
      </c>
      <c r="D99" s="175"/>
      <c r="E99" s="167">
        <f>K7</f>
        <v>0</v>
      </c>
      <c r="F99" s="168">
        <f t="shared" si="20"/>
        <v>0</v>
      </c>
      <c r="G99" s="169">
        <f>K22</f>
        <v>0</v>
      </c>
      <c r="H99" s="158"/>
    </row>
    <row r="100" customHeight="1" spans="2:14">
      <c r="B100" s="165" t="str">
        <f>立项!A7</f>
        <v>RD05</v>
      </c>
      <c r="C100" s="174">
        <f>立项!B7</f>
        <v>0</v>
      </c>
      <c r="D100" s="175"/>
      <c r="E100" s="167">
        <f>L7</f>
        <v>0</v>
      </c>
      <c r="F100" s="168">
        <f t="shared" si="20"/>
        <v>0</v>
      </c>
      <c r="G100" s="169">
        <f>L22</f>
        <v>0</v>
      </c>
      <c r="H100" s="158"/>
    </row>
    <row r="101" customHeight="1" spans="2:14">
      <c r="B101" s="165" t="str">
        <f>立项!A8</f>
        <v>RD06</v>
      </c>
      <c r="C101" s="174">
        <f>立项!B8</f>
        <v>0</v>
      </c>
      <c r="D101" s="175"/>
      <c r="E101" s="167">
        <f>M7</f>
        <v>0</v>
      </c>
      <c r="F101" s="168">
        <f t="shared" si="20"/>
        <v>0</v>
      </c>
      <c r="G101" s="169">
        <f>M22</f>
        <v>0</v>
      </c>
      <c r="H101" s="158"/>
    </row>
    <row r="102" customHeight="1" spans="2:14">
      <c r="B102" s="165" t="str">
        <f>立项!A9</f>
        <v>RD07</v>
      </c>
      <c r="C102" s="174">
        <f>立项!B9</f>
        <v>0</v>
      </c>
      <c r="D102" s="175"/>
      <c r="E102" s="167">
        <f>N7</f>
        <v>0</v>
      </c>
      <c r="F102" s="168">
        <f t="shared" si="20"/>
        <v>0</v>
      </c>
      <c r="G102" s="169">
        <f>N22</f>
        <v>0</v>
      </c>
      <c r="H102" s="158"/>
    </row>
    <row r="103" customHeight="1" spans="2:14">
      <c r="B103" s="165" t="str">
        <f>立项!A10</f>
        <v>RD08</v>
      </c>
      <c r="C103" s="174">
        <f>立项!B10</f>
        <v>0</v>
      </c>
      <c r="D103" s="175"/>
      <c r="E103" s="167">
        <f>O7</f>
        <v>0</v>
      </c>
      <c r="F103" s="168">
        <f t="shared" si="20"/>
        <v>0</v>
      </c>
      <c r="G103" s="169">
        <f>O22</f>
        <v>0</v>
      </c>
      <c r="H103" s="158"/>
    </row>
    <row r="104" customHeight="1" spans="2:14">
      <c r="B104" s="165" t="str">
        <f>立项!A11</f>
        <v>RD09</v>
      </c>
      <c r="C104" s="174">
        <f>立项!B11</f>
        <v>0</v>
      </c>
      <c r="D104" s="175"/>
      <c r="E104" s="167">
        <f>P7</f>
        <v>0</v>
      </c>
      <c r="F104" s="168">
        <f t="shared" si="20"/>
        <v>0</v>
      </c>
      <c r="G104" s="169">
        <f>P22</f>
        <v>0</v>
      </c>
      <c r="H104" s="158"/>
    </row>
    <row r="105" customHeight="1" spans="2:14">
      <c r="B105" s="165" t="str">
        <f>立项!A12</f>
        <v>RD10</v>
      </c>
      <c r="C105" s="174">
        <f>立项!B12</f>
        <v>0</v>
      </c>
      <c r="D105" s="175"/>
      <c r="E105" s="167">
        <f>Q7</f>
        <v>0</v>
      </c>
      <c r="F105" s="168">
        <f t="shared" si="20"/>
        <v>0</v>
      </c>
      <c r="G105" s="169">
        <f>Q22</f>
        <v>0</v>
      </c>
      <c r="H105" s="158"/>
    </row>
    <row r="106" customHeight="1" spans="2:14">
      <c r="B106" s="170"/>
      <c r="C106" s="171"/>
      <c r="D106" s="171"/>
      <c r="E106" s="172"/>
      <c r="F106" s="172"/>
      <c r="G106" s="170"/>
      <c r="H106" s="158"/>
      <c r="I106" s="170"/>
      <c r="J106" s="171"/>
      <c r="K106" s="171"/>
      <c r="L106" s="172"/>
      <c r="M106" s="172"/>
      <c r="N106" s="170"/>
    </row>
    <row r="107" customHeight="1" spans="2:14">
      <c r="B107" s="157" t="s">
        <v>307</v>
      </c>
      <c r="C107" s="157"/>
      <c r="D107" s="157"/>
      <c r="E107" s="157"/>
      <c r="F107" s="157"/>
      <c r="G107" s="157"/>
      <c r="H107" s="158"/>
      <c r="I107" s="170"/>
      <c r="J107" s="171"/>
      <c r="K107" s="171"/>
      <c r="L107" s="172"/>
      <c r="M107" s="172"/>
      <c r="N107" s="170"/>
    </row>
    <row r="108" customHeight="1" spans="2:14">
      <c r="B108" s="159" t="s">
        <v>293</v>
      </c>
      <c r="C108" s="160">
        <f>E23-C109</f>
        <v>0</v>
      </c>
      <c r="D108" s="161" t="s">
        <v>294</v>
      </c>
      <c r="E108" s="162">
        <f>1-E109</f>
        <v>1</v>
      </c>
      <c r="F108" s="159" t="s">
        <v>295</v>
      </c>
      <c r="G108" s="160">
        <f>C23-G109</f>
        <v>0</v>
      </c>
      <c r="H108" s="158"/>
      <c r="I108" s="170"/>
      <c r="J108" s="171"/>
      <c r="K108" s="171"/>
      <c r="L108" s="172"/>
      <c r="M108" s="172"/>
      <c r="N108" s="170"/>
    </row>
    <row r="109" customHeight="1" spans="2:14">
      <c r="B109" s="159" t="s">
        <v>287</v>
      </c>
      <c r="C109" s="160">
        <f>D23</f>
        <v>0</v>
      </c>
      <c r="D109" s="161" t="s">
        <v>296</v>
      </c>
      <c r="E109" s="162">
        <f>F23</f>
        <v>0</v>
      </c>
      <c r="F109" s="159" t="s">
        <v>297</v>
      </c>
      <c r="G109" s="160">
        <f>R23</f>
        <v>0</v>
      </c>
      <c r="H109" s="158"/>
      <c r="I109" s="170"/>
      <c r="J109" s="171"/>
      <c r="K109" s="171"/>
      <c r="L109" s="172"/>
      <c r="M109" s="172"/>
      <c r="N109" s="170"/>
    </row>
    <row r="110" customHeight="1" spans="2:14">
      <c r="B110" s="159" t="s">
        <v>298</v>
      </c>
      <c r="C110" s="164" t="s">
        <v>299</v>
      </c>
      <c r="D110" s="164"/>
      <c r="E110" s="159" t="s">
        <v>300</v>
      </c>
      <c r="F110" s="161" t="s">
        <v>301</v>
      </c>
      <c r="G110" s="159" t="s">
        <v>302</v>
      </c>
      <c r="H110" s="158"/>
      <c r="I110" s="170"/>
      <c r="J110" s="171"/>
      <c r="K110" s="171"/>
      <c r="L110" s="172"/>
      <c r="M110" s="172"/>
      <c r="N110" s="170"/>
    </row>
    <row r="111" customHeight="1" spans="2:14">
      <c r="B111" s="165" t="str">
        <f>立项!A3</f>
        <v>RD01</v>
      </c>
      <c r="C111" s="166">
        <f>立项!B3</f>
        <v>0</v>
      </c>
      <c r="D111" s="166"/>
      <c r="E111" s="167">
        <f>H8</f>
        <v>0</v>
      </c>
      <c r="F111" s="168">
        <f t="shared" ref="F111:F120" si="21">IF($C$109=0,0,E111/$C$109)</f>
        <v>0</v>
      </c>
      <c r="G111" s="169">
        <f>H23</f>
        <v>0</v>
      </c>
      <c r="H111" s="158"/>
      <c r="I111" s="170"/>
      <c r="J111" s="171"/>
      <c r="K111" s="171"/>
      <c r="L111" s="172"/>
      <c r="M111" s="172"/>
      <c r="N111" s="170"/>
    </row>
    <row r="112" customHeight="1" spans="2:14">
      <c r="B112" s="165" t="str">
        <f>立项!A4</f>
        <v>RD02</v>
      </c>
      <c r="C112" s="166">
        <f>立项!B4</f>
        <v>0</v>
      </c>
      <c r="D112" s="166"/>
      <c r="E112" s="167">
        <f>I8</f>
        <v>0</v>
      </c>
      <c r="F112" s="168">
        <f t="shared" si="21"/>
        <v>0</v>
      </c>
      <c r="G112" s="169">
        <f>I23</f>
        <v>0</v>
      </c>
      <c r="H112" s="158"/>
      <c r="I112" s="170"/>
      <c r="J112" s="171"/>
      <c r="K112" s="171"/>
      <c r="L112" s="172"/>
      <c r="M112" s="172"/>
      <c r="N112" s="170"/>
    </row>
    <row r="113" customHeight="1" spans="2:14">
      <c r="B113" s="165" t="str">
        <f>立项!A5</f>
        <v>RD03</v>
      </c>
      <c r="C113" s="166">
        <f>立项!B5</f>
        <v>0</v>
      </c>
      <c r="D113" s="166"/>
      <c r="E113" s="167">
        <f>J8</f>
        <v>0</v>
      </c>
      <c r="F113" s="168">
        <f t="shared" si="21"/>
        <v>0</v>
      </c>
      <c r="G113" s="169">
        <f>J23</f>
        <v>0</v>
      </c>
      <c r="H113" s="158"/>
      <c r="I113" s="170"/>
      <c r="J113" s="171"/>
      <c r="K113" s="171"/>
      <c r="L113" s="172"/>
      <c r="M113" s="172"/>
      <c r="N113" s="170"/>
    </row>
    <row r="114" customHeight="1" spans="2:14">
      <c r="B114" s="165" t="str">
        <f>立项!A6</f>
        <v>RD04</v>
      </c>
      <c r="C114" s="166">
        <f>立项!B6</f>
        <v>0</v>
      </c>
      <c r="D114" s="166"/>
      <c r="E114" s="167">
        <f>K8</f>
        <v>0</v>
      </c>
      <c r="F114" s="168">
        <f t="shared" si="21"/>
        <v>0</v>
      </c>
      <c r="G114" s="169">
        <f>K23</f>
        <v>0</v>
      </c>
      <c r="H114" s="158"/>
      <c r="I114" s="170"/>
      <c r="J114" s="171"/>
      <c r="K114" s="171"/>
      <c r="L114" s="172"/>
      <c r="M114" s="172"/>
      <c r="N114" s="170"/>
    </row>
    <row r="115" customHeight="1" spans="2:14">
      <c r="B115" s="165" t="str">
        <f>立项!A7</f>
        <v>RD05</v>
      </c>
      <c r="C115" s="166">
        <f>立项!B7</f>
        <v>0</v>
      </c>
      <c r="D115" s="166"/>
      <c r="E115" s="167">
        <f>L8</f>
        <v>0</v>
      </c>
      <c r="F115" s="168">
        <f t="shared" si="21"/>
        <v>0</v>
      </c>
      <c r="G115" s="169">
        <f>L23</f>
        <v>0</v>
      </c>
      <c r="H115" s="158"/>
      <c r="I115" s="170"/>
      <c r="J115" s="171"/>
      <c r="K115" s="171"/>
      <c r="L115" s="172"/>
      <c r="M115" s="172"/>
      <c r="N115" s="170"/>
    </row>
    <row r="116" customHeight="1" spans="2:14">
      <c r="B116" s="165" t="str">
        <f>立项!A8</f>
        <v>RD06</v>
      </c>
      <c r="C116" s="166">
        <f>立项!B8</f>
        <v>0</v>
      </c>
      <c r="D116" s="166"/>
      <c r="E116" s="167">
        <f>M8</f>
        <v>0</v>
      </c>
      <c r="F116" s="168">
        <f t="shared" si="21"/>
        <v>0</v>
      </c>
      <c r="G116" s="169">
        <f>M23</f>
        <v>0</v>
      </c>
      <c r="H116" s="158"/>
      <c r="I116" s="170"/>
      <c r="J116" s="171"/>
      <c r="K116" s="171"/>
      <c r="L116" s="172"/>
      <c r="M116" s="172"/>
      <c r="N116" s="170"/>
    </row>
    <row r="117" customHeight="1" spans="2:14">
      <c r="B117" s="165" t="str">
        <f>立项!A9</f>
        <v>RD07</v>
      </c>
      <c r="C117" s="166">
        <f>立项!B9</f>
        <v>0</v>
      </c>
      <c r="D117" s="166"/>
      <c r="E117" s="167">
        <f>N8</f>
        <v>0</v>
      </c>
      <c r="F117" s="168">
        <f t="shared" si="21"/>
        <v>0</v>
      </c>
      <c r="G117" s="169">
        <f>N23</f>
        <v>0</v>
      </c>
      <c r="H117" s="158"/>
      <c r="I117" s="170"/>
      <c r="J117" s="171"/>
      <c r="K117" s="171"/>
      <c r="L117" s="172"/>
      <c r="M117" s="172"/>
      <c r="N117" s="170"/>
    </row>
    <row r="118" customHeight="1" spans="2:14">
      <c r="B118" s="165" t="str">
        <f>立项!A10</f>
        <v>RD08</v>
      </c>
      <c r="C118" s="166">
        <f>立项!B10</f>
        <v>0</v>
      </c>
      <c r="D118" s="166"/>
      <c r="E118" s="167">
        <f>O8</f>
        <v>0</v>
      </c>
      <c r="F118" s="168">
        <f t="shared" si="21"/>
        <v>0</v>
      </c>
      <c r="G118" s="169">
        <f>O23</f>
        <v>0</v>
      </c>
      <c r="H118" s="158"/>
      <c r="I118" s="170"/>
      <c r="J118" s="171"/>
      <c r="K118" s="171"/>
      <c r="L118" s="172"/>
      <c r="M118" s="172"/>
      <c r="N118" s="170"/>
    </row>
    <row r="119" customHeight="1" spans="2:14">
      <c r="B119" s="165" t="str">
        <f>立项!A11</f>
        <v>RD09</v>
      </c>
      <c r="C119" s="166">
        <f>立项!B11</f>
        <v>0</v>
      </c>
      <c r="D119" s="166"/>
      <c r="E119" s="165">
        <f>P8</f>
        <v>0</v>
      </c>
      <c r="F119" s="168">
        <f t="shared" si="21"/>
        <v>0</v>
      </c>
      <c r="G119" s="169">
        <f>P23</f>
        <v>0</v>
      </c>
      <c r="H119" s="158"/>
      <c r="I119" s="170"/>
      <c r="J119" s="171"/>
      <c r="K119" s="171"/>
      <c r="L119" s="172"/>
      <c r="M119" s="172"/>
      <c r="N119" s="170"/>
    </row>
    <row r="120" customHeight="1" spans="2:14">
      <c r="B120" s="165" t="str">
        <f>立项!A12</f>
        <v>RD10</v>
      </c>
      <c r="C120" s="166">
        <f>立项!B12</f>
        <v>0</v>
      </c>
      <c r="D120" s="166"/>
      <c r="E120" s="165">
        <f>Q8</f>
        <v>0</v>
      </c>
      <c r="F120" s="168">
        <f t="shared" si="21"/>
        <v>0</v>
      </c>
      <c r="G120" s="169">
        <f>Q23</f>
        <v>0</v>
      </c>
      <c r="H120" s="158"/>
      <c r="I120" s="170"/>
      <c r="J120" s="171"/>
      <c r="K120" s="171"/>
      <c r="L120" s="172"/>
      <c r="M120" s="172"/>
      <c r="N120" s="170"/>
    </row>
    <row r="121" customHeight="1" spans="2:14">
      <c r="B121" s="170"/>
      <c r="C121" s="171"/>
      <c r="D121" s="171"/>
      <c r="E121" s="172"/>
      <c r="F121" s="172"/>
      <c r="G121" s="170"/>
      <c r="H121" s="158"/>
      <c r="I121" s="170"/>
      <c r="J121" s="171"/>
      <c r="K121" s="171"/>
      <c r="L121" s="172"/>
      <c r="M121" s="172"/>
      <c r="N121" s="170"/>
    </row>
    <row r="122" customHeight="1" spans="2:14">
      <c r="B122" s="157" t="s">
        <v>308</v>
      </c>
      <c r="C122" s="157"/>
      <c r="D122" s="157"/>
      <c r="E122" s="157"/>
      <c r="F122" s="157"/>
      <c r="G122" s="157"/>
      <c r="H122" s="158"/>
    </row>
    <row r="123" s="141" customFormat="1" customHeight="1" spans="2:14">
      <c r="B123" s="159" t="s">
        <v>293</v>
      </c>
      <c r="C123" s="160">
        <f>E24-C124</f>
        <v>0</v>
      </c>
      <c r="D123" s="161" t="s">
        <v>294</v>
      </c>
      <c r="E123" s="162">
        <f>1-E124</f>
        <v>1</v>
      </c>
      <c r="F123" s="159" t="s">
        <v>295</v>
      </c>
      <c r="G123" s="160">
        <f>C24-G124</f>
        <v>0</v>
      </c>
      <c r="H123" s="163"/>
    </row>
    <row r="124" s="141" customFormat="1" customHeight="1" spans="2:14">
      <c r="B124" s="159" t="s">
        <v>287</v>
      </c>
      <c r="C124" s="160">
        <f>D24</f>
        <v>0</v>
      </c>
      <c r="D124" s="161" t="s">
        <v>296</v>
      </c>
      <c r="E124" s="162">
        <f>F24</f>
        <v>0</v>
      </c>
      <c r="F124" s="159" t="s">
        <v>297</v>
      </c>
      <c r="G124" s="160">
        <f>R24</f>
        <v>0</v>
      </c>
      <c r="H124" s="163"/>
    </row>
    <row r="125" s="141" customFormat="1" customHeight="1" spans="2:14">
      <c r="B125" s="159" t="s">
        <v>298</v>
      </c>
      <c r="C125" s="164" t="s">
        <v>299</v>
      </c>
      <c r="D125" s="164"/>
      <c r="E125" s="159" t="s">
        <v>300</v>
      </c>
      <c r="F125" s="161" t="s">
        <v>301</v>
      </c>
      <c r="G125" s="159" t="s">
        <v>302</v>
      </c>
      <c r="H125" s="163"/>
    </row>
    <row r="126" customHeight="1" spans="2:14">
      <c r="B126" s="165" t="str">
        <f>立项!A3</f>
        <v>RD01</v>
      </c>
      <c r="C126" s="166">
        <f>立项!B3</f>
        <v>0</v>
      </c>
      <c r="D126" s="166"/>
      <c r="E126" s="167">
        <f>H9</f>
        <v>0</v>
      </c>
      <c r="F126" s="168">
        <f t="shared" ref="F126:F135" si="22">IF($C$109=0,0,E126/$C$124)</f>
        <v>0</v>
      </c>
      <c r="G126" s="169">
        <f>H24</f>
        <v>0</v>
      </c>
      <c r="H126" s="158"/>
    </row>
    <row r="127" customHeight="1" spans="2:14">
      <c r="B127" s="165" t="str">
        <f>立项!A4</f>
        <v>RD02</v>
      </c>
      <c r="C127" s="166">
        <f>立项!B4</f>
        <v>0</v>
      </c>
      <c r="D127" s="166"/>
      <c r="E127" s="167">
        <f>I9</f>
        <v>0</v>
      </c>
      <c r="F127" s="168">
        <f t="shared" si="22"/>
        <v>0</v>
      </c>
      <c r="G127" s="169">
        <f>I24</f>
        <v>0</v>
      </c>
      <c r="H127" s="158"/>
    </row>
    <row r="128" customHeight="1" spans="2:14">
      <c r="B128" s="165" t="str">
        <f>立项!A5</f>
        <v>RD03</v>
      </c>
      <c r="C128" s="166">
        <f>立项!B5</f>
        <v>0</v>
      </c>
      <c r="D128" s="166"/>
      <c r="E128" s="167">
        <f>J9</f>
        <v>0</v>
      </c>
      <c r="F128" s="168">
        <f t="shared" si="22"/>
        <v>0</v>
      </c>
      <c r="G128" s="169">
        <f>J24</f>
        <v>0</v>
      </c>
      <c r="H128" s="158"/>
    </row>
    <row r="129" customHeight="1" spans="2:14">
      <c r="B129" s="165" t="str">
        <f>立项!A6</f>
        <v>RD04</v>
      </c>
      <c r="C129" s="166">
        <f>立项!B6</f>
        <v>0</v>
      </c>
      <c r="D129" s="166"/>
      <c r="E129" s="167">
        <f>K9</f>
        <v>0</v>
      </c>
      <c r="F129" s="168">
        <f t="shared" si="22"/>
        <v>0</v>
      </c>
      <c r="G129" s="169">
        <f>K24</f>
        <v>0</v>
      </c>
      <c r="H129" s="158"/>
    </row>
    <row r="130" customHeight="1" spans="2:14">
      <c r="B130" s="165" t="str">
        <f>立项!A7</f>
        <v>RD05</v>
      </c>
      <c r="C130" s="166">
        <f>立项!B7</f>
        <v>0</v>
      </c>
      <c r="D130" s="166"/>
      <c r="E130" s="167">
        <f>L9</f>
        <v>0</v>
      </c>
      <c r="F130" s="168">
        <f t="shared" si="22"/>
        <v>0</v>
      </c>
      <c r="G130" s="169">
        <f>L24</f>
        <v>0</v>
      </c>
      <c r="H130" s="158"/>
    </row>
    <row r="131" customHeight="1" spans="2:14">
      <c r="B131" s="165" t="str">
        <f>立项!A8</f>
        <v>RD06</v>
      </c>
      <c r="C131" s="166">
        <f>立项!B8</f>
        <v>0</v>
      </c>
      <c r="D131" s="166"/>
      <c r="E131" s="167">
        <f>M9</f>
        <v>0</v>
      </c>
      <c r="F131" s="168">
        <f t="shared" si="22"/>
        <v>0</v>
      </c>
      <c r="G131" s="169">
        <f>M24</f>
        <v>0</v>
      </c>
      <c r="H131" s="158"/>
    </row>
    <row r="132" customHeight="1" spans="2:14">
      <c r="B132" s="165" t="str">
        <f>立项!A9</f>
        <v>RD07</v>
      </c>
      <c r="C132" s="166">
        <f>立项!B9</f>
        <v>0</v>
      </c>
      <c r="D132" s="166"/>
      <c r="E132" s="167">
        <f>N9</f>
        <v>0</v>
      </c>
      <c r="F132" s="168">
        <f t="shared" si="22"/>
        <v>0</v>
      </c>
      <c r="G132" s="169">
        <f>N24</f>
        <v>0</v>
      </c>
      <c r="H132" s="158"/>
    </row>
    <row r="133" customHeight="1" spans="2:14">
      <c r="B133" s="165" t="str">
        <f>立项!A10</f>
        <v>RD08</v>
      </c>
      <c r="C133" s="166">
        <f>立项!B10</f>
        <v>0</v>
      </c>
      <c r="D133" s="166"/>
      <c r="E133" s="167">
        <f>O9</f>
        <v>0</v>
      </c>
      <c r="F133" s="168">
        <f t="shared" si="22"/>
        <v>0</v>
      </c>
      <c r="G133" s="169">
        <f>O24</f>
        <v>0</v>
      </c>
      <c r="H133" s="158"/>
    </row>
    <row r="134" customHeight="1" spans="2:14">
      <c r="B134" s="165" t="str">
        <f>立项!A11</f>
        <v>RD09</v>
      </c>
      <c r="C134" s="166">
        <f>立项!B11</f>
        <v>0</v>
      </c>
      <c r="D134" s="166"/>
      <c r="E134" s="167">
        <f>P9</f>
        <v>0</v>
      </c>
      <c r="F134" s="168">
        <f t="shared" si="22"/>
        <v>0</v>
      </c>
      <c r="G134" s="169">
        <f>P24</f>
        <v>0</v>
      </c>
      <c r="H134" s="158"/>
    </row>
    <row r="135" customHeight="1" spans="2:14">
      <c r="B135" s="165" t="str">
        <f>立项!A12</f>
        <v>RD10</v>
      </c>
      <c r="C135" s="166">
        <f>立项!B12</f>
        <v>0</v>
      </c>
      <c r="D135" s="166"/>
      <c r="E135" s="167">
        <f>Q9</f>
        <v>0</v>
      </c>
      <c r="F135" s="168">
        <f t="shared" si="22"/>
        <v>0</v>
      </c>
      <c r="G135" s="169">
        <f>Q24</f>
        <v>0</v>
      </c>
      <c r="H135" s="158"/>
    </row>
    <row r="136" customHeight="1" spans="2:14">
      <c r="B136" s="170"/>
      <c r="C136" s="171"/>
      <c r="D136" s="171"/>
      <c r="E136" s="172"/>
      <c r="F136" s="172"/>
      <c r="G136" s="170"/>
      <c r="H136" s="158"/>
      <c r="I136" s="170"/>
      <c r="J136" s="171"/>
      <c r="K136" s="171"/>
      <c r="L136" s="172"/>
      <c r="M136" s="172"/>
      <c r="N136" s="170"/>
    </row>
    <row r="137" customHeight="1" spans="2:14">
      <c r="B137" s="157" t="s">
        <v>309</v>
      </c>
      <c r="C137" s="157"/>
      <c r="D137" s="157"/>
      <c r="E137" s="157"/>
      <c r="F137" s="157"/>
      <c r="G137" s="157"/>
      <c r="H137" s="158"/>
      <c r="I137" s="170"/>
      <c r="J137" s="171"/>
      <c r="K137" s="171"/>
      <c r="L137" s="172"/>
      <c r="M137" s="172"/>
      <c r="N137" s="170"/>
    </row>
    <row r="138" customHeight="1" spans="2:14">
      <c r="B138" s="159" t="s">
        <v>293</v>
      </c>
      <c r="C138" s="160">
        <f>E25-C139</f>
        <v>0</v>
      </c>
      <c r="D138" s="161" t="s">
        <v>294</v>
      </c>
      <c r="E138" s="162">
        <f>1-E139</f>
        <v>1</v>
      </c>
      <c r="F138" s="159" t="s">
        <v>295</v>
      </c>
      <c r="G138" s="160">
        <f>C25-G139</f>
        <v>0</v>
      </c>
      <c r="H138" s="158"/>
      <c r="I138" s="170"/>
      <c r="J138" s="171"/>
      <c r="K138" s="171"/>
      <c r="L138" s="172"/>
      <c r="M138" s="172"/>
      <c r="N138" s="170"/>
    </row>
    <row r="139" customHeight="1" spans="2:14">
      <c r="B139" s="159" t="s">
        <v>287</v>
      </c>
      <c r="C139" s="160">
        <f>D25</f>
        <v>0</v>
      </c>
      <c r="D139" s="161" t="s">
        <v>296</v>
      </c>
      <c r="E139" s="162">
        <f>F25</f>
        <v>0</v>
      </c>
      <c r="F139" s="159" t="s">
        <v>297</v>
      </c>
      <c r="G139" s="160">
        <f>R25</f>
        <v>0</v>
      </c>
      <c r="H139" s="158"/>
      <c r="I139" s="170"/>
      <c r="J139" s="171"/>
      <c r="K139" s="171"/>
      <c r="L139" s="172"/>
      <c r="M139" s="172"/>
      <c r="N139" s="170"/>
    </row>
    <row r="140" customHeight="1" spans="2:14">
      <c r="B140" s="159" t="s">
        <v>298</v>
      </c>
      <c r="C140" s="164" t="s">
        <v>299</v>
      </c>
      <c r="D140" s="164"/>
      <c r="E140" s="159" t="s">
        <v>300</v>
      </c>
      <c r="F140" s="161" t="s">
        <v>301</v>
      </c>
      <c r="G140" s="159" t="s">
        <v>302</v>
      </c>
      <c r="H140" s="158"/>
      <c r="I140" s="170"/>
      <c r="J140" s="171"/>
      <c r="K140" s="171"/>
      <c r="L140" s="172"/>
      <c r="M140" s="172"/>
      <c r="N140" s="170"/>
    </row>
    <row r="141" customHeight="1" spans="2:14">
      <c r="B141" s="165" t="str">
        <f>立项!A3</f>
        <v>RD01</v>
      </c>
      <c r="C141" s="166">
        <f>立项!B3</f>
        <v>0</v>
      </c>
      <c r="D141" s="166"/>
      <c r="E141" s="167">
        <f>H10</f>
        <v>0</v>
      </c>
      <c r="F141" s="168">
        <f t="shared" ref="F141:F150" si="23">IF($C$139=0,0,E141/$C$139)</f>
        <v>0</v>
      </c>
      <c r="G141" s="169">
        <f>H25</f>
        <v>0</v>
      </c>
      <c r="H141" s="158"/>
      <c r="I141" s="170"/>
      <c r="J141" s="171"/>
      <c r="K141" s="171"/>
      <c r="L141" s="172"/>
      <c r="M141" s="172"/>
      <c r="N141" s="170"/>
    </row>
    <row r="142" customHeight="1" spans="2:14">
      <c r="B142" s="165" t="str">
        <f>立项!A4</f>
        <v>RD02</v>
      </c>
      <c r="C142" s="166">
        <f>立项!B4</f>
        <v>0</v>
      </c>
      <c r="D142" s="166"/>
      <c r="E142" s="167">
        <f>I10</f>
        <v>0</v>
      </c>
      <c r="F142" s="168">
        <f t="shared" si="23"/>
        <v>0</v>
      </c>
      <c r="G142" s="169">
        <f>I25</f>
        <v>0</v>
      </c>
      <c r="H142" s="158"/>
      <c r="I142" s="170"/>
      <c r="J142" s="171"/>
      <c r="K142" s="171"/>
      <c r="L142" s="172"/>
      <c r="M142" s="172"/>
      <c r="N142" s="170"/>
    </row>
    <row r="143" customHeight="1" spans="2:14">
      <c r="B143" s="165" t="str">
        <f>立项!A5</f>
        <v>RD03</v>
      </c>
      <c r="C143" s="166">
        <f>立项!B5</f>
        <v>0</v>
      </c>
      <c r="D143" s="166"/>
      <c r="E143" s="167">
        <f>J10</f>
        <v>0</v>
      </c>
      <c r="F143" s="168">
        <f t="shared" si="23"/>
        <v>0</v>
      </c>
      <c r="G143" s="169">
        <f>J25</f>
        <v>0</v>
      </c>
      <c r="H143" s="158"/>
      <c r="I143" s="170"/>
      <c r="J143" s="171"/>
      <c r="K143" s="171"/>
      <c r="L143" s="172"/>
      <c r="M143" s="172"/>
      <c r="N143" s="170"/>
    </row>
    <row r="144" customHeight="1" spans="2:14">
      <c r="B144" s="165" t="str">
        <f>立项!A6</f>
        <v>RD04</v>
      </c>
      <c r="C144" s="166">
        <f>立项!B6</f>
        <v>0</v>
      </c>
      <c r="D144" s="166"/>
      <c r="E144" s="167">
        <f>K10</f>
        <v>0</v>
      </c>
      <c r="F144" s="168">
        <f t="shared" si="23"/>
        <v>0</v>
      </c>
      <c r="G144" s="169">
        <f>K25</f>
        <v>0</v>
      </c>
      <c r="H144" s="158"/>
      <c r="I144" s="170"/>
      <c r="J144" s="171"/>
      <c r="K144" s="171"/>
      <c r="L144" s="172"/>
      <c r="M144" s="172"/>
      <c r="N144" s="170"/>
    </row>
    <row r="145" customHeight="1" spans="2:14">
      <c r="B145" s="165" t="str">
        <f>立项!A7</f>
        <v>RD05</v>
      </c>
      <c r="C145" s="166">
        <f>立项!B7</f>
        <v>0</v>
      </c>
      <c r="D145" s="166"/>
      <c r="E145" s="167">
        <f>L10</f>
        <v>0</v>
      </c>
      <c r="F145" s="168">
        <f t="shared" si="23"/>
        <v>0</v>
      </c>
      <c r="G145" s="169">
        <f>L25</f>
        <v>0</v>
      </c>
      <c r="H145" s="158"/>
      <c r="I145" s="170"/>
      <c r="J145" s="171"/>
      <c r="K145" s="171"/>
      <c r="L145" s="172"/>
      <c r="M145" s="172"/>
      <c r="N145" s="170"/>
    </row>
    <row r="146" customHeight="1" spans="2:14">
      <c r="B146" s="165" t="str">
        <f>立项!A8</f>
        <v>RD06</v>
      </c>
      <c r="C146" s="166">
        <f>立项!B8</f>
        <v>0</v>
      </c>
      <c r="D146" s="166"/>
      <c r="E146" s="167">
        <f>M10</f>
        <v>0</v>
      </c>
      <c r="F146" s="168">
        <f t="shared" si="23"/>
        <v>0</v>
      </c>
      <c r="G146" s="169">
        <f>M25</f>
        <v>0</v>
      </c>
      <c r="H146" s="158"/>
      <c r="I146" s="170"/>
      <c r="J146" s="171"/>
      <c r="K146" s="171"/>
      <c r="L146" s="172"/>
      <c r="M146" s="172"/>
      <c r="N146" s="170"/>
    </row>
    <row r="147" customHeight="1" spans="2:14">
      <c r="B147" s="165" t="str">
        <f>立项!A9</f>
        <v>RD07</v>
      </c>
      <c r="C147" s="166">
        <f>立项!B9</f>
        <v>0</v>
      </c>
      <c r="D147" s="166"/>
      <c r="E147" s="167">
        <f>N10</f>
        <v>0</v>
      </c>
      <c r="F147" s="168">
        <f t="shared" si="23"/>
        <v>0</v>
      </c>
      <c r="G147" s="169">
        <f>N25</f>
        <v>0</v>
      </c>
      <c r="H147" s="158"/>
      <c r="I147" s="170"/>
      <c r="J147" s="171"/>
      <c r="K147" s="171"/>
      <c r="L147" s="172"/>
      <c r="M147" s="172"/>
      <c r="N147" s="170"/>
    </row>
    <row r="148" customHeight="1" spans="2:14">
      <c r="B148" s="165" t="str">
        <f>立项!A10</f>
        <v>RD08</v>
      </c>
      <c r="C148" s="166">
        <f>立项!B10</f>
        <v>0</v>
      </c>
      <c r="D148" s="166"/>
      <c r="E148" s="167">
        <f>O10</f>
        <v>0</v>
      </c>
      <c r="F148" s="168">
        <f t="shared" si="23"/>
        <v>0</v>
      </c>
      <c r="G148" s="169">
        <f>O25</f>
        <v>0</v>
      </c>
      <c r="H148" s="158"/>
      <c r="I148" s="170"/>
      <c r="J148" s="171"/>
      <c r="K148" s="171"/>
      <c r="L148" s="172"/>
      <c r="M148" s="172"/>
      <c r="N148" s="170"/>
    </row>
    <row r="149" customHeight="1" spans="2:14">
      <c r="B149" s="165" t="str">
        <f>立项!A11</f>
        <v>RD09</v>
      </c>
      <c r="C149" s="166">
        <f>立项!B11</f>
        <v>0</v>
      </c>
      <c r="D149" s="166"/>
      <c r="E149" s="165">
        <f>P10</f>
        <v>0</v>
      </c>
      <c r="F149" s="168">
        <f t="shared" si="23"/>
        <v>0</v>
      </c>
      <c r="G149" s="169">
        <f>P25</f>
        <v>0</v>
      </c>
      <c r="H149" s="158"/>
      <c r="I149" s="170"/>
      <c r="J149" s="171"/>
      <c r="K149" s="171"/>
      <c r="L149" s="172"/>
      <c r="M149" s="172"/>
      <c r="N149" s="170"/>
    </row>
    <row r="150" customHeight="1" spans="2:14">
      <c r="B150" s="165" t="str">
        <f>立项!A12</f>
        <v>RD10</v>
      </c>
      <c r="C150" s="166">
        <f>立项!B12</f>
        <v>0</v>
      </c>
      <c r="D150" s="166"/>
      <c r="E150" s="165">
        <f>Q10</f>
        <v>0</v>
      </c>
      <c r="F150" s="168">
        <f t="shared" si="23"/>
        <v>0</v>
      </c>
      <c r="G150" s="169">
        <f>Q25</f>
        <v>0</v>
      </c>
      <c r="H150" s="158"/>
      <c r="I150" s="170"/>
      <c r="J150" s="171"/>
      <c r="K150" s="171"/>
      <c r="L150" s="172"/>
      <c r="M150" s="172"/>
      <c r="N150" s="170"/>
    </row>
    <row r="151" customHeight="1" spans="2:14">
      <c r="B151" s="170"/>
      <c r="C151" s="171"/>
      <c r="D151" s="171"/>
      <c r="E151" s="172"/>
      <c r="F151" s="172"/>
      <c r="G151" s="170"/>
      <c r="H151" s="158"/>
      <c r="I151" s="170"/>
      <c r="J151" s="171"/>
      <c r="K151" s="171"/>
      <c r="L151" s="172"/>
      <c r="M151" s="172"/>
      <c r="N151" s="170"/>
    </row>
    <row r="152" customHeight="1" spans="2:14">
      <c r="B152" s="157" t="s">
        <v>310</v>
      </c>
      <c r="C152" s="157"/>
      <c r="D152" s="157"/>
      <c r="E152" s="157"/>
      <c r="F152" s="157"/>
      <c r="G152" s="157"/>
      <c r="H152" s="158"/>
    </row>
    <row r="153" s="141" customFormat="1" customHeight="1" spans="2:14">
      <c r="B153" s="159" t="s">
        <v>293</v>
      </c>
      <c r="C153" s="160">
        <f>E26-C154</f>
        <v>0</v>
      </c>
      <c r="D153" s="161" t="s">
        <v>294</v>
      </c>
      <c r="E153" s="162">
        <f>1-E154</f>
        <v>1</v>
      </c>
      <c r="F153" s="159" t="s">
        <v>295</v>
      </c>
      <c r="G153" s="160">
        <f>C26-G154</f>
        <v>0</v>
      </c>
      <c r="H153" s="163"/>
    </row>
    <row r="154" s="141" customFormat="1" customHeight="1" spans="2:14">
      <c r="B154" s="159" t="s">
        <v>287</v>
      </c>
      <c r="C154" s="160">
        <f>D26</f>
        <v>0</v>
      </c>
      <c r="D154" s="161" t="s">
        <v>296</v>
      </c>
      <c r="E154" s="162">
        <f>F26</f>
        <v>0</v>
      </c>
      <c r="F154" s="159" t="s">
        <v>297</v>
      </c>
      <c r="G154" s="160">
        <f>R26</f>
        <v>0</v>
      </c>
      <c r="H154" s="163"/>
    </row>
    <row r="155" s="141" customFormat="1" customHeight="1" spans="2:14">
      <c r="B155" s="159" t="s">
        <v>298</v>
      </c>
      <c r="C155" s="164" t="s">
        <v>299</v>
      </c>
      <c r="D155" s="164"/>
      <c r="E155" s="159" t="s">
        <v>300</v>
      </c>
      <c r="F155" s="161" t="s">
        <v>301</v>
      </c>
      <c r="G155" s="159" t="s">
        <v>302</v>
      </c>
      <c r="H155" s="163"/>
    </row>
    <row r="156" customHeight="1" spans="2:14">
      <c r="B156" s="165" t="str">
        <f>立项!A3</f>
        <v>RD01</v>
      </c>
      <c r="C156" s="166">
        <f>立项!B3</f>
        <v>0</v>
      </c>
      <c r="D156" s="166"/>
      <c r="E156" s="167">
        <f>H11</f>
        <v>0</v>
      </c>
      <c r="F156" s="168">
        <f t="shared" ref="F156:F165" si="24">IF($C$154=0,0,E156/$C$154)</f>
        <v>0</v>
      </c>
      <c r="G156" s="169">
        <f>H26</f>
        <v>0</v>
      </c>
      <c r="H156" s="158"/>
    </row>
    <row r="157" customHeight="1" spans="2:14">
      <c r="B157" s="165" t="str">
        <f>立项!A4</f>
        <v>RD02</v>
      </c>
      <c r="C157" s="166">
        <f>立项!B4</f>
        <v>0</v>
      </c>
      <c r="D157" s="166"/>
      <c r="E157" s="167">
        <f>I11</f>
        <v>0</v>
      </c>
      <c r="F157" s="168">
        <f t="shared" si="24"/>
        <v>0</v>
      </c>
      <c r="G157" s="169">
        <f>I26</f>
        <v>0</v>
      </c>
      <c r="H157" s="158"/>
    </row>
    <row r="158" customHeight="1" spans="2:14">
      <c r="B158" s="165" t="str">
        <f>立项!A5</f>
        <v>RD03</v>
      </c>
      <c r="C158" s="166">
        <f>立项!B5</f>
        <v>0</v>
      </c>
      <c r="D158" s="166"/>
      <c r="E158" s="167">
        <f>J11</f>
        <v>0</v>
      </c>
      <c r="F158" s="168">
        <f t="shared" si="24"/>
        <v>0</v>
      </c>
      <c r="G158" s="169">
        <f>J26</f>
        <v>0</v>
      </c>
      <c r="H158" s="158"/>
    </row>
    <row r="159" customHeight="1" spans="2:14">
      <c r="B159" s="165" t="str">
        <f>立项!A6</f>
        <v>RD04</v>
      </c>
      <c r="C159" s="166">
        <f>立项!B6</f>
        <v>0</v>
      </c>
      <c r="D159" s="166"/>
      <c r="E159" s="167">
        <f>K11</f>
        <v>0</v>
      </c>
      <c r="F159" s="168">
        <f t="shared" si="24"/>
        <v>0</v>
      </c>
      <c r="G159" s="169">
        <f>K26</f>
        <v>0</v>
      </c>
      <c r="H159" s="158"/>
    </row>
    <row r="160" customHeight="1" spans="2:14">
      <c r="B160" s="165" t="str">
        <f>立项!A7</f>
        <v>RD05</v>
      </c>
      <c r="C160" s="166">
        <f>立项!B7</f>
        <v>0</v>
      </c>
      <c r="D160" s="166"/>
      <c r="E160" s="167">
        <f>L11</f>
        <v>0</v>
      </c>
      <c r="F160" s="168">
        <f t="shared" si="24"/>
        <v>0</v>
      </c>
      <c r="G160" s="169">
        <f>L26</f>
        <v>0</v>
      </c>
      <c r="H160" s="158"/>
    </row>
    <row r="161" customHeight="1" spans="2:14">
      <c r="B161" s="165" t="str">
        <f>立项!A8</f>
        <v>RD06</v>
      </c>
      <c r="C161" s="166">
        <f>立项!B8</f>
        <v>0</v>
      </c>
      <c r="D161" s="166"/>
      <c r="E161" s="167">
        <f>M11</f>
        <v>0</v>
      </c>
      <c r="F161" s="168">
        <f t="shared" si="24"/>
        <v>0</v>
      </c>
      <c r="G161" s="169">
        <f>M26</f>
        <v>0</v>
      </c>
      <c r="H161" s="158"/>
    </row>
    <row r="162" customHeight="1" spans="2:14">
      <c r="B162" s="165" t="str">
        <f>立项!A9</f>
        <v>RD07</v>
      </c>
      <c r="C162" s="166">
        <f>立项!B9</f>
        <v>0</v>
      </c>
      <c r="D162" s="166"/>
      <c r="E162" s="167">
        <f>N11</f>
        <v>0</v>
      </c>
      <c r="F162" s="168">
        <f t="shared" si="24"/>
        <v>0</v>
      </c>
      <c r="G162" s="169">
        <f>N26</f>
        <v>0</v>
      </c>
      <c r="H162" s="158"/>
    </row>
    <row r="163" customHeight="1" spans="2:14">
      <c r="B163" s="165" t="str">
        <f>立项!A10</f>
        <v>RD08</v>
      </c>
      <c r="C163" s="166">
        <f>立项!B10</f>
        <v>0</v>
      </c>
      <c r="D163" s="166"/>
      <c r="E163" s="167">
        <f>O11</f>
        <v>0</v>
      </c>
      <c r="F163" s="168">
        <f t="shared" si="24"/>
        <v>0</v>
      </c>
      <c r="G163" s="169">
        <f>O26</f>
        <v>0</v>
      </c>
      <c r="H163" s="158"/>
    </row>
    <row r="164" customHeight="1" spans="2:14">
      <c r="B164" s="165" t="str">
        <f>立项!A11</f>
        <v>RD09</v>
      </c>
      <c r="C164" s="166">
        <f>立项!B11</f>
        <v>0</v>
      </c>
      <c r="D164" s="166"/>
      <c r="E164" s="167">
        <f>P11</f>
        <v>0</v>
      </c>
      <c r="F164" s="168">
        <f t="shared" si="24"/>
        <v>0</v>
      </c>
      <c r="G164" s="169">
        <f>P26</f>
        <v>0</v>
      </c>
      <c r="H164" s="158"/>
    </row>
    <row r="165" customHeight="1" spans="2:14">
      <c r="B165" s="165" t="str">
        <f>立项!A12</f>
        <v>RD10</v>
      </c>
      <c r="C165" s="166">
        <f>立项!B12</f>
        <v>0</v>
      </c>
      <c r="D165" s="166"/>
      <c r="E165" s="167">
        <f>Q11</f>
        <v>0</v>
      </c>
      <c r="F165" s="168">
        <f t="shared" si="24"/>
        <v>0</v>
      </c>
      <c r="G165" s="169">
        <f>Q26</f>
        <v>0</v>
      </c>
      <c r="H165" s="158"/>
    </row>
    <row r="166" customHeight="1" spans="2:14">
      <c r="B166" s="170"/>
      <c r="C166" s="171"/>
      <c r="D166" s="171"/>
      <c r="E166" s="172"/>
      <c r="F166" s="173"/>
      <c r="G166" s="170"/>
      <c r="H166" s="158"/>
      <c r="I166" s="170"/>
      <c r="J166" s="171"/>
      <c r="K166" s="171"/>
      <c r="L166" s="170"/>
      <c r="M166" s="173"/>
      <c r="N166" s="170"/>
    </row>
    <row r="167" customHeight="1" spans="2:14">
      <c r="B167" s="157" t="s">
        <v>311</v>
      </c>
      <c r="C167" s="157"/>
      <c r="D167" s="157"/>
      <c r="E167" s="157"/>
      <c r="F167" s="157"/>
      <c r="G167" s="157"/>
      <c r="H167" s="158"/>
      <c r="I167" s="170"/>
      <c r="J167" s="171"/>
      <c r="K167" s="171"/>
      <c r="L167" s="170"/>
      <c r="M167" s="173"/>
      <c r="N167" s="170"/>
    </row>
    <row r="168" customHeight="1" spans="2:14">
      <c r="B168" s="159" t="s">
        <v>293</v>
      </c>
      <c r="C168" s="160">
        <f>E27-C169</f>
        <v>0</v>
      </c>
      <c r="D168" s="161" t="s">
        <v>294</v>
      </c>
      <c r="E168" s="162">
        <f>1-E169</f>
        <v>1</v>
      </c>
      <c r="F168" s="159" t="s">
        <v>295</v>
      </c>
      <c r="G168" s="160">
        <f>C27-G169</f>
        <v>0</v>
      </c>
      <c r="H168" s="158"/>
      <c r="I168" s="170"/>
      <c r="J168" s="171"/>
      <c r="K168" s="171"/>
      <c r="L168" s="170"/>
      <c r="M168" s="173"/>
      <c r="N168" s="170"/>
    </row>
    <row r="169" customHeight="1" spans="2:14">
      <c r="B169" s="159" t="s">
        <v>287</v>
      </c>
      <c r="C169" s="160">
        <f>D27</f>
        <v>0</v>
      </c>
      <c r="D169" s="161" t="s">
        <v>296</v>
      </c>
      <c r="E169" s="162">
        <f>F27</f>
        <v>0</v>
      </c>
      <c r="F169" s="159" t="s">
        <v>297</v>
      </c>
      <c r="G169" s="160">
        <f>R27</f>
        <v>0</v>
      </c>
      <c r="H169" s="158"/>
      <c r="I169" s="170"/>
      <c r="J169" s="171"/>
      <c r="K169" s="171"/>
      <c r="L169" s="170"/>
      <c r="M169" s="173"/>
      <c r="N169" s="170"/>
    </row>
    <row r="170" customHeight="1" spans="2:14">
      <c r="B170" s="159" t="s">
        <v>298</v>
      </c>
      <c r="C170" s="164" t="s">
        <v>299</v>
      </c>
      <c r="D170" s="164"/>
      <c r="E170" s="159" t="s">
        <v>300</v>
      </c>
      <c r="F170" s="161" t="s">
        <v>301</v>
      </c>
      <c r="G170" s="159" t="s">
        <v>302</v>
      </c>
      <c r="H170" s="158"/>
      <c r="I170" s="170"/>
      <c r="J170" s="171"/>
      <c r="K170" s="171"/>
      <c r="L170" s="170"/>
      <c r="M170" s="173"/>
      <c r="N170" s="170"/>
    </row>
    <row r="171" customHeight="1" spans="2:14">
      <c r="B171" s="165" t="str">
        <f>立项!A3</f>
        <v>RD01</v>
      </c>
      <c r="C171" s="166">
        <f>立项!B3</f>
        <v>0</v>
      </c>
      <c r="D171" s="166"/>
      <c r="E171" s="167">
        <f>H12</f>
        <v>0</v>
      </c>
      <c r="F171" s="168">
        <f t="shared" ref="F171:F180" si="25">IF($C$169=0,0,E171/$C$169)</f>
        <v>0</v>
      </c>
      <c r="G171" s="169">
        <f>H27</f>
        <v>0</v>
      </c>
      <c r="H171" s="158"/>
      <c r="I171" s="170"/>
      <c r="J171" s="171"/>
      <c r="K171" s="171"/>
      <c r="L171" s="170"/>
      <c r="M171" s="173"/>
      <c r="N171" s="170"/>
    </row>
    <row r="172" customHeight="1" spans="2:14">
      <c r="B172" s="165" t="str">
        <f>立项!A4</f>
        <v>RD02</v>
      </c>
      <c r="C172" s="166">
        <f>立项!B4</f>
        <v>0</v>
      </c>
      <c r="D172" s="166"/>
      <c r="E172" s="167">
        <f>I12</f>
        <v>0</v>
      </c>
      <c r="F172" s="168">
        <f t="shared" si="25"/>
        <v>0</v>
      </c>
      <c r="G172" s="169">
        <f>I27</f>
        <v>0</v>
      </c>
      <c r="H172" s="158"/>
      <c r="I172" s="170"/>
      <c r="J172" s="171"/>
      <c r="K172" s="171"/>
      <c r="L172" s="170"/>
      <c r="M172" s="173"/>
      <c r="N172" s="170"/>
    </row>
    <row r="173" customHeight="1" spans="2:14">
      <c r="B173" s="165" t="str">
        <f>立项!A5</f>
        <v>RD03</v>
      </c>
      <c r="C173" s="166">
        <f>立项!B5</f>
        <v>0</v>
      </c>
      <c r="D173" s="166"/>
      <c r="E173" s="167">
        <f>J12</f>
        <v>0</v>
      </c>
      <c r="F173" s="168">
        <f t="shared" si="25"/>
        <v>0</v>
      </c>
      <c r="G173" s="169">
        <f>J27</f>
        <v>0</v>
      </c>
      <c r="H173" s="158"/>
      <c r="I173" s="170"/>
      <c r="J173" s="171"/>
      <c r="K173" s="171"/>
      <c r="L173" s="170"/>
      <c r="M173" s="173"/>
      <c r="N173" s="170"/>
    </row>
    <row r="174" customHeight="1" spans="2:14">
      <c r="B174" s="165" t="str">
        <f>立项!A6</f>
        <v>RD04</v>
      </c>
      <c r="C174" s="166">
        <f>立项!B6</f>
        <v>0</v>
      </c>
      <c r="D174" s="166"/>
      <c r="E174" s="167">
        <f>K12</f>
        <v>0</v>
      </c>
      <c r="F174" s="168">
        <f t="shared" si="25"/>
        <v>0</v>
      </c>
      <c r="G174" s="169">
        <f>K27</f>
        <v>0</v>
      </c>
      <c r="H174" s="158"/>
      <c r="I174" s="170"/>
      <c r="J174" s="171"/>
      <c r="K174" s="171"/>
      <c r="L174" s="170"/>
      <c r="M174" s="173"/>
      <c r="N174" s="170"/>
    </row>
    <row r="175" customHeight="1" spans="2:14">
      <c r="B175" s="165" t="str">
        <f>立项!A7</f>
        <v>RD05</v>
      </c>
      <c r="C175" s="166">
        <f>立项!B7</f>
        <v>0</v>
      </c>
      <c r="D175" s="166"/>
      <c r="E175" s="167">
        <f>L12</f>
        <v>0</v>
      </c>
      <c r="F175" s="168">
        <f t="shared" si="25"/>
        <v>0</v>
      </c>
      <c r="G175" s="169">
        <f>L27</f>
        <v>0</v>
      </c>
      <c r="H175" s="158"/>
      <c r="I175" s="170"/>
      <c r="J175" s="171"/>
      <c r="K175" s="171"/>
      <c r="L175" s="170"/>
      <c r="M175" s="173"/>
      <c r="N175" s="170"/>
    </row>
    <row r="176" customHeight="1" spans="2:14">
      <c r="B176" s="165" t="str">
        <f>立项!A8</f>
        <v>RD06</v>
      </c>
      <c r="C176" s="166">
        <f>立项!B8</f>
        <v>0</v>
      </c>
      <c r="D176" s="166"/>
      <c r="E176" s="167">
        <f>M12</f>
        <v>0</v>
      </c>
      <c r="F176" s="168">
        <f t="shared" si="25"/>
        <v>0</v>
      </c>
      <c r="G176" s="169">
        <f>M27</f>
        <v>0</v>
      </c>
      <c r="H176" s="158"/>
      <c r="I176" s="170"/>
      <c r="J176" s="171"/>
      <c r="K176" s="171"/>
      <c r="L176" s="170"/>
      <c r="M176" s="173"/>
      <c r="N176" s="170"/>
    </row>
    <row r="177" customHeight="1" spans="2:14">
      <c r="B177" s="165" t="str">
        <f>立项!A9</f>
        <v>RD07</v>
      </c>
      <c r="C177" s="166">
        <f>立项!B9</f>
        <v>0</v>
      </c>
      <c r="D177" s="166"/>
      <c r="E177" s="167">
        <f>N12</f>
        <v>0</v>
      </c>
      <c r="F177" s="168">
        <f t="shared" si="25"/>
        <v>0</v>
      </c>
      <c r="G177" s="169">
        <f>N27</f>
        <v>0</v>
      </c>
      <c r="H177" s="158"/>
      <c r="I177" s="170"/>
      <c r="J177" s="171"/>
      <c r="K177" s="171"/>
      <c r="L177" s="170"/>
      <c r="M177" s="173"/>
      <c r="N177" s="170"/>
    </row>
    <row r="178" customHeight="1" spans="2:14">
      <c r="B178" s="165" t="str">
        <f>立项!A10</f>
        <v>RD08</v>
      </c>
      <c r="C178" s="166">
        <f>立项!B10</f>
        <v>0</v>
      </c>
      <c r="D178" s="166"/>
      <c r="E178" s="167">
        <f>O12</f>
        <v>0</v>
      </c>
      <c r="F178" s="168">
        <f t="shared" si="25"/>
        <v>0</v>
      </c>
      <c r="G178" s="169">
        <f>O27</f>
        <v>0</v>
      </c>
      <c r="H178" s="158"/>
      <c r="I178" s="170"/>
      <c r="J178" s="171"/>
      <c r="K178" s="171"/>
      <c r="L178" s="170"/>
      <c r="M178" s="173"/>
      <c r="N178" s="170"/>
    </row>
    <row r="179" customHeight="1" spans="2:14">
      <c r="B179" s="165" t="str">
        <f>立项!A11</f>
        <v>RD09</v>
      </c>
      <c r="C179" s="166">
        <f>立项!B11</f>
        <v>0</v>
      </c>
      <c r="D179" s="166"/>
      <c r="E179" s="165">
        <f>P12</f>
        <v>0</v>
      </c>
      <c r="F179" s="168">
        <f t="shared" si="25"/>
        <v>0</v>
      </c>
      <c r="G179" s="169">
        <f>P27</f>
        <v>0</v>
      </c>
      <c r="H179" s="158"/>
      <c r="I179" s="170"/>
      <c r="J179" s="171"/>
      <c r="K179" s="171"/>
      <c r="L179" s="170"/>
      <c r="M179" s="173"/>
      <c r="N179" s="170"/>
    </row>
    <row r="180" customHeight="1" spans="2:14">
      <c r="B180" s="165" t="str">
        <f>立项!A12</f>
        <v>RD10</v>
      </c>
      <c r="C180" s="166">
        <f>立项!B12</f>
        <v>0</v>
      </c>
      <c r="D180" s="166"/>
      <c r="E180" s="165">
        <f>Q12</f>
        <v>0</v>
      </c>
      <c r="F180" s="168">
        <f t="shared" si="25"/>
        <v>0</v>
      </c>
      <c r="G180" s="169">
        <f>Q27</f>
        <v>0</v>
      </c>
      <c r="H180" s="158"/>
      <c r="I180" s="170"/>
      <c r="J180" s="171"/>
      <c r="K180" s="171"/>
      <c r="L180" s="170"/>
      <c r="M180" s="173"/>
      <c r="N180" s="170"/>
    </row>
    <row r="181" customHeight="1" spans="2:14">
      <c r="B181" s="170"/>
      <c r="C181" s="171"/>
      <c r="D181" s="171"/>
      <c r="E181" s="172"/>
      <c r="F181" s="172"/>
      <c r="G181" s="170"/>
      <c r="H181" s="158"/>
      <c r="I181" s="170"/>
      <c r="J181" s="171"/>
      <c r="K181" s="171"/>
      <c r="L181" s="172"/>
      <c r="M181" s="172"/>
      <c r="N181" s="170"/>
    </row>
    <row r="182" customHeight="1" spans="2:14">
      <c r="B182" s="157" t="s">
        <v>312</v>
      </c>
      <c r="C182" s="157"/>
      <c r="D182" s="157"/>
      <c r="E182" s="157"/>
      <c r="F182" s="157"/>
      <c r="G182" s="157"/>
      <c r="H182" s="158"/>
    </row>
    <row r="183" s="141" customFormat="1" customHeight="1" spans="2:14">
      <c r="B183" s="159" t="s">
        <v>293</v>
      </c>
      <c r="C183" s="160">
        <f>E28-C184</f>
        <v>0</v>
      </c>
      <c r="D183" s="161" t="s">
        <v>294</v>
      </c>
      <c r="E183" s="162">
        <f>1-E184</f>
        <v>1</v>
      </c>
      <c r="F183" s="159" t="s">
        <v>295</v>
      </c>
      <c r="G183" s="160">
        <f>C28-G184</f>
        <v>0</v>
      </c>
      <c r="H183" s="163"/>
    </row>
    <row r="184" s="141" customFormat="1" customHeight="1" spans="2:14">
      <c r="B184" s="159" t="s">
        <v>287</v>
      </c>
      <c r="C184" s="160">
        <f>D28</f>
        <v>0</v>
      </c>
      <c r="D184" s="161" t="s">
        <v>296</v>
      </c>
      <c r="E184" s="162">
        <f>F28</f>
        <v>0</v>
      </c>
      <c r="F184" s="159" t="s">
        <v>297</v>
      </c>
      <c r="G184" s="160">
        <f>R28</f>
        <v>0</v>
      </c>
      <c r="H184" s="163"/>
    </row>
    <row r="185" s="141" customFormat="1" customHeight="1" spans="2:14">
      <c r="B185" s="159" t="s">
        <v>298</v>
      </c>
      <c r="C185" s="164" t="s">
        <v>299</v>
      </c>
      <c r="D185" s="164"/>
      <c r="E185" s="159" t="s">
        <v>300</v>
      </c>
      <c r="F185" s="161" t="s">
        <v>301</v>
      </c>
      <c r="G185" s="159" t="s">
        <v>302</v>
      </c>
      <c r="H185" s="163"/>
    </row>
    <row r="186" customHeight="1" spans="2:14">
      <c r="B186" s="165" t="str">
        <f>立项!A3</f>
        <v>RD01</v>
      </c>
      <c r="C186" s="166">
        <f>立项!B3</f>
        <v>0</v>
      </c>
      <c r="D186" s="166"/>
      <c r="E186" s="167">
        <f>H13</f>
        <v>0</v>
      </c>
      <c r="F186" s="168">
        <f t="shared" ref="F186:F195" si="26">IF($C$184=0,0,E186/$C$184)</f>
        <v>0</v>
      </c>
      <c r="G186" s="169">
        <f>H28</f>
        <v>0</v>
      </c>
      <c r="H186" s="158"/>
    </row>
    <row r="187" customHeight="1" spans="2:14">
      <c r="B187" s="165" t="str">
        <f>立项!A4</f>
        <v>RD02</v>
      </c>
      <c r="C187" s="166">
        <f>立项!B4</f>
        <v>0</v>
      </c>
      <c r="D187" s="166"/>
      <c r="E187" s="167">
        <f>I13</f>
        <v>0</v>
      </c>
      <c r="F187" s="168">
        <f t="shared" si="26"/>
        <v>0</v>
      </c>
      <c r="G187" s="169">
        <f>I28</f>
        <v>0</v>
      </c>
      <c r="H187" s="158"/>
    </row>
    <row r="188" customHeight="1" spans="2:14">
      <c r="B188" s="165" t="str">
        <f>立项!A5</f>
        <v>RD03</v>
      </c>
      <c r="C188" s="166">
        <f>立项!B5</f>
        <v>0</v>
      </c>
      <c r="D188" s="166"/>
      <c r="E188" s="167">
        <f>J13</f>
        <v>0</v>
      </c>
      <c r="F188" s="168">
        <f t="shared" si="26"/>
        <v>0</v>
      </c>
      <c r="G188" s="169">
        <f>J28</f>
        <v>0</v>
      </c>
      <c r="H188" s="158"/>
    </row>
    <row r="189" customHeight="1" spans="2:14">
      <c r="B189" s="165" t="str">
        <f>立项!A6</f>
        <v>RD04</v>
      </c>
      <c r="C189" s="166">
        <f>立项!B6</f>
        <v>0</v>
      </c>
      <c r="D189" s="166"/>
      <c r="E189" s="167">
        <f>K13</f>
        <v>0</v>
      </c>
      <c r="F189" s="168">
        <f t="shared" si="26"/>
        <v>0</v>
      </c>
      <c r="G189" s="169">
        <f>K28</f>
        <v>0</v>
      </c>
      <c r="H189" s="158"/>
    </row>
    <row r="190" customHeight="1" spans="2:14">
      <c r="B190" s="165" t="str">
        <f>立项!A7</f>
        <v>RD05</v>
      </c>
      <c r="C190" s="166">
        <f>立项!B7</f>
        <v>0</v>
      </c>
      <c r="D190" s="166"/>
      <c r="E190" s="167">
        <f>L13</f>
        <v>0</v>
      </c>
      <c r="F190" s="168">
        <f t="shared" si="26"/>
        <v>0</v>
      </c>
      <c r="G190" s="169">
        <f>L28</f>
        <v>0</v>
      </c>
      <c r="H190" s="158"/>
    </row>
    <row r="191" customHeight="1" spans="2:14">
      <c r="B191" s="165" t="str">
        <f>立项!A8</f>
        <v>RD06</v>
      </c>
      <c r="C191" s="166">
        <f>立项!B8</f>
        <v>0</v>
      </c>
      <c r="D191" s="166"/>
      <c r="E191" s="167">
        <f>M13</f>
        <v>0</v>
      </c>
      <c r="F191" s="168">
        <f t="shared" si="26"/>
        <v>0</v>
      </c>
      <c r="G191" s="169">
        <f>M28</f>
        <v>0</v>
      </c>
      <c r="H191" s="158"/>
    </row>
    <row r="192" customHeight="1" spans="2:14">
      <c r="B192" s="165" t="str">
        <f>立项!A9</f>
        <v>RD07</v>
      </c>
      <c r="C192" s="166">
        <f>立项!B9</f>
        <v>0</v>
      </c>
      <c r="D192" s="166"/>
      <c r="E192" s="167">
        <f>N13</f>
        <v>0</v>
      </c>
      <c r="F192" s="168">
        <f t="shared" si="26"/>
        <v>0</v>
      </c>
      <c r="G192" s="169">
        <f>N28</f>
        <v>0</v>
      </c>
      <c r="H192" s="158"/>
    </row>
    <row r="193" customHeight="1" spans="2:8">
      <c r="B193" s="165" t="str">
        <f>立项!A10</f>
        <v>RD08</v>
      </c>
      <c r="C193" s="166">
        <f>立项!B10</f>
        <v>0</v>
      </c>
      <c r="D193" s="166"/>
      <c r="E193" s="167">
        <f>O13</f>
        <v>0</v>
      </c>
      <c r="F193" s="168">
        <f t="shared" si="26"/>
        <v>0</v>
      </c>
      <c r="G193" s="169">
        <f>O28</f>
        <v>0</v>
      </c>
      <c r="H193" s="158"/>
    </row>
    <row r="194" customHeight="1" spans="2:8">
      <c r="B194" s="165" t="str">
        <f>立项!A11</f>
        <v>RD09</v>
      </c>
      <c r="C194" s="166">
        <f>立项!B11</f>
        <v>0</v>
      </c>
      <c r="D194" s="166"/>
      <c r="E194" s="167">
        <f>P13</f>
        <v>0</v>
      </c>
      <c r="F194" s="168">
        <f t="shared" si="26"/>
        <v>0</v>
      </c>
      <c r="G194" s="169">
        <f>P28</f>
        <v>0</v>
      </c>
    </row>
    <row r="195" customHeight="1" spans="2:8">
      <c r="B195" s="165" t="str">
        <f>立项!A12</f>
        <v>RD10</v>
      </c>
      <c r="C195" s="166">
        <f>立项!B12</f>
        <v>0</v>
      </c>
      <c r="D195" s="166"/>
      <c r="E195" s="167">
        <f>Q13</f>
        <v>0</v>
      </c>
      <c r="F195" s="168">
        <f t="shared" si="26"/>
        <v>0</v>
      </c>
      <c r="G195" s="169">
        <f>Q28</f>
        <v>0</v>
      </c>
    </row>
    <row r="197" customHeight="1" spans="2:8">
      <c r="B197" s="157" t="s">
        <v>313</v>
      </c>
      <c r="C197" s="157"/>
      <c r="D197" s="157"/>
      <c r="E197" s="157"/>
      <c r="F197" s="157"/>
      <c r="G197" s="157"/>
    </row>
    <row r="198" customHeight="1" spans="2:8">
      <c r="B198" s="159" t="s">
        <v>293</v>
      </c>
      <c r="C198" s="160">
        <f>E29-C199</f>
        <v>0</v>
      </c>
      <c r="D198" s="161" t="s">
        <v>294</v>
      </c>
      <c r="E198" s="162">
        <f>1-E199</f>
        <v>1</v>
      </c>
      <c r="F198" s="159" t="s">
        <v>295</v>
      </c>
      <c r="G198" s="160">
        <f>C29-G199</f>
        <v>0</v>
      </c>
    </row>
    <row r="199" customHeight="1" spans="2:8">
      <c r="B199" s="159" t="s">
        <v>287</v>
      </c>
      <c r="C199" s="160">
        <f>D29</f>
        <v>0</v>
      </c>
      <c r="D199" s="161" t="s">
        <v>296</v>
      </c>
      <c r="E199" s="162">
        <f>F29</f>
        <v>0</v>
      </c>
      <c r="F199" s="159" t="s">
        <v>297</v>
      </c>
      <c r="G199" s="160">
        <f>R29</f>
        <v>0</v>
      </c>
    </row>
    <row r="200" customHeight="1" spans="2:8">
      <c r="B200" s="159" t="s">
        <v>298</v>
      </c>
      <c r="C200" s="164" t="s">
        <v>299</v>
      </c>
      <c r="D200" s="164"/>
      <c r="E200" s="159" t="s">
        <v>300</v>
      </c>
      <c r="F200" s="161" t="s">
        <v>301</v>
      </c>
      <c r="G200" s="159" t="s">
        <v>302</v>
      </c>
    </row>
    <row r="201" customHeight="1" spans="2:8">
      <c r="B201" s="165" t="str">
        <f>立项!A3</f>
        <v>RD01</v>
      </c>
      <c r="C201" s="166">
        <f>立项!B3</f>
        <v>0</v>
      </c>
      <c r="D201" s="166"/>
      <c r="E201" s="167">
        <f>H14</f>
        <v>0</v>
      </c>
      <c r="F201" s="168">
        <f t="shared" ref="F201:F210" si="27">IF($C$199=0,0,E201/$C$199)</f>
        <v>0</v>
      </c>
      <c r="G201" s="169">
        <f>H29</f>
        <v>0</v>
      </c>
    </row>
    <row r="202" customHeight="1" spans="2:8">
      <c r="B202" s="165" t="str">
        <f>立项!A4</f>
        <v>RD02</v>
      </c>
      <c r="C202" s="166">
        <f>立项!B4</f>
        <v>0</v>
      </c>
      <c r="D202" s="166"/>
      <c r="E202" s="167">
        <f>I14</f>
        <v>0</v>
      </c>
      <c r="F202" s="168">
        <f t="shared" si="27"/>
        <v>0</v>
      </c>
      <c r="G202" s="169">
        <f>I29</f>
        <v>0</v>
      </c>
    </row>
    <row r="203" customHeight="1" spans="2:8">
      <c r="B203" s="165" t="str">
        <f>立项!A5</f>
        <v>RD03</v>
      </c>
      <c r="C203" s="166">
        <f>立项!B5</f>
        <v>0</v>
      </c>
      <c r="D203" s="166"/>
      <c r="E203" s="167">
        <f>J14</f>
        <v>0</v>
      </c>
      <c r="F203" s="168">
        <f t="shared" si="27"/>
        <v>0</v>
      </c>
      <c r="G203" s="169">
        <f>J29</f>
        <v>0</v>
      </c>
    </row>
    <row r="204" customHeight="1" spans="2:8">
      <c r="B204" s="165" t="str">
        <f>立项!A6</f>
        <v>RD04</v>
      </c>
      <c r="C204" s="166">
        <f>立项!B6</f>
        <v>0</v>
      </c>
      <c r="D204" s="166"/>
      <c r="E204" s="167">
        <f>K14</f>
        <v>0</v>
      </c>
      <c r="F204" s="168">
        <f t="shared" si="27"/>
        <v>0</v>
      </c>
      <c r="G204" s="169">
        <f>K29</f>
        <v>0</v>
      </c>
    </row>
    <row r="205" customHeight="1" spans="2:8">
      <c r="B205" s="165" t="str">
        <f>立项!A7</f>
        <v>RD05</v>
      </c>
      <c r="C205" s="166">
        <f>立项!B7</f>
        <v>0</v>
      </c>
      <c r="D205" s="166"/>
      <c r="E205" s="167">
        <f>L14</f>
        <v>0</v>
      </c>
      <c r="F205" s="168">
        <f t="shared" si="27"/>
        <v>0</v>
      </c>
      <c r="G205" s="169">
        <f>L29</f>
        <v>0</v>
      </c>
    </row>
    <row r="206" customHeight="1" spans="2:8">
      <c r="B206" s="165" t="str">
        <f>立项!A8</f>
        <v>RD06</v>
      </c>
      <c r="C206" s="166">
        <f>立项!B8</f>
        <v>0</v>
      </c>
      <c r="D206" s="166"/>
      <c r="E206" s="167">
        <f>M14</f>
        <v>0</v>
      </c>
      <c r="F206" s="168">
        <f t="shared" si="27"/>
        <v>0</v>
      </c>
      <c r="G206" s="169">
        <f>M29</f>
        <v>0</v>
      </c>
    </row>
    <row r="207" customHeight="1" spans="2:8">
      <c r="B207" s="165" t="str">
        <f>立项!A9</f>
        <v>RD07</v>
      </c>
      <c r="C207" s="166">
        <f>立项!B9</f>
        <v>0</v>
      </c>
      <c r="D207" s="166"/>
      <c r="E207" s="167">
        <f>N14</f>
        <v>0</v>
      </c>
      <c r="F207" s="168">
        <f t="shared" si="27"/>
        <v>0</v>
      </c>
      <c r="G207" s="169">
        <f>N29</f>
        <v>0</v>
      </c>
    </row>
    <row r="208" customHeight="1" spans="2:8">
      <c r="B208" s="165" t="str">
        <f>立项!A10</f>
        <v>RD08</v>
      </c>
      <c r="C208" s="166">
        <f>立项!B10</f>
        <v>0</v>
      </c>
      <c r="D208" s="166"/>
      <c r="E208" s="167">
        <f>O14</f>
        <v>0</v>
      </c>
      <c r="F208" s="168">
        <f t="shared" si="27"/>
        <v>0</v>
      </c>
      <c r="G208" s="169">
        <f>O29</f>
        <v>0</v>
      </c>
    </row>
    <row r="209" customHeight="1" spans="2:7">
      <c r="B209" s="165" t="str">
        <f>立项!A11</f>
        <v>RD09</v>
      </c>
      <c r="C209" s="166">
        <f>立项!B11</f>
        <v>0</v>
      </c>
      <c r="D209" s="166"/>
      <c r="E209" s="165">
        <f>P14</f>
        <v>0</v>
      </c>
      <c r="F209" s="168">
        <f t="shared" si="27"/>
        <v>0</v>
      </c>
      <c r="G209" s="169">
        <f>P29</f>
        <v>0</v>
      </c>
    </row>
    <row r="210" customHeight="1" spans="2:7">
      <c r="B210" s="165" t="str">
        <f>立项!A12</f>
        <v>RD10</v>
      </c>
      <c r="C210" s="166">
        <f>立项!B12</f>
        <v>0</v>
      </c>
      <c r="D210" s="166"/>
      <c r="E210" s="165">
        <f>Q14</f>
        <v>0</v>
      </c>
      <c r="F210" s="168">
        <f t="shared" si="27"/>
        <v>0</v>
      </c>
      <c r="G210" s="169">
        <f>Q29</f>
        <v>0</v>
      </c>
    </row>
  </sheetData>
  <mergeCells count="146">
    <mergeCell ref="G1:R1"/>
    <mergeCell ref="B16:R16"/>
    <mergeCell ref="B32:G32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B47:G47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62:G62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B77:G77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B92:G92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B107:G107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B122:G122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B137:G137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B152:G152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B167:G167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B182:G182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B197:G197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</mergeCells>
  <pageMargins left="0.393055555555556" right="0.314583333333333" top="0.75" bottom="0.75" header="0.3" footer="0.3"/>
  <pageSetup paperSize="9" scale="63" fitToHeight="0" orientation="landscape"/>
  <headerFooter/>
  <rowBreaks count="6" manualBreakCount="6">
    <brk id="30" max="17" man="1"/>
    <brk id="60" max="17" man="1"/>
    <brk id="90" max="17" man="1"/>
    <brk id="120" max="17" man="1"/>
    <brk id="150" max="17" man="1"/>
    <brk id="180" max="17" man="1"/>
  </rowBreaks>
  <colBreaks count="1" manualBreakCount="1">
    <brk id="18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N18"/>
  <sheetViews>
    <sheetView showZeros="0" view="pageBreakPreview" zoomScaleNormal="100" workbookViewId="0">
      <selection activeCell="N13" sqref="N13"/>
    </sheetView>
  </sheetViews>
  <sheetFormatPr defaultColWidth="9" defaultRowHeight="18" customHeight="1"/>
  <cols>
    <col min="1" max="1" width="9" style="128"/>
    <col min="2" max="2" width="34.25" style="128" customWidth="1"/>
    <col min="3" max="3" width="11.3796296296296" style="129" customWidth="1"/>
    <col min="4" max="4" width="11.8796296296296" style="129" customWidth="1"/>
    <col min="5" max="14" width="11.3796296296296" style="128" customWidth="1"/>
    <col min="15" max="16384" width="9" style="128"/>
  </cols>
  <sheetData>
    <row r="2" s="128" customFormat="1" customHeight="1" spans="1:14">
      <c r="A2" s="130" t="s">
        <v>314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</row>
    <row r="3" s="128" customFormat="1" customHeight="1" spans="1:14">
      <c r="A3" s="132" t="s">
        <v>315</v>
      </c>
      <c r="B3" s="132" t="s">
        <v>316</v>
      </c>
      <c r="C3" s="132" t="s">
        <v>317</v>
      </c>
      <c r="D3" s="132" t="s">
        <v>318</v>
      </c>
      <c r="E3" s="132" t="s">
        <v>319</v>
      </c>
      <c r="F3" s="126" t="s">
        <v>320</v>
      </c>
      <c r="G3" s="126" t="s">
        <v>321</v>
      </c>
      <c r="H3" s="133" t="s">
        <v>322</v>
      </c>
      <c r="I3" s="132" t="s">
        <v>323</v>
      </c>
      <c r="J3" s="132" t="s">
        <v>324</v>
      </c>
      <c r="K3" s="132" t="s">
        <v>325</v>
      </c>
      <c r="L3" s="132" t="s">
        <v>326</v>
      </c>
      <c r="M3" s="132" t="s">
        <v>327</v>
      </c>
      <c r="N3" s="132" t="s">
        <v>328</v>
      </c>
    </row>
    <row r="4" s="128" customFormat="1" customHeight="1" spans="1:14">
      <c r="A4" s="134" t="str">
        <f>立项!A3</f>
        <v>RD01</v>
      </c>
      <c r="B4" s="126">
        <f t="shared" ref="B4:B13" si="0">SUM(C4:N4)</f>
        <v>0</v>
      </c>
      <c r="C4" s="126">
        <f>领料单!N16</f>
        <v>0</v>
      </c>
      <c r="D4" s="126">
        <f>领料单!N35</f>
        <v>0</v>
      </c>
      <c r="E4" s="126">
        <f>领料单!N54</f>
        <v>0</v>
      </c>
      <c r="F4" s="126">
        <f>领料单!N73</f>
        <v>0</v>
      </c>
      <c r="G4" s="126">
        <f>领料单!N92</f>
        <v>0</v>
      </c>
      <c r="H4" s="126">
        <f>领料单!N111</f>
        <v>0</v>
      </c>
      <c r="I4" s="126">
        <f>领料单!N130</f>
        <v>0</v>
      </c>
      <c r="J4" s="126">
        <f>领料单!N149</f>
        <v>0</v>
      </c>
      <c r="K4" s="126">
        <f>领料单!N168</f>
        <v>0</v>
      </c>
      <c r="L4" s="126">
        <f>领料单!N187</f>
        <v>0</v>
      </c>
      <c r="M4" s="126">
        <f>领料单!N206</f>
        <v>0</v>
      </c>
      <c r="N4" s="126">
        <f>领料单!N224</f>
        <v>0</v>
      </c>
    </row>
    <row r="5" s="128" customFormat="1" customHeight="1" spans="1:14">
      <c r="A5" s="134" t="str">
        <f>立项!A4</f>
        <v>RD02</v>
      </c>
      <c r="B5" s="126">
        <f t="shared" si="0"/>
        <v>0</v>
      </c>
      <c r="C5" s="126">
        <f>领料单!V16</f>
        <v>0</v>
      </c>
      <c r="D5" s="126">
        <f>领料单!V35</f>
        <v>0</v>
      </c>
      <c r="E5" s="126">
        <f>领料单!V54</f>
        <v>0</v>
      </c>
      <c r="F5" s="126">
        <f>领料单!V73</f>
        <v>0</v>
      </c>
      <c r="G5" s="126">
        <f>领料单!V92</f>
        <v>0</v>
      </c>
      <c r="H5" s="126">
        <f>领料单!V111</f>
        <v>0</v>
      </c>
      <c r="I5" s="126">
        <f>领料单!V130</f>
        <v>0</v>
      </c>
      <c r="J5" s="126">
        <f>领料单!V149</f>
        <v>0</v>
      </c>
      <c r="K5" s="126">
        <f>领料单!V168</f>
        <v>0</v>
      </c>
      <c r="L5" s="126">
        <f>领料单!V187</f>
        <v>0</v>
      </c>
      <c r="M5" s="126">
        <f>领料单!V206</f>
        <v>0</v>
      </c>
      <c r="N5" s="126">
        <f>领料单!V224</f>
        <v>0</v>
      </c>
    </row>
    <row r="6" s="128" customFormat="1" customHeight="1" spans="1:14">
      <c r="A6" s="134" t="str">
        <f>立项!A5</f>
        <v>RD03</v>
      </c>
      <c r="B6" s="126">
        <f t="shared" si="0"/>
        <v>0</v>
      </c>
      <c r="C6" s="126">
        <f>领料单!AD16</f>
        <v>0</v>
      </c>
      <c r="D6" s="126">
        <f>领料单!AD35</f>
        <v>0</v>
      </c>
      <c r="E6" s="126">
        <f>领料单!AD54</f>
        <v>0</v>
      </c>
      <c r="F6" s="126">
        <f>领料单!AD73</f>
        <v>0</v>
      </c>
      <c r="G6" s="126">
        <f>领料单!AD92</f>
        <v>0</v>
      </c>
      <c r="H6" s="126">
        <f>领料单!AD111</f>
        <v>0</v>
      </c>
      <c r="I6" s="126">
        <f>领料单!AD130</f>
        <v>0</v>
      </c>
      <c r="J6" s="126">
        <f>领料单!AD149</f>
        <v>0</v>
      </c>
      <c r="K6" s="126">
        <f>领料单!AD168</f>
        <v>0</v>
      </c>
      <c r="L6" s="126">
        <f>领料单!AD187</f>
        <v>0</v>
      </c>
      <c r="M6" s="126">
        <f>领料单!AD206</f>
        <v>0</v>
      </c>
      <c r="N6" s="126">
        <f>领料单!AD224</f>
        <v>0</v>
      </c>
    </row>
    <row r="7" s="128" customFormat="1" customHeight="1" spans="1:14">
      <c r="A7" s="134" t="str">
        <f>立项!A6</f>
        <v>RD04</v>
      </c>
      <c r="B7" s="126">
        <f t="shared" si="0"/>
        <v>0</v>
      </c>
      <c r="C7" s="126">
        <f>领料单!AL16</f>
        <v>0</v>
      </c>
      <c r="D7" s="126">
        <f>领料单!AL35</f>
        <v>0</v>
      </c>
      <c r="E7" s="126">
        <f>领料单!AL54</f>
        <v>0</v>
      </c>
      <c r="F7" s="126">
        <f>领料单!AL73</f>
        <v>0</v>
      </c>
      <c r="G7" s="126">
        <f>领料单!AL92</f>
        <v>0</v>
      </c>
      <c r="H7" s="126">
        <f>领料单!AL111</f>
        <v>0</v>
      </c>
      <c r="I7" s="126">
        <f>领料单!AL130</f>
        <v>0</v>
      </c>
      <c r="J7" s="126">
        <f>领料单!AL149</f>
        <v>0</v>
      </c>
      <c r="K7" s="126">
        <f>领料单!AL168</f>
        <v>0</v>
      </c>
      <c r="L7" s="126">
        <f>领料单!AL187</f>
        <v>0</v>
      </c>
      <c r="M7" s="126">
        <f>领料单!AL206</f>
        <v>0</v>
      </c>
      <c r="N7" s="126">
        <f>领料单!AL224</f>
        <v>0</v>
      </c>
    </row>
    <row r="8" s="128" customFormat="1" customHeight="1" spans="1:14">
      <c r="A8" s="134" t="str">
        <f>立项!A7</f>
        <v>RD05</v>
      </c>
      <c r="B8" s="126">
        <f t="shared" si="0"/>
        <v>0</v>
      </c>
      <c r="C8" s="126">
        <f>领料单!AT16</f>
        <v>0</v>
      </c>
      <c r="D8" s="126">
        <f>领料单!AT35</f>
        <v>0</v>
      </c>
      <c r="E8" s="126">
        <f>领料单!AT54</f>
        <v>0</v>
      </c>
      <c r="F8" s="126">
        <f>领料单!AT73</f>
        <v>0</v>
      </c>
      <c r="G8" s="126">
        <f>领料单!AT92</f>
        <v>0</v>
      </c>
      <c r="H8" s="126">
        <f>领料单!AT111</f>
        <v>0</v>
      </c>
      <c r="I8" s="126">
        <f>领料单!AT130</f>
        <v>0</v>
      </c>
      <c r="J8" s="126">
        <f>领料单!AT149</f>
        <v>0</v>
      </c>
      <c r="K8" s="126">
        <f>领料单!AT168</f>
        <v>0</v>
      </c>
      <c r="L8" s="126">
        <f>领料单!AT187</f>
        <v>0</v>
      </c>
      <c r="M8" s="126">
        <f>领料单!AT206</f>
        <v>0</v>
      </c>
      <c r="N8" s="126">
        <f>领料单!AT224</f>
        <v>0</v>
      </c>
    </row>
    <row r="9" s="128" customFormat="1" customHeight="1" spans="1:14">
      <c r="A9" s="134" t="str">
        <f>立项!A8</f>
        <v>RD06</v>
      </c>
      <c r="B9" s="126">
        <f t="shared" si="0"/>
        <v>0</v>
      </c>
      <c r="C9" s="126">
        <f>领料单!BB16</f>
        <v>0</v>
      </c>
      <c r="D9" s="126">
        <f>领料单!BB35</f>
        <v>0</v>
      </c>
      <c r="E9" s="126">
        <f>领料单!BB54</f>
        <v>0</v>
      </c>
      <c r="F9" s="126">
        <f>领料单!BB73</f>
        <v>0</v>
      </c>
      <c r="G9" s="126">
        <f>领料单!BB92</f>
        <v>0</v>
      </c>
      <c r="H9" s="126">
        <f>领料单!BB111</f>
        <v>0</v>
      </c>
      <c r="I9" s="126">
        <f>领料单!BB130</f>
        <v>0</v>
      </c>
      <c r="J9" s="126">
        <f>领料单!BB149</f>
        <v>0</v>
      </c>
      <c r="K9" s="126">
        <f>领料单!BB168</f>
        <v>0</v>
      </c>
      <c r="L9" s="126">
        <f>领料单!BB187</f>
        <v>0</v>
      </c>
      <c r="M9" s="126">
        <f>领料单!BB206</f>
        <v>0</v>
      </c>
      <c r="N9" s="126">
        <f>领料单!BB224</f>
        <v>0</v>
      </c>
    </row>
    <row r="10" s="128" customFormat="1" customHeight="1" spans="1:14">
      <c r="A10" s="134" t="str">
        <f>立项!A9</f>
        <v>RD07</v>
      </c>
      <c r="B10" s="126">
        <f t="shared" si="0"/>
        <v>0</v>
      </c>
      <c r="C10" s="126">
        <f>领料单!BJ16</f>
        <v>0</v>
      </c>
      <c r="D10" s="126">
        <f>领料单!BJ35</f>
        <v>0</v>
      </c>
      <c r="E10" s="126">
        <f>领料单!BJ54</f>
        <v>0</v>
      </c>
      <c r="F10" s="126">
        <f>领料单!BJ73</f>
        <v>0</v>
      </c>
      <c r="G10" s="126">
        <f>领料单!BJ92</f>
        <v>0</v>
      </c>
      <c r="H10" s="126">
        <f>领料单!BJ111</f>
        <v>0</v>
      </c>
      <c r="I10" s="126">
        <f>领料单!BJ130</f>
        <v>0</v>
      </c>
      <c r="J10" s="126">
        <f>领料单!BJ149</f>
        <v>0</v>
      </c>
      <c r="K10" s="126">
        <f>领料单!BJ168</f>
        <v>0</v>
      </c>
      <c r="L10" s="126">
        <f>领料单!BJ187</f>
        <v>0</v>
      </c>
      <c r="M10" s="126">
        <f>领料单!BJ206</f>
        <v>0</v>
      </c>
      <c r="N10" s="126">
        <f>领料单!BJ224</f>
        <v>0</v>
      </c>
    </row>
    <row r="11" s="128" customFormat="1" customHeight="1" spans="1:14">
      <c r="A11" s="134" t="str">
        <f>立项!A10</f>
        <v>RD08</v>
      </c>
      <c r="B11" s="126">
        <f t="shared" si="0"/>
        <v>0</v>
      </c>
      <c r="C11" s="126">
        <f>领料单!BR16</f>
        <v>0</v>
      </c>
      <c r="D11" s="126">
        <f>领料单!BR35</f>
        <v>0</v>
      </c>
      <c r="E11" s="126">
        <f>领料单!BR54</f>
        <v>0</v>
      </c>
      <c r="F11" s="126">
        <f>领料单!BR73</f>
        <v>0</v>
      </c>
      <c r="G11" s="126">
        <f>领料单!BR92</f>
        <v>0</v>
      </c>
      <c r="H11" s="126">
        <f>领料单!BR111</f>
        <v>0</v>
      </c>
      <c r="I11" s="126">
        <f>领料单!BR130</f>
        <v>0</v>
      </c>
      <c r="J11" s="126">
        <f>领料单!BR149</f>
        <v>0</v>
      </c>
      <c r="K11" s="126">
        <f>领料单!BR168</f>
        <v>0</v>
      </c>
      <c r="L11" s="126">
        <f>领料单!BR187</f>
        <v>0</v>
      </c>
      <c r="M11" s="126">
        <f>领料单!BR206</f>
        <v>0</v>
      </c>
      <c r="N11" s="126">
        <f>领料单!BR224</f>
        <v>0</v>
      </c>
    </row>
    <row r="12" s="128" customFormat="1" customHeight="1" spans="1:14">
      <c r="A12" s="134" t="str">
        <f>立项!A11</f>
        <v>RD09</v>
      </c>
      <c r="B12" s="126">
        <f t="shared" si="0"/>
        <v>0</v>
      </c>
      <c r="C12" s="126">
        <f>领料单!BZ16</f>
        <v>0</v>
      </c>
      <c r="D12" s="126">
        <f>领料单!BZ35</f>
        <v>0</v>
      </c>
      <c r="E12" s="126">
        <f>领料单!BZ54</f>
        <v>0</v>
      </c>
      <c r="F12" s="126">
        <f>领料单!BZ73</f>
        <v>0</v>
      </c>
      <c r="G12" s="126">
        <f>领料单!BZ92</f>
        <v>0</v>
      </c>
      <c r="H12" s="126">
        <f>领料单!BZ111</f>
        <v>0</v>
      </c>
      <c r="I12" s="126">
        <f>领料单!BZ130</f>
        <v>0</v>
      </c>
      <c r="J12" s="126">
        <f>领料单!BZ149</f>
        <v>0</v>
      </c>
      <c r="K12" s="126">
        <f>领料单!BZ168</f>
        <v>0</v>
      </c>
      <c r="L12" s="126">
        <f>领料单!BZ187</f>
        <v>0</v>
      </c>
      <c r="M12" s="126">
        <f>领料单!BZ206</f>
        <v>0</v>
      </c>
      <c r="N12" s="126">
        <f>领料单!BZ224</f>
        <v>0</v>
      </c>
    </row>
    <row r="13" s="128" customFormat="1" customHeight="1" spans="1:14">
      <c r="A13" s="134" t="str">
        <f>立项!A12</f>
        <v>RD10</v>
      </c>
      <c r="B13" s="126">
        <f t="shared" si="0"/>
        <v>0</v>
      </c>
      <c r="C13" s="126">
        <f>领料单!CH16</f>
        <v>0</v>
      </c>
      <c r="D13" s="126">
        <f>领料单!CH35</f>
        <v>0</v>
      </c>
      <c r="E13" s="126">
        <f>领料单!CH54</f>
        <v>0</v>
      </c>
      <c r="F13" s="126">
        <f>领料单!CH73</f>
        <v>0</v>
      </c>
      <c r="G13" s="126">
        <f>领料单!CH92</f>
        <v>0</v>
      </c>
      <c r="H13" s="126">
        <f>领料单!CH111</f>
        <v>0</v>
      </c>
      <c r="I13" s="126">
        <f>领料单!CH130</f>
        <v>0</v>
      </c>
      <c r="J13" s="126">
        <f>领料单!CH149</f>
        <v>0</v>
      </c>
      <c r="K13" s="126">
        <f>领料单!CH168</f>
        <v>0</v>
      </c>
      <c r="L13" s="126">
        <f>领料单!CH187</f>
        <v>0</v>
      </c>
      <c r="M13" s="126">
        <f>领料单!CH206</f>
        <v>0</v>
      </c>
      <c r="N13" s="126">
        <f>领料单!CH224</f>
        <v>0</v>
      </c>
    </row>
    <row r="14" s="128" customFormat="1" customHeight="1" spans="1:14">
      <c r="A14" s="135" t="s">
        <v>329</v>
      </c>
      <c r="B14" s="136">
        <f>SUM(B4:B13)</f>
        <v>0</v>
      </c>
      <c r="C14" s="136">
        <f t="shared" ref="C14:N14" si="1">SUM(C4:C13)</f>
        <v>0</v>
      </c>
      <c r="D14" s="136">
        <f t="shared" si="1"/>
        <v>0</v>
      </c>
      <c r="E14" s="136">
        <f t="shared" si="1"/>
        <v>0</v>
      </c>
      <c r="F14" s="136">
        <f t="shared" si="1"/>
        <v>0</v>
      </c>
      <c r="G14" s="136">
        <f t="shared" si="1"/>
        <v>0</v>
      </c>
      <c r="H14" s="136">
        <f t="shared" si="1"/>
        <v>0</v>
      </c>
      <c r="I14" s="136">
        <f t="shared" si="1"/>
        <v>0</v>
      </c>
      <c r="J14" s="136">
        <f t="shared" si="1"/>
        <v>0</v>
      </c>
      <c r="K14" s="136">
        <f t="shared" si="1"/>
        <v>0</v>
      </c>
      <c r="L14" s="136">
        <f t="shared" si="1"/>
        <v>0</v>
      </c>
      <c r="M14" s="136">
        <f t="shared" si="1"/>
        <v>0</v>
      </c>
      <c r="N14" s="136">
        <f t="shared" si="1"/>
        <v>0</v>
      </c>
    </row>
    <row r="15" s="128" customFormat="1" customHeight="1" spans="1:14">
      <c r="C15" s="137"/>
      <c r="D15" s="137"/>
      <c r="E15" s="138"/>
      <c r="F15" s="138"/>
      <c r="G15" s="138"/>
      <c r="H15" s="138"/>
      <c r="I15" s="138"/>
      <c r="J15" s="138"/>
      <c r="K15" s="138"/>
    </row>
    <row r="16" customHeight="1" spans="1:14">
      <c r="C16" s="137"/>
      <c r="D16" s="137"/>
      <c r="E16" s="138"/>
      <c r="F16" s="138"/>
      <c r="G16" s="138"/>
      <c r="H16" s="138"/>
      <c r="I16" s="138"/>
      <c r="J16" s="138"/>
      <c r="K16" s="138"/>
    </row>
    <row r="17" customHeight="1" spans="3:11">
      <c r="C17" s="137"/>
      <c r="D17" s="137"/>
      <c r="E17" s="139"/>
      <c r="F17" s="140"/>
      <c r="G17" s="140"/>
      <c r="H17" s="140"/>
      <c r="I17" s="140"/>
      <c r="J17" s="140"/>
      <c r="K17" s="140"/>
    </row>
    <row r="18" customHeight="1" spans="3:11">
      <c r="C18" s="137"/>
      <c r="D18" s="137"/>
      <c r="E18" s="139"/>
      <c r="F18" s="140"/>
      <c r="G18" s="140"/>
      <c r="H18" s="140"/>
      <c r="I18" s="140"/>
      <c r="J18" s="140"/>
      <c r="K18" s="140"/>
    </row>
  </sheetData>
  <mergeCells count="1">
    <mergeCell ref="A2:N2"/>
  </mergeCells>
  <pageMargins left="0.629861111111111" right="0.472222222222222" top="0.75" bottom="0.75" header="0.3" footer="0.3"/>
  <pageSetup paperSize="9" scale="76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25"/>
  <sheetViews>
    <sheetView showZeros="0" view="pageBreakPreview" zoomScale="85" zoomScaleNormal="100" topLeftCell="M1" workbookViewId="0">
      <pane ySplit="1" topLeftCell="A204" activePane="bottomLeft" state="frozen"/>
      <selection/>
      <selection pane="bottomLeft" activeCell="AD224" sqref="AD224"/>
    </sheetView>
  </sheetViews>
  <sheetFormatPr defaultColWidth="9" defaultRowHeight="20" customHeight="1"/>
  <cols>
    <col min="1" max="7" width="9" style="123"/>
    <col min="8" max="8" width="9" style="124"/>
    <col min="9" max="15" width="9" style="123"/>
    <col min="16" max="16" width="9" style="124"/>
    <col min="17" max="23" width="9" style="123"/>
    <col min="24" max="24" width="9" style="124"/>
    <col min="25" max="31" width="9" style="123"/>
    <col min="32" max="32" width="9" style="124"/>
    <col min="33" max="39" width="9" style="123"/>
    <col min="40" max="40" width="9" style="124"/>
    <col min="41" max="47" width="9" style="123"/>
    <col min="48" max="48" width="9" style="124"/>
    <col min="49" max="55" width="9" style="123"/>
    <col min="56" max="56" width="9" style="124"/>
    <col min="57" max="63" width="9" style="123"/>
    <col min="64" max="64" width="9" style="124"/>
    <col min="65" max="71" width="9" style="123"/>
    <col min="72" max="72" width="9" style="124"/>
    <col min="73" max="79" width="9" style="123"/>
    <col min="80" max="80" width="9" style="124"/>
    <col min="81" max="87" width="9" style="123"/>
    <col min="88" max="16384" width="9" style="104"/>
  </cols>
  <sheetData>
    <row r="1" s="104" customFormat="1" customHeight="1" spans="1:87">
      <c r="A1" s="105"/>
      <c r="B1" s="106"/>
      <c r="C1" s="107" t="s">
        <v>330</v>
      </c>
      <c r="D1" s="107"/>
      <c r="E1" s="107"/>
      <c r="F1" s="105"/>
      <c r="G1" s="105"/>
      <c r="H1" s="124" t="str">
        <f>立项!A3</f>
        <v>RD01</v>
      </c>
      <c r="I1" s="105"/>
      <c r="J1" s="106"/>
      <c r="K1" s="107" t="s">
        <v>330</v>
      </c>
      <c r="L1" s="107"/>
      <c r="M1" s="107"/>
      <c r="N1" s="105"/>
      <c r="O1" s="105"/>
      <c r="P1" s="124" t="str">
        <f>立项!A4</f>
        <v>RD02</v>
      </c>
      <c r="Q1" s="105"/>
      <c r="R1" s="106"/>
      <c r="S1" s="107" t="s">
        <v>330</v>
      </c>
      <c r="T1" s="107"/>
      <c r="U1" s="107"/>
      <c r="V1" s="105"/>
      <c r="W1" s="105"/>
      <c r="X1" s="124" t="str">
        <f>立项!A5</f>
        <v>RD03</v>
      </c>
      <c r="Y1" s="105"/>
      <c r="Z1" s="106"/>
      <c r="AA1" s="107" t="s">
        <v>330</v>
      </c>
      <c r="AB1" s="107"/>
      <c r="AC1" s="107"/>
      <c r="AD1" s="105"/>
      <c r="AE1" s="105"/>
      <c r="AF1" s="124" t="str">
        <f>立项!A6</f>
        <v>RD04</v>
      </c>
      <c r="AG1" s="105"/>
      <c r="AH1" s="106"/>
      <c r="AI1" s="107" t="s">
        <v>330</v>
      </c>
      <c r="AJ1" s="107"/>
      <c r="AK1" s="107"/>
      <c r="AL1" s="105"/>
      <c r="AM1" s="105"/>
      <c r="AN1" s="124" t="str">
        <f>立项!A7</f>
        <v>RD05</v>
      </c>
      <c r="AO1" s="105"/>
      <c r="AP1" s="106"/>
      <c r="AQ1" s="107" t="s">
        <v>330</v>
      </c>
      <c r="AR1" s="107"/>
      <c r="AS1" s="107"/>
      <c r="AT1" s="105"/>
      <c r="AU1" s="105"/>
      <c r="AV1" s="124" t="str">
        <f>立项!A8</f>
        <v>RD06</v>
      </c>
      <c r="AW1" s="105"/>
      <c r="AX1" s="106"/>
      <c r="AY1" s="107" t="s">
        <v>330</v>
      </c>
      <c r="AZ1" s="107"/>
      <c r="BA1" s="107"/>
      <c r="BB1" s="105"/>
      <c r="BC1" s="105"/>
      <c r="BD1" s="124" t="str">
        <f>立项!A9</f>
        <v>RD07</v>
      </c>
      <c r="BE1" s="105"/>
      <c r="BF1" s="106"/>
      <c r="BG1" s="107" t="s">
        <v>330</v>
      </c>
      <c r="BH1" s="107"/>
      <c r="BI1" s="107"/>
      <c r="BJ1" s="105"/>
      <c r="BK1" s="105"/>
      <c r="BL1" s="124" t="str">
        <f>立项!A10</f>
        <v>RD08</v>
      </c>
      <c r="BM1" s="105"/>
      <c r="BN1" s="106"/>
      <c r="BO1" s="107" t="s">
        <v>330</v>
      </c>
      <c r="BP1" s="107"/>
      <c r="BQ1" s="107"/>
      <c r="BR1" s="105"/>
      <c r="BS1" s="105"/>
      <c r="BT1" s="124" t="str">
        <f>立项!A11</f>
        <v>RD09</v>
      </c>
      <c r="BU1" s="105"/>
      <c r="BV1" s="106"/>
      <c r="BW1" s="107" t="s">
        <v>330</v>
      </c>
      <c r="BX1" s="107"/>
      <c r="BY1" s="107"/>
      <c r="BZ1" s="105"/>
      <c r="CA1" s="105"/>
      <c r="CB1" s="124" t="str">
        <f>立项!A12</f>
        <v>RD10</v>
      </c>
      <c r="CC1" s="105"/>
      <c r="CD1" s="106"/>
      <c r="CE1" s="107" t="s">
        <v>330</v>
      </c>
      <c r="CF1" s="107"/>
      <c r="CG1" s="107"/>
      <c r="CH1" s="105"/>
      <c r="CI1" s="105"/>
    </row>
    <row r="2" s="122" customFormat="1" customHeight="1" spans="1:87">
      <c r="A2" s="108" t="s">
        <v>331</v>
      </c>
      <c r="B2" s="109"/>
      <c r="C2" s="110">
        <v>45688</v>
      </c>
      <c r="D2" s="110"/>
      <c r="E2" s="110"/>
      <c r="F2" s="111"/>
      <c r="G2" s="112"/>
      <c r="H2" s="125"/>
      <c r="I2" s="108" t="s">
        <v>331</v>
      </c>
      <c r="J2" s="109"/>
      <c r="K2" s="110">
        <v>45688</v>
      </c>
      <c r="L2" s="110"/>
      <c r="M2" s="110"/>
      <c r="N2" s="111" t="s">
        <v>332</v>
      </c>
      <c r="O2" s="112" t="str">
        <f>立项!$A$3</f>
        <v>RD01</v>
      </c>
      <c r="P2" s="125"/>
      <c r="Q2" s="108" t="s">
        <v>331</v>
      </c>
      <c r="R2" s="109"/>
      <c r="S2" s="110">
        <v>45688</v>
      </c>
      <c r="T2" s="110"/>
      <c r="U2" s="110"/>
      <c r="V2" s="111" t="s">
        <v>332</v>
      </c>
      <c r="W2" s="112" t="str">
        <f>立项!$A$4</f>
        <v>RD02</v>
      </c>
      <c r="X2" s="125"/>
      <c r="Y2" s="108" t="s">
        <v>331</v>
      </c>
      <c r="Z2" s="109"/>
      <c r="AA2" s="110">
        <v>45688</v>
      </c>
      <c r="AB2" s="110"/>
      <c r="AC2" s="110"/>
      <c r="AD2" s="111" t="s">
        <v>332</v>
      </c>
      <c r="AE2" s="112" t="str">
        <f>立项!$A$5</f>
        <v>RD03</v>
      </c>
      <c r="AF2" s="125"/>
      <c r="AG2" s="108" t="s">
        <v>331</v>
      </c>
      <c r="AH2" s="109"/>
      <c r="AI2" s="110">
        <v>45688</v>
      </c>
      <c r="AJ2" s="110"/>
      <c r="AK2" s="110"/>
      <c r="AL2" s="111" t="s">
        <v>332</v>
      </c>
      <c r="AM2" s="112" t="str">
        <f>立项!$A$6</f>
        <v>RD04</v>
      </c>
      <c r="AN2" s="125"/>
      <c r="AO2" s="108" t="s">
        <v>331</v>
      </c>
      <c r="AP2" s="109"/>
      <c r="AQ2" s="110">
        <v>45688</v>
      </c>
      <c r="AR2" s="110"/>
      <c r="AS2" s="110"/>
      <c r="AT2" s="111" t="s">
        <v>332</v>
      </c>
      <c r="AU2" s="112" t="str">
        <f>立项!$A$7</f>
        <v>RD05</v>
      </c>
      <c r="AV2" s="125"/>
      <c r="AW2" s="108" t="s">
        <v>331</v>
      </c>
      <c r="AX2" s="109"/>
      <c r="AY2" s="110">
        <v>45688</v>
      </c>
      <c r="AZ2" s="110"/>
      <c r="BA2" s="110"/>
      <c r="BB2" s="111" t="s">
        <v>332</v>
      </c>
      <c r="BC2" s="112" t="str">
        <f>立项!$A$8</f>
        <v>RD06</v>
      </c>
      <c r="BD2" s="125"/>
      <c r="BE2" s="108" t="s">
        <v>331</v>
      </c>
      <c r="BF2" s="109"/>
      <c r="BG2" s="110">
        <v>45688</v>
      </c>
      <c r="BH2" s="110"/>
      <c r="BI2" s="110"/>
      <c r="BJ2" s="111" t="s">
        <v>332</v>
      </c>
      <c r="BK2" s="112" t="str">
        <f>立项!$A$9</f>
        <v>RD07</v>
      </c>
      <c r="BL2" s="125"/>
      <c r="BM2" s="108" t="s">
        <v>331</v>
      </c>
      <c r="BN2" s="109"/>
      <c r="BO2" s="110">
        <v>45688</v>
      </c>
      <c r="BP2" s="110"/>
      <c r="BQ2" s="110"/>
      <c r="BR2" s="111" t="s">
        <v>332</v>
      </c>
      <c r="BS2" s="112" t="str">
        <f>立项!$A$10</f>
        <v>RD08</v>
      </c>
      <c r="BT2" s="125"/>
      <c r="BU2" s="108" t="s">
        <v>331</v>
      </c>
      <c r="BV2" s="109"/>
      <c r="BW2" s="110">
        <v>45688</v>
      </c>
      <c r="BX2" s="110"/>
      <c r="BY2" s="110"/>
      <c r="BZ2" s="111" t="s">
        <v>332</v>
      </c>
      <c r="CA2" s="112" t="str">
        <f>立项!$A$11</f>
        <v>RD09</v>
      </c>
      <c r="CB2" s="125"/>
      <c r="CC2" s="108" t="s">
        <v>331</v>
      </c>
      <c r="CD2" s="109"/>
      <c r="CE2" s="110">
        <v>45688</v>
      </c>
      <c r="CF2" s="110"/>
      <c r="CG2" s="110"/>
      <c r="CH2" s="111" t="s">
        <v>332</v>
      </c>
      <c r="CI2" s="112" t="str">
        <f>立项!$A$12</f>
        <v>RD10</v>
      </c>
    </row>
    <row r="3" s="104" customFormat="1" customHeight="1" spans="1:87">
      <c r="A3" s="113" t="s">
        <v>333</v>
      </c>
      <c r="B3" s="113" t="s">
        <v>334</v>
      </c>
      <c r="C3" s="113" t="s">
        <v>335</v>
      </c>
      <c r="D3" s="113" t="s">
        <v>336</v>
      </c>
      <c r="E3" s="113" t="s">
        <v>337</v>
      </c>
      <c r="F3" s="113" t="s">
        <v>338</v>
      </c>
      <c r="G3" s="113" t="s">
        <v>339</v>
      </c>
      <c r="H3" s="124"/>
      <c r="I3" s="113" t="s">
        <v>333</v>
      </c>
      <c r="J3" s="113" t="s">
        <v>334</v>
      </c>
      <c r="K3" s="113" t="s">
        <v>335</v>
      </c>
      <c r="L3" s="113" t="s">
        <v>336</v>
      </c>
      <c r="M3" s="113" t="s">
        <v>337</v>
      </c>
      <c r="N3" s="113" t="s">
        <v>338</v>
      </c>
      <c r="O3" s="113" t="s">
        <v>339</v>
      </c>
      <c r="P3" s="124"/>
      <c r="Q3" s="113" t="s">
        <v>333</v>
      </c>
      <c r="R3" s="113" t="s">
        <v>334</v>
      </c>
      <c r="S3" s="113" t="s">
        <v>335</v>
      </c>
      <c r="T3" s="113" t="s">
        <v>336</v>
      </c>
      <c r="U3" s="113" t="s">
        <v>337</v>
      </c>
      <c r="V3" s="113" t="s">
        <v>338</v>
      </c>
      <c r="W3" s="113" t="s">
        <v>339</v>
      </c>
      <c r="X3" s="124"/>
      <c r="Y3" s="113" t="s">
        <v>333</v>
      </c>
      <c r="Z3" s="113" t="s">
        <v>334</v>
      </c>
      <c r="AA3" s="113" t="s">
        <v>335</v>
      </c>
      <c r="AB3" s="113" t="s">
        <v>336</v>
      </c>
      <c r="AC3" s="113" t="s">
        <v>337</v>
      </c>
      <c r="AD3" s="113" t="s">
        <v>338</v>
      </c>
      <c r="AE3" s="113" t="s">
        <v>339</v>
      </c>
      <c r="AF3" s="124"/>
      <c r="AG3" s="113" t="s">
        <v>333</v>
      </c>
      <c r="AH3" s="113" t="s">
        <v>334</v>
      </c>
      <c r="AI3" s="113" t="s">
        <v>335</v>
      </c>
      <c r="AJ3" s="113" t="s">
        <v>336</v>
      </c>
      <c r="AK3" s="113" t="s">
        <v>337</v>
      </c>
      <c r="AL3" s="113" t="s">
        <v>338</v>
      </c>
      <c r="AM3" s="113" t="s">
        <v>339</v>
      </c>
      <c r="AN3" s="124"/>
      <c r="AO3" s="113" t="s">
        <v>333</v>
      </c>
      <c r="AP3" s="113" t="s">
        <v>334</v>
      </c>
      <c r="AQ3" s="113" t="s">
        <v>335</v>
      </c>
      <c r="AR3" s="113" t="s">
        <v>336</v>
      </c>
      <c r="AS3" s="113" t="s">
        <v>337</v>
      </c>
      <c r="AT3" s="113" t="s">
        <v>338</v>
      </c>
      <c r="AU3" s="113" t="s">
        <v>339</v>
      </c>
      <c r="AV3" s="124"/>
      <c r="AW3" s="113" t="s">
        <v>333</v>
      </c>
      <c r="AX3" s="113" t="s">
        <v>334</v>
      </c>
      <c r="AY3" s="113" t="s">
        <v>335</v>
      </c>
      <c r="AZ3" s="113" t="s">
        <v>336</v>
      </c>
      <c r="BA3" s="113" t="s">
        <v>337</v>
      </c>
      <c r="BB3" s="113" t="s">
        <v>338</v>
      </c>
      <c r="BC3" s="113" t="s">
        <v>339</v>
      </c>
      <c r="BD3" s="124"/>
      <c r="BE3" s="113" t="s">
        <v>333</v>
      </c>
      <c r="BF3" s="113" t="s">
        <v>334</v>
      </c>
      <c r="BG3" s="113" t="s">
        <v>335</v>
      </c>
      <c r="BH3" s="113" t="s">
        <v>336</v>
      </c>
      <c r="BI3" s="113" t="s">
        <v>337</v>
      </c>
      <c r="BJ3" s="113" t="s">
        <v>338</v>
      </c>
      <c r="BK3" s="113" t="s">
        <v>339</v>
      </c>
      <c r="BL3" s="124"/>
      <c r="BM3" s="113" t="s">
        <v>333</v>
      </c>
      <c r="BN3" s="113" t="s">
        <v>334</v>
      </c>
      <c r="BO3" s="113" t="s">
        <v>335</v>
      </c>
      <c r="BP3" s="113" t="s">
        <v>336</v>
      </c>
      <c r="BQ3" s="113" t="s">
        <v>337</v>
      </c>
      <c r="BR3" s="113" t="s">
        <v>338</v>
      </c>
      <c r="BS3" s="113" t="s">
        <v>339</v>
      </c>
      <c r="BT3" s="124"/>
      <c r="BU3" s="113" t="s">
        <v>333</v>
      </c>
      <c r="BV3" s="113" t="s">
        <v>334</v>
      </c>
      <c r="BW3" s="113" t="s">
        <v>335</v>
      </c>
      <c r="BX3" s="113" t="s">
        <v>336</v>
      </c>
      <c r="BY3" s="113" t="s">
        <v>337</v>
      </c>
      <c r="BZ3" s="113" t="s">
        <v>338</v>
      </c>
      <c r="CA3" s="113" t="s">
        <v>339</v>
      </c>
      <c r="CB3" s="124"/>
      <c r="CC3" s="113" t="s">
        <v>333</v>
      </c>
      <c r="CD3" s="113" t="s">
        <v>334</v>
      </c>
      <c r="CE3" s="113" t="s">
        <v>335</v>
      </c>
      <c r="CF3" s="113" t="s">
        <v>336</v>
      </c>
      <c r="CG3" s="113" t="s">
        <v>337</v>
      </c>
      <c r="CH3" s="113" t="s">
        <v>338</v>
      </c>
      <c r="CI3" s="113" t="s">
        <v>339</v>
      </c>
    </row>
    <row r="4" s="104" customFormat="1" customHeight="1" spans="1:87">
      <c r="A4" s="113"/>
      <c r="B4" s="114"/>
      <c r="C4" s="113"/>
      <c r="D4" s="114"/>
      <c r="E4" s="114"/>
      <c r="F4" s="114">
        <f t="shared" ref="F4:F15" si="0">ROUND(D4*E4,2)</f>
        <v>0</v>
      </c>
      <c r="G4" s="113"/>
      <c r="H4" s="124"/>
      <c r="I4" s="113">
        <f>A4</f>
        <v>0</v>
      </c>
      <c r="J4" s="114">
        <f>B4</f>
        <v>0</v>
      </c>
      <c r="K4" s="113">
        <f>C4</f>
        <v>0</v>
      </c>
      <c r="L4" s="114"/>
      <c r="M4" s="114">
        <f t="shared" ref="M4:S4" si="1">E4</f>
        <v>0</v>
      </c>
      <c r="N4" s="114">
        <f t="shared" ref="N4:N15" si="2">ROUND(L4*M4,2)</f>
        <v>0</v>
      </c>
      <c r="O4" s="113"/>
      <c r="P4" s="124"/>
      <c r="Q4" s="113">
        <f t="shared" si="1"/>
        <v>0</v>
      </c>
      <c r="R4" s="114">
        <f t="shared" si="1"/>
        <v>0</v>
      </c>
      <c r="S4" s="113">
        <f t="shared" si="1"/>
        <v>0</v>
      </c>
      <c r="T4" s="114"/>
      <c r="U4" s="114">
        <f t="shared" ref="U4:U15" si="3">M4</f>
        <v>0</v>
      </c>
      <c r="V4" s="114">
        <f t="shared" ref="V4:V15" si="4">ROUND(T4*U4,2)</f>
        <v>0</v>
      </c>
      <c r="W4" s="113"/>
      <c r="X4" s="124"/>
      <c r="Y4" s="113">
        <f t="shared" ref="Y4:AA4" si="5">Q4</f>
        <v>0</v>
      </c>
      <c r="Z4" s="114">
        <f t="shared" si="5"/>
        <v>0</v>
      </c>
      <c r="AA4" s="113">
        <f t="shared" si="5"/>
        <v>0</v>
      </c>
      <c r="AB4" s="114"/>
      <c r="AC4" s="114">
        <f t="shared" ref="AC4:AC15" si="6">U4</f>
        <v>0</v>
      </c>
      <c r="AD4" s="114">
        <f t="shared" ref="AD4:AD15" si="7">ROUND(AB4*AC4,2)</f>
        <v>0</v>
      </c>
      <c r="AE4" s="113"/>
      <c r="AF4" s="124"/>
      <c r="AG4" s="113">
        <f t="shared" ref="AG4:AI4" si="8">Y4</f>
        <v>0</v>
      </c>
      <c r="AH4" s="114">
        <f t="shared" si="8"/>
        <v>0</v>
      </c>
      <c r="AI4" s="113">
        <f t="shared" si="8"/>
        <v>0</v>
      </c>
      <c r="AJ4" s="114"/>
      <c r="AK4" s="114">
        <f t="shared" ref="AK4:AK15" si="9">AC4</f>
        <v>0</v>
      </c>
      <c r="AL4" s="114">
        <f t="shared" ref="AL4:AL15" si="10">ROUND(AJ4*AK4,2)</f>
        <v>0</v>
      </c>
      <c r="AM4" s="113"/>
      <c r="AN4" s="124"/>
      <c r="AO4" s="113">
        <f>AG4</f>
        <v>0</v>
      </c>
      <c r="AP4" s="114">
        <f>AH4</f>
        <v>0</v>
      </c>
      <c r="AQ4" s="113">
        <f t="shared" ref="AO4:AQ4" si="11">AI4</f>
        <v>0</v>
      </c>
      <c r="AR4" s="114"/>
      <c r="AS4" s="114">
        <f t="shared" ref="AS4:AS15" si="12">AK4</f>
        <v>0</v>
      </c>
      <c r="AT4" s="114">
        <f t="shared" ref="AT4:AT15" si="13">ROUND(AR4*AS4,2)</f>
        <v>0</v>
      </c>
      <c r="AU4" s="113"/>
      <c r="AV4" s="124"/>
      <c r="AW4" s="113">
        <f t="shared" ref="AW4:AY4" si="14">AO4</f>
        <v>0</v>
      </c>
      <c r="AX4" s="114">
        <f t="shared" si="14"/>
        <v>0</v>
      </c>
      <c r="AY4" s="113">
        <f t="shared" si="14"/>
        <v>0</v>
      </c>
      <c r="AZ4" s="114"/>
      <c r="BA4" s="114">
        <f t="shared" ref="BA4:BA15" si="15">AS4</f>
        <v>0</v>
      </c>
      <c r="BB4" s="114">
        <f t="shared" ref="BB4:BB15" si="16">ROUND(AZ4*BA4,2)</f>
        <v>0</v>
      </c>
      <c r="BC4" s="113"/>
      <c r="BD4" s="124"/>
      <c r="BE4" s="113">
        <f t="shared" ref="BE4:BG4" si="17">AW4</f>
        <v>0</v>
      </c>
      <c r="BF4" s="114">
        <f t="shared" si="17"/>
        <v>0</v>
      </c>
      <c r="BG4" s="113">
        <f t="shared" si="17"/>
        <v>0</v>
      </c>
      <c r="BH4" s="114"/>
      <c r="BI4" s="114">
        <f t="shared" ref="BI4:BI15" si="18">BA4</f>
        <v>0</v>
      </c>
      <c r="BJ4" s="114">
        <f t="shared" ref="BJ4:BJ15" si="19">ROUND(BH4*BI4,2)</f>
        <v>0</v>
      </c>
      <c r="BK4" s="113"/>
      <c r="BL4" s="124"/>
      <c r="BM4" s="113">
        <f t="shared" ref="BM4:BO4" si="20">BE4</f>
        <v>0</v>
      </c>
      <c r="BN4" s="114">
        <f t="shared" si="20"/>
        <v>0</v>
      </c>
      <c r="BO4" s="113">
        <f t="shared" si="20"/>
        <v>0</v>
      </c>
      <c r="BP4" s="114"/>
      <c r="BQ4" s="114">
        <f t="shared" ref="BQ4:BQ15" si="21">BI4</f>
        <v>0</v>
      </c>
      <c r="BR4" s="114">
        <f t="shared" ref="BR4:BR15" si="22">ROUND(BP4*BQ4,2)</f>
        <v>0</v>
      </c>
      <c r="BS4" s="113"/>
      <c r="BT4" s="124"/>
      <c r="BU4" s="113">
        <f t="shared" ref="BU4:BW4" si="23">BM4</f>
        <v>0</v>
      </c>
      <c r="BV4" s="114">
        <f t="shared" si="23"/>
        <v>0</v>
      </c>
      <c r="BW4" s="113">
        <f t="shared" si="23"/>
        <v>0</v>
      </c>
      <c r="BX4" s="114"/>
      <c r="BY4" s="114">
        <f t="shared" ref="BY4:BY15" si="24">BQ4</f>
        <v>0</v>
      </c>
      <c r="BZ4" s="114">
        <f t="shared" ref="BZ4:BZ15" si="25">ROUND(BX4*BY4,2)</f>
        <v>0</v>
      </c>
      <c r="CA4" s="113"/>
      <c r="CB4" s="124"/>
      <c r="CC4" s="113">
        <f t="shared" ref="CC4:CE4" si="26">BU4</f>
        <v>0</v>
      </c>
      <c r="CD4" s="114">
        <f t="shared" si="26"/>
        <v>0</v>
      </c>
      <c r="CE4" s="113">
        <f t="shared" si="26"/>
        <v>0</v>
      </c>
      <c r="CF4" s="114">
        <f>D4-L4-T4-AB4-AJ4-AR4-AZ4-BH4-BP4-BX4</f>
        <v>0</v>
      </c>
      <c r="CG4" s="114">
        <f t="shared" ref="CG4:CG15" si="27">BY4</f>
        <v>0</v>
      </c>
      <c r="CH4" s="114">
        <f>F4-N4-V4-AD4-AL4-AT4-BB4-BJ4-BR4-BZ4</f>
        <v>0</v>
      </c>
      <c r="CI4" s="113"/>
    </row>
    <row r="5" s="104" customFormat="1" customHeight="1" spans="1:87">
      <c r="A5" s="113"/>
      <c r="B5" s="114"/>
      <c r="C5" s="113"/>
      <c r="D5" s="114"/>
      <c r="E5" s="114"/>
      <c r="F5" s="114">
        <f t="shared" si="0"/>
        <v>0</v>
      </c>
      <c r="G5" s="113"/>
      <c r="H5" s="124"/>
      <c r="I5" s="113">
        <f t="shared" ref="I5:I15" si="28">A5</f>
        <v>0</v>
      </c>
      <c r="J5" s="114">
        <f t="shared" ref="J5:J15" si="29">B5</f>
        <v>0</v>
      </c>
      <c r="K5" s="113">
        <f t="shared" ref="K5:K15" si="30">C5</f>
        <v>0</v>
      </c>
      <c r="L5" s="114"/>
      <c r="M5" s="114">
        <f t="shared" ref="M5:M15" si="31">E5</f>
        <v>0</v>
      </c>
      <c r="N5" s="114">
        <f t="shared" si="2"/>
        <v>0</v>
      </c>
      <c r="O5" s="113"/>
      <c r="P5" s="124"/>
      <c r="Q5" s="113">
        <f t="shared" ref="Q5:S5" si="32">I5</f>
        <v>0</v>
      </c>
      <c r="R5" s="114">
        <f t="shared" si="32"/>
        <v>0</v>
      </c>
      <c r="S5" s="113">
        <f t="shared" si="32"/>
        <v>0</v>
      </c>
      <c r="T5" s="114"/>
      <c r="U5" s="114">
        <f t="shared" si="3"/>
        <v>0</v>
      </c>
      <c r="V5" s="114">
        <f t="shared" si="4"/>
        <v>0</v>
      </c>
      <c r="W5" s="113"/>
      <c r="X5" s="124"/>
      <c r="Y5" s="113">
        <f t="shared" ref="Y5:AA5" si="33">Q5</f>
        <v>0</v>
      </c>
      <c r="Z5" s="114">
        <f t="shared" si="33"/>
        <v>0</v>
      </c>
      <c r="AA5" s="113">
        <f t="shared" si="33"/>
        <v>0</v>
      </c>
      <c r="AB5" s="114"/>
      <c r="AC5" s="114">
        <f t="shared" si="6"/>
        <v>0</v>
      </c>
      <c r="AD5" s="114">
        <f t="shared" si="7"/>
        <v>0</v>
      </c>
      <c r="AE5" s="113"/>
      <c r="AF5" s="124"/>
      <c r="AG5" s="113">
        <f t="shared" ref="AG5:AI5" si="34">Y5</f>
        <v>0</v>
      </c>
      <c r="AH5" s="114">
        <f t="shared" si="34"/>
        <v>0</v>
      </c>
      <c r="AI5" s="113">
        <f t="shared" si="34"/>
        <v>0</v>
      </c>
      <c r="AJ5" s="114"/>
      <c r="AK5" s="114">
        <f t="shared" si="9"/>
        <v>0</v>
      </c>
      <c r="AL5" s="114">
        <f t="shared" si="10"/>
        <v>0</v>
      </c>
      <c r="AM5" s="113"/>
      <c r="AN5" s="124"/>
      <c r="AO5" s="113">
        <f t="shared" ref="AO5:AQ5" si="35">AG5</f>
        <v>0</v>
      </c>
      <c r="AP5" s="114">
        <f t="shared" si="35"/>
        <v>0</v>
      </c>
      <c r="AQ5" s="113">
        <f t="shared" si="35"/>
        <v>0</v>
      </c>
      <c r="AR5" s="114"/>
      <c r="AS5" s="114">
        <f t="shared" si="12"/>
        <v>0</v>
      </c>
      <c r="AT5" s="114">
        <f t="shared" si="13"/>
        <v>0</v>
      </c>
      <c r="AU5" s="113"/>
      <c r="AV5" s="124"/>
      <c r="AW5" s="113">
        <f t="shared" ref="AW5:AY5" si="36">AO5</f>
        <v>0</v>
      </c>
      <c r="AX5" s="114">
        <f t="shared" si="36"/>
        <v>0</v>
      </c>
      <c r="AY5" s="113">
        <f t="shared" si="36"/>
        <v>0</v>
      </c>
      <c r="AZ5" s="114"/>
      <c r="BA5" s="114">
        <f t="shared" si="15"/>
        <v>0</v>
      </c>
      <c r="BB5" s="114">
        <f t="shared" si="16"/>
        <v>0</v>
      </c>
      <c r="BC5" s="113"/>
      <c r="BD5" s="124"/>
      <c r="BE5" s="113">
        <f t="shared" ref="BE5:BG5" si="37">AW5</f>
        <v>0</v>
      </c>
      <c r="BF5" s="114">
        <f t="shared" si="37"/>
        <v>0</v>
      </c>
      <c r="BG5" s="113">
        <f t="shared" si="37"/>
        <v>0</v>
      </c>
      <c r="BH5" s="114"/>
      <c r="BI5" s="114">
        <f t="shared" si="18"/>
        <v>0</v>
      </c>
      <c r="BJ5" s="114">
        <f t="shared" si="19"/>
        <v>0</v>
      </c>
      <c r="BK5" s="113"/>
      <c r="BL5" s="124"/>
      <c r="BM5" s="113">
        <f t="shared" ref="BM5:BO5" si="38">BE5</f>
        <v>0</v>
      </c>
      <c r="BN5" s="114">
        <f t="shared" si="38"/>
        <v>0</v>
      </c>
      <c r="BO5" s="113">
        <f t="shared" si="38"/>
        <v>0</v>
      </c>
      <c r="BP5" s="114"/>
      <c r="BQ5" s="114">
        <f t="shared" si="21"/>
        <v>0</v>
      </c>
      <c r="BR5" s="114">
        <f t="shared" si="22"/>
        <v>0</v>
      </c>
      <c r="BS5" s="113"/>
      <c r="BT5" s="124"/>
      <c r="BU5" s="113">
        <f t="shared" ref="BU5:BW5" si="39">BM5</f>
        <v>0</v>
      </c>
      <c r="BV5" s="114">
        <f t="shared" si="39"/>
        <v>0</v>
      </c>
      <c r="BW5" s="113">
        <f t="shared" si="39"/>
        <v>0</v>
      </c>
      <c r="BX5" s="114"/>
      <c r="BY5" s="114">
        <f t="shared" si="24"/>
        <v>0</v>
      </c>
      <c r="BZ5" s="114">
        <f t="shared" si="25"/>
        <v>0</v>
      </c>
      <c r="CA5" s="113"/>
      <c r="CB5" s="124"/>
      <c r="CC5" s="113">
        <f t="shared" ref="CC5:CE5" si="40">BU5</f>
        <v>0</v>
      </c>
      <c r="CD5" s="114">
        <f t="shared" si="40"/>
        <v>0</v>
      </c>
      <c r="CE5" s="113">
        <f t="shared" si="40"/>
        <v>0</v>
      </c>
      <c r="CF5" s="114">
        <f t="shared" ref="CF5:CF15" si="41">D5-L5-T5-AB5-AJ5-AR5-AZ5-BH5-BP5-BX5</f>
        <v>0</v>
      </c>
      <c r="CG5" s="114">
        <f t="shared" si="27"/>
        <v>0</v>
      </c>
      <c r="CH5" s="114">
        <f t="shared" ref="CH5:CH15" si="42">F5-N5-V5-AD5-AL5-AT5-BB5-BJ5-BR5-BZ5</f>
        <v>0</v>
      </c>
      <c r="CI5" s="113"/>
    </row>
    <row r="6" s="104" customFormat="1" customHeight="1" spans="1:87">
      <c r="A6" s="113"/>
      <c r="B6" s="114"/>
      <c r="C6" s="113"/>
      <c r="D6" s="114"/>
      <c r="E6" s="114"/>
      <c r="F6" s="114">
        <f t="shared" si="0"/>
        <v>0</v>
      </c>
      <c r="G6" s="113"/>
      <c r="H6" s="124"/>
      <c r="I6" s="113">
        <f t="shared" si="28"/>
        <v>0</v>
      </c>
      <c r="J6" s="114">
        <f t="shared" si="29"/>
        <v>0</v>
      </c>
      <c r="K6" s="113">
        <f t="shared" si="30"/>
        <v>0</v>
      </c>
      <c r="L6" s="114"/>
      <c r="M6" s="114">
        <f t="shared" si="31"/>
        <v>0</v>
      </c>
      <c r="N6" s="114">
        <f t="shared" si="2"/>
        <v>0</v>
      </c>
      <c r="O6" s="113"/>
      <c r="P6" s="124"/>
      <c r="Q6" s="113">
        <f t="shared" ref="Q6:S6" si="43">I6</f>
        <v>0</v>
      </c>
      <c r="R6" s="114">
        <f t="shared" si="43"/>
        <v>0</v>
      </c>
      <c r="S6" s="113">
        <f t="shared" si="43"/>
        <v>0</v>
      </c>
      <c r="T6" s="114"/>
      <c r="U6" s="114">
        <f t="shared" si="3"/>
        <v>0</v>
      </c>
      <c r="V6" s="114">
        <f t="shared" si="4"/>
        <v>0</v>
      </c>
      <c r="W6" s="113"/>
      <c r="X6" s="124"/>
      <c r="Y6" s="113">
        <f t="shared" ref="Y6:AA6" si="44">Q6</f>
        <v>0</v>
      </c>
      <c r="Z6" s="114">
        <f t="shared" si="44"/>
        <v>0</v>
      </c>
      <c r="AA6" s="113">
        <f t="shared" si="44"/>
        <v>0</v>
      </c>
      <c r="AB6" s="114"/>
      <c r="AC6" s="114">
        <f t="shared" si="6"/>
        <v>0</v>
      </c>
      <c r="AD6" s="114">
        <f t="shared" si="7"/>
        <v>0</v>
      </c>
      <c r="AE6" s="113"/>
      <c r="AF6" s="124"/>
      <c r="AG6" s="113">
        <f t="shared" ref="AG6:AI6" si="45">Y6</f>
        <v>0</v>
      </c>
      <c r="AH6" s="114">
        <f t="shared" si="45"/>
        <v>0</v>
      </c>
      <c r="AI6" s="113">
        <f t="shared" si="45"/>
        <v>0</v>
      </c>
      <c r="AJ6" s="114"/>
      <c r="AK6" s="114">
        <f t="shared" si="9"/>
        <v>0</v>
      </c>
      <c r="AL6" s="114">
        <f t="shared" si="10"/>
        <v>0</v>
      </c>
      <c r="AM6" s="113"/>
      <c r="AN6" s="124"/>
      <c r="AO6" s="113">
        <f t="shared" ref="AO6:AQ6" si="46">AG6</f>
        <v>0</v>
      </c>
      <c r="AP6" s="114">
        <f t="shared" si="46"/>
        <v>0</v>
      </c>
      <c r="AQ6" s="113">
        <f t="shared" si="46"/>
        <v>0</v>
      </c>
      <c r="AR6" s="114"/>
      <c r="AS6" s="114">
        <f t="shared" si="12"/>
        <v>0</v>
      </c>
      <c r="AT6" s="114">
        <f t="shared" si="13"/>
        <v>0</v>
      </c>
      <c r="AU6" s="113"/>
      <c r="AV6" s="124"/>
      <c r="AW6" s="113">
        <f t="shared" ref="AW6:AY6" si="47">AO6</f>
        <v>0</v>
      </c>
      <c r="AX6" s="114">
        <f t="shared" si="47"/>
        <v>0</v>
      </c>
      <c r="AY6" s="113">
        <f t="shared" si="47"/>
        <v>0</v>
      </c>
      <c r="AZ6" s="114"/>
      <c r="BA6" s="114">
        <f t="shared" si="15"/>
        <v>0</v>
      </c>
      <c r="BB6" s="114">
        <f t="shared" si="16"/>
        <v>0</v>
      </c>
      <c r="BC6" s="113"/>
      <c r="BD6" s="124"/>
      <c r="BE6" s="113">
        <f t="shared" ref="BE6:BG6" si="48">AW6</f>
        <v>0</v>
      </c>
      <c r="BF6" s="114">
        <f t="shared" si="48"/>
        <v>0</v>
      </c>
      <c r="BG6" s="113">
        <f t="shared" si="48"/>
        <v>0</v>
      </c>
      <c r="BH6" s="114"/>
      <c r="BI6" s="114">
        <f t="shared" si="18"/>
        <v>0</v>
      </c>
      <c r="BJ6" s="114">
        <f t="shared" si="19"/>
        <v>0</v>
      </c>
      <c r="BK6" s="113"/>
      <c r="BL6" s="124"/>
      <c r="BM6" s="113">
        <f t="shared" ref="BM6:BO6" si="49">BE6</f>
        <v>0</v>
      </c>
      <c r="BN6" s="114">
        <f t="shared" si="49"/>
        <v>0</v>
      </c>
      <c r="BO6" s="113">
        <f t="shared" si="49"/>
        <v>0</v>
      </c>
      <c r="BP6" s="114"/>
      <c r="BQ6" s="114">
        <f t="shared" si="21"/>
        <v>0</v>
      </c>
      <c r="BR6" s="114">
        <f t="shared" si="22"/>
        <v>0</v>
      </c>
      <c r="BS6" s="113"/>
      <c r="BT6" s="124"/>
      <c r="BU6" s="113">
        <f t="shared" ref="BU6:BW6" si="50">BM6</f>
        <v>0</v>
      </c>
      <c r="BV6" s="114">
        <f t="shared" si="50"/>
        <v>0</v>
      </c>
      <c r="BW6" s="113">
        <f t="shared" si="50"/>
        <v>0</v>
      </c>
      <c r="BX6" s="114"/>
      <c r="BY6" s="114">
        <f t="shared" si="24"/>
        <v>0</v>
      </c>
      <c r="BZ6" s="114">
        <f t="shared" si="25"/>
        <v>0</v>
      </c>
      <c r="CA6" s="113"/>
      <c r="CB6" s="124"/>
      <c r="CC6" s="113">
        <f t="shared" ref="CC6:CE6" si="51">BU6</f>
        <v>0</v>
      </c>
      <c r="CD6" s="114">
        <f t="shared" si="51"/>
        <v>0</v>
      </c>
      <c r="CE6" s="113">
        <f t="shared" si="51"/>
        <v>0</v>
      </c>
      <c r="CF6" s="114">
        <f t="shared" si="41"/>
        <v>0</v>
      </c>
      <c r="CG6" s="114">
        <f t="shared" si="27"/>
        <v>0</v>
      </c>
      <c r="CH6" s="114">
        <f t="shared" si="42"/>
        <v>0</v>
      </c>
      <c r="CI6" s="113"/>
    </row>
    <row r="7" s="104" customFormat="1" customHeight="1" spans="1:87">
      <c r="A7" s="126"/>
      <c r="B7" s="114"/>
      <c r="C7" s="113"/>
      <c r="D7" s="114"/>
      <c r="E7" s="114"/>
      <c r="F7" s="114">
        <f t="shared" si="0"/>
        <v>0</v>
      </c>
      <c r="G7" s="113"/>
      <c r="H7" s="124"/>
      <c r="I7" s="113">
        <f t="shared" si="28"/>
        <v>0</v>
      </c>
      <c r="J7" s="114">
        <f t="shared" si="29"/>
        <v>0</v>
      </c>
      <c r="K7" s="113">
        <f t="shared" si="30"/>
        <v>0</v>
      </c>
      <c r="L7" s="114"/>
      <c r="M7" s="114">
        <f t="shared" si="31"/>
        <v>0</v>
      </c>
      <c r="N7" s="114">
        <f t="shared" si="2"/>
        <v>0</v>
      </c>
      <c r="O7" s="113"/>
      <c r="P7" s="124"/>
      <c r="Q7" s="113">
        <f>I7</f>
        <v>0</v>
      </c>
      <c r="R7" s="114">
        <f t="shared" ref="Q7:S7" si="52">J7</f>
        <v>0</v>
      </c>
      <c r="S7" s="113">
        <f t="shared" si="52"/>
        <v>0</v>
      </c>
      <c r="T7" s="114"/>
      <c r="U7" s="114">
        <f t="shared" si="3"/>
        <v>0</v>
      </c>
      <c r="V7" s="114">
        <f t="shared" si="4"/>
        <v>0</v>
      </c>
      <c r="W7" s="113"/>
      <c r="X7" s="124"/>
      <c r="Y7" s="113">
        <f t="shared" ref="Y7:AA7" si="53">Q7</f>
        <v>0</v>
      </c>
      <c r="Z7" s="114">
        <f t="shared" si="53"/>
        <v>0</v>
      </c>
      <c r="AA7" s="113">
        <f t="shared" si="53"/>
        <v>0</v>
      </c>
      <c r="AB7" s="114"/>
      <c r="AC7" s="114">
        <f t="shared" si="6"/>
        <v>0</v>
      </c>
      <c r="AD7" s="114">
        <f t="shared" si="7"/>
        <v>0</v>
      </c>
      <c r="AE7" s="113"/>
      <c r="AF7" s="124"/>
      <c r="AG7" s="113">
        <f t="shared" ref="AG7:AI7" si="54">Y7</f>
        <v>0</v>
      </c>
      <c r="AH7" s="114">
        <f t="shared" si="54"/>
        <v>0</v>
      </c>
      <c r="AI7" s="113">
        <f t="shared" si="54"/>
        <v>0</v>
      </c>
      <c r="AJ7" s="114"/>
      <c r="AK7" s="114">
        <f t="shared" si="9"/>
        <v>0</v>
      </c>
      <c r="AL7" s="114">
        <f t="shared" si="10"/>
        <v>0</v>
      </c>
      <c r="AM7" s="113"/>
      <c r="AN7" s="124"/>
      <c r="AO7" s="113">
        <f t="shared" ref="AO7:AQ7" si="55">AG7</f>
        <v>0</v>
      </c>
      <c r="AP7" s="114">
        <f t="shared" si="55"/>
        <v>0</v>
      </c>
      <c r="AQ7" s="113">
        <f t="shared" si="55"/>
        <v>0</v>
      </c>
      <c r="AR7" s="114"/>
      <c r="AS7" s="114">
        <f t="shared" si="12"/>
        <v>0</v>
      </c>
      <c r="AT7" s="114">
        <f t="shared" si="13"/>
        <v>0</v>
      </c>
      <c r="AU7" s="113"/>
      <c r="AV7" s="124"/>
      <c r="AW7" s="113">
        <f t="shared" ref="AW7:AY7" si="56">AO7</f>
        <v>0</v>
      </c>
      <c r="AX7" s="114">
        <f t="shared" si="56"/>
        <v>0</v>
      </c>
      <c r="AY7" s="113">
        <f t="shared" si="56"/>
        <v>0</v>
      </c>
      <c r="AZ7" s="114"/>
      <c r="BA7" s="114">
        <f t="shared" si="15"/>
        <v>0</v>
      </c>
      <c r="BB7" s="114">
        <f t="shared" si="16"/>
        <v>0</v>
      </c>
      <c r="BC7" s="113"/>
      <c r="BD7" s="124"/>
      <c r="BE7" s="113">
        <f t="shared" ref="BE7:BG7" si="57">AW7</f>
        <v>0</v>
      </c>
      <c r="BF7" s="114">
        <f t="shared" si="57"/>
        <v>0</v>
      </c>
      <c r="BG7" s="113">
        <f t="shared" si="57"/>
        <v>0</v>
      </c>
      <c r="BH7" s="114"/>
      <c r="BI7" s="114">
        <f t="shared" si="18"/>
        <v>0</v>
      </c>
      <c r="BJ7" s="114">
        <f t="shared" si="19"/>
        <v>0</v>
      </c>
      <c r="BK7" s="113"/>
      <c r="BL7" s="124"/>
      <c r="BM7" s="113">
        <f t="shared" ref="BM7:BO7" si="58">BE7</f>
        <v>0</v>
      </c>
      <c r="BN7" s="114">
        <f t="shared" si="58"/>
        <v>0</v>
      </c>
      <c r="BO7" s="113">
        <f t="shared" si="58"/>
        <v>0</v>
      </c>
      <c r="BP7" s="114"/>
      <c r="BQ7" s="114">
        <f t="shared" si="21"/>
        <v>0</v>
      </c>
      <c r="BR7" s="114">
        <f t="shared" si="22"/>
        <v>0</v>
      </c>
      <c r="BS7" s="113"/>
      <c r="BT7" s="124"/>
      <c r="BU7" s="113">
        <f t="shared" ref="BU7:BW7" si="59">BM7</f>
        <v>0</v>
      </c>
      <c r="BV7" s="114">
        <f t="shared" si="59"/>
        <v>0</v>
      </c>
      <c r="BW7" s="113">
        <f t="shared" si="59"/>
        <v>0</v>
      </c>
      <c r="BX7" s="114"/>
      <c r="BY7" s="114">
        <f t="shared" si="24"/>
        <v>0</v>
      </c>
      <c r="BZ7" s="114">
        <f t="shared" si="25"/>
        <v>0</v>
      </c>
      <c r="CA7" s="113"/>
      <c r="CB7" s="124"/>
      <c r="CC7" s="113">
        <f t="shared" ref="CC7:CE7" si="60">BU7</f>
        <v>0</v>
      </c>
      <c r="CD7" s="114">
        <f t="shared" si="60"/>
        <v>0</v>
      </c>
      <c r="CE7" s="113">
        <f t="shared" si="60"/>
        <v>0</v>
      </c>
      <c r="CF7" s="114">
        <f t="shared" si="41"/>
        <v>0</v>
      </c>
      <c r="CG7" s="114">
        <f t="shared" si="27"/>
        <v>0</v>
      </c>
      <c r="CH7" s="114">
        <f t="shared" si="42"/>
        <v>0</v>
      </c>
      <c r="CI7" s="113"/>
    </row>
    <row r="8" s="104" customFormat="1" customHeight="1" spans="1:87">
      <c r="A8" s="113"/>
      <c r="B8" s="114"/>
      <c r="C8" s="113"/>
      <c r="D8" s="114"/>
      <c r="E8" s="119"/>
      <c r="F8" s="114">
        <f t="shared" si="0"/>
        <v>0</v>
      </c>
      <c r="G8" s="113"/>
      <c r="H8" s="124"/>
      <c r="I8" s="113">
        <f t="shared" si="28"/>
        <v>0</v>
      </c>
      <c r="J8" s="114">
        <f t="shared" si="29"/>
        <v>0</v>
      </c>
      <c r="K8" s="113">
        <f t="shared" si="30"/>
        <v>0</v>
      </c>
      <c r="L8" s="114"/>
      <c r="M8" s="114">
        <f t="shared" si="31"/>
        <v>0</v>
      </c>
      <c r="N8" s="114">
        <f t="shared" si="2"/>
        <v>0</v>
      </c>
      <c r="O8" s="113"/>
      <c r="P8" s="124"/>
      <c r="Q8" s="113">
        <f t="shared" ref="Q8:S8" si="61">I8</f>
        <v>0</v>
      </c>
      <c r="R8" s="114">
        <f t="shared" si="61"/>
        <v>0</v>
      </c>
      <c r="S8" s="113">
        <f t="shared" si="61"/>
        <v>0</v>
      </c>
      <c r="T8" s="114"/>
      <c r="U8" s="114">
        <f t="shared" si="3"/>
        <v>0</v>
      </c>
      <c r="V8" s="114">
        <f t="shared" si="4"/>
        <v>0</v>
      </c>
      <c r="W8" s="113"/>
      <c r="X8" s="124"/>
      <c r="Y8" s="113">
        <f t="shared" ref="Y8:AA8" si="62">Q8</f>
        <v>0</v>
      </c>
      <c r="Z8" s="114">
        <f t="shared" si="62"/>
        <v>0</v>
      </c>
      <c r="AA8" s="113">
        <f t="shared" si="62"/>
        <v>0</v>
      </c>
      <c r="AB8" s="114"/>
      <c r="AC8" s="114">
        <f t="shared" si="6"/>
        <v>0</v>
      </c>
      <c r="AD8" s="114">
        <f t="shared" si="7"/>
        <v>0</v>
      </c>
      <c r="AE8" s="113"/>
      <c r="AF8" s="124"/>
      <c r="AG8" s="113">
        <f t="shared" ref="AG8:AI8" si="63">Y8</f>
        <v>0</v>
      </c>
      <c r="AH8" s="114">
        <f t="shared" si="63"/>
        <v>0</v>
      </c>
      <c r="AI8" s="113">
        <f t="shared" si="63"/>
        <v>0</v>
      </c>
      <c r="AJ8" s="114"/>
      <c r="AK8" s="114">
        <f t="shared" si="9"/>
        <v>0</v>
      </c>
      <c r="AL8" s="114">
        <f t="shared" si="10"/>
        <v>0</v>
      </c>
      <c r="AM8" s="113"/>
      <c r="AN8" s="124"/>
      <c r="AO8" s="113">
        <f t="shared" ref="AO8:AQ8" si="64">AG8</f>
        <v>0</v>
      </c>
      <c r="AP8" s="114">
        <f t="shared" si="64"/>
        <v>0</v>
      </c>
      <c r="AQ8" s="113">
        <f t="shared" si="64"/>
        <v>0</v>
      </c>
      <c r="AR8" s="114"/>
      <c r="AS8" s="114">
        <f t="shared" si="12"/>
        <v>0</v>
      </c>
      <c r="AT8" s="114">
        <f t="shared" si="13"/>
        <v>0</v>
      </c>
      <c r="AU8" s="113"/>
      <c r="AV8" s="124"/>
      <c r="AW8" s="113">
        <f t="shared" ref="AW8:AY8" si="65">AO8</f>
        <v>0</v>
      </c>
      <c r="AX8" s="114">
        <f t="shared" si="65"/>
        <v>0</v>
      </c>
      <c r="AY8" s="113">
        <f t="shared" si="65"/>
        <v>0</v>
      </c>
      <c r="AZ8" s="114"/>
      <c r="BA8" s="114">
        <f t="shared" si="15"/>
        <v>0</v>
      </c>
      <c r="BB8" s="114">
        <f t="shared" si="16"/>
        <v>0</v>
      </c>
      <c r="BC8" s="113"/>
      <c r="BD8" s="124"/>
      <c r="BE8" s="113">
        <f t="shared" ref="BE8:BG8" si="66">AW8</f>
        <v>0</v>
      </c>
      <c r="BF8" s="114">
        <f t="shared" si="66"/>
        <v>0</v>
      </c>
      <c r="BG8" s="113">
        <f t="shared" si="66"/>
        <v>0</v>
      </c>
      <c r="BH8" s="114"/>
      <c r="BI8" s="114">
        <f t="shared" si="18"/>
        <v>0</v>
      </c>
      <c r="BJ8" s="114">
        <f t="shared" si="19"/>
        <v>0</v>
      </c>
      <c r="BK8" s="113"/>
      <c r="BL8" s="124"/>
      <c r="BM8" s="113">
        <f t="shared" ref="BM8:BO8" si="67">BE8</f>
        <v>0</v>
      </c>
      <c r="BN8" s="114">
        <f t="shared" si="67"/>
        <v>0</v>
      </c>
      <c r="BO8" s="113">
        <f t="shared" si="67"/>
        <v>0</v>
      </c>
      <c r="BP8" s="114"/>
      <c r="BQ8" s="114">
        <f t="shared" si="21"/>
        <v>0</v>
      </c>
      <c r="BR8" s="114">
        <f t="shared" si="22"/>
        <v>0</v>
      </c>
      <c r="BS8" s="113"/>
      <c r="BT8" s="124"/>
      <c r="BU8" s="113">
        <f t="shared" ref="BU8:BW8" si="68">BM8</f>
        <v>0</v>
      </c>
      <c r="BV8" s="114">
        <f t="shared" si="68"/>
        <v>0</v>
      </c>
      <c r="BW8" s="113">
        <f t="shared" si="68"/>
        <v>0</v>
      </c>
      <c r="BX8" s="114"/>
      <c r="BY8" s="114">
        <f t="shared" si="24"/>
        <v>0</v>
      </c>
      <c r="BZ8" s="114">
        <f t="shared" si="25"/>
        <v>0</v>
      </c>
      <c r="CA8" s="113"/>
      <c r="CB8" s="124"/>
      <c r="CC8" s="113">
        <f t="shared" ref="CC8:CE8" si="69">BU8</f>
        <v>0</v>
      </c>
      <c r="CD8" s="114">
        <f t="shared" si="69"/>
        <v>0</v>
      </c>
      <c r="CE8" s="113">
        <f t="shared" si="69"/>
        <v>0</v>
      </c>
      <c r="CF8" s="114">
        <f t="shared" si="41"/>
        <v>0</v>
      </c>
      <c r="CG8" s="114">
        <f t="shared" si="27"/>
        <v>0</v>
      </c>
      <c r="CH8" s="114">
        <f t="shared" si="42"/>
        <v>0</v>
      </c>
      <c r="CI8" s="113"/>
    </row>
    <row r="9" s="104" customFormat="1" customHeight="1" spans="1:87">
      <c r="A9" s="126"/>
      <c r="B9" s="127"/>
      <c r="C9" s="126"/>
      <c r="D9" s="127"/>
      <c r="E9" s="127"/>
      <c r="F9" s="114">
        <f t="shared" si="0"/>
        <v>0</v>
      </c>
      <c r="G9" s="113"/>
      <c r="H9" s="124"/>
      <c r="I9" s="113">
        <f t="shared" si="28"/>
        <v>0</v>
      </c>
      <c r="J9" s="114">
        <f t="shared" si="29"/>
        <v>0</v>
      </c>
      <c r="K9" s="113">
        <f t="shared" si="30"/>
        <v>0</v>
      </c>
      <c r="L9" s="114"/>
      <c r="M9" s="114">
        <f t="shared" si="31"/>
        <v>0</v>
      </c>
      <c r="N9" s="114">
        <f t="shared" si="2"/>
        <v>0</v>
      </c>
      <c r="O9" s="113"/>
      <c r="P9" s="124"/>
      <c r="Q9" s="113">
        <f t="shared" ref="Q9:S9" si="70">I9</f>
        <v>0</v>
      </c>
      <c r="R9" s="114">
        <f t="shared" si="70"/>
        <v>0</v>
      </c>
      <c r="S9" s="113">
        <f t="shared" si="70"/>
        <v>0</v>
      </c>
      <c r="T9" s="114"/>
      <c r="U9" s="114">
        <f t="shared" si="3"/>
        <v>0</v>
      </c>
      <c r="V9" s="114">
        <f t="shared" si="4"/>
        <v>0</v>
      </c>
      <c r="W9" s="113"/>
      <c r="X9" s="124"/>
      <c r="Y9" s="113">
        <f t="shared" ref="Y9:AA9" si="71">Q9</f>
        <v>0</v>
      </c>
      <c r="Z9" s="114">
        <f t="shared" si="71"/>
        <v>0</v>
      </c>
      <c r="AA9" s="113">
        <f t="shared" si="71"/>
        <v>0</v>
      </c>
      <c r="AB9" s="114"/>
      <c r="AC9" s="114">
        <f t="shared" si="6"/>
        <v>0</v>
      </c>
      <c r="AD9" s="114">
        <f t="shared" si="7"/>
        <v>0</v>
      </c>
      <c r="AE9" s="113"/>
      <c r="AF9" s="124"/>
      <c r="AG9" s="113">
        <f t="shared" ref="AG9:AI9" si="72">Y9</f>
        <v>0</v>
      </c>
      <c r="AH9" s="114">
        <f t="shared" si="72"/>
        <v>0</v>
      </c>
      <c r="AI9" s="113">
        <f t="shared" si="72"/>
        <v>0</v>
      </c>
      <c r="AJ9" s="114"/>
      <c r="AK9" s="114">
        <f t="shared" si="9"/>
        <v>0</v>
      </c>
      <c r="AL9" s="114">
        <f t="shared" si="10"/>
        <v>0</v>
      </c>
      <c r="AM9" s="113"/>
      <c r="AN9" s="124"/>
      <c r="AO9" s="113">
        <f t="shared" ref="AO9:AQ9" si="73">AG9</f>
        <v>0</v>
      </c>
      <c r="AP9" s="114">
        <f t="shared" si="73"/>
        <v>0</v>
      </c>
      <c r="AQ9" s="113">
        <f t="shared" si="73"/>
        <v>0</v>
      </c>
      <c r="AR9" s="114"/>
      <c r="AS9" s="114">
        <f t="shared" si="12"/>
        <v>0</v>
      </c>
      <c r="AT9" s="114">
        <f t="shared" si="13"/>
        <v>0</v>
      </c>
      <c r="AU9" s="113"/>
      <c r="AV9" s="124"/>
      <c r="AW9" s="113">
        <f t="shared" ref="AW9:AY9" si="74">AO9</f>
        <v>0</v>
      </c>
      <c r="AX9" s="114">
        <f t="shared" si="74"/>
        <v>0</v>
      </c>
      <c r="AY9" s="113">
        <f t="shared" si="74"/>
        <v>0</v>
      </c>
      <c r="AZ9" s="114"/>
      <c r="BA9" s="114">
        <f t="shared" si="15"/>
        <v>0</v>
      </c>
      <c r="BB9" s="114">
        <f t="shared" si="16"/>
        <v>0</v>
      </c>
      <c r="BC9" s="113"/>
      <c r="BD9" s="124"/>
      <c r="BE9" s="113">
        <f t="shared" ref="BE9:BG9" si="75">AW9</f>
        <v>0</v>
      </c>
      <c r="BF9" s="114">
        <f t="shared" si="75"/>
        <v>0</v>
      </c>
      <c r="BG9" s="113">
        <f t="shared" si="75"/>
        <v>0</v>
      </c>
      <c r="BH9" s="114"/>
      <c r="BI9" s="114">
        <f t="shared" si="18"/>
        <v>0</v>
      </c>
      <c r="BJ9" s="114">
        <f t="shared" si="19"/>
        <v>0</v>
      </c>
      <c r="BK9" s="113"/>
      <c r="BL9" s="124"/>
      <c r="BM9" s="113">
        <f t="shared" ref="BM9:BO9" si="76">BE9</f>
        <v>0</v>
      </c>
      <c r="BN9" s="114">
        <f t="shared" si="76"/>
        <v>0</v>
      </c>
      <c r="BO9" s="113">
        <f t="shared" si="76"/>
        <v>0</v>
      </c>
      <c r="BP9" s="114"/>
      <c r="BQ9" s="114">
        <f t="shared" si="21"/>
        <v>0</v>
      </c>
      <c r="BR9" s="114">
        <f t="shared" si="22"/>
        <v>0</v>
      </c>
      <c r="BS9" s="113"/>
      <c r="BT9" s="124"/>
      <c r="BU9" s="113">
        <f t="shared" ref="BU9:BW9" si="77">BM9</f>
        <v>0</v>
      </c>
      <c r="BV9" s="114">
        <f t="shared" si="77"/>
        <v>0</v>
      </c>
      <c r="BW9" s="113">
        <f t="shared" si="77"/>
        <v>0</v>
      </c>
      <c r="BX9" s="114"/>
      <c r="BY9" s="114">
        <f t="shared" si="24"/>
        <v>0</v>
      </c>
      <c r="BZ9" s="114">
        <f t="shared" si="25"/>
        <v>0</v>
      </c>
      <c r="CA9" s="113"/>
      <c r="CB9" s="124"/>
      <c r="CC9" s="113">
        <f t="shared" ref="CC9:CE9" si="78">BU9</f>
        <v>0</v>
      </c>
      <c r="CD9" s="114">
        <f t="shared" si="78"/>
        <v>0</v>
      </c>
      <c r="CE9" s="113">
        <f t="shared" si="78"/>
        <v>0</v>
      </c>
      <c r="CF9" s="114">
        <f t="shared" si="41"/>
        <v>0</v>
      </c>
      <c r="CG9" s="114">
        <f t="shared" si="27"/>
        <v>0</v>
      </c>
      <c r="CH9" s="114">
        <f t="shared" si="42"/>
        <v>0</v>
      </c>
      <c r="CI9" s="113"/>
    </row>
    <row r="10" s="104" customFormat="1" customHeight="1" spans="1:87">
      <c r="A10" s="126"/>
      <c r="B10" s="127"/>
      <c r="C10" s="126"/>
      <c r="D10" s="127"/>
      <c r="E10" s="127"/>
      <c r="F10" s="114">
        <f t="shared" si="0"/>
        <v>0</v>
      </c>
      <c r="G10" s="113"/>
      <c r="H10" s="124"/>
      <c r="I10" s="113">
        <f t="shared" si="28"/>
        <v>0</v>
      </c>
      <c r="J10" s="114">
        <f t="shared" si="29"/>
        <v>0</v>
      </c>
      <c r="K10" s="113">
        <f t="shared" si="30"/>
        <v>0</v>
      </c>
      <c r="L10" s="114"/>
      <c r="M10" s="114">
        <f t="shared" si="31"/>
        <v>0</v>
      </c>
      <c r="N10" s="114">
        <f t="shared" si="2"/>
        <v>0</v>
      </c>
      <c r="O10" s="113"/>
      <c r="P10" s="124"/>
      <c r="Q10" s="113">
        <f t="shared" ref="Q10:S10" si="79">I10</f>
        <v>0</v>
      </c>
      <c r="R10" s="114">
        <f t="shared" si="79"/>
        <v>0</v>
      </c>
      <c r="S10" s="113">
        <f t="shared" si="79"/>
        <v>0</v>
      </c>
      <c r="T10" s="114"/>
      <c r="U10" s="114">
        <f t="shared" si="3"/>
        <v>0</v>
      </c>
      <c r="V10" s="114">
        <f t="shared" si="4"/>
        <v>0</v>
      </c>
      <c r="W10" s="113"/>
      <c r="X10" s="124"/>
      <c r="Y10" s="113">
        <f t="shared" ref="Y10:AA10" si="80">Q10</f>
        <v>0</v>
      </c>
      <c r="Z10" s="114">
        <f t="shared" si="80"/>
        <v>0</v>
      </c>
      <c r="AA10" s="113">
        <f t="shared" si="80"/>
        <v>0</v>
      </c>
      <c r="AB10" s="114"/>
      <c r="AC10" s="114">
        <f t="shared" si="6"/>
        <v>0</v>
      </c>
      <c r="AD10" s="114">
        <f t="shared" si="7"/>
        <v>0</v>
      </c>
      <c r="AE10" s="113"/>
      <c r="AF10" s="124"/>
      <c r="AG10" s="113">
        <f t="shared" ref="AG10:AI10" si="81">Y10</f>
        <v>0</v>
      </c>
      <c r="AH10" s="114">
        <f t="shared" si="81"/>
        <v>0</v>
      </c>
      <c r="AI10" s="113">
        <f t="shared" si="81"/>
        <v>0</v>
      </c>
      <c r="AJ10" s="114"/>
      <c r="AK10" s="114">
        <f t="shared" si="9"/>
        <v>0</v>
      </c>
      <c r="AL10" s="114">
        <f t="shared" si="10"/>
        <v>0</v>
      </c>
      <c r="AM10" s="113"/>
      <c r="AN10" s="124"/>
      <c r="AO10" s="113">
        <f t="shared" ref="AO10:AQ10" si="82">AG10</f>
        <v>0</v>
      </c>
      <c r="AP10" s="114">
        <f t="shared" si="82"/>
        <v>0</v>
      </c>
      <c r="AQ10" s="113">
        <f t="shared" si="82"/>
        <v>0</v>
      </c>
      <c r="AR10" s="114"/>
      <c r="AS10" s="114">
        <f t="shared" si="12"/>
        <v>0</v>
      </c>
      <c r="AT10" s="114">
        <f t="shared" si="13"/>
        <v>0</v>
      </c>
      <c r="AU10" s="113"/>
      <c r="AV10" s="124"/>
      <c r="AW10" s="113">
        <f t="shared" ref="AW10:AY10" si="83">AO10</f>
        <v>0</v>
      </c>
      <c r="AX10" s="114">
        <f t="shared" si="83"/>
        <v>0</v>
      </c>
      <c r="AY10" s="113">
        <f t="shared" si="83"/>
        <v>0</v>
      </c>
      <c r="AZ10" s="114"/>
      <c r="BA10" s="114">
        <f t="shared" si="15"/>
        <v>0</v>
      </c>
      <c r="BB10" s="114">
        <f t="shared" si="16"/>
        <v>0</v>
      </c>
      <c r="BC10" s="113"/>
      <c r="BD10" s="124"/>
      <c r="BE10" s="113">
        <f t="shared" ref="BE10:BG10" si="84">AW10</f>
        <v>0</v>
      </c>
      <c r="BF10" s="114">
        <f t="shared" si="84"/>
        <v>0</v>
      </c>
      <c r="BG10" s="113">
        <f t="shared" si="84"/>
        <v>0</v>
      </c>
      <c r="BH10" s="114"/>
      <c r="BI10" s="114">
        <f t="shared" si="18"/>
        <v>0</v>
      </c>
      <c r="BJ10" s="114">
        <f t="shared" si="19"/>
        <v>0</v>
      </c>
      <c r="BK10" s="113"/>
      <c r="BL10" s="124"/>
      <c r="BM10" s="113">
        <f t="shared" ref="BM10:BO10" si="85">BE10</f>
        <v>0</v>
      </c>
      <c r="BN10" s="114">
        <f t="shared" si="85"/>
        <v>0</v>
      </c>
      <c r="BO10" s="113">
        <f t="shared" si="85"/>
        <v>0</v>
      </c>
      <c r="BP10" s="114"/>
      <c r="BQ10" s="114">
        <f t="shared" si="21"/>
        <v>0</v>
      </c>
      <c r="BR10" s="114">
        <f t="shared" si="22"/>
        <v>0</v>
      </c>
      <c r="BS10" s="113"/>
      <c r="BT10" s="124"/>
      <c r="BU10" s="113">
        <f t="shared" ref="BU10:BW10" si="86">BM10</f>
        <v>0</v>
      </c>
      <c r="BV10" s="114">
        <f t="shared" si="86"/>
        <v>0</v>
      </c>
      <c r="BW10" s="113">
        <f t="shared" si="86"/>
        <v>0</v>
      </c>
      <c r="BX10" s="114"/>
      <c r="BY10" s="114">
        <f t="shared" si="24"/>
        <v>0</v>
      </c>
      <c r="BZ10" s="114">
        <f t="shared" si="25"/>
        <v>0</v>
      </c>
      <c r="CA10" s="113"/>
      <c r="CB10" s="124"/>
      <c r="CC10" s="113">
        <f t="shared" ref="CC10:CE10" si="87">BU10</f>
        <v>0</v>
      </c>
      <c r="CD10" s="114">
        <f t="shared" si="87"/>
        <v>0</v>
      </c>
      <c r="CE10" s="113">
        <f t="shared" si="87"/>
        <v>0</v>
      </c>
      <c r="CF10" s="114">
        <f t="shared" si="41"/>
        <v>0</v>
      </c>
      <c r="CG10" s="114">
        <f t="shared" si="27"/>
        <v>0</v>
      </c>
      <c r="CH10" s="114">
        <f t="shared" si="42"/>
        <v>0</v>
      </c>
      <c r="CI10" s="113"/>
    </row>
    <row r="11" s="104" customFormat="1" customHeight="1" spans="1:87">
      <c r="A11" s="126"/>
      <c r="B11" s="127"/>
      <c r="C11" s="126"/>
      <c r="D11" s="127"/>
      <c r="E11" s="127"/>
      <c r="F11" s="114">
        <f t="shared" si="0"/>
        <v>0</v>
      </c>
      <c r="G11" s="113"/>
      <c r="H11" s="124"/>
      <c r="I11" s="113">
        <f t="shared" si="28"/>
        <v>0</v>
      </c>
      <c r="J11" s="114">
        <f t="shared" si="29"/>
        <v>0</v>
      </c>
      <c r="K11" s="113">
        <f t="shared" si="30"/>
        <v>0</v>
      </c>
      <c r="L11" s="114"/>
      <c r="M11" s="114">
        <f t="shared" si="31"/>
        <v>0</v>
      </c>
      <c r="N11" s="114">
        <f t="shared" si="2"/>
        <v>0</v>
      </c>
      <c r="O11" s="113"/>
      <c r="P11" s="124"/>
      <c r="Q11" s="113">
        <f t="shared" ref="Q11:S11" si="88">I11</f>
        <v>0</v>
      </c>
      <c r="R11" s="114">
        <f t="shared" si="88"/>
        <v>0</v>
      </c>
      <c r="S11" s="113">
        <f t="shared" si="88"/>
        <v>0</v>
      </c>
      <c r="T11" s="114"/>
      <c r="U11" s="114">
        <f t="shared" si="3"/>
        <v>0</v>
      </c>
      <c r="V11" s="114">
        <f t="shared" si="4"/>
        <v>0</v>
      </c>
      <c r="W11" s="113"/>
      <c r="X11" s="124"/>
      <c r="Y11" s="113">
        <f t="shared" ref="Y11:AA11" si="89">Q11</f>
        <v>0</v>
      </c>
      <c r="Z11" s="114">
        <f t="shared" si="89"/>
        <v>0</v>
      </c>
      <c r="AA11" s="113">
        <f t="shared" si="89"/>
        <v>0</v>
      </c>
      <c r="AB11" s="114"/>
      <c r="AC11" s="114">
        <f t="shared" si="6"/>
        <v>0</v>
      </c>
      <c r="AD11" s="114">
        <f t="shared" si="7"/>
        <v>0</v>
      </c>
      <c r="AE11" s="113"/>
      <c r="AF11" s="124"/>
      <c r="AG11" s="113">
        <f t="shared" ref="AG11:AI11" si="90">Y11</f>
        <v>0</v>
      </c>
      <c r="AH11" s="114">
        <f t="shared" si="90"/>
        <v>0</v>
      </c>
      <c r="AI11" s="113">
        <f t="shared" si="90"/>
        <v>0</v>
      </c>
      <c r="AJ11" s="114"/>
      <c r="AK11" s="114">
        <f t="shared" si="9"/>
        <v>0</v>
      </c>
      <c r="AL11" s="114">
        <f t="shared" si="10"/>
        <v>0</v>
      </c>
      <c r="AM11" s="113"/>
      <c r="AN11" s="124"/>
      <c r="AO11" s="113">
        <f t="shared" ref="AO11:AQ11" si="91">AG11</f>
        <v>0</v>
      </c>
      <c r="AP11" s="114">
        <f t="shared" si="91"/>
        <v>0</v>
      </c>
      <c r="AQ11" s="113">
        <f t="shared" si="91"/>
        <v>0</v>
      </c>
      <c r="AR11" s="114"/>
      <c r="AS11" s="114">
        <f t="shared" si="12"/>
        <v>0</v>
      </c>
      <c r="AT11" s="114">
        <f t="shared" si="13"/>
        <v>0</v>
      </c>
      <c r="AU11" s="113"/>
      <c r="AV11" s="124"/>
      <c r="AW11" s="113">
        <f t="shared" ref="AW11:AY11" si="92">AO11</f>
        <v>0</v>
      </c>
      <c r="AX11" s="114">
        <f t="shared" si="92"/>
        <v>0</v>
      </c>
      <c r="AY11" s="113">
        <f t="shared" si="92"/>
        <v>0</v>
      </c>
      <c r="AZ11" s="114"/>
      <c r="BA11" s="114">
        <f t="shared" si="15"/>
        <v>0</v>
      </c>
      <c r="BB11" s="114">
        <f t="shared" si="16"/>
        <v>0</v>
      </c>
      <c r="BC11" s="113"/>
      <c r="BD11" s="124"/>
      <c r="BE11" s="113">
        <f t="shared" ref="BE11:BG11" si="93">AW11</f>
        <v>0</v>
      </c>
      <c r="BF11" s="114">
        <f t="shared" si="93"/>
        <v>0</v>
      </c>
      <c r="BG11" s="113">
        <f t="shared" si="93"/>
        <v>0</v>
      </c>
      <c r="BH11" s="114"/>
      <c r="BI11" s="114">
        <f t="shared" si="18"/>
        <v>0</v>
      </c>
      <c r="BJ11" s="114">
        <f t="shared" si="19"/>
        <v>0</v>
      </c>
      <c r="BK11" s="113"/>
      <c r="BL11" s="124"/>
      <c r="BM11" s="113">
        <f t="shared" ref="BM11:BO11" si="94">BE11</f>
        <v>0</v>
      </c>
      <c r="BN11" s="114">
        <f t="shared" si="94"/>
        <v>0</v>
      </c>
      <c r="BO11" s="113">
        <f t="shared" si="94"/>
        <v>0</v>
      </c>
      <c r="BP11" s="114"/>
      <c r="BQ11" s="114">
        <f t="shared" si="21"/>
        <v>0</v>
      </c>
      <c r="BR11" s="114">
        <f t="shared" si="22"/>
        <v>0</v>
      </c>
      <c r="BS11" s="113"/>
      <c r="BT11" s="124"/>
      <c r="BU11" s="113">
        <f t="shared" ref="BU11:BW11" si="95">BM11</f>
        <v>0</v>
      </c>
      <c r="BV11" s="114">
        <f t="shared" si="95"/>
        <v>0</v>
      </c>
      <c r="BW11" s="113">
        <f t="shared" si="95"/>
        <v>0</v>
      </c>
      <c r="BX11" s="114"/>
      <c r="BY11" s="114">
        <f t="shared" si="24"/>
        <v>0</v>
      </c>
      <c r="BZ11" s="114">
        <f t="shared" si="25"/>
        <v>0</v>
      </c>
      <c r="CA11" s="113"/>
      <c r="CB11" s="124"/>
      <c r="CC11" s="113">
        <f t="shared" ref="CC11:CE11" si="96">BU11</f>
        <v>0</v>
      </c>
      <c r="CD11" s="114">
        <f t="shared" si="96"/>
        <v>0</v>
      </c>
      <c r="CE11" s="113">
        <f t="shared" si="96"/>
        <v>0</v>
      </c>
      <c r="CF11" s="114">
        <f t="shared" si="41"/>
        <v>0</v>
      </c>
      <c r="CG11" s="114">
        <f t="shared" si="27"/>
        <v>0</v>
      </c>
      <c r="CH11" s="114">
        <f t="shared" si="42"/>
        <v>0</v>
      </c>
      <c r="CI11" s="113"/>
    </row>
    <row r="12" s="104" customFormat="1" customHeight="1" spans="1:87">
      <c r="A12" s="126"/>
      <c r="B12" s="127"/>
      <c r="C12" s="126"/>
      <c r="D12" s="127"/>
      <c r="E12" s="127"/>
      <c r="F12" s="114">
        <f t="shared" si="0"/>
        <v>0</v>
      </c>
      <c r="G12" s="113"/>
      <c r="H12" s="124"/>
      <c r="I12" s="113">
        <f t="shared" si="28"/>
        <v>0</v>
      </c>
      <c r="J12" s="114">
        <f t="shared" si="29"/>
        <v>0</v>
      </c>
      <c r="K12" s="113">
        <f t="shared" si="30"/>
        <v>0</v>
      </c>
      <c r="L12" s="114"/>
      <c r="M12" s="114">
        <f t="shared" si="31"/>
        <v>0</v>
      </c>
      <c r="N12" s="114">
        <f t="shared" si="2"/>
        <v>0</v>
      </c>
      <c r="O12" s="113"/>
      <c r="P12" s="124"/>
      <c r="Q12" s="113">
        <f t="shared" ref="Q12:S12" si="97">I12</f>
        <v>0</v>
      </c>
      <c r="R12" s="114">
        <f t="shared" si="97"/>
        <v>0</v>
      </c>
      <c r="S12" s="113">
        <f t="shared" si="97"/>
        <v>0</v>
      </c>
      <c r="T12" s="114"/>
      <c r="U12" s="114">
        <f t="shared" si="3"/>
        <v>0</v>
      </c>
      <c r="V12" s="114">
        <f t="shared" si="4"/>
        <v>0</v>
      </c>
      <c r="W12" s="113"/>
      <c r="X12" s="124"/>
      <c r="Y12" s="113">
        <f t="shared" ref="Y12:AA12" si="98">Q12</f>
        <v>0</v>
      </c>
      <c r="Z12" s="114">
        <f t="shared" si="98"/>
        <v>0</v>
      </c>
      <c r="AA12" s="113">
        <f t="shared" si="98"/>
        <v>0</v>
      </c>
      <c r="AB12" s="114"/>
      <c r="AC12" s="114">
        <f t="shared" si="6"/>
        <v>0</v>
      </c>
      <c r="AD12" s="114">
        <f t="shared" si="7"/>
        <v>0</v>
      </c>
      <c r="AE12" s="113"/>
      <c r="AF12" s="124"/>
      <c r="AG12" s="113">
        <f t="shared" ref="AG12:AI12" si="99">Y12</f>
        <v>0</v>
      </c>
      <c r="AH12" s="114">
        <f t="shared" si="99"/>
        <v>0</v>
      </c>
      <c r="AI12" s="113">
        <f t="shared" si="99"/>
        <v>0</v>
      </c>
      <c r="AJ12" s="114"/>
      <c r="AK12" s="114">
        <f t="shared" si="9"/>
        <v>0</v>
      </c>
      <c r="AL12" s="114">
        <f t="shared" si="10"/>
        <v>0</v>
      </c>
      <c r="AM12" s="113"/>
      <c r="AN12" s="124"/>
      <c r="AO12" s="113">
        <f t="shared" ref="AO12:AQ12" si="100">AG12</f>
        <v>0</v>
      </c>
      <c r="AP12" s="114">
        <f t="shared" si="100"/>
        <v>0</v>
      </c>
      <c r="AQ12" s="113">
        <f t="shared" si="100"/>
        <v>0</v>
      </c>
      <c r="AR12" s="114"/>
      <c r="AS12" s="114">
        <f t="shared" si="12"/>
        <v>0</v>
      </c>
      <c r="AT12" s="114">
        <f t="shared" si="13"/>
        <v>0</v>
      </c>
      <c r="AU12" s="113"/>
      <c r="AV12" s="124"/>
      <c r="AW12" s="113">
        <f t="shared" ref="AW12:AY12" si="101">AO12</f>
        <v>0</v>
      </c>
      <c r="AX12" s="114">
        <f t="shared" si="101"/>
        <v>0</v>
      </c>
      <c r="AY12" s="113">
        <f t="shared" si="101"/>
        <v>0</v>
      </c>
      <c r="AZ12" s="114"/>
      <c r="BA12" s="114">
        <f t="shared" si="15"/>
        <v>0</v>
      </c>
      <c r="BB12" s="114">
        <f t="shared" si="16"/>
        <v>0</v>
      </c>
      <c r="BC12" s="113"/>
      <c r="BD12" s="124"/>
      <c r="BE12" s="113">
        <f t="shared" ref="BE12:BG12" si="102">AW12</f>
        <v>0</v>
      </c>
      <c r="BF12" s="114">
        <f t="shared" si="102"/>
        <v>0</v>
      </c>
      <c r="BG12" s="113">
        <f t="shared" si="102"/>
        <v>0</v>
      </c>
      <c r="BH12" s="114"/>
      <c r="BI12" s="114">
        <f t="shared" si="18"/>
        <v>0</v>
      </c>
      <c r="BJ12" s="114">
        <f t="shared" si="19"/>
        <v>0</v>
      </c>
      <c r="BK12" s="113"/>
      <c r="BL12" s="124"/>
      <c r="BM12" s="113">
        <f t="shared" ref="BM12:BO12" si="103">BE12</f>
        <v>0</v>
      </c>
      <c r="BN12" s="114">
        <f t="shared" si="103"/>
        <v>0</v>
      </c>
      <c r="BO12" s="113">
        <f t="shared" si="103"/>
        <v>0</v>
      </c>
      <c r="BP12" s="114"/>
      <c r="BQ12" s="114">
        <f t="shared" si="21"/>
        <v>0</v>
      </c>
      <c r="BR12" s="114">
        <f t="shared" si="22"/>
        <v>0</v>
      </c>
      <c r="BS12" s="113"/>
      <c r="BT12" s="124"/>
      <c r="BU12" s="113">
        <f t="shared" ref="BU12:BW12" si="104">BM12</f>
        <v>0</v>
      </c>
      <c r="BV12" s="114">
        <f t="shared" si="104"/>
        <v>0</v>
      </c>
      <c r="BW12" s="113">
        <f t="shared" si="104"/>
        <v>0</v>
      </c>
      <c r="BX12" s="114"/>
      <c r="BY12" s="114">
        <f t="shared" si="24"/>
        <v>0</v>
      </c>
      <c r="BZ12" s="114">
        <f t="shared" si="25"/>
        <v>0</v>
      </c>
      <c r="CA12" s="113"/>
      <c r="CB12" s="124"/>
      <c r="CC12" s="113">
        <f t="shared" ref="CC12:CE12" si="105">BU12</f>
        <v>0</v>
      </c>
      <c r="CD12" s="114">
        <f t="shared" si="105"/>
        <v>0</v>
      </c>
      <c r="CE12" s="113">
        <f t="shared" si="105"/>
        <v>0</v>
      </c>
      <c r="CF12" s="114">
        <f t="shared" si="41"/>
        <v>0</v>
      </c>
      <c r="CG12" s="114">
        <f t="shared" si="27"/>
        <v>0</v>
      </c>
      <c r="CH12" s="114">
        <f t="shared" si="42"/>
        <v>0</v>
      </c>
      <c r="CI12" s="113"/>
    </row>
    <row r="13" s="104" customFormat="1" customHeight="1" spans="1:87">
      <c r="A13" s="113"/>
      <c r="B13" s="114"/>
      <c r="C13" s="113"/>
      <c r="D13" s="114"/>
      <c r="E13" s="114"/>
      <c r="F13" s="114">
        <f t="shared" si="0"/>
        <v>0</v>
      </c>
      <c r="G13" s="113"/>
      <c r="H13" s="124"/>
      <c r="I13" s="113">
        <f t="shared" si="28"/>
        <v>0</v>
      </c>
      <c r="J13" s="114">
        <f t="shared" si="29"/>
        <v>0</v>
      </c>
      <c r="K13" s="113">
        <f t="shared" si="30"/>
        <v>0</v>
      </c>
      <c r="L13" s="114"/>
      <c r="M13" s="114">
        <f t="shared" si="31"/>
        <v>0</v>
      </c>
      <c r="N13" s="114">
        <f t="shared" si="2"/>
        <v>0</v>
      </c>
      <c r="O13" s="113"/>
      <c r="P13" s="124"/>
      <c r="Q13" s="113">
        <f t="shared" ref="Q13:S13" si="106">I13</f>
        <v>0</v>
      </c>
      <c r="R13" s="114">
        <f t="shared" si="106"/>
        <v>0</v>
      </c>
      <c r="S13" s="113">
        <f t="shared" si="106"/>
        <v>0</v>
      </c>
      <c r="T13" s="114"/>
      <c r="U13" s="114">
        <f t="shared" si="3"/>
        <v>0</v>
      </c>
      <c r="V13" s="114">
        <f t="shared" si="4"/>
        <v>0</v>
      </c>
      <c r="W13" s="113"/>
      <c r="X13" s="124"/>
      <c r="Y13" s="113">
        <f t="shared" ref="Y13:AA13" si="107">Q13</f>
        <v>0</v>
      </c>
      <c r="Z13" s="114">
        <f t="shared" si="107"/>
        <v>0</v>
      </c>
      <c r="AA13" s="113">
        <f t="shared" si="107"/>
        <v>0</v>
      </c>
      <c r="AB13" s="114"/>
      <c r="AC13" s="114">
        <f t="shared" si="6"/>
        <v>0</v>
      </c>
      <c r="AD13" s="114">
        <f t="shared" si="7"/>
        <v>0</v>
      </c>
      <c r="AE13" s="113"/>
      <c r="AF13" s="124"/>
      <c r="AG13" s="113">
        <f t="shared" ref="AG13:AI13" si="108">Y13</f>
        <v>0</v>
      </c>
      <c r="AH13" s="114">
        <f t="shared" si="108"/>
        <v>0</v>
      </c>
      <c r="AI13" s="113">
        <f t="shared" si="108"/>
        <v>0</v>
      </c>
      <c r="AJ13" s="114"/>
      <c r="AK13" s="114">
        <f t="shared" si="9"/>
        <v>0</v>
      </c>
      <c r="AL13" s="114">
        <f t="shared" si="10"/>
        <v>0</v>
      </c>
      <c r="AM13" s="113"/>
      <c r="AN13" s="124"/>
      <c r="AO13" s="113">
        <f t="shared" ref="AO13:AQ13" si="109">AG13</f>
        <v>0</v>
      </c>
      <c r="AP13" s="114">
        <f t="shared" si="109"/>
        <v>0</v>
      </c>
      <c r="AQ13" s="113">
        <f t="shared" si="109"/>
        <v>0</v>
      </c>
      <c r="AR13" s="114"/>
      <c r="AS13" s="114">
        <f t="shared" si="12"/>
        <v>0</v>
      </c>
      <c r="AT13" s="114">
        <f t="shared" si="13"/>
        <v>0</v>
      </c>
      <c r="AU13" s="113"/>
      <c r="AV13" s="124"/>
      <c r="AW13" s="113">
        <f t="shared" ref="AW13:AY13" si="110">AO13</f>
        <v>0</v>
      </c>
      <c r="AX13" s="114">
        <f t="shared" si="110"/>
        <v>0</v>
      </c>
      <c r="AY13" s="113">
        <f t="shared" si="110"/>
        <v>0</v>
      </c>
      <c r="AZ13" s="114"/>
      <c r="BA13" s="114">
        <f t="shared" si="15"/>
        <v>0</v>
      </c>
      <c r="BB13" s="114">
        <f t="shared" si="16"/>
        <v>0</v>
      </c>
      <c r="BC13" s="113"/>
      <c r="BD13" s="124"/>
      <c r="BE13" s="113">
        <f t="shared" ref="BE13:BG13" si="111">AW13</f>
        <v>0</v>
      </c>
      <c r="BF13" s="114">
        <f t="shared" si="111"/>
        <v>0</v>
      </c>
      <c r="BG13" s="113">
        <f t="shared" si="111"/>
        <v>0</v>
      </c>
      <c r="BH13" s="114"/>
      <c r="BI13" s="114">
        <f t="shared" si="18"/>
        <v>0</v>
      </c>
      <c r="BJ13" s="114">
        <f t="shared" si="19"/>
        <v>0</v>
      </c>
      <c r="BK13" s="113"/>
      <c r="BL13" s="124"/>
      <c r="BM13" s="113">
        <f t="shared" ref="BM13:BO13" si="112">BE13</f>
        <v>0</v>
      </c>
      <c r="BN13" s="114">
        <f t="shared" si="112"/>
        <v>0</v>
      </c>
      <c r="BO13" s="113">
        <f t="shared" si="112"/>
        <v>0</v>
      </c>
      <c r="BP13" s="114"/>
      <c r="BQ13" s="114">
        <f t="shared" si="21"/>
        <v>0</v>
      </c>
      <c r="BR13" s="114">
        <f t="shared" si="22"/>
        <v>0</v>
      </c>
      <c r="BS13" s="113"/>
      <c r="BT13" s="124"/>
      <c r="BU13" s="113">
        <f t="shared" ref="BU13:BW13" si="113">BM13</f>
        <v>0</v>
      </c>
      <c r="BV13" s="114">
        <f t="shared" si="113"/>
        <v>0</v>
      </c>
      <c r="BW13" s="113">
        <f t="shared" si="113"/>
        <v>0</v>
      </c>
      <c r="BX13" s="114"/>
      <c r="BY13" s="114">
        <f t="shared" si="24"/>
        <v>0</v>
      </c>
      <c r="BZ13" s="114">
        <f t="shared" si="25"/>
        <v>0</v>
      </c>
      <c r="CA13" s="113"/>
      <c r="CB13" s="124"/>
      <c r="CC13" s="113">
        <f t="shared" ref="CC13:CE13" si="114">BU13</f>
        <v>0</v>
      </c>
      <c r="CD13" s="114">
        <f t="shared" si="114"/>
        <v>0</v>
      </c>
      <c r="CE13" s="113">
        <f t="shared" si="114"/>
        <v>0</v>
      </c>
      <c r="CF13" s="114">
        <f t="shared" si="41"/>
        <v>0</v>
      </c>
      <c r="CG13" s="114">
        <f t="shared" si="27"/>
        <v>0</v>
      </c>
      <c r="CH13" s="114">
        <f t="shared" si="42"/>
        <v>0</v>
      </c>
      <c r="CI13" s="113"/>
    </row>
    <row r="14" s="104" customFormat="1" customHeight="1" spans="1:87">
      <c r="A14" s="113"/>
      <c r="B14" s="114"/>
      <c r="C14" s="113"/>
      <c r="D14" s="114"/>
      <c r="E14" s="114"/>
      <c r="F14" s="114">
        <f t="shared" si="0"/>
        <v>0</v>
      </c>
      <c r="G14" s="113"/>
      <c r="H14" s="124"/>
      <c r="I14" s="113">
        <f t="shared" si="28"/>
        <v>0</v>
      </c>
      <c r="J14" s="114">
        <f t="shared" si="29"/>
        <v>0</v>
      </c>
      <c r="K14" s="113">
        <f t="shared" si="30"/>
        <v>0</v>
      </c>
      <c r="L14" s="114"/>
      <c r="M14" s="114">
        <f t="shared" si="31"/>
        <v>0</v>
      </c>
      <c r="N14" s="114">
        <f t="shared" si="2"/>
        <v>0</v>
      </c>
      <c r="O14" s="113"/>
      <c r="P14" s="124"/>
      <c r="Q14" s="113">
        <f t="shared" ref="Q14:S14" si="115">I14</f>
        <v>0</v>
      </c>
      <c r="R14" s="114">
        <f t="shared" si="115"/>
        <v>0</v>
      </c>
      <c r="S14" s="113">
        <f t="shared" si="115"/>
        <v>0</v>
      </c>
      <c r="T14" s="114"/>
      <c r="U14" s="114">
        <f t="shared" si="3"/>
        <v>0</v>
      </c>
      <c r="V14" s="114">
        <f t="shared" si="4"/>
        <v>0</v>
      </c>
      <c r="W14" s="113"/>
      <c r="X14" s="124"/>
      <c r="Y14" s="113">
        <f t="shared" ref="Y14:AA14" si="116">Q14</f>
        <v>0</v>
      </c>
      <c r="Z14" s="114">
        <f t="shared" si="116"/>
        <v>0</v>
      </c>
      <c r="AA14" s="113">
        <f t="shared" si="116"/>
        <v>0</v>
      </c>
      <c r="AB14" s="114"/>
      <c r="AC14" s="114">
        <f t="shared" si="6"/>
        <v>0</v>
      </c>
      <c r="AD14" s="114">
        <f t="shared" si="7"/>
        <v>0</v>
      </c>
      <c r="AE14" s="113"/>
      <c r="AF14" s="124"/>
      <c r="AG14" s="113">
        <f t="shared" ref="AG14:AI14" si="117">Y14</f>
        <v>0</v>
      </c>
      <c r="AH14" s="114">
        <f t="shared" si="117"/>
        <v>0</v>
      </c>
      <c r="AI14" s="113">
        <f t="shared" si="117"/>
        <v>0</v>
      </c>
      <c r="AJ14" s="114"/>
      <c r="AK14" s="114">
        <f t="shared" si="9"/>
        <v>0</v>
      </c>
      <c r="AL14" s="114">
        <f t="shared" si="10"/>
        <v>0</v>
      </c>
      <c r="AM14" s="113"/>
      <c r="AN14" s="124"/>
      <c r="AO14" s="113">
        <f t="shared" ref="AO14:AQ14" si="118">AG14</f>
        <v>0</v>
      </c>
      <c r="AP14" s="114">
        <f t="shared" si="118"/>
        <v>0</v>
      </c>
      <c r="AQ14" s="113">
        <f t="shared" si="118"/>
        <v>0</v>
      </c>
      <c r="AR14" s="114"/>
      <c r="AS14" s="114">
        <f t="shared" si="12"/>
        <v>0</v>
      </c>
      <c r="AT14" s="114">
        <f t="shared" si="13"/>
        <v>0</v>
      </c>
      <c r="AU14" s="113"/>
      <c r="AV14" s="124"/>
      <c r="AW14" s="113">
        <f t="shared" ref="AW14:AY14" si="119">AO14</f>
        <v>0</v>
      </c>
      <c r="AX14" s="114">
        <f t="shared" si="119"/>
        <v>0</v>
      </c>
      <c r="AY14" s="113">
        <f t="shared" si="119"/>
        <v>0</v>
      </c>
      <c r="AZ14" s="114"/>
      <c r="BA14" s="114">
        <f t="shared" si="15"/>
        <v>0</v>
      </c>
      <c r="BB14" s="114">
        <f t="shared" si="16"/>
        <v>0</v>
      </c>
      <c r="BC14" s="113"/>
      <c r="BD14" s="124"/>
      <c r="BE14" s="113">
        <f t="shared" ref="BE14:BG14" si="120">AW14</f>
        <v>0</v>
      </c>
      <c r="BF14" s="114">
        <f t="shared" si="120"/>
        <v>0</v>
      </c>
      <c r="BG14" s="113">
        <f t="shared" si="120"/>
        <v>0</v>
      </c>
      <c r="BH14" s="114"/>
      <c r="BI14" s="114">
        <f t="shared" si="18"/>
        <v>0</v>
      </c>
      <c r="BJ14" s="114">
        <f t="shared" si="19"/>
        <v>0</v>
      </c>
      <c r="BK14" s="113"/>
      <c r="BL14" s="124"/>
      <c r="BM14" s="113">
        <f t="shared" ref="BM14:BO14" si="121">BE14</f>
        <v>0</v>
      </c>
      <c r="BN14" s="114">
        <f t="shared" si="121"/>
        <v>0</v>
      </c>
      <c r="BO14" s="113">
        <f t="shared" si="121"/>
        <v>0</v>
      </c>
      <c r="BP14" s="114"/>
      <c r="BQ14" s="114">
        <f t="shared" si="21"/>
        <v>0</v>
      </c>
      <c r="BR14" s="114">
        <f t="shared" si="22"/>
        <v>0</v>
      </c>
      <c r="BS14" s="113"/>
      <c r="BT14" s="124"/>
      <c r="BU14" s="113">
        <f t="shared" ref="BU14:BW14" si="122">BM14</f>
        <v>0</v>
      </c>
      <c r="BV14" s="114">
        <f t="shared" si="122"/>
        <v>0</v>
      </c>
      <c r="BW14" s="113">
        <f t="shared" si="122"/>
        <v>0</v>
      </c>
      <c r="BX14" s="114"/>
      <c r="BY14" s="114">
        <f t="shared" si="24"/>
        <v>0</v>
      </c>
      <c r="BZ14" s="114">
        <f t="shared" si="25"/>
        <v>0</v>
      </c>
      <c r="CA14" s="113"/>
      <c r="CB14" s="124"/>
      <c r="CC14" s="113">
        <f t="shared" ref="CC14:CE14" si="123">BU14</f>
        <v>0</v>
      </c>
      <c r="CD14" s="114">
        <f t="shared" si="123"/>
        <v>0</v>
      </c>
      <c r="CE14" s="113">
        <f t="shared" si="123"/>
        <v>0</v>
      </c>
      <c r="CF14" s="114">
        <f t="shared" si="41"/>
        <v>0</v>
      </c>
      <c r="CG14" s="114">
        <f t="shared" si="27"/>
        <v>0</v>
      </c>
      <c r="CH14" s="114">
        <f t="shared" si="42"/>
        <v>0</v>
      </c>
      <c r="CI14" s="113"/>
    </row>
    <row r="15" s="104" customFormat="1" customHeight="1" spans="1:87">
      <c r="A15" s="113"/>
      <c r="B15" s="114"/>
      <c r="C15" s="113"/>
      <c r="D15" s="114"/>
      <c r="E15" s="114"/>
      <c r="F15" s="114">
        <f t="shared" si="0"/>
        <v>0</v>
      </c>
      <c r="G15" s="113"/>
      <c r="H15" s="124"/>
      <c r="I15" s="113">
        <f t="shared" si="28"/>
        <v>0</v>
      </c>
      <c r="J15" s="114">
        <f t="shared" si="29"/>
        <v>0</v>
      </c>
      <c r="K15" s="113">
        <f t="shared" si="30"/>
        <v>0</v>
      </c>
      <c r="L15" s="114"/>
      <c r="M15" s="114">
        <f t="shared" si="31"/>
        <v>0</v>
      </c>
      <c r="N15" s="114">
        <f t="shared" si="2"/>
        <v>0</v>
      </c>
      <c r="O15" s="113"/>
      <c r="P15" s="124"/>
      <c r="Q15" s="113">
        <f t="shared" ref="Q15:S15" si="124">I15</f>
        <v>0</v>
      </c>
      <c r="R15" s="114">
        <f t="shared" si="124"/>
        <v>0</v>
      </c>
      <c r="S15" s="113">
        <f t="shared" si="124"/>
        <v>0</v>
      </c>
      <c r="T15" s="114"/>
      <c r="U15" s="114">
        <f t="shared" si="3"/>
        <v>0</v>
      </c>
      <c r="V15" s="114">
        <f t="shared" si="4"/>
        <v>0</v>
      </c>
      <c r="W15" s="113"/>
      <c r="X15" s="124"/>
      <c r="Y15" s="113">
        <f t="shared" ref="Y15:AA15" si="125">Q15</f>
        <v>0</v>
      </c>
      <c r="Z15" s="114">
        <f t="shared" si="125"/>
        <v>0</v>
      </c>
      <c r="AA15" s="113">
        <f t="shared" si="125"/>
        <v>0</v>
      </c>
      <c r="AB15" s="114"/>
      <c r="AC15" s="114">
        <f t="shared" si="6"/>
        <v>0</v>
      </c>
      <c r="AD15" s="114">
        <f t="shared" si="7"/>
        <v>0</v>
      </c>
      <c r="AE15" s="113"/>
      <c r="AF15" s="124"/>
      <c r="AG15" s="113">
        <f t="shared" ref="AG15:AI15" si="126">Y15</f>
        <v>0</v>
      </c>
      <c r="AH15" s="114">
        <f t="shared" si="126"/>
        <v>0</v>
      </c>
      <c r="AI15" s="113">
        <f t="shared" si="126"/>
        <v>0</v>
      </c>
      <c r="AJ15" s="114"/>
      <c r="AK15" s="114">
        <f t="shared" si="9"/>
        <v>0</v>
      </c>
      <c r="AL15" s="114">
        <f t="shared" si="10"/>
        <v>0</v>
      </c>
      <c r="AM15" s="113"/>
      <c r="AN15" s="124"/>
      <c r="AO15" s="113">
        <f t="shared" ref="AO15:AQ15" si="127">AG15</f>
        <v>0</v>
      </c>
      <c r="AP15" s="114">
        <f t="shared" si="127"/>
        <v>0</v>
      </c>
      <c r="AQ15" s="113">
        <f t="shared" si="127"/>
        <v>0</v>
      </c>
      <c r="AR15" s="114"/>
      <c r="AS15" s="114">
        <f t="shared" si="12"/>
        <v>0</v>
      </c>
      <c r="AT15" s="114">
        <f t="shared" si="13"/>
        <v>0</v>
      </c>
      <c r="AU15" s="113"/>
      <c r="AV15" s="124"/>
      <c r="AW15" s="113">
        <f t="shared" ref="AW15:AY15" si="128">AO15</f>
        <v>0</v>
      </c>
      <c r="AX15" s="114">
        <f t="shared" si="128"/>
        <v>0</v>
      </c>
      <c r="AY15" s="113">
        <f t="shared" si="128"/>
        <v>0</v>
      </c>
      <c r="AZ15" s="114"/>
      <c r="BA15" s="114">
        <f t="shared" si="15"/>
        <v>0</v>
      </c>
      <c r="BB15" s="114">
        <f t="shared" si="16"/>
        <v>0</v>
      </c>
      <c r="BC15" s="113"/>
      <c r="BD15" s="124"/>
      <c r="BE15" s="113">
        <f t="shared" ref="BE15:BG15" si="129">AW15</f>
        <v>0</v>
      </c>
      <c r="BF15" s="114">
        <f t="shared" si="129"/>
        <v>0</v>
      </c>
      <c r="BG15" s="113">
        <f t="shared" si="129"/>
        <v>0</v>
      </c>
      <c r="BH15" s="114"/>
      <c r="BI15" s="114">
        <f t="shared" si="18"/>
        <v>0</v>
      </c>
      <c r="BJ15" s="114">
        <f t="shared" si="19"/>
        <v>0</v>
      </c>
      <c r="BK15" s="113"/>
      <c r="BL15" s="124"/>
      <c r="BM15" s="113">
        <f t="shared" ref="BM15:BO15" si="130">BE15</f>
        <v>0</v>
      </c>
      <c r="BN15" s="114">
        <f t="shared" si="130"/>
        <v>0</v>
      </c>
      <c r="BO15" s="113">
        <f t="shared" si="130"/>
        <v>0</v>
      </c>
      <c r="BP15" s="114"/>
      <c r="BQ15" s="114">
        <f t="shared" si="21"/>
        <v>0</v>
      </c>
      <c r="BR15" s="114">
        <f t="shared" si="22"/>
        <v>0</v>
      </c>
      <c r="BS15" s="113"/>
      <c r="BT15" s="124"/>
      <c r="BU15" s="113">
        <f t="shared" ref="BU15:BW15" si="131">BM15</f>
        <v>0</v>
      </c>
      <c r="BV15" s="114">
        <f t="shared" si="131"/>
        <v>0</v>
      </c>
      <c r="BW15" s="113">
        <f t="shared" si="131"/>
        <v>0</v>
      </c>
      <c r="BX15" s="114"/>
      <c r="BY15" s="114">
        <f t="shared" si="24"/>
        <v>0</v>
      </c>
      <c r="BZ15" s="114">
        <f t="shared" si="25"/>
        <v>0</v>
      </c>
      <c r="CA15" s="113"/>
      <c r="CB15" s="124"/>
      <c r="CC15" s="113">
        <f t="shared" ref="CC15:CE15" si="132">BU15</f>
        <v>0</v>
      </c>
      <c r="CD15" s="114">
        <f t="shared" si="132"/>
        <v>0</v>
      </c>
      <c r="CE15" s="113">
        <f t="shared" si="132"/>
        <v>0</v>
      </c>
      <c r="CF15" s="114">
        <f t="shared" si="41"/>
        <v>0</v>
      </c>
      <c r="CG15" s="114">
        <f t="shared" si="27"/>
        <v>0</v>
      </c>
      <c r="CH15" s="114">
        <f t="shared" si="42"/>
        <v>0</v>
      </c>
      <c r="CI15" s="113"/>
    </row>
    <row r="16" s="104" customFormat="1" customHeight="1" spans="1:87">
      <c r="A16" s="115" t="s">
        <v>340</v>
      </c>
      <c r="B16" s="116"/>
      <c r="C16" s="116"/>
      <c r="D16" s="116"/>
      <c r="E16" s="117"/>
      <c r="F16" s="118">
        <f>SUM(F4:F15)</f>
        <v>0</v>
      </c>
      <c r="G16" s="114"/>
      <c r="H16" s="124"/>
      <c r="I16" s="115" t="s">
        <v>340</v>
      </c>
      <c r="J16" s="116"/>
      <c r="K16" s="116"/>
      <c r="L16" s="116"/>
      <c r="M16" s="117"/>
      <c r="N16" s="118">
        <f>SUM(N4:N15)</f>
        <v>0</v>
      </c>
      <c r="O16" s="114"/>
      <c r="P16" s="124"/>
      <c r="Q16" s="115" t="s">
        <v>340</v>
      </c>
      <c r="R16" s="116"/>
      <c r="S16" s="116"/>
      <c r="T16" s="116"/>
      <c r="U16" s="117"/>
      <c r="V16" s="118">
        <f>SUM(V4:V15)</f>
        <v>0</v>
      </c>
      <c r="W16" s="114"/>
      <c r="X16" s="124"/>
      <c r="Y16" s="115" t="s">
        <v>340</v>
      </c>
      <c r="Z16" s="116"/>
      <c r="AA16" s="116"/>
      <c r="AB16" s="116"/>
      <c r="AC16" s="117"/>
      <c r="AD16" s="118">
        <f>SUM(AD4:AD15)</f>
        <v>0</v>
      </c>
      <c r="AE16" s="114"/>
      <c r="AF16" s="124"/>
      <c r="AG16" s="115" t="s">
        <v>340</v>
      </c>
      <c r="AH16" s="116"/>
      <c r="AI16" s="116"/>
      <c r="AJ16" s="116"/>
      <c r="AK16" s="117"/>
      <c r="AL16" s="118">
        <f>SUM(AL4:AL15)</f>
        <v>0</v>
      </c>
      <c r="AM16" s="114"/>
      <c r="AN16" s="124"/>
      <c r="AO16" s="115" t="s">
        <v>340</v>
      </c>
      <c r="AP16" s="116"/>
      <c r="AQ16" s="116"/>
      <c r="AR16" s="116"/>
      <c r="AS16" s="117"/>
      <c r="AT16" s="118">
        <f>SUM(AT4:AT15)</f>
        <v>0</v>
      </c>
      <c r="AU16" s="114"/>
      <c r="AV16" s="124"/>
      <c r="AW16" s="115" t="s">
        <v>340</v>
      </c>
      <c r="AX16" s="116"/>
      <c r="AY16" s="116"/>
      <c r="AZ16" s="116"/>
      <c r="BA16" s="117"/>
      <c r="BB16" s="118">
        <f>SUM(BB4:BB15)</f>
        <v>0</v>
      </c>
      <c r="BC16" s="114"/>
      <c r="BD16" s="124"/>
      <c r="BE16" s="115" t="s">
        <v>340</v>
      </c>
      <c r="BF16" s="116"/>
      <c r="BG16" s="116"/>
      <c r="BH16" s="116"/>
      <c r="BI16" s="117"/>
      <c r="BJ16" s="118">
        <f>SUM(BJ4:BJ15)</f>
        <v>0</v>
      </c>
      <c r="BK16" s="114"/>
      <c r="BL16" s="124"/>
      <c r="BM16" s="115" t="s">
        <v>340</v>
      </c>
      <c r="BN16" s="116"/>
      <c r="BO16" s="116"/>
      <c r="BP16" s="116"/>
      <c r="BQ16" s="117"/>
      <c r="BR16" s="118">
        <f>SUM(BR4:BR15)</f>
        <v>0</v>
      </c>
      <c r="BS16" s="114"/>
      <c r="BT16" s="124"/>
      <c r="BU16" s="115" t="s">
        <v>340</v>
      </c>
      <c r="BV16" s="116"/>
      <c r="BW16" s="116"/>
      <c r="BX16" s="116"/>
      <c r="BY16" s="117"/>
      <c r="BZ16" s="118">
        <f>SUM(BZ4:BZ15)</f>
        <v>0</v>
      </c>
      <c r="CA16" s="114"/>
      <c r="CB16" s="124"/>
      <c r="CC16" s="115" t="s">
        <v>340</v>
      </c>
      <c r="CD16" s="116"/>
      <c r="CE16" s="116"/>
      <c r="CF16" s="116"/>
      <c r="CG16" s="117"/>
      <c r="CH16" s="118">
        <f>SUM(CH4:CH15)</f>
        <v>0</v>
      </c>
      <c r="CI16" s="114"/>
    </row>
    <row r="17" s="104" customFormat="1" customHeight="1" spans="1:87">
      <c r="A17" s="119" t="s">
        <v>341</v>
      </c>
      <c r="B17" s="119"/>
      <c r="C17" s="120"/>
      <c r="D17" s="119"/>
      <c r="E17" s="119"/>
      <c r="F17" s="119"/>
      <c r="G17" s="119"/>
      <c r="H17" s="124"/>
      <c r="I17" s="119" t="s">
        <v>341</v>
      </c>
      <c r="J17" s="119"/>
      <c r="K17" s="120"/>
      <c r="L17" s="119"/>
      <c r="M17" s="119"/>
      <c r="N17" s="119"/>
      <c r="O17" s="119"/>
      <c r="P17" s="124"/>
      <c r="Q17" s="119" t="s">
        <v>341</v>
      </c>
      <c r="R17" s="119"/>
      <c r="S17" s="120"/>
      <c r="T17" s="119"/>
      <c r="U17" s="119"/>
      <c r="V17" s="119"/>
      <c r="W17" s="119"/>
      <c r="X17" s="124"/>
      <c r="Y17" s="119" t="s">
        <v>341</v>
      </c>
      <c r="Z17" s="119"/>
      <c r="AA17" s="120"/>
      <c r="AB17" s="119"/>
      <c r="AC17" s="119"/>
      <c r="AD17" s="119"/>
      <c r="AE17" s="119"/>
      <c r="AF17" s="124"/>
      <c r="AG17" s="119" t="s">
        <v>341</v>
      </c>
      <c r="AH17" s="119"/>
      <c r="AI17" s="120"/>
      <c r="AJ17" s="119"/>
      <c r="AK17" s="119"/>
      <c r="AL17" s="119"/>
      <c r="AM17" s="119"/>
      <c r="AN17" s="124"/>
      <c r="AO17" s="119" t="s">
        <v>341</v>
      </c>
      <c r="AP17" s="119"/>
      <c r="AQ17" s="120"/>
      <c r="AR17" s="119"/>
      <c r="AS17" s="119"/>
      <c r="AT17" s="119"/>
      <c r="AU17" s="119"/>
      <c r="AV17" s="124"/>
      <c r="AW17" s="119" t="s">
        <v>341</v>
      </c>
      <c r="AX17" s="119"/>
      <c r="AY17" s="120"/>
      <c r="AZ17" s="119"/>
      <c r="BA17" s="119"/>
      <c r="BB17" s="119"/>
      <c r="BC17" s="119"/>
      <c r="BD17" s="124"/>
      <c r="BE17" s="119" t="s">
        <v>341</v>
      </c>
      <c r="BF17" s="119"/>
      <c r="BG17" s="120"/>
      <c r="BH17" s="119"/>
      <c r="BI17" s="119"/>
      <c r="BJ17" s="119"/>
      <c r="BK17" s="119"/>
      <c r="BL17" s="124"/>
      <c r="BM17" s="119" t="s">
        <v>341</v>
      </c>
      <c r="BN17" s="119"/>
      <c r="BO17" s="120"/>
      <c r="BP17" s="119"/>
      <c r="BQ17" s="119"/>
      <c r="BR17" s="119"/>
      <c r="BS17" s="119"/>
      <c r="BT17" s="124"/>
      <c r="BU17" s="119" t="s">
        <v>341</v>
      </c>
      <c r="BV17" s="119"/>
      <c r="BW17" s="120"/>
      <c r="BX17" s="119"/>
      <c r="BY17" s="119"/>
      <c r="BZ17" s="119"/>
      <c r="CA17" s="119"/>
      <c r="CB17" s="124"/>
      <c r="CC17" s="119" t="s">
        <v>341</v>
      </c>
      <c r="CD17" s="119"/>
      <c r="CE17" s="120"/>
      <c r="CF17" s="119"/>
      <c r="CG17" s="119"/>
      <c r="CH17" s="119"/>
      <c r="CI17" s="119"/>
    </row>
    <row r="20" s="104" customFormat="1" customHeight="1" spans="1:87">
      <c r="A20" s="105"/>
      <c r="B20" s="106"/>
      <c r="C20" s="107" t="s">
        <v>330</v>
      </c>
      <c r="D20" s="107"/>
      <c r="E20" s="107"/>
      <c r="F20" s="105"/>
      <c r="G20" s="105"/>
      <c r="H20" s="124" t="str">
        <f>H1</f>
        <v>RD01</v>
      </c>
      <c r="I20" s="105"/>
      <c r="J20" s="106"/>
      <c r="K20" s="107" t="s">
        <v>330</v>
      </c>
      <c r="L20" s="107"/>
      <c r="M20" s="107"/>
      <c r="N20" s="105"/>
      <c r="O20" s="105"/>
      <c r="P20" s="124" t="str">
        <f>P1</f>
        <v>RD02</v>
      </c>
      <c r="Q20" s="105"/>
      <c r="R20" s="106"/>
      <c r="S20" s="107" t="s">
        <v>330</v>
      </c>
      <c r="T20" s="107"/>
      <c r="U20" s="107"/>
      <c r="V20" s="105"/>
      <c r="W20" s="105"/>
      <c r="X20" s="124" t="str">
        <f>X1</f>
        <v>RD03</v>
      </c>
      <c r="Y20" s="105"/>
      <c r="Z20" s="106"/>
      <c r="AA20" s="107" t="s">
        <v>330</v>
      </c>
      <c r="AB20" s="107"/>
      <c r="AC20" s="107"/>
      <c r="AD20" s="105"/>
      <c r="AE20" s="105"/>
      <c r="AF20" s="124" t="str">
        <f>AF1</f>
        <v>RD04</v>
      </c>
      <c r="AG20" s="105"/>
      <c r="AH20" s="106"/>
      <c r="AI20" s="107" t="s">
        <v>330</v>
      </c>
      <c r="AJ20" s="107"/>
      <c r="AK20" s="107"/>
      <c r="AL20" s="105"/>
      <c r="AM20" s="105"/>
      <c r="AN20" s="124" t="str">
        <f>AN1</f>
        <v>RD05</v>
      </c>
      <c r="AO20" s="105"/>
      <c r="AP20" s="106"/>
      <c r="AQ20" s="107" t="s">
        <v>330</v>
      </c>
      <c r="AR20" s="107"/>
      <c r="AS20" s="107"/>
      <c r="AT20" s="105"/>
      <c r="AU20" s="105"/>
      <c r="AV20" s="124" t="str">
        <f>AV1</f>
        <v>RD06</v>
      </c>
      <c r="AW20" s="105"/>
      <c r="AX20" s="106"/>
      <c r="AY20" s="107" t="s">
        <v>330</v>
      </c>
      <c r="AZ20" s="107"/>
      <c r="BA20" s="107"/>
      <c r="BB20" s="105"/>
      <c r="BC20" s="105"/>
      <c r="BD20" s="124" t="str">
        <f>BD1</f>
        <v>RD07</v>
      </c>
      <c r="BE20" s="105"/>
      <c r="BF20" s="106"/>
      <c r="BG20" s="107" t="s">
        <v>330</v>
      </c>
      <c r="BH20" s="107"/>
      <c r="BI20" s="107"/>
      <c r="BJ20" s="105"/>
      <c r="BK20" s="105"/>
      <c r="BL20" s="124" t="str">
        <f>BL1</f>
        <v>RD08</v>
      </c>
      <c r="BM20" s="105"/>
      <c r="BN20" s="106"/>
      <c r="BO20" s="107" t="s">
        <v>330</v>
      </c>
      <c r="BP20" s="107"/>
      <c r="BQ20" s="107"/>
      <c r="BR20" s="105"/>
      <c r="BS20" s="105"/>
      <c r="BT20" s="124" t="str">
        <f>BT1</f>
        <v>RD09</v>
      </c>
      <c r="BU20" s="105"/>
      <c r="BV20" s="106"/>
      <c r="BW20" s="107" t="s">
        <v>330</v>
      </c>
      <c r="BX20" s="107"/>
      <c r="BY20" s="107"/>
      <c r="BZ20" s="105"/>
      <c r="CA20" s="105"/>
      <c r="CB20" s="124" t="str">
        <f>CB1</f>
        <v>RD10</v>
      </c>
      <c r="CC20" s="105"/>
      <c r="CD20" s="106"/>
      <c r="CE20" s="107" t="s">
        <v>330</v>
      </c>
      <c r="CF20" s="107"/>
      <c r="CG20" s="107"/>
      <c r="CH20" s="105"/>
      <c r="CI20" s="105"/>
    </row>
    <row r="21" s="122" customFormat="1" customHeight="1" spans="1:87">
      <c r="A21" s="108" t="s">
        <v>331</v>
      </c>
      <c r="B21" s="109"/>
      <c r="C21" s="110">
        <v>45716</v>
      </c>
      <c r="D21" s="110"/>
      <c r="E21" s="110"/>
      <c r="F21" s="111"/>
      <c r="G21" s="112"/>
      <c r="H21" s="125"/>
      <c r="I21" s="108" t="s">
        <v>331</v>
      </c>
      <c r="J21" s="109"/>
      <c r="K21" s="110">
        <v>45716</v>
      </c>
      <c r="L21" s="110"/>
      <c r="M21" s="110"/>
      <c r="N21" s="111" t="s">
        <v>332</v>
      </c>
      <c r="O21" s="112" t="str">
        <f>立项!$A$3</f>
        <v>RD01</v>
      </c>
      <c r="P21" s="125"/>
      <c r="Q21" s="108" t="s">
        <v>331</v>
      </c>
      <c r="R21" s="109"/>
      <c r="S21" s="110">
        <v>45716</v>
      </c>
      <c r="T21" s="110"/>
      <c r="U21" s="110"/>
      <c r="V21" s="111" t="s">
        <v>332</v>
      </c>
      <c r="W21" s="112" t="str">
        <f>立项!$A$4</f>
        <v>RD02</v>
      </c>
      <c r="X21" s="125"/>
      <c r="Y21" s="108" t="s">
        <v>331</v>
      </c>
      <c r="Z21" s="109"/>
      <c r="AA21" s="110">
        <v>45716</v>
      </c>
      <c r="AB21" s="110"/>
      <c r="AC21" s="110"/>
      <c r="AD21" s="111" t="s">
        <v>332</v>
      </c>
      <c r="AE21" s="112" t="str">
        <f>立项!$A$5</f>
        <v>RD03</v>
      </c>
      <c r="AF21" s="125"/>
      <c r="AG21" s="108" t="s">
        <v>331</v>
      </c>
      <c r="AH21" s="109"/>
      <c r="AI21" s="110">
        <v>45716</v>
      </c>
      <c r="AJ21" s="110"/>
      <c r="AK21" s="110"/>
      <c r="AL21" s="111" t="s">
        <v>332</v>
      </c>
      <c r="AM21" s="112" t="str">
        <f>立项!$A$6</f>
        <v>RD04</v>
      </c>
      <c r="AN21" s="125"/>
      <c r="AO21" s="108" t="s">
        <v>331</v>
      </c>
      <c r="AP21" s="109"/>
      <c r="AQ21" s="110">
        <v>45716</v>
      </c>
      <c r="AR21" s="110"/>
      <c r="AS21" s="110"/>
      <c r="AT21" s="111" t="s">
        <v>332</v>
      </c>
      <c r="AU21" s="112" t="str">
        <f>立项!$A$7</f>
        <v>RD05</v>
      </c>
      <c r="AV21" s="125"/>
      <c r="AW21" s="108" t="s">
        <v>331</v>
      </c>
      <c r="AX21" s="109"/>
      <c r="AY21" s="110">
        <v>45716</v>
      </c>
      <c r="AZ21" s="110"/>
      <c r="BA21" s="110"/>
      <c r="BB21" s="111" t="s">
        <v>332</v>
      </c>
      <c r="BC21" s="112" t="str">
        <f>立项!$A$8</f>
        <v>RD06</v>
      </c>
      <c r="BD21" s="125"/>
      <c r="BE21" s="108" t="s">
        <v>331</v>
      </c>
      <c r="BF21" s="109"/>
      <c r="BG21" s="110">
        <v>45716</v>
      </c>
      <c r="BH21" s="110"/>
      <c r="BI21" s="110"/>
      <c r="BJ21" s="111" t="s">
        <v>332</v>
      </c>
      <c r="BK21" s="112" t="str">
        <f>立项!$A$9</f>
        <v>RD07</v>
      </c>
      <c r="BL21" s="125"/>
      <c r="BM21" s="108" t="s">
        <v>331</v>
      </c>
      <c r="BN21" s="109"/>
      <c r="BO21" s="110">
        <v>45716</v>
      </c>
      <c r="BP21" s="110"/>
      <c r="BQ21" s="110"/>
      <c r="BR21" s="111" t="s">
        <v>332</v>
      </c>
      <c r="BS21" s="112" t="str">
        <f>立项!$A$10</f>
        <v>RD08</v>
      </c>
      <c r="BT21" s="125"/>
      <c r="BU21" s="108" t="s">
        <v>331</v>
      </c>
      <c r="BV21" s="109"/>
      <c r="BW21" s="110">
        <v>45716</v>
      </c>
      <c r="BX21" s="110"/>
      <c r="BY21" s="110"/>
      <c r="BZ21" s="111" t="s">
        <v>332</v>
      </c>
      <c r="CA21" s="112" t="str">
        <f>立项!$A$11</f>
        <v>RD09</v>
      </c>
      <c r="CB21" s="125"/>
      <c r="CC21" s="108" t="s">
        <v>331</v>
      </c>
      <c r="CD21" s="109"/>
      <c r="CE21" s="110">
        <v>45716</v>
      </c>
      <c r="CF21" s="110"/>
      <c r="CG21" s="110"/>
      <c r="CH21" s="111" t="s">
        <v>332</v>
      </c>
      <c r="CI21" s="112" t="str">
        <f>立项!$A$12</f>
        <v>RD10</v>
      </c>
    </row>
    <row r="22" customHeight="1" spans="1:87">
      <c r="A22" s="113" t="s">
        <v>333</v>
      </c>
      <c r="B22" s="113" t="s">
        <v>334</v>
      </c>
      <c r="C22" s="113" t="s">
        <v>335</v>
      </c>
      <c r="D22" s="113" t="s">
        <v>336</v>
      </c>
      <c r="E22" s="113" t="s">
        <v>337</v>
      </c>
      <c r="F22" s="113" t="s">
        <v>338</v>
      </c>
      <c r="G22" s="113" t="s">
        <v>339</v>
      </c>
      <c r="I22" s="113" t="s">
        <v>333</v>
      </c>
      <c r="J22" s="113" t="s">
        <v>334</v>
      </c>
      <c r="K22" s="113" t="s">
        <v>335</v>
      </c>
      <c r="L22" s="113" t="s">
        <v>336</v>
      </c>
      <c r="M22" s="113" t="s">
        <v>337</v>
      </c>
      <c r="N22" s="113" t="s">
        <v>338</v>
      </c>
      <c r="O22" s="113" t="s">
        <v>339</v>
      </c>
      <c r="Q22" s="113" t="s">
        <v>333</v>
      </c>
      <c r="R22" s="113" t="s">
        <v>334</v>
      </c>
      <c r="S22" s="113" t="s">
        <v>335</v>
      </c>
      <c r="T22" s="113" t="s">
        <v>336</v>
      </c>
      <c r="U22" s="113" t="s">
        <v>337</v>
      </c>
      <c r="V22" s="113" t="s">
        <v>338</v>
      </c>
      <c r="W22" s="113" t="s">
        <v>339</v>
      </c>
      <c r="Y22" s="113" t="s">
        <v>333</v>
      </c>
      <c r="Z22" s="113" t="s">
        <v>334</v>
      </c>
      <c r="AA22" s="113" t="s">
        <v>335</v>
      </c>
      <c r="AB22" s="113" t="s">
        <v>336</v>
      </c>
      <c r="AC22" s="113" t="s">
        <v>337</v>
      </c>
      <c r="AD22" s="113" t="s">
        <v>338</v>
      </c>
      <c r="AE22" s="113" t="s">
        <v>339</v>
      </c>
      <c r="AG22" s="113" t="s">
        <v>333</v>
      </c>
      <c r="AH22" s="113" t="s">
        <v>334</v>
      </c>
      <c r="AI22" s="113" t="s">
        <v>335</v>
      </c>
      <c r="AJ22" s="113" t="s">
        <v>336</v>
      </c>
      <c r="AK22" s="113" t="s">
        <v>337</v>
      </c>
      <c r="AL22" s="113" t="s">
        <v>338</v>
      </c>
      <c r="AM22" s="113" t="s">
        <v>339</v>
      </c>
      <c r="AO22" s="113" t="s">
        <v>333</v>
      </c>
      <c r="AP22" s="113" t="s">
        <v>334</v>
      </c>
      <c r="AQ22" s="113" t="s">
        <v>335</v>
      </c>
      <c r="AR22" s="113" t="s">
        <v>336</v>
      </c>
      <c r="AS22" s="113" t="s">
        <v>337</v>
      </c>
      <c r="AT22" s="113" t="s">
        <v>338</v>
      </c>
      <c r="AU22" s="113" t="s">
        <v>339</v>
      </c>
      <c r="AW22" s="113" t="s">
        <v>333</v>
      </c>
      <c r="AX22" s="113" t="s">
        <v>334</v>
      </c>
      <c r="AY22" s="113" t="s">
        <v>335</v>
      </c>
      <c r="AZ22" s="113" t="s">
        <v>336</v>
      </c>
      <c r="BA22" s="113" t="s">
        <v>337</v>
      </c>
      <c r="BB22" s="113" t="s">
        <v>338</v>
      </c>
      <c r="BC22" s="113" t="s">
        <v>339</v>
      </c>
      <c r="BE22" s="113" t="s">
        <v>333</v>
      </c>
      <c r="BF22" s="113" t="s">
        <v>334</v>
      </c>
      <c r="BG22" s="113" t="s">
        <v>335</v>
      </c>
      <c r="BH22" s="113" t="s">
        <v>336</v>
      </c>
      <c r="BI22" s="113" t="s">
        <v>337</v>
      </c>
      <c r="BJ22" s="113" t="s">
        <v>338</v>
      </c>
      <c r="BK22" s="113" t="s">
        <v>339</v>
      </c>
      <c r="BM22" s="113" t="s">
        <v>333</v>
      </c>
      <c r="BN22" s="113" t="s">
        <v>334</v>
      </c>
      <c r="BO22" s="113" t="s">
        <v>335</v>
      </c>
      <c r="BP22" s="113" t="s">
        <v>336</v>
      </c>
      <c r="BQ22" s="113" t="s">
        <v>337</v>
      </c>
      <c r="BR22" s="113" t="s">
        <v>338</v>
      </c>
      <c r="BS22" s="113" t="s">
        <v>339</v>
      </c>
      <c r="BU22" s="113" t="s">
        <v>333</v>
      </c>
      <c r="BV22" s="113" t="s">
        <v>334</v>
      </c>
      <c r="BW22" s="113" t="s">
        <v>335</v>
      </c>
      <c r="BX22" s="113" t="s">
        <v>336</v>
      </c>
      <c r="BY22" s="113" t="s">
        <v>337</v>
      </c>
      <c r="BZ22" s="113" t="s">
        <v>338</v>
      </c>
      <c r="CA22" s="113" t="s">
        <v>339</v>
      </c>
      <c r="CC22" s="113" t="s">
        <v>333</v>
      </c>
      <c r="CD22" s="113" t="s">
        <v>334</v>
      </c>
      <c r="CE22" s="113" t="s">
        <v>335</v>
      </c>
      <c r="CF22" s="113" t="s">
        <v>336</v>
      </c>
      <c r="CG22" s="113" t="s">
        <v>337</v>
      </c>
      <c r="CH22" s="113" t="s">
        <v>338</v>
      </c>
      <c r="CI22" s="113" t="s">
        <v>339</v>
      </c>
    </row>
    <row r="23" customHeight="1" spans="1:87">
      <c r="A23" s="126"/>
      <c r="B23" s="114"/>
      <c r="C23" s="113"/>
      <c r="D23" s="114"/>
      <c r="E23" s="114"/>
      <c r="F23" s="114">
        <f t="shared" ref="F23:F34" si="133">ROUND(D23*E23,2)</f>
        <v>0</v>
      </c>
      <c r="G23" s="113"/>
      <c r="I23" s="113">
        <f t="shared" ref="I23:I34" si="134">A23</f>
        <v>0</v>
      </c>
      <c r="J23" s="114">
        <f t="shared" ref="J23:J34" si="135">B23</f>
        <v>0</v>
      </c>
      <c r="K23" s="113">
        <f t="shared" ref="K23:K34" si="136">C23</f>
        <v>0</v>
      </c>
      <c r="L23" s="114"/>
      <c r="M23" s="114">
        <f t="shared" ref="M23:S23" si="137">E23</f>
        <v>0</v>
      </c>
      <c r="N23" s="114">
        <f t="shared" ref="N23:N34" si="138">ROUND(L23*M23,2)</f>
        <v>0</v>
      </c>
      <c r="O23" s="113"/>
      <c r="Q23" s="113">
        <f t="shared" si="137"/>
        <v>0</v>
      </c>
      <c r="R23" s="114">
        <f t="shared" si="137"/>
        <v>0</v>
      </c>
      <c r="S23" s="113">
        <f t="shared" si="137"/>
        <v>0</v>
      </c>
      <c r="T23" s="114"/>
      <c r="U23" s="114">
        <f t="shared" ref="U23:AA23" si="139">M23</f>
        <v>0</v>
      </c>
      <c r="V23" s="114">
        <f t="shared" ref="V23:V34" si="140">ROUND(T23*U23,2)</f>
        <v>0</v>
      </c>
      <c r="W23" s="113"/>
      <c r="Y23" s="113">
        <f t="shared" si="139"/>
        <v>0</v>
      </c>
      <c r="Z23" s="114">
        <f t="shared" si="139"/>
        <v>0</v>
      </c>
      <c r="AA23" s="113">
        <f t="shared" si="139"/>
        <v>0</v>
      </c>
      <c r="AB23" s="114"/>
      <c r="AC23" s="114">
        <f t="shared" ref="AC23:AI23" si="141">U23</f>
        <v>0</v>
      </c>
      <c r="AD23" s="114">
        <f t="shared" ref="AD23:AD34" si="142">ROUND(AB23*AC23,2)</f>
        <v>0</v>
      </c>
      <c r="AE23" s="113"/>
      <c r="AG23" s="113">
        <f t="shared" si="141"/>
        <v>0</v>
      </c>
      <c r="AH23" s="114">
        <f t="shared" si="141"/>
        <v>0</v>
      </c>
      <c r="AI23" s="113">
        <f t="shared" si="141"/>
        <v>0</v>
      </c>
      <c r="AJ23" s="114"/>
      <c r="AK23" s="114">
        <f t="shared" ref="AK23:AQ23" si="143">AC23</f>
        <v>0</v>
      </c>
      <c r="AL23" s="114">
        <f t="shared" ref="AL23:AL34" si="144">ROUND(AJ23*AK23,2)</f>
        <v>0</v>
      </c>
      <c r="AM23" s="113"/>
      <c r="AO23" s="113">
        <f t="shared" si="143"/>
        <v>0</v>
      </c>
      <c r="AP23" s="114">
        <f t="shared" si="143"/>
        <v>0</v>
      </c>
      <c r="AQ23" s="113">
        <f t="shared" si="143"/>
        <v>0</v>
      </c>
      <c r="AR23" s="114"/>
      <c r="AS23" s="114">
        <f t="shared" ref="AS23:AY23" si="145">AK23</f>
        <v>0</v>
      </c>
      <c r="AT23" s="114">
        <f t="shared" ref="AT23:AT34" si="146">ROUND(AR23*AS23,2)</f>
        <v>0</v>
      </c>
      <c r="AU23" s="113"/>
      <c r="AW23" s="113">
        <f t="shared" si="145"/>
        <v>0</v>
      </c>
      <c r="AX23" s="114">
        <f t="shared" si="145"/>
        <v>0</v>
      </c>
      <c r="AY23" s="113">
        <f t="shared" si="145"/>
        <v>0</v>
      </c>
      <c r="AZ23" s="114"/>
      <c r="BA23" s="114">
        <f t="shared" ref="BA23:BG23" si="147">AS23</f>
        <v>0</v>
      </c>
      <c r="BB23" s="114">
        <f t="shared" ref="BB23:BB34" si="148">ROUND(AZ23*BA23,2)</f>
        <v>0</v>
      </c>
      <c r="BC23" s="113"/>
      <c r="BE23" s="113">
        <f t="shared" si="147"/>
        <v>0</v>
      </c>
      <c r="BF23" s="114">
        <f t="shared" si="147"/>
        <v>0</v>
      </c>
      <c r="BG23" s="113">
        <f t="shared" si="147"/>
        <v>0</v>
      </c>
      <c r="BH23" s="114"/>
      <c r="BI23" s="114">
        <f t="shared" ref="BI23:BO23" si="149">BA23</f>
        <v>0</v>
      </c>
      <c r="BJ23" s="114">
        <f t="shared" ref="BJ23:BJ34" si="150">ROUND(BH23*BI23,2)</f>
        <v>0</v>
      </c>
      <c r="BK23" s="113"/>
      <c r="BM23" s="113">
        <f t="shared" si="149"/>
        <v>0</v>
      </c>
      <c r="BN23" s="114">
        <f t="shared" si="149"/>
        <v>0</v>
      </c>
      <c r="BO23" s="113">
        <f t="shared" si="149"/>
        <v>0</v>
      </c>
      <c r="BP23" s="114"/>
      <c r="BQ23" s="114">
        <f t="shared" ref="BQ23:BW23" si="151">BI23</f>
        <v>0</v>
      </c>
      <c r="BR23" s="114">
        <f t="shared" ref="BR23:BR34" si="152">ROUND(BP23*BQ23,2)</f>
        <v>0</v>
      </c>
      <c r="BS23" s="113"/>
      <c r="BU23" s="113">
        <f t="shared" si="151"/>
        <v>0</v>
      </c>
      <c r="BV23" s="114">
        <f t="shared" si="151"/>
        <v>0</v>
      </c>
      <c r="BW23" s="113">
        <f t="shared" si="151"/>
        <v>0</v>
      </c>
      <c r="BX23" s="114"/>
      <c r="BY23" s="114">
        <f t="shared" ref="BY23:CE23" si="153">BQ23</f>
        <v>0</v>
      </c>
      <c r="BZ23" s="114">
        <f t="shared" ref="BZ23:BZ34" si="154">ROUND(BX23*BY23,2)</f>
        <v>0</v>
      </c>
      <c r="CA23" s="113"/>
      <c r="CC23" s="113">
        <f t="shared" si="153"/>
        <v>0</v>
      </c>
      <c r="CD23" s="114">
        <f t="shared" si="153"/>
        <v>0</v>
      </c>
      <c r="CE23" s="113">
        <f t="shared" si="153"/>
        <v>0</v>
      </c>
      <c r="CF23" s="114">
        <f>D23-L23-T23-AB23-AJ23-AR23-AZ23-BH23-BP23-BX23</f>
        <v>0</v>
      </c>
      <c r="CG23" s="114">
        <f>BY23</f>
        <v>0</v>
      </c>
      <c r="CH23" s="114">
        <f t="shared" ref="CH23:CH34" si="155">F23-N23-V23-AD23-AL23-AT23-BB23-BJ23-BR23-BZ23</f>
        <v>0</v>
      </c>
      <c r="CI23" s="113"/>
    </row>
    <row r="24" s="104" customFormat="1" customHeight="1" spans="1:87">
      <c r="A24" s="126"/>
      <c r="B24" s="114"/>
      <c r="C24" s="113"/>
      <c r="D24" s="114"/>
      <c r="E24" s="114"/>
      <c r="F24" s="114">
        <f t="shared" si="133"/>
        <v>0</v>
      </c>
      <c r="G24" s="113"/>
      <c r="H24" s="124"/>
      <c r="I24" s="113">
        <f t="shared" si="134"/>
        <v>0</v>
      </c>
      <c r="J24" s="114">
        <f t="shared" si="135"/>
        <v>0</v>
      </c>
      <c r="K24" s="113">
        <f t="shared" si="136"/>
        <v>0</v>
      </c>
      <c r="L24" s="114"/>
      <c r="M24" s="114">
        <f>E24</f>
        <v>0</v>
      </c>
      <c r="N24" s="114">
        <f t="shared" si="138"/>
        <v>0</v>
      </c>
      <c r="O24" s="113"/>
      <c r="P24" s="124"/>
      <c r="Q24" s="113">
        <f>I24</f>
        <v>0</v>
      </c>
      <c r="R24" s="114">
        <f>J24</f>
        <v>0</v>
      </c>
      <c r="S24" s="113">
        <f>K24</f>
        <v>0</v>
      </c>
      <c r="T24" s="114"/>
      <c r="U24" s="114">
        <f>M24</f>
        <v>0</v>
      </c>
      <c r="V24" s="114">
        <f t="shared" si="140"/>
        <v>0</v>
      </c>
      <c r="W24" s="113"/>
      <c r="X24" s="124"/>
      <c r="Y24" s="113">
        <f>Q24</f>
        <v>0</v>
      </c>
      <c r="Z24" s="114">
        <f>R24</f>
        <v>0</v>
      </c>
      <c r="AA24" s="113">
        <f>S24</f>
        <v>0</v>
      </c>
      <c r="AB24" s="114"/>
      <c r="AC24" s="114">
        <f>U24</f>
        <v>0</v>
      </c>
      <c r="AD24" s="114">
        <f t="shared" si="142"/>
        <v>0</v>
      </c>
      <c r="AE24" s="113"/>
      <c r="AF24" s="124"/>
      <c r="AG24" s="113">
        <f>Y24</f>
        <v>0</v>
      </c>
      <c r="AH24" s="114">
        <f>Z24</f>
        <v>0</v>
      </c>
      <c r="AI24" s="113">
        <f>AA24</f>
        <v>0</v>
      </c>
      <c r="AJ24" s="114"/>
      <c r="AK24" s="114">
        <f>AC24</f>
        <v>0</v>
      </c>
      <c r="AL24" s="114">
        <f t="shared" si="144"/>
        <v>0</v>
      </c>
      <c r="AM24" s="113"/>
      <c r="AN24" s="124"/>
      <c r="AO24" s="113">
        <f>AG24</f>
        <v>0</v>
      </c>
      <c r="AP24" s="114">
        <f>AH24</f>
        <v>0</v>
      </c>
      <c r="AQ24" s="113">
        <f>AI24</f>
        <v>0</v>
      </c>
      <c r="AR24" s="114"/>
      <c r="AS24" s="114">
        <f>AK24</f>
        <v>0</v>
      </c>
      <c r="AT24" s="114">
        <f t="shared" si="146"/>
        <v>0</v>
      </c>
      <c r="AU24" s="113"/>
      <c r="AV24" s="124"/>
      <c r="AW24" s="113">
        <f>AO24</f>
        <v>0</v>
      </c>
      <c r="AX24" s="114">
        <f>AP24</f>
        <v>0</v>
      </c>
      <c r="AY24" s="113">
        <f>AQ24</f>
        <v>0</v>
      </c>
      <c r="AZ24" s="114"/>
      <c r="BA24" s="114">
        <f>AS24</f>
        <v>0</v>
      </c>
      <c r="BB24" s="114">
        <f t="shared" si="148"/>
        <v>0</v>
      </c>
      <c r="BC24" s="113"/>
      <c r="BD24" s="124"/>
      <c r="BE24" s="113">
        <f>AW24</f>
        <v>0</v>
      </c>
      <c r="BF24" s="114">
        <f>AX24</f>
        <v>0</v>
      </c>
      <c r="BG24" s="113">
        <f>AY24</f>
        <v>0</v>
      </c>
      <c r="BH24" s="114"/>
      <c r="BI24" s="114">
        <f>BA24</f>
        <v>0</v>
      </c>
      <c r="BJ24" s="114">
        <f t="shared" si="150"/>
        <v>0</v>
      </c>
      <c r="BK24" s="113"/>
      <c r="BL24" s="124"/>
      <c r="BM24" s="113">
        <f>BE24</f>
        <v>0</v>
      </c>
      <c r="BN24" s="114">
        <f>BF24</f>
        <v>0</v>
      </c>
      <c r="BO24" s="113">
        <f>BG24</f>
        <v>0</v>
      </c>
      <c r="BP24" s="114"/>
      <c r="BQ24" s="114">
        <f>BI24</f>
        <v>0</v>
      </c>
      <c r="BR24" s="114">
        <f t="shared" si="152"/>
        <v>0</v>
      </c>
      <c r="BS24" s="113"/>
      <c r="BT24" s="124"/>
      <c r="BU24" s="113">
        <f>BM24</f>
        <v>0</v>
      </c>
      <c r="BV24" s="114">
        <f>BN24</f>
        <v>0</v>
      </c>
      <c r="BW24" s="113">
        <f>BO24</f>
        <v>0</v>
      </c>
      <c r="BX24" s="114"/>
      <c r="BY24" s="114">
        <f>BQ24</f>
        <v>0</v>
      </c>
      <c r="BZ24" s="114">
        <f t="shared" si="154"/>
        <v>0</v>
      </c>
      <c r="CA24" s="113"/>
      <c r="CB24" s="124"/>
      <c r="CC24" s="113">
        <f>BU24</f>
        <v>0</v>
      </c>
      <c r="CD24" s="114">
        <f>BV24</f>
        <v>0</v>
      </c>
      <c r="CE24" s="113">
        <f>BW24</f>
        <v>0</v>
      </c>
      <c r="CF24" s="114">
        <f>D24-L24-T24-AB24-AJ24-AR24-AZ24-BH24-BP24-BX24</f>
        <v>0</v>
      </c>
      <c r="CG24" s="114">
        <f>BY24</f>
        <v>0</v>
      </c>
      <c r="CH24" s="114">
        <f t="shared" si="155"/>
        <v>0</v>
      </c>
      <c r="CI24" s="113"/>
    </row>
    <row r="25" s="104" customFormat="1" customHeight="1" spans="1:87">
      <c r="A25" s="126"/>
      <c r="B25" s="114"/>
      <c r="C25" s="113"/>
      <c r="D25" s="114"/>
      <c r="E25" s="114"/>
      <c r="F25" s="114">
        <f t="shared" si="133"/>
        <v>0</v>
      </c>
      <c r="G25" s="113"/>
      <c r="H25" s="124"/>
      <c r="I25" s="113">
        <f t="shared" si="134"/>
        <v>0</v>
      </c>
      <c r="J25" s="114">
        <f t="shared" si="135"/>
        <v>0</v>
      </c>
      <c r="K25" s="113">
        <f t="shared" si="136"/>
        <v>0</v>
      </c>
      <c r="L25" s="114"/>
      <c r="M25" s="114">
        <f>E25</f>
        <v>0</v>
      </c>
      <c r="N25" s="114">
        <f t="shared" si="138"/>
        <v>0</v>
      </c>
      <c r="O25" s="113"/>
      <c r="P25" s="124"/>
      <c r="Q25" s="113">
        <f t="shared" ref="M25:S25" si="156">I25</f>
        <v>0</v>
      </c>
      <c r="R25" s="114">
        <f t="shared" si="156"/>
        <v>0</v>
      </c>
      <c r="S25" s="113">
        <f t="shared" si="156"/>
        <v>0</v>
      </c>
      <c r="T25" s="114"/>
      <c r="U25" s="114">
        <f t="shared" ref="U25:AA25" si="157">M25</f>
        <v>0</v>
      </c>
      <c r="V25" s="114">
        <f t="shared" si="140"/>
        <v>0</v>
      </c>
      <c r="W25" s="113"/>
      <c r="X25" s="124"/>
      <c r="Y25" s="113">
        <f t="shared" si="157"/>
        <v>0</v>
      </c>
      <c r="Z25" s="114">
        <f t="shared" si="157"/>
        <v>0</v>
      </c>
      <c r="AA25" s="113">
        <f t="shared" si="157"/>
        <v>0</v>
      </c>
      <c r="AB25" s="114"/>
      <c r="AC25" s="114">
        <f t="shared" ref="AC25:AI25" si="158">U25</f>
        <v>0</v>
      </c>
      <c r="AD25" s="114">
        <f t="shared" si="142"/>
        <v>0</v>
      </c>
      <c r="AE25" s="113"/>
      <c r="AF25" s="124"/>
      <c r="AG25" s="113">
        <f t="shared" si="158"/>
        <v>0</v>
      </c>
      <c r="AH25" s="114">
        <f t="shared" si="158"/>
        <v>0</v>
      </c>
      <c r="AI25" s="113">
        <f t="shared" si="158"/>
        <v>0</v>
      </c>
      <c r="AJ25" s="114"/>
      <c r="AK25" s="114">
        <f t="shared" ref="AK25:AQ25" si="159">AC25</f>
        <v>0</v>
      </c>
      <c r="AL25" s="114">
        <f t="shared" si="144"/>
        <v>0</v>
      </c>
      <c r="AM25" s="113"/>
      <c r="AN25" s="124"/>
      <c r="AO25" s="113">
        <f t="shared" si="159"/>
        <v>0</v>
      </c>
      <c r="AP25" s="114">
        <f t="shared" si="159"/>
        <v>0</v>
      </c>
      <c r="AQ25" s="113">
        <f t="shared" si="159"/>
        <v>0</v>
      </c>
      <c r="AR25" s="114"/>
      <c r="AS25" s="114">
        <f t="shared" ref="AS25:AY25" si="160">AK25</f>
        <v>0</v>
      </c>
      <c r="AT25" s="114">
        <f t="shared" si="146"/>
        <v>0</v>
      </c>
      <c r="AU25" s="113"/>
      <c r="AV25" s="124"/>
      <c r="AW25" s="113">
        <f t="shared" si="160"/>
        <v>0</v>
      </c>
      <c r="AX25" s="114">
        <f t="shared" si="160"/>
        <v>0</v>
      </c>
      <c r="AY25" s="113">
        <f t="shared" si="160"/>
        <v>0</v>
      </c>
      <c r="AZ25" s="114"/>
      <c r="BA25" s="114">
        <f t="shared" ref="BA25:BG25" si="161">AS25</f>
        <v>0</v>
      </c>
      <c r="BB25" s="114">
        <f t="shared" si="148"/>
        <v>0</v>
      </c>
      <c r="BC25" s="113"/>
      <c r="BD25" s="124"/>
      <c r="BE25" s="113">
        <f t="shared" si="161"/>
        <v>0</v>
      </c>
      <c r="BF25" s="114">
        <f t="shared" si="161"/>
        <v>0</v>
      </c>
      <c r="BG25" s="113">
        <f t="shared" si="161"/>
        <v>0</v>
      </c>
      <c r="BH25" s="114"/>
      <c r="BI25" s="114">
        <f t="shared" ref="BI25:BO25" si="162">BA25</f>
        <v>0</v>
      </c>
      <c r="BJ25" s="114">
        <f t="shared" si="150"/>
        <v>0</v>
      </c>
      <c r="BK25" s="113"/>
      <c r="BL25" s="124"/>
      <c r="BM25" s="113">
        <f t="shared" si="162"/>
        <v>0</v>
      </c>
      <c r="BN25" s="114">
        <f t="shared" si="162"/>
        <v>0</v>
      </c>
      <c r="BO25" s="113">
        <f t="shared" si="162"/>
        <v>0</v>
      </c>
      <c r="BP25" s="114"/>
      <c r="BQ25" s="114">
        <f t="shared" ref="BQ25:BW25" si="163">BI25</f>
        <v>0</v>
      </c>
      <c r="BR25" s="114">
        <f t="shared" si="152"/>
        <v>0</v>
      </c>
      <c r="BS25" s="113"/>
      <c r="BT25" s="124"/>
      <c r="BU25" s="113">
        <f t="shared" si="163"/>
        <v>0</v>
      </c>
      <c r="BV25" s="114">
        <f t="shared" si="163"/>
        <v>0</v>
      </c>
      <c r="BW25" s="113">
        <f t="shared" si="163"/>
        <v>0</v>
      </c>
      <c r="BX25" s="114"/>
      <c r="BY25" s="114">
        <f t="shared" ref="BY25:CE25" si="164">BQ25</f>
        <v>0</v>
      </c>
      <c r="BZ25" s="114">
        <f t="shared" si="154"/>
        <v>0</v>
      </c>
      <c r="CA25" s="113"/>
      <c r="CB25" s="124"/>
      <c r="CC25" s="113">
        <f t="shared" si="164"/>
        <v>0</v>
      </c>
      <c r="CD25" s="114">
        <f t="shared" si="164"/>
        <v>0</v>
      </c>
      <c r="CE25" s="113">
        <f t="shared" si="164"/>
        <v>0</v>
      </c>
      <c r="CF25" s="114">
        <f t="shared" ref="CF23:CF34" si="165">D25-L25-T25-AB25-AJ25-AR25-AZ25-BH25-BP25-BX25</f>
        <v>0</v>
      </c>
      <c r="CG25" s="114">
        <f t="shared" ref="CG23:CG34" si="166">BY25</f>
        <v>0</v>
      </c>
      <c r="CH25" s="114">
        <f t="shared" si="155"/>
        <v>0</v>
      </c>
      <c r="CI25" s="113"/>
    </row>
    <row r="26" s="104" customFormat="1" customHeight="1" spans="1:87">
      <c r="A26" s="126"/>
      <c r="B26" s="114"/>
      <c r="C26" s="113"/>
      <c r="D26" s="114"/>
      <c r="E26" s="114"/>
      <c r="F26" s="114">
        <f t="shared" si="133"/>
        <v>0</v>
      </c>
      <c r="G26" s="113"/>
      <c r="H26" s="124"/>
      <c r="I26" s="113">
        <f t="shared" si="134"/>
        <v>0</v>
      </c>
      <c r="J26" s="114">
        <f t="shared" si="135"/>
        <v>0</v>
      </c>
      <c r="K26" s="113">
        <f t="shared" si="136"/>
        <v>0</v>
      </c>
      <c r="L26" s="114"/>
      <c r="M26" s="114">
        <f t="shared" ref="M26:S26" si="167">E26</f>
        <v>0</v>
      </c>
      <c r="N26" s="114">
        <f t="shared" si="138"/>
        <v>0</v>
      </c>
      <c r="O26" s="113"/>
      <c r="P26" s="124"/>
      <c r="Q26" s="113">
        <f t="shared" si="167"/>
        <v>0</v>
      </c>
      <c r="R26" s="114">
        <f t="shared" si="167"/>
        <v>0</v>
      </c>
      <c r="S26" s="113">
        <f t="shared" si="167"/>
        <v>0</v>
      </c>
      <c r="T26" s="114"/>
      <c r="U26" s="114">
        <f t="shared" ref="U26:AA26" si="168">M26</f>
        <v>0</v>
      </c>
      <c r="V26" s="114">
        <f t="shared" si="140"/>
        <v>0</v>
      </c>
      <c r="W26" s="113"/>
      <c r="X26" s="124"/>
      <c r="Y26" s="113">
        <f t="shared" si="168"/>
        <v>0</v>
      </c>
      <c r="Z26" s="114">
        <f t="shared" si="168"/>
        <v>0</v>
      </c>
      <c r="AA26" s="113">
        <f t="shared" si="168"/>
        <v>0</v>
      </c>
      <c r="AB26" s="114"/>
      <c r="AC26" s="114">
        <f t="shared" ref="AC26:AI26" si="169">U26</f>
        <v>0</v>
      </c>
      <c r="AD26" s="114">
        <f t="shared" si="142"/>
        <v>0</v>
      </c>
      <c r="AE26" s="113"/>
      <c r="AF26" s="124"/>
      <c r="AG26" s="113">
        <f t="shared" si="169"/>
        <v>0</v>
      </c>
      <c r="AH26" s="114">
        <f t="shared" si="169"/>
        <v>0</v>
      </c>
      <c r="AI26" s="113">
        <f t="shared" si="169"/>
        <v>0</v>
      </c>
      <c r="AJ26" s="114"/>
      <c r="AK26" s="114">
        <f t="shared" ref="AK26:AQ26" si="170">AC26</f>
        <v>0</v>
      </c>
      <c r="AL26" s="114">
        <f t="shared" si="144"/>
        <v>0</v>
      </c>
      <c r="AM26" s="113"/>
      <c r="AN26" s="124"/>
      <c r="AO26" s="113">
        <f t="shared" si="170"/>
        <v>0</v>
      </c>
      <c r="AP26" s="114">
        <f t="shared" si="170"/>
        <v>0</v>
      </c>
      <c r="AQ26" s="113">
        <f t="shared" si="170"/>
        <v>0</v>
      </c>
      <c r="AR26" s="114"/>
      <c r="AS26" s="114">
        <f t="shared" ref="AS26:AY26" si="171">AK26</f>
        <v>0</v>
      </c>
      <c r="AT26" s="114">
        <f t="shared" si="146"/>
        <v>0</v>
      </c>
      <c r="AU26" s="113"/>
      <c r="AV26" s="124"/>
      <c r="AW26" s="113">
        <f t="shared" si="171"/>
        <v>0</v>
      </c>
      <c r="AX26" s="114">
        <f t="shared" si="171"/>
        <v>0</v>
      </c>
      <c r="AY26" s="113">
        <f t="shared" si="171"/>
        <v>0</v>
      </c>
      <c r="AZ26" s="114"/>
      <c r="BA26" s="114">
        <f t="shared" ref="BA26:BG26" si="172">AS26</f>
        <v>0</v>
      </c>
      <c r="BB26" s="114">
        <f t="shared" si="148"/>
        <v>0</v>
      </c>
      <c r="BC26" s="113"/>
      <c r="BD26" s="124"/>
      <c r="BE26" s="113">
        <f t="shared" si="172"/>
        <v>0</v>
      </c>
      <c r="BF26" s="114">
        <f t="shared" si="172"/>
        <v>0</v>
      </c>
      <c r="BG26" s="113">
        <f t="shared" si="172"/>
        <v>0</v>
      </c>
      <c r="BH26" s="114"/>
      <c r="BI26" s="114">
        <f t="shared" ref="BI26:BO26" si="173">BA26</f>
        <v>0</v>
      </c>
      <c r="BJ26" s="114">
        <f t="shared" si="150"/>
        <v>0</v>
      </c>
      <c r="BK26" s="113"/>
      <c r="BL26" s="124"/>
      <c r="BM26" s="113">
        <f t="shared" si="173"/>
        <v>0</v>
      </c>
      <c r="BN26" s="114">
        <f t="shared" si="173"/>
        <v>0</v>
      </c>
      <c r="BO26" s="113">
        <f t="shared" si="173"/>
        <v>0</v>
      </c>
      <c r="BP26" s="114"/>
      <c r="BQ26" s="114">
        <f t="shared" ref="BQ26:BW26" si="174">BI26</f>
        <v>0</v>
      </c>
      <c r="BR26" s="114">
        <f t="shared" si="152"/>
        <v>0</v>
      </c>
      <c r="BS26" s="113"/>
      <c r="BT26" s="124"/>
      <c r="BU26" s="113">
        <f t="shared" si="174"/>
        <v>0</v>
      </c>
      <c r="BV26" s="114">
        <f t="shared" si="174"/>
        <v>0</v>
      </c>
      <c r="BW26" s="113">
        <f t="shared" si="174"/>
        <v>0</v>
      </c>
      <c r="BX26" s="114"/>
      <c r="BY26" s="114">
        <f t="shared" ref="BY26:CE26" si="175">BQ26</f>
        <v>0</v>
      </c>
      <c r="BZ26" s="114">
        <f t="shared" si="154"/>
        <v>0</v>
      </c>
      <c r="CA26" s="113"/>
      <c r="CB26" s="124"/>
      <c r="CC26" s="113">
        <f t="shared" si="175"/>
        <v>0</v>
      </c>
      <c r="CD26" s="114">
        <f t="shared" si="175"/>
        <v>0</v>
      </c>
      <c r="CE26" s="113">
        <f t="shared" si="175"/>
        <v>0</v>
      </c>
      <c r="CF26" s="114">
        <f t="shared" si="165"/>
        <v>0</v>
      </c>
      <c r="CG26" s="114">
        <f t="shared" si="166"/>
        <v>0</v>
      </c>
      <c r="CH26" s="114">
        <f t="shared" si="155"/>
        <v>0</v>
      </c>
      <c r="CI26" s="113"/>
    </row>
    <row r="27" s="104" customFormat="1" customHeight="1" spans="1:87">
      <c r="A27" s="126"/>
      <c r="B27" s="114"/>
      <c r="C27" s="113"/>
      <c r="D27" s="114"/>
      <c r="E27" s="114"/>
      <c r="F27" s="114">
        <f t="shared" si="133"/>
        <v>0</v>
      </c>
      <c r="G27" s="113"/>
      <c r="H27" s="124"/>
      <c r="I27" s="113">
        <f t="shared" si="134"/>
        <v>0</v>
      </c>
      <c r="J27" s="114">
        <f t="shared" si="135"/>
        <v>0</v>
      </c>
      <c r="K27" s="113">
        <f t="shared" si="136"/>
        <v>0</v>
      </c>
      <c r="L27" s="114"/>
      <c r="M27" s="114">
        <f t="shared" ref="M27:S27" si="176">E27</f>
        <v>0</v>
      </c>
      <c r="N27" s="114">
        <f t="shared" si="138"/>
        <v>0</v>
      </c>
      <c r="O27" s="113"/>
      <c r="P27" s="124"/>
      <c r="Q27" s="113">
        <f t="shared" si="176"/>
        <v>0</v>
      </c>
      <c r="R27" s="114">
        <f t="shared" si="176"/>
        <v>0</v>
      </c>
      <c r="S27" s="113">
        <f t="shared" si="176"/>
        <v>0</v>
      </c>
      <c r="T27" s="114"/>
      <c r="U27" s="114">
        <f t="shared" ref="U27:AA27" si="177">M27</f>
        <v>0</v>
      </c>
      <c r="V27" s="114">
        <f t="shared" si="140"/>
        <v>0</v>
      </c>
      <c r="W27" s="113"/>
      <c r="X27" s="124"/>
      <c r="Y27" s="113">
        <f t="shared" si="177"/>
        <v>0</v>
      </c>
      <c r="Z27" s="114">
        <f t="shared" si="177"/>
        <v>0</v>
      </c>
      <c r="AA27" s="113">
        <f t="shared" si="177"/>
        <v>0</v>
      </c>
      <c r="AB27" s="114"/>
      <c r="AC27" s="114">
        <f t="shared" ref="AC27:AI27" si="178">U27</f>
        <v>0</v>
      </c>
      <c r="AD27" s="114">
        <f t="shared" si="142"/>
        <v>0</v>
      </c>
      <c r="AE27" s="113"/>
      <c r="AF27" s="124"/>
      <c r="AG27" s="113">
        <f t="shared" si="178"/>
        <v>0</v>
      </c>
      <c r="AH27" s="114">
        <f t="shared" si="178"/>
        <v>0</v>
      </c>
      <c r="AI27" s="113">
        <f t="shared" si="178"/>
        <v>0</v>
      </c>
      <c r="AJ27" s="114"/>
      <c r="AK27" s="114">
        <f t="shared" ref="AK27:AQ27" si="179">AC27</f>
        <v>0</v>
      </c>
      <c r="AL27" s="114">
        <f t="shared" si="144"/>
        <v>0</v>
      </c>
      <c r="AM27" s="113"/>
      <c r="AN27" s="124"/>
      <c r="AO27" s="113">
        <f t="shared" si="179"/>
        <v>0</v>
      </c>
      <c r="AP27" s="114">
        <f t="shared" si="179"/>
        <v>0</v>
      </c>
      <c r="AQ27" s="113">
        <f t="shared" si="179"/>
        <v>0</v>
      </c>
      <c r="AR27" s="114"/>
      <c r="AS27" s="114">
        <f t="shared" ref="AS27:AY27" si="180">AK27</f>
        <v>0</v>
      </c>
      <c r="AT27" s="114">
        <f t="shared" si="146"/>
        <v>0</v>
      </c>
      <c r="AU27" s="113"/>
      <c r="AV27" s="124"/>
      <c r="AW27" s="113">
        <f t="shared" si="180"/>
        <v>0</v>
      </c>
      <c r="AX27" s="114">
        <f t="shared" si="180"/>
        <v>0</v>
      </c>
      <c r="AY27" s="113">
        <f t="shared" si="180"/>
        <v>0</v>
      </c>
      <c r="AZ27" s="114"/>
      <c r="BA27" s="114">
        <f t="shared" ref="BA27:BG27" si="181">AS27</f>
        <v>0</v>
      </c>
      <c r="BB27" s="114">
        <f t="shared" si="148"/>
        <v>0</v>
      </c>
      <c r="BC27" s="113"/>
      <c r="BD27" s="124"/>
      <c r="BE27" s="113">
        <f t="shared" si="181"/>
        <v>0</v>
      </c>
      <c r="BF27" s="114">
        <f t="shared" si="181"/>
        <v>0</v>
      </c>
      <c r="BG27" s="113">
        <f t="shared" si="181"/>
        <v>0</v>
      </c>
      <c r="BH27" s="114"/>
      <c r="BI27" s="114">
        <f t="shared" ref="BI27:BO27" si="182">BA27</f>
        <v>0</v>
      </c>
      <c r="BJ27" s="114">
        <f t="shared" si="150"/>
        <v>0</v>
      </c>
      <c r="BK27" s="113"/>
      <c r="BL27" s="124"/>
      <c r="BM27" s="113">
        <f t="shared" si="182"/>
        <v>0</v>
      </c>
      <c r="BN27" s="114">
        <f t="shared" si="182"/>
        <v>0</v>
      </c>
      <c r="BO27" s="113">
        <f t="shared" si="182"/>
        <v>0</v>
      </c>
      <c r="BP27" s="114"/>
      <c r="BQ27" s="114">
        <f t="shared" ref="BQ27:BW27" si="183">BI27</f>
        <v>0</v>
      </c>
      <c r="BR27" s="114">
        <f t="shared" si="152"/>
        <v>0</v>
      </c>
      <c r="BS27" s="113"/>
      <c r="BT27" s="124"/>
      <c r="BU27" s="113">
        <f t="shared" si="183"/>
        <v>0</v>
      </c>
      <c r="BV27" s="114">
        <f t="shared" si="183"/>
        <v>0</v>
      </c>
      <c r="BW27" s="113">
        <f t="shared" si="183"/>
        <v>0</v>
      </c>
      <c r="BX27" s="114"/>
      <c r="BY27" s="114">
        <f t="shared" ref="BY27:CE27" si="184">BQ27</f>
        <v>0</v>
      </c>
      <c r="BZ27" s="114">
        <f t="shared" si="154"/>
        <v>0</v>
      </c>
      <c r="CA27" s="113"/>
      <c r="CB27" s="124"/>
      <c r="CC27" s="113">
        <f t="shared" si="184"/>
        <v>0</v>
      </c>
      <c r="CD27" s="114">
        <f t="shared" si="184"/>
        <v>0</v>
      </c>
      <c r="CE27" s="113">
        <f t="shared" si="184"/>
        <v>0</v>
      </c>
      <c r="CF27" s="114">
        <f t="shared" si="165"/>
        <v>0</v>
      </c>
      <c r="CG27" s="114">
        <f t="shared" si="166"/>
        <v>0</v>
      </c>
      <c r="CH27" s="114">
        <f t="shared" si="155"/>
        <v>0</v>
      </c>
      <c r="CI27" s="113"/>
    </row>
    <row r="28" s="104" customFormat="1" customHeight="1" spans="1:87">
      <c r="A28" s="126"/>
      <c r="B28" s="127"/>
      <c r="C28" s="126"/>
      <c r="D28" s="127"/>
      <c r="E28" s="127"/>
      <c r="F28" s="114">
        <f t="shared" si="133"/>
        <v>0</v>
      </c>
      <c r="G28" s="113"/>
      <c r="H28" s="124"/>
      <c r="I28" s="113">
        <f t="shared" si="134"/>
        <v>0</v>
      </c>
      <c r="J28" s="114">
        <f t="shared" si="135"/>
        <v>0</v>
      </c>
      <c r="K28" s="113">
        <f t="shared" si="136"/>
        <v>0</v>
      </c>
      <c r="L28" s="114"/>
      <c r="M28" s="114">
        <f t="shared" ref="M28:S28" si="185">E28</f>
        <v>0</v>
      </c>
      <c r="N28" s="114">
        <f t="shared" si="138"/>
        <v>0</v>
      </c>
      <c r="O28" s="113"/>
      <c r="P28" s="124"/>
      <c r="Q28" s="113">
        <f t="shared" si="185"/>
        <v>0</v>
      </c>
      <c r="R28" s="114">
        <f t="shared" si="185"/>
        <v>0</v>
      </c>
      <c r="S28" s="113">
        <f t="shared" si="185"/>
        <v>0</v>
      </c>
      <c r="T28" s="114"/>
      <c r="U28" s="114">
        <f t="shared" ref="U28:AA28" si="186">M28</f>
        <v>0</v>
      </c>
      <c r="V28" s="114">
        <f t="shared" si="140"/>
        <v>0</v>
      </c>
      <c r="W28" s="113"/>
      <c r="X28" s="124"/>
      <c r="Y28" s="113">
        <f t="shared" si="186"/>
        <v>0</v>
      </c>
      <c r="Z28" s="114">
        <f t="shared" si="186"/>
        <v>0</v>
      </c>
      <c r="AA28" s="113">
        <f t="shared" si="186"/>
        <v>0</v>
      </c>
      <c r="AB28" s="114"/>
      <c r="AC28" s="114">
        <f t="shared" ref="AC28:AI28" si="187">U28</f>
        <v>0</v>
      </c>
      <c r="AD28" s="114">
        <f t="shared" si="142"/>
        <v>0</v>
      </c>
      <c r="AE28" s="113"/>
      <c r="AF28" s="124"/>
      <c r="AG28" s="113">
        <f t="shared" si="187"/>
        <v>0</v>
      </c>
      <c r="AH28" s="114">
        <f t="shared" si="187"/>
        <v>0</v>
      </c>
      <c r="AI28" s="113">
        <f t="shared" si="187"/>
        <v>0</v>
      </c>
      <c r="AJ28" s="114"/>
      <c r="AK28" s="114">
        <f t="shared" ref="AK28:AQ28" si="188">AC28</f>
        <v>0</v>
      </c>
      <c r="AL28" s="114">
        <f t="shared" si="144"/>
        <v>0</v>
      </c>
      <c r="AM28" s="113"/>
      <c r="AN28" s="124"/>
      <c r="AO28" s="113">
        <f t="shared" si="188"/>
        <v>0</v>
      </c>
      <c r="AP28" s="114">
        <f t="shared" si="188"/>
        <v>0</v>
      </c>
      <c r="AQ28" s="113">
        <f t="shared" si="188"/>
        <v>0</v>
      </c>
      <c r="AR28" s="114"/>
      <c r="AS28" s="114">
        <f t="shared" ref="AS28:AY28" si="189">AK28</f>
        <v>0</v>
      </c>
      <c r="AT28" s="114">
        <f t="shared" si="146"/>
        <v>0</v>
      </c>
      <c r="AU28" s="113"/>
      <c r="AV28" s="124"/>
      <c r="AW28" s="113">
        <f t="shared" si="189"/>
        <v>0</v>
      </c>
      <c r="AX28" s="114">
        <f t="shared" si="189"/>
        <v>0</v>
      </c>
      <c r="AY28" s="113">
        <f t="shared" si="189"/>
        <v>0</v>
      </c>
      <c r="AZ28" s="114"/>
      <c r="BA28" s="114">
        <f t="shared" ref="BA28:BG28" si="190">AS28</f>
        <v>0</v>
      </c>
      <c r="BB28" s="114">
        <f t="shared" si="148"/>
        <v>0</v>
      </c>
      <c r="BC28" s="113"/>
      <c r="BD28" s="124"/>
      <c r="BE28" s="113">
        <f t="shared" si="190"/>
        <v>0</v>
      </c>
      <c r="BF28" s="114">
        <f t="shared" si="190"/>
        <v>0</v>
      </c>
      <c r="BG28" s="113">
        <f t="shared" si="190"/>
        <v>0</v>
      </c>
      <c r="BH28" s="114"/>
      <c r="BI28" s="114">
        <f t="shared" ref="BI28:BO28" si="191">BA28</f>
        <v>0</v>
      </c>
      <c r="BJ28" s="114">
        <f t="shared" si="150"/>
        <v>0</v>
      </c>
      <c r="BK28" s="113"/>
      <c r="BL28" s="124"/>
      <c r="BM28" s="113">
        <f t="shared" si="191"/>
        <v>0</v>
      </c>
      <c r="BN28" s="114">
        <f t="shared" si="191"/>
        <v>0</v>
      </c>
      <c r="BO28" s="113">
        <f t="shared" si="191"/>
        <v>0</v>
      </c>
      <c r="BP28" s="114"/>
      <c r="BQ28" s="114">
        <f t="shared" ref="BQ28:BW28" si="192">BI28</f>
        <v>0</v>
      </c>
      <c r="BR28" s="114">
        <f t="shared" si="152"/>
        <v>0</v>
      </c>
      <c r="BS28" s="113"/>
      <c r="BT28" s="124"/>
      <c r="BU28" s="113">
        <f t="shared" si="192"/>
        <v>0</v>
      </c>
      <c r="BV28" s="114">
        <f t="shared" si="192"/>
        <v>0</v>
      </c>
      <c r="BW28" s="113">
        <f t="shared" si="192"/>
        <v>0</v>
      </c>
      <c r="BX28" s="114"/>
      <c r="BY28" s="114">
        <f t="shared" ref="BY28:CE28" si="193">BQ28</f>
        <v>0</v>
      </c>
      <c r="BZ28" s="114">
        <f t="shared" si="154"/>
        <v>0</v>
      </c>
      <c r="CA28" s="113"/>
      <c r="CB28" s="124"/>
      <c r="CC28" s="113">
        <f t="shared" si="193"/>
        <v>0</v>
      </c>
      <c r="CD28" s="114">
        <f t="shared" si="193"/>
        <v>0</v>
      </c>
      <c r="CE28" s="113">
        <f t="shared" si="193"/>
        <v>0</v>
      </c>
      <c r="CF28" s="114">
        <f t="shared" si="165"/>
        <v>0</v>
      </c>
      <c r="CG28" s="114">
        <f t="shared" si="166"/>
        <v>0</v>
      </c>
      <c r="CH28" s="114">
        <f t="shared" si="155"/>
        <v>0</v>
      </c>
      <c r="CI28" s="113"/>
    </row>
    <row r="29" s="104" customFormat="1" customHeight="1" spans="1:87">
      <c r="A29" s="126"/>
      <c r="B29" s="127"/>
      <c r="C29" s="126"/>
      <c r="D29" s="127"/>
      <c r="E29" s="127"/>
      <c r="F29" s="114">
        <f t="shared" si="133"/>
        <v>0</v>
      </c>
      <c r="G29" s="113"/>
      <c r="H29" s="124"/>
      <c r="I29" s="113">
        <f t="shared" si="134"/>
        <v>0</v>
      </c>
      <c r="J29" s="114">
        <f t="shared" si="135"/>
        <v>0</v>
      </c>
      <c r="K29" s="113">
        <f t="shared" si="136"/>
        <v>0</v>
      </c>
      <c r="L29" s="114"/>
      <c r="M29" s="114">
        <f t="shared" ref="M29:S29" si="194">E29</f>
        <v>0</v>
      </c>
      <c r="N29" s="114">
        <f t="shared" si="138"/>
        <v>0</v>
      </c>
      <c r="O29" s="113"/>
      <c r="P29" s="124"/>
      <c r="Q29" s="113">
        <f t="shared" si="194"/>
        <v>0</v>
      </c>
      <c r="R29" s="114">
        <f t="shared" si="194"/>
        <v>0</v>
      </c>
      <c r="S29" s="113">
        <f t="shared" si="194"/>
        <v>0</v>
      </c>
      <c r="T29" s="114"/>
      <c r="U29" s="114">
        <f t="shared" ref="U29:AA29" si="195">M29</f>
        <v>0</v>
      </c>
      <c r="V29" s="114">
        <f t="shared" si="140"/>
        <v>0</v>
      </c>
      <c r="W29" s="113"/>
      <c r="X29" s="124"/>
      <c r="Y29" s="113">
        <f t="shared" si="195"/>
        <v>0</v>
      </c>
      <c r="Z29" s="114">
        <f t="shared" si="195"/>
        <v>0</v>
      </c>
      <c r="AA29" s="113">
        <f t="shared" si="195"/>
        <v>0</v>
      </c>
      <c r="AB29" s="114"/>
      <c r="AC29" s="114">
        <f t="shared" ref="AC29:AI29" si="196">U29</f>
        <v>0</v>
      </c>
      <c r="AD29" s="114">
        <f t="shared" si="142"/>
        <v>0</v>
      </c>
      <c r="AE29" s="113"/>
      <c r="AF29" s="124"/>
      <c r="AG29" s="113">
        <f t="shared" si="196"/>
        <v>0</v>
      </c>
      <c r="AH29" s="114">
        <f t="shared" si="196"/>
        <v>0</v>
      </c>
      <c r="AI29" s="113">
        <f t="shared" si="196"/>
        <v>0</v>
      </c>
      <c r="AJ29" s="114"/>
      <c r="AK29" s="114">
        <f t="shared" ref="AK29:AQ29" si="197">AC29</f>
        <v>0</v>
      </c>
      <c r="AL29" s="114">
        <f t="shared" si="144"/>
        <v>0</v>
      </c>
      <c r="AM29" s="113"/>
      <c r="AN29" s="124"/>
      <c r="AO29" s="113">
        <f t="shared" si="197"/>
        <v>0</v>
      </c>
      <c r="AP29" s="114">
        <f t="shared" si="197"/>
        <v>0</v>
      </c>
      <c r="AQ29" s="113">
        <f t="shared" si="197"/>
        <v>0</v>
      </c>
      <c r="AR29" s="114"/>
      <c r="AS29" s="114">
        <f t="shared" ref="AS29:AY29" si="198">AK29</f>
        <v>0</v>
      </c>
      <c r="AT29" s="114">
        <f t="shared" si="146"/>
        <v>0</v>
      </c>
      <c r="AU29" s="113"/>
      <c r="AV29" s="124"/>
      <c r="AW29" s="113">
        <f t="shared" si="198"/>
        <v>0</v>
      </c>
      <c r="AX29" s="114">
        <f t="shared" si="198"/>
        <v>0</v>
      </c>
      <c r="AY29" s="113">
        <f t="shared" si="198"/>
        <v>0</v>
      </c>
      <c r="AZ29" s="114"/>
      <c r="BA29" s="114">
        <f t="shared" ref="BA29:BG29" si="199">AS29</f>
        <v>0</v>
      </c>
      <c r="BB29" s="114">
        <f t="shared" si="148"/>
        <v>0</v>
      </c>
      <c r="BC29" s="113"/>
      <c r="BD29" s="124"/>
      <c r="BE29" s="113">
        <f t="shared" si="199"/>
        <v>0</v>
      </c>
      <c r="BF29" s="114">
        <f t="shared" si="199"/>
        <v>0</v>
      </c>
      <c r="BG29" s="113">
        <f t="shared" si="199"/>
        <v>0</v>
      </c>
      <c r="BH29" s="114"/>
      <c r="BI29" s="114">
        <f t="shared" ref="BI29:BO29" si="200">BA29</f>
        <v>0</v>
      </c>
      <c r="BJ29" s="114">
        <f t="shared" si="150"/>
        <v>0</v>
      </c>
      <c r="BK29" s="113"/>
      <c r="BL29" s="124"/>
      <c r="BM29" s="113">
        <f t="shared" si="200"/>
        <v>0</v>
      </c>
      <c r="BN29" s="114">
        <f t="shared" si="200"/>
        <v>0</v>
      </c>
      <c r="BO29" s="113">
        <f t="shared" si="200"/>
        <v>0</v>
      </c>
      <c r="BP29" s="114"/>
      <c r="BQ29" s="114">
        <f t="shared" ref="BQ29:BW29" si="201">BI29</f>
        <v>0</v>
      </c>
      <c r="BR29" s="114">
        <f t="shared" si="152"/>
        <v>0</v>
      </c>
      <c r="BS29" s="113"/>
      <c r="BT29" s="124"/>
      <c r="BU29" s="113">
        <f t="shared" si="201"/>
        <v>0</v>
      </c>
      <c r="BV29" s="114">
        <f t="shared" si="201"/>
        <v>0</v>
      </c>
      <c r="BW29" s="113">
        <f t="shared" si="201"/>
        <v>0</v>
      </c>
      <c r="BX29" s="114"/>
      <c r="BY29" s="114">
        <f t="shared" ref="BY29:CE29" si="202">BQ29</f>
        <v>0</v>
      </c>
      <c r="BZ29" s="114">
        <f t="shared" si="154"/>
        <v>0</v>
      </c>
      <c r="CA29" s="113"/>
      <c r="CB29" s="124"/>
      <c r="CC29" s="113">
        <f t="shared" si="202"/>
        <v>0</v>
      </c>
      <c r="CD29" s="114">
        <f t="shared" si="202"/>
        <v>0</v>
      </c>
      <c r="CE29" s="113">
        <f t="shared" si="202"/>
        <v>0</v>
      </c>
      <c r="CF29" s="114">
        <f t="shared" si="165"/>
        <v>0</v>
      </c>
      <c r="CG29" s="114">
        <f t="shared" si="166"/>
        <v>0</v>
      </c>
      <c r="CH29" s="114">
        <f t="shared" si="155"/>
        <v>0</v>
      </c>
      <c r="CI29" s="113"/>
    </row>
    <row r="30" s="104" customFormat="1" customHeight="1" spans="1:87">
      <c r="A30" s="126"/>
      <c r="B30" s="127"/>
      <c r="C30" s="126"/>
      <c r="D30" s="127"/>
      <c r="E30" s="127"/>
      <c r="F30" s="114">
        <f t="shared" si="133"/>
        <v>0</v>
      </c>
      <c r="G30" s="113"/>
      <c r="H30" s="124"/>
      <c r="I30" s="113">
        <f t="shared" si="134"/>
        <v>0</v>
      </c>
      <c r="J30" s="114">
        <f t="shared" si="135"/>
        <v>0</v>
      </c>
      <c r="K30" s="113">
        <f t="shared" si="136"/>
        <v>0</v>
      </c>
      <c r="L30" s="114"/>
      <c r="M30" s="114">
        <f t="shared" ref="M30:S30" si="203">E30</f>
        <v>0</v>
      </c>
      <c r="N30" s="114">
        <f t="shared" si="138"/>
        <v>0</v>
      </c>
      <c r="O30" s="113"/>
      <c r="P30" s="124"/>
      <c r="Q30" s="113">
        <f t="shared" si="203"/>
        <v>0</v>
      </c>
      <c r="R30" s="114">
        <f t="shared" si="203"/>
        <v>0</v>
      </c>
      <c r="S30" s="113">
        <f t="shared" si="203"/>
        <v>0</v>
      </c>
      <c r="T30" s="114"/>
      <c r="U30" s="114">
        <f t="shared" ref="U30:AA30" si="204">M30</f>
        <v>0</v>
      </c>
      <c r="V30" s="114">
        <f t="shared" si="140"/>
        <v>0</v>
      </c>
      <c r="W30" s="113"/>
      <c r="X30" s="124"/>
      <c r="Y30" s="113">
        <f t="shared" si="204"/>
        <v>0</v>
      </c>
      <c r="Z30" s="114">
        <f t="shared" si="204"/>
        <v>0</v>
      </c>
      <c r="AA30" s="113">
        <f t="shared" si="204"/>
        <v>0</v>
      </c>
      <c r="AB30" s="114"/>
      <c r="AC30" s="114">
        <f t="shared" ref="AC30:AI30" si="205">U30</f>
        <v>0</v>
      </c>
      <c r="AD30" s="114">
        <f t="shared" si="142"/>
        <v>0</v>
      </c>
      <c r="AE30" s="113"/>
      <c r="AF30" s="124"/>
      <c r="AG30" s="113">
        <f t="shared" si="205"/>
        <v>0</v>
      </c>
      <c r="AH30" s="114">
        <f t="shared" si="205"/>
        <v>0</v>
      </c>
      <c r="AI30" s="113">
        <f t="shared" si="205"/>
        <v>0</v>
      </c>
      <c r="AJ30" s="114"/>
      <c r="AK30" s="114">
        <f t="shared" ref="AK30:AQ30" si="206">AC30</f>
        <v>0</v>
      </c>
      <c r="AL30" s="114">
        <f t="shared" si="144"/>
        <v>0</v>
      </c>
      <c r="AM30" s="113"/>
      <c r="AN30" s="124"/>
      <c r="AO30" s="113">
        <f t="shared" si="206"/>
        <v>0</v>
      </c>
      <c r="AP30" s="114">
        <f t="shared" si="206"/>
        <v>0</v>
      </c>
      <c r="AQ30" s="113">
        <f t="shared" si="206"/>
        <v>0</v>
      </c>
      <c r="AR30" s="114"/>
      <c r="AS30" s="114">
        <f t="shared" ref="AS30:AY30" si="207">AK30</f>
        <v>0</v>
      </c>
      <c r="AT30" s="114">
        <f t="shared" si="146"/>
        <v>0</v>
      </c>
      <c r="AU30" s="113"/>
      <c r="AV30" s="124"/>
      <c r="AW30" s="113">
        <f t="shared" si="207"/>
        <v>0</v>
      </c>
      <c r="AX30" s="114">
        <f t="shared" si="207"/>
        <v>0</v>
      </c>
      <c r="AY30" s="113">
        <f t="shared" si="207"/>
        <v>0</v>
      </c>
      <c r="AZ30" s="114"/>
      <c r="BA30" s="114">
        <f t="shared" ref="BA30:BG30" si="208">AS30</f>
        <v>0</v>
      </c>
      <c r="BB30" s="114">
        <f t="shared" si="148"/>
        <v>0</v>
      </c>
      <c r="BC30" s="113"/>
      <c r="BD30" s="124"/>
      <c r="BE30" s="113">
        <f t="shared" si="208"/>
        <v>0</v>
      </c>
      <c r="BF30" s="114">
        <f t="shared" si="208"/>
        <v>0</v>
      </c>
      <c r="BG30" s="113">
        <f t="shared" si="208"/>
        <v>0</v>
      </c>
      <c r="BH30" s="114"/>
      <c r="BI30" s="114">
        <f t="shared" ref="BI30:BO30" si="209">BA30</f>
        <v>0</v>
      </c>
      <c r="BJ30" s="114">
        <f t="shared" si="150"/>
        <v>0</v>
      </c>
      <c r="BK30" s="113"/>
      <c r="BL30" s="124"/>
      <c r="BM30" s="113">
        <f t="shared" si="209"/>
        <v>0</v>
      </c>
      <c r="BN30" s="114">
        <f t="shared" si="209"/>
        <v>0</v>
      </c>
      <c r="BO30" s="113">
        <f t="shared" si="209"/>
        <v>0</v>
      </c>
      <c r="BP30" s="114"/>
      <c r="BQ30" s="114">
        <f t="shared" ref="BQ30:BW30" si="210">BI30</f>
        <v>0</v>
      </c>
      <c r="BR30" s="114">
        <f t="shared" si="152"/>
        <v>0</v>
      </c>
      <c r="BS30" s="113"/>
      <c r="BT30" s="124"/>
      <c r="BU30" s="113">
        <f t="shared" si="210"/>
        <v>0</v>
      </c>
      <c r="BV30" s="114">
        <f t="shared" si="210"/>
        <v>0</v>
      </c>
      <c r="BW30" s="113">
        <f t="shared" si="210"/>
        <v>0</v>
      </c>
      <c r="BX30" s="114"/>
      <c r="BY30" s="114">
        <f t="shared" ref="BY30:CE30" si="211">BQ30</f>
        <v>0</v>
      </c>
      <c r="BZ30" s="114">
        <f t="shared" si="154"/>
        <v>0</v>
      </c>
      <c r="CA30" s="113"/>
      <c r="CB30" s="124"/>
      <c r="CC30" s="113">
        <f t="shared" si="211"/>
        <v>0</v>
      </c>
      <c r="CD30" s="114">
        <f t="shared" si="211"/>
        <v>0</v>
      </c>
      <c r="CE30" s="113">
        <f t="shared" si="211"/>
        <v>0</v>
      </c>
      <c r="CF30" s="114">
        <f t="shared" si="165"/>
        <v>0</v>
      </c>
      <c r="CG30" s="114">
        <f t="shared" si="166"/>
        <v>0</v>
      </c>
      <c r="CH30" s="114">
        <f t="shared" si="155"/>
        <v>0</v>
      </c>
      <c r="CI30" s="113"/>
    </row>
    <row r="31" s="104" customFormat="1" customHeight="1" spans="1:87">
      <c r="A31" s="126"/>
      <c r="B31" s="127"/>
      <c r="C31" s="126"/>
      <c r="D31" s="127"/>
      <c r="E31" s="127"/>
      <c r="F31" s="114">
        <f t="shared" si="133"/>
        <v>0</v>
      </c>
      <c r="G31" s="113"/>
      <c r="H31" s="124"/>
      <c r="I31" s="113">
        <f t="shared" si="134"/>
        <v>0</v>
      </c>
      <c r="J31" s="114">
        <f t="shared" si="135"/>
        <v>0</v>
      </c>
      <c r="K31" s="113">
        <f t="shared" si="136"/>
        <v>0</v>
      </c>
      <c r="L31" s="114"/>
      <c r="M31" s="114">
        <f t="shared" ref="M31:S31" si="212">E31</f>
        <v>0</v>
      </c>
      <c r="N31" s="114">
        <f t="shared" si="138"/>
        <v>0</v>
      </c>
      <c r="O31" s="113"/>
      <c r="P31" s="124"/>
      <c r="Q31" s="113">
        <f t="shared" si="212"/>
        <v>0</v>
      </c>
      <c r="R31" s="114">
        <f t="shared" si="212"/>
        <v>0</v>
      </c>
      <c r="S31" s="113">
        <f t="shared" si="212"/>
        <v>0</v>
      </c>
      <c r="T31" s="114"/>
      <c r="U31" s="114">
        <f t="shared" ref="U31:AA31" si="213">M31</f>
        <v>0</v>
      </c>
      <c r="V31" s="114">
        <f t="shared" si="140"/>
        <v>0</v>
      </c>
      <c r="W31" s="113"/>
      <c r="X31" s="124"/>
      <c r="Y31" s="113">
        <f t="shared" si="213"/>
        <v>0</v>
      </c>
      <c r="Z31" s="114">
        <f t="shared" si="213"/>
        <v>0</v>
      </c>
      <c r="AA31" s="113">
        <f t="shared" si="213"/>
        <v>0</v>
      </c>
      <c r="AB31" s="114"/>
      <c r="AC31" s="114">
        <f t="shared" ref="AC31:AI31" si="214">U31</f>
        <v>0</v>
      </c>
      <c r="AD31" s="114">
        <f t="shared" si="142"/>
        <v>0</v>
      </c>
      <c r="AE31" s="113"/>
      <c r="AF31" s="124"/>
      <c r="AG31" s="113">
        <f t="shared" si="214"/>
        <v>0</v>
      </c>
      <c r="AH31" s="114">
        <f t="shared" si="214"/>
        <v>0</v>
      </c>
      <c r="AI31" s="113">
        <f t="shared" si="214"/>
        <v>0</v>
      </c>
      <c r="AJ31" s="114"/>
      <c r="AK31" s="114">
        <f t="shared" ref="AK31:AQ31" si="215">AC31</f>
        <v>0</v>
      </c>
      <c r="AL31" s="114">
        <f t="shared" si="144"/>
        <v>0</v>
      </c>
      <c r="AM31" s="113"/>
      <c r="AN31" s="124"/>
      <c r="AO31" s="113">
        <f t="shared" si="215"/>
        <v>0</v>
      </c>
      <c r="AP31" s="114">
        <f t="shared" si="215"/>
        <v>0</v>
      </c>
      <c r="AQ31" s="113">
        <f t="shared" si="215"/>
        <v>0</v>
      </c>
      <c r="AR31" s="114"/>
      <c r="AS31" s="114">
        <f t="shared" ref="AS31:AY31" si="216">AK31</f>
        <v>0</v>
      </c>
      <c r="AT31" s="114">
        <f t="shared" si="146"/>
        <v>0</v>
      </c>
      <c r="AU31" s="113"/>
      <c r="AV31" s="124"/>
      <c r="AW31" s="113">
        <f t="shared" si="216"/>
        <v>0</v>
      </c>
      <c r="AX31" s="114">
        <f t="shared" si="216"/>
        <v>0</v>
      </c>
      <c r="AY31" s="113">
        <f t="shared" si="216"/>
        <v>0</v>
      </c>
      <c r="AZ31" s="114"/>
      <c r="BA31" s="114">
        <f t="shared" ref="BA31:BG31" si="217">AS31</f>
        <v>0</v>
      </c>
      <c r="BB31" s="114">
        <f t="shared" si="148"/>
        <v>0</v>
      </c>
      <c r="BC31" s="113"/>
      <c r="BD31" s="124"/>
      <c r="BE31" s="113">
        <f t="shared" si="217"/>
        <v>0</v>
      </c>
      <c r="BF31" s="114">
        <f t="shared" si="217"/>
        <v>0</v>
      </c>
      <c r="BG31" s="113">
        <f t="shared" si="217"/>
        <v>0</v>
      </c>
      <c r="BH31" s="114"/>
      <c r="BI31" s="114">
        <f t="shared" ref="BI31:BO31" si="218">BA31</f>
        <v>0</v>
      </c>
      <c r="BJ31" s="114">
        <f t="shared" si="150"/>
        <v>0</v>
      </c>
      <c r="BK31" s="113"/>
      <c r="BL31" s="124"/>
      <c r="BM31" s="113">
        <f t="shared" si="218"/>
        <v>0</v>
      </c>
      <c r="BN31" s="114">
        <f t="shared" si="218"/>
        <v>0</v>
      </c>
      <c r="BO31" s="113">
        <f t="shared" si="218"/>
        <v>0</v>
      </c>
      <c r="BP31" s="114"/>
      <c r="BQ31" s="114">
        <f t="shared" ref="BQ31:BW31" si="219">BI31</f>
        <v>0</v>
      </c>
      <c r="BR31" s="114">
        <f t="shared" si="152"/>
        <v>0</v>
      </c>
      <c r="BS31" s="113"/>
      <c r="BT31" s="124"/>
      <c r="BU31" s="113">
        <f t="shared" si="219"/>
        <v>0</v>
      </c>
      <c r="BV31" s="114">
        <f t="shared" si="219"/>
        <v>0</v>
      </c>
      <c r="BW31" s="113">
        <f t="shared" si="219"/>
        <v>0</v>
      </c>
      <c r="BX31" s="114"/>
      <c r="BY31" s="114">
        <f t="shared" ref="BY31:CE31" si="220">BQ31</f>
        <v>0</v>
      </c>
      <c r="BZ31" s="114">
        <f t="shared" si="154"/>
        <v>0</v>
      </c>
      <c r="CA31" s="113"/>
      <c r="CB31" s="124"/>
      <c r="CC31" s="113">
        <f t="shared" si="220"/>
        <v>0</v>
      </c>
      <c r="CD31" s="114">
        <f t="shared" si="220"/>
        <v>0</v>
      </c>
      <c r="CE31" s="113">
        <f t="shared" si="220"/>
        <v>0</v>
      </c>
      <c r="CF31" s="114">
        <f t="shared" si="165"/>
        <v>0</v>
      </c>
      <c r="CG31" s="114">
        <f t="shared" si="166"/>
        <v>0</v>
      </c>
      <c r="CH31" s="114">
        <f t="shared" si="155"/>
        <v>0</v>
      </c>
      <c r="CI31" s="113"/>
    </row>
    <row r="32" s="104" customFormat="1" customHeight="1" spans="1:87">
      <c r="A32" s="113"/>
      <c r="B32" s="114"/>
      <c r="C32" s="113"/>
      <c r="D32" s="114"/>
      <c r="E32" s="114"/>
      <c r="F32" s="114">
        <f t="shared" si="133"/>
        <v>0</v>
      </c>
      <c r="G32" s="113"/>
      <c r="H32" s="124"/>
      <c r="I32" s="113">
        <f t="shared" si="134"/>
        <v>0</v>
      </c>
      <c r="J32" s="114">
        <f t="shared" si="135"/>
        <v>0</v>
      </c>
      <c r="K32" s="113">
        <f t="shared" si="136"/>
        <v>0</v>
      </c>
      <c r="L32" s="114"/>
      <c r="M32" s="114">
        <f t="shared" ref="M32:S32" si="221">E32</f>
        <v>0</v>
      </c>
      <c r="N32" s="114">
        <f t="shared" si="138"/>
        <v>0</v>
      </c>
      <c r="O32" s="113"/>
      <c r="P32" s="124"/>
      <c r="Q32" s="113">
        <f t="shared" si="221"/>
        <v>0</v>
      </c>
      <c r="R32" s="114">
        <f t="shared" si="221"/>
        <v>0</v>
      </c>
      <c r="S32" s="113">
        <f t="shared" si="221"/>
        <v>0</v>
      </c>
      <c r="T32" s="114"/>
      <c r="U32" s="114">
        <f t="shared" ref="U32:AA32" si="222">M32</f>
        <v>0</v>
      </c>
      <c r="V32" s="114">
        <f t="shared" si="140"/>
        <v>0</v>
      </c>
      <c r="W32" s="113"/>
      <c r="X32" s="124"/>
      <c r="Y32" s="113">
        <f t="shared" si="222"/>
        <v>0</v>
      </c>
      <c r="Z32" s="114">
        <f t="shared" si="222"/>
        <v>0</v>
      </c>
      <c r="AA32" s="113">
        <f t="shared" si="222"/>
        <v>0</v>
      </c>
      <c r="AB32" s="114"/>
      <c r="AC32" s="114">
        <f t="shared" ref="AC32:AI32" si="223">U32</f>
        <v>0</v>
      </c>
      <c r="AD32" s="114">
        <f t="shared" si="142"/>
        <v>0</v>
      </c>
      <c r="AE32" s="113"/>
      <c r="AF32" s="124"/>
      <c r="AG32" s="113">
        <f t="shared" si="223"/>
        <v>0</v>
      </c>
      <c r="AH32" s="114">
        <f t="shared" si="223"/>
        <v>0</v>
      </c>
      <c r="AI32" s="113">
        <f t="shared" si="223"/>
        <v>0</v>
      </c>
      <c r="AJ32" s="114"/>
      <c r="AK32" s="114">
        <f t="shared" ref="AK32:AQ32" si="224">AC32</f>
        <v>0</v>
      </c>
      <c r="AL32" s="114">
        <f t="shared" si="144"/>
        <v>0</v>
      </c>
      <c r="AM32" s="113"/>
      <c r="AN32" s="124"/>
      <c r="AO32" s="113">
        <f t="shared" si="224"/>
        <v>0</v>
      </c>
      <c r="AP32" s="114">
        <f t="shared" si="224"/>
        <v>0</v>
      </c>
      <c r="AQ32" s="113">
        <f t="shared" si="224"/>
        <v>0</v>
      </c>
      <c r="AR32" s="114"/>
      <c r="AS32" s="114">
        <f t="shared" ref="AS32:AY32" si="225">AK32</f>
        <v>0</v>
      </c>
      <c r="AT32" s="114">
        <f t="shared" si="146"/>
        <v>0</v>
      </c>
      <c r="AU32" s="113"/>
      <c r="AV32" s="124"/>
      <c r="AW32" s="113">
        <f t="shared" si="225"/>
        <v>0</v>
      </c>
      <c r="AX32" s="114">
        <f t="shared" si="225"/>
        <v>0</v>
      </c>
      <c r="AY32" s="113">
        <f t="shared" si="225"/>
        <v>0</v>
      </c>
      <c r="AZ32" s="114"/>
      <c r="BA32" s="114">
        <f t="shared" ref="BA32:BG32" si="226">AS32</f>
        <v>0</v>
      </c>
      <c r="BB32" s="114">
        <f t="shared" si="148"/>
        <v>0</v>
      </c>
      <c r="BC32" s="113"/>
      <c r="BD32" s="124"/>
      <c r="BE32" s="113">
        <f t="shared" si="226"/>
        <v>0</v>
      </c>
      <c r="BF32" s="114">
        <f t="shared" si="226"/>
        <v>0</v>
      </c>
      <c r="BG32" s="113">
        <f t="shared" si="226"/>
        <v>0</v>
      </c>
      <c r="BH32" s="114"/>
      <c r="BI32" s="114">
        <f t="shared" ref="BI32:BO32" si="227">BA32</f>
        <v>0</v>
      </c>
      <c r="BJ32" s="114">
        <f t="shared" si="150"/>
        <v>0</v>
      </c>
      <c r="BK32" s="113"/>
      <c r="BL32" s="124"/>
      <c r="BM32" s="113">
        <f t="shared" si="227"/>
        <v>0</v>
      </c>
      <c r="BN32" s="114">
        <f t="shared" si="227"/>
        <v>0</v>
      </c>
      <c r="BO32" s="113">
        <f t="shared" si="227"/>
        <v>0</v>
      </c>
      <c r="BP32" s="114"/>
      <c r="BQ32" s="114">
        <f t="shared" ref="BQ32:BW32" si="228">BI32</f>
        <v>0</v>
      </c>
      <c r="BR32" s="114">
        <f t="shared" si="152"/>
        <v>0</v>
      </c>
      <c r="BS32" s="113"/>
      <c r="BT32" s="124"/>
      <c r="BU32" s="113">
        <f t="shared" si="228"/>
        <v>0</v>
      </c>
      <c r="BV32" s="114">
        <f t="shared" si="228"/>
        <v>0</v>
      </c>
      <c r="BW32" s="113">
        <f t="shared" si="228"/>
        <v>0</v>
      </c>
      <c r="BX32" s="114"/>
      <c r="BY32" s="114">
        <f t="shared" ref="BY32:CE32" si="229">BQ32</f>
        <v>0</v>
      </c>
      <c r="BZ32" s="114">
        <f t="shared" si="154"/>
        <v>0</v>
      </c>
      <c r="CA32" s="113"/>
      <c r="CB32" s="124"/>
      <c r="CC32" s="113">
        <f t="shared" si="229"/>
        <v>0</v>
      </c>
      <c r="CD32" s="114">
        <f t="shared" si="229"/>
        <v>0</v>
      </c>
      <c r="CE32" s="113">
        <f t="shared" si="229"/>
        <v>0</v>
      </c>
      <c r="CF32" s="114">
        <f t="shared" si="165"/>
        <v>0</v>
      </c>
      <c r="CG32" s="114">
        <f t="shared" si="166"/>
        <v>0</v>
      </c>
      <c r="CH32" s="114">
        <f t="shared" si="155"/>
        <v>0</v>
      </c>
      <c r="CI32" s="113"/>
    </row>
    <row r="33" s="104" customFormat="1" customHeight="1" spans="1:87">
      <c r="A33" s="113"/>
      <c r="B33" s="114"/>
      <c r="C33" s="113"/>
      <c r="D33" s="114"/>
      <c r="E33" s="114"/>
      <c r="F33" s="114">
        <f t="shared" si="133"/>
        <v>0</v>
      </c>
      <c r="G33" s="113"/>
      <c r="H33" s="124"/>
      <c r="I33" s="113">
        <f t="shared" si="134"/>
        <v>0</v>
      </c>
      <c r="J33" s="114">
        <f t="shared" si="135"/>
        <v>0</v>
      </c>
      <c r="K33" s="113">
        <f t="shared" si="136"/>
        <v>0</v>
      </c>
      <c r="L33" s="114"/>
      <c r="M33" s="114">
        <f t="shared" ref="M33:S33" si="230">E33</f>
        <v>0</v>
      </c>
      <c r="N33" s="114">
        <f t="shared" si="138"/>
        <v>0</v>
      </c>
      <c r="O33" s="113"/>
      <c r="P33" s="124"/>
      <c r="Q33" s="113">
        <f t="shared" si="230"/>
        <v>0</v>
      </c>
      <c r="R33" s="114">
        <f t="shared" si="230"/>
        <v>0</v>
      </c>
      <c r="S33" s="113">
        <f t="shared" si="230"/>
        <v>0</v>
      </c>
      <c r="T33" s="114"/>
      <c r="U33" s="114">
        <f t="shared" ref="U33:AA33" si="231">M33</f>
        <v>0</v>
      </c>
      <c r="V33" s="114">
        <f t="shared" si="140"/>
        <v>0</v>
      </c>
      <c r="W33" s="113"/>
      <c r="X33" s="124"/>
      <c r="Y33" s="113">
        <f t="shared" si="231"/>
        <v>0</v>
      </c>
      <c r="Z33" s="114">
        <f t="shared" si="231"/>
        <v>0</v>
      </c>
      <c r="AA33" s="113">
        <f t="shared" si="231"/>
        <v>0</v>
      </c>
      <c r="AB33" s="114"/>
      <c r="AC33" s="114">
        <f t="shared" ref="AC33:AI33" si="232">U33</f>
        <v>0</v>
      </c>
      <c r="AD33" s="114">
        <f t="shared" si="142"/>
        <v>0</v>
      </c>
      <c r="AE33" s="113"/>
      <c r="AF33" s="124"/>
      <c r="AG33" s="113">
        <f t="shared" si="232"/>
        <v>0</v>
      </c>
      <c r="AH33" s="114">
        <f t="shared" si="232"/>
        <v>0</v>
      </c>
      <c r="AI33" s="113">
        <f t="shared" si="232"/>
        <v>0</v>
      </c>
      <c r="AJ33" s="114"/>
      <c r="AK33" s="114">
        <f t="shared" ref="AK33:AQ33" si="233">AC33</f>
        <v>0</v>
      </c>
      <c r="AL33" s="114">
        <f t="shared" si="144"/>
        <v>0</v>
      </c>
      <c r="AM33" s="113"/>
      <c r="AN33" s="124"/>
      <c r="AO33" s="113">
        <f t="shared" si="233"/>
        <v>0</v>
      </c>
      <c r="AP33" s="114">
        <f t="shared" si="233"/>
        <v>0</v>
      </c>
      <c r="AQ33" s="113">
        <f t="shared" si="233"/>
        <v>0</v>
      </c>
      <c r="AR33" s="114"/>
      <c r="AS33" s="114">
        <f t="shared" ref="AS33:AY33" si="234">AK33</f>
        <v>0</v>
      </c>
      <c r="AT33" s="114">
        <f t="shared" si="146"/>
        <v>0</v>
      </c>
      <c r="AU33" s="113"/>
      <c r="AV33" s="124"/>
      <c r="AW33" s="113">
        <f t="shared" si="234"/>
        <v>0</v>
      </c>
      <c r="AX33" s="114">
        <f t="shared" si="234"/>
        <v>0</v>
      </c>
      <c r="AY33" s="113">
        <f t="shared" si="234"/>
        <v>0</v>
      </c>
      <c r="AZ33" s="114"/>
      <c r="BA33" s="114">
        <f t="shared" ref="BA33:BG33" si="235">AS33</f>
        <v>0</v>
      </c>
      <c r="BB33" s="114">
        <f t="shared" si="148"/>
        <v>0</v>
      </c>
      <c r="BC33" s="113"/>
      <c r="BD33" s="124"/>
      <c r="BE33" s="113">
        <f t="shared" si="235"/>
        <v>0</v>
      </c>
      <c r="BF33" s="114">
        <f t="shared" si="235"/>
        <v>0</v>
      </c>
      <c r="BG33" s="113">
        <f t="shared" si="235"/>
        <v>0</v>
      </c>
      <c r="BH33" s="114"/>
      <c r="BI33" s="114">
        <f t="shared" ref="BI33:BO33" si="236">BA33</f>
        <v>0</v>
      </c>
      <c r="BJ33" s="114">
        <f t="shared" si="150"/>
        <v>0</v>
      </c>
      <c r="BK33" s="113"/>
      <c r="BL33" s="124"/>
      <c r="BM33" s="113">
        <f t="shared" si="236"/>
        <v>0</v>
      </c>
      <c r="BN33" s="114">
        <f t="shared" si="236"/>
        <v>0</v>
      </c>
      <c r="BO33" s="113">
        <f t="shared" si="236"/>
        <v>0</v>
      </c>
      <c r="BP33" s="114"/>
      <c r="BQ33" s="114">
        <f t="shared" ref="BQ33:BW33" si="237">BI33</f>
        <v>0</v>
      </c>
      <c r="BR33" s="114">
        <f t="shared" si="152"/>
        <v>0</v>
      </c>
      <c r="BS33" s="113"/>
      <c r="BT33" s="124"/>
      <c r="BU33" s="113">
        <f t="shared" si="237"/>
        <v>0</v>
      </c>
      <c r="BV33" s="114">
        <f t="shared" si="237"/>
        <v>0</v>
      </c>
      <c r="BW33" s="113">
        <f t="shared" si="237"/>
        <v>0</v>
      </c>
      <c r="BX33" s="114"/>
      <c r="BY33" s="114">
        <f t="shared" ref="BY33:CE33" si="238">BQ33</f>
        <v>0</v>
      </c>
      <c r="BZ33" s="114">
        <f t="shared" si="154"/>
        <v>0</v>
      </c>
      <c r="CA33" s="113"/>
      <c r="CB33" s="124"/>
      <c r="CC33" s="113">
        <f t="shared" si="238"/>
        <v>0</v>
      </c>
      <c r="CD33" s="114">
        <f t="shared" si="238"/>
        <v>0</v>
      </c>
      <c r="CE33" s="113">
        <f t="shared" si="238"/>
        <v>0</v>
      </c>
      <c r="CF33" s="114">
        <f t="shared" si="165"/>
        <v>0</v>
      </c>
      <c r="CG33" s="114">
        <f t="shared" si="166"/>
        <v>0</v>
      </c>
      <c r="CH33" s="114">
        <f t="shared" si="155"/>
        <v>0</v>
      </c>
      <c r="CI33" s="113"/>
    </row>
    <row r="34" s="104" customFormat="1" customHeight="1" spans="1:87">
      <c r="A34" s="113"/>
      <c r="B34" s="114"/>
      <c r="C34" s="113"/>
      <c r="D34" s="114"/>
      <c r="E34" s="114"/>
      <c r="F34" s="114">
        <f t="shared" si="133"/>
        <v>0</v>
      </c>
      <c r="G34" s="113"/>
      <c r="H34" s="124"/>
      <c r="I34" s="113">
        <f t="shared" si="134"/>
        <v>0</v>
      </c>
      <c r="J34" s="114">
        <f t="shared" si="135"/>
        <v>0</v>
      </c>
      <c r="K34" s="113">
        <f t="shared" si="136"/>
        <v>0</v>
      </c>
      <c r="L34" s="114"/>
      <c r="M34" s="114">
        <f t="shared" ref="M34:S34" si="239">E34</f>
        <v>0</v>
      </c>
      <c r="N34" s="114">
        <f t="shared" si="138"/>
        <v>0</v>
      </c>
      <c r="O34" s="113"/>
      <c r="P34" s="124"/>
      <c r="Q34" s="113">
        <f t="shared" si="239"/>
        <v>0</v>
      </c>
      <c r="R34" s="114">
        <f t="shared" si="239"/>
        <v>0</v>
      </c>
      <c r="S34" s="113">
        <f t="shared" si="239"/>
        <v>0</v>
      </c>
      <c r="T34" s="114"/>
      <c r="U34" s="114">
        <f t="shared" ref="U34:AA34" si="240">M34</f>
        <v>0</v>
      </c>
      <c r="V34" s="114">
        <f t="shared" si="140"/>
        <v>0</v>
      </c>
      <c r="W34" s="113"/>
      <c r="X34" s="124"/>
      <c r="Y34" s="113">
        <f t="shared" si="240"/>
        <v>0</v>
      </c>
      <c r="Z34" s="114">
        <f t="shared" si="240"/>
        <v>0</v>
      </c>
      <c r="AA34" s="113">
        <f t="shared" si="240"/>
        <v>0</v>
      </c>
      <c r="AB34" s="114"/>
      <c r="AC34" s="114">
        <f t="shared" ref="AC34:AI34" si="241">U34</f>
        <v>0</v>
      </c>
      <c r="AD34" s="114">
        <f t="shared" si="142"/>
        <v>0</v>
      </c>
      <c r="AE34" s="113"/>
      <c r="AF34" s="124"/>
      <c r="AG34" s="113">
        <f t="shared" si="241"/>
        <v>0</v>
      </c>
      <c r="AH34" s="114">
        <f t="shared" si="241"/>
        <v>0</v>
      </c>
      <c r="AI34" s="113">
        <f t="shared" si="241"/>
        <v>0</v>
      </c>
      <c r="AJ34" s="114"/>
      <c r="AK34" s="114">
        <f t="shared" ref="AK34:AQ34" si="242">AC34</f>
        <v>0</v>
      </c>
      <c r="AL34" s="114">
        <f t="shared" si="144"/>
        <v>0</v>
      </c>
      <c r="AM34" s="113"/>
      <c r="AN34" s="124"/>
      <c r="AO34" s="113">
        <f t="shared" si="242"/>
        <v>0</v>
      </c>
      <c r="AP34" s="114">
        <f t="shared" si="242"/>
        <v>0</v>
      </c>
      <c r="AQ34" s="113">
        <f t="shared" si="242"/>
        <v>0</v>
      </c>
      <c r="AR34" s="114"/>
      <c r="AS34" s="114">
        <f t="shared" ref="AS34:AY34" si="243">AK34</f>
        <v>0</v>
      </c>
      <c r="AT34" s="114">
        <f t="shared" si="146"/>
        <v>0</v>
      </c>
      <c r="AU34" s="113"/>
      <c r="AV34" s="124"/>
      <c r="AW34" s="113">
        <f t="shared" si="243"/>
        <v>0</v>
      </c>
      <c r="AX34" s="114">
        <f t="shared" si="243"/>
        <v>0</v>
      </c>
      <c r="AY34" s="113">
        <f t="shared" si="243"/>
        <v>0</v>
      </c>
      <c r="AZ34" s="114"/>
      <c r="BA34" s="114">
        <f t="shared" ref="BA34:BG34" si="244">AS34</f>
        <v>0</v>
      </c>
      <c r="BB34" s="114">
        <f t="shared" si="148"/>
        <v>0</v>
      </c>
      <c r="BC34" s="113"/>
      <c r="BD34" s="124"/>
      <c r="BE34" s="113">
        <f t="shared" si="244"/>
        <v>0</v>
      </c>
      <c r="BF34" s="114">
        <f t="shared" si="244"/>
        <v>0</v>
      </c>
      <c r="BG34" s="113">
        <f t="shared" si="244"/>
        <v>0</v>
      </c>
      <c r="BH34" s="114"/>
      <c r="BI34" s="114">
        <f t="shared" ref="BI34:BO34" si="245">BA34</f>
        <v>0</v>
      </c>
      <c r="BJ34" s="114">
        <f t="shared" si="150"/>
        <v>0</v>
      </c>
      <c r="BK34" s="113"/>
      <c r="BL34" s="124"/>
      <c r="BM34" s="113">
        <f t="shared" si="245"/>
        <v>0</v>
      </c>
      <c r="BN34" s="114">
        <f t="shared" si="245"/>
        <v>0</v>
      </c>
      <c r="BO34" s="113">
        <f t="shared" si="245"/>
        <v>0</v>
      </c>
      <c r="BP34" s="114"/>
      <c r="BQ34" s="114">
        <f t="shared" ref="BQ34:BW34" si="246">BI34</f>
        <v>0</v>
      </c>
      <c r="BR34" s="114">
        <f t="shared" si="152"/>
        <v>0</v>
      </c>
      <c r="BS34" s="113"/>
      <c r="BT34" s="124"/>
      <c r="BU34" s="113">
        <f t="shared" si="246"/>
        <v>0</v>
      </c>
      <c r="BV34" s="114">
        <f t="shared" si="246"/>
        <v>0</v>
      </c>
      <c r="BW34" s="113">
        <f t="shared" si="246"/>
        <v>0</v>
      </c>
      <c r="BX34" s="114"/>
      <c r="BY34" s="114">
        <f t="shared" ref="BY34:CE34" si="247">BQ34</f>
        <v>0</v>
      </c>
      <c r="BZ34" s="114">
        <f t="shared" si="154"/>
        <v>0</v>
      </c>
      <c r="CA34" s="113"/>
      <c r="CB34" s="124"/>
      <c r="CC34" s="113">
        <f t="shared" si="247"/>
        <v>0</v>
      </c>
      <c r="CD34" s="114">
        <f t="shared" si="247"/>
        <v>0</v>
      </c>
      <c r="CE34" s="113">
        <f t="shared" si="247"/>
        <v>0</v>
      </c>
      <c r="CF34" s="114">
        <f t="shared" si="165"/>
        <v>0</v>
      </c>
      <c r="CG34" s="114">
        <f t="shared" si="166"/>
        <v>0</v>
      </c>
      <c r="CH34" s="114">
        <f t="shared" si="155"/>
        <v>0</v>
      </c>
      <c r="CI34" s="113"/>
    </row>
    <row r="35" s="104" customFormat="1" customHeight="1" spans="1:87">
      <c r="A35" s="115" t="s">
        <v>340</v>
      </c>
      <c r="B35" s="116"/>
      <c r="C35" s="116"/>
      <c r="D35" s="116"/>
      <c r="E35" s="117"/>
      <c r="F35" s="118">
        <f>SUM(F23:F34)</f>
        <v>0</v>
      </c>
      <c r="G35" s="114"/>
      <c r="H35" s="124"/>
      <c r="I35" s="115" t="s">
        <v>340</v>
      </c>
      <c r="J35" s="116"/>
      <c r="K35" s="116"/>
      <c r="L35" s="116"/>
      <c r="M35" s="117"/>
      <c r="N35" s="118">
        <f>SUM(N23:N34)</f>
        <v>0</v>
      </c>
      <c r="O35" s="114"/>
      <c r="P35" s="124"/>
      <c r="Q35" s="115" t="s">
        <v>340</v>
      </c>
      <c r="R35" s="116"/>
      <c r="S35" s="116"/>
      <c r="T35" s="116"/>
      <c r="U35" s="117"/>
      <c r="V35" s="118">
        <f>SUM(V23:V34)</f>
        <v>0</v>
      </c>
      <c r="W35" s="114"/>
      <c r="X35" s="124"/>
      <c r="Y35" s="115" t="s">
        <v>340</v>
      </c>
      <c r="Z35" s="116"/>
      <c r="AA35" s="116"/>
      <c r="AB35" s="116"/>
      <c r="AC35" s="117"/>
      <c r="AD35" s="118">
        <f>SUM(AD23:AD34)</f>
        <v>0</v>
      </c>
      <c r="AE35" s="114"/>
      <c r="AF35" s="124"/>
      <c r="AG35" s="115" t="s">
        <v>340</v>
      </c>
      <c r="AH35" s="116"/>
      <c r="AI35" s="116"/>
      <c r="AJ35" s="116"/>
      <c r="AK35" s="117"/>
      <c r="AL35" s="118">
        <f>SUM(AL23:AL34)</f>
        <v>0</v>
      </c>
      <c r="AM35" s="114"/>
      <c r="AN35" s="124"/>
      <c r="AO35" s="115" t="s">
        <v>340</v>
      </c>
      <c r="AP35" s="116"/>
      <c r="AQ35" s="116"/>
      <c r="AR35" s="116"/>
      <c r="AS35" s="117"/>
      <c r="AT35" s="118">
        <f>SUM(AT23:AT34)</f>
        <v>0</v>
      </c>
      <c r="AU35" s="114"/>
      <c r="AV35" s="124"/>
      <c r="AW35" s="115" t="s">
        <v>340</v>
      </c>
      <c r="AX35" s="116"/>
      <c r="AY35" s="116"/>
      <c r="AZ35" s="116"/>
      <c r="BA35" s="117"/>
      <c r="BB35" s="118">
        <f>SUM(BB23:BB34)</f>
        <v>0</v>
      </c>
      <c r="BC35" s="114"/>
      <c r="BD35" s="124"/>
      <c r="BE35" s="115" t="s">
        <v>340</v>
      </c>
      <c r="BF35" s="116"/>
      <c r="BG35" s="116"/>
      <c r="BH35" s="116"/>
      <c r="BI35" s="117"/>
      <c r="BJ35" s="118">
        <f>SUM(BJ23:BJ34)</f>
        <v>0</v>
      </c>
      <c r="BK35" s="114"/>
      <c r="BL35" s="124"/>
      <c r="BM35" s="115" t="s">
        <v>340</v>
      </c>
      <c r="BN35" s="116"/>
      <c r="BO35" s="116"/>
      <c r="BP35" s="116"/>
      <c r="BQ35" s="117"/>
      <c r="BR35" s="118">
        <f>SUM(BR23:BR34)</f>
        <v>0</v>
      </c>
      <c r="BS35" s="114"/>
      <c r="BT35" s="124"/>
      <c r="BU35" s="115" t="s">
        <v>340</v>
      </c>
      <c r="BV35" s="116"/>
      <c r="BW35" s="116"/>
      <c r="BX35" s="116"/>
      <c r="BY35" s="117"/>
      <c r="BZ35" s="118">
        <f>SUM(BZ23:BZ34)</f>
        <v>0</v>
      </c>
      <c r="CA35" s="114"/>
      <c r="CB35" s="124"/>
      <c r="CC35" s="115" t="s">
        <v>340</v>
      </c>
      <c r="CD35" s="116"/>
      <c r="CE35" s="116"/>
      <c r="CF35" s="116"/>
      <c r="CG35" s="117"/>
      <c r="CH35" s="118">
        <f>SUM(CH23:CH34)</f>
        <v>0</v>
      </c>
      <c r="CI35" s="114"/>
    </row>
    <row r="36" s="104" customFormat="1" customHeight="1" spans="1:87">
      <c r="A36" s="119" t="s">
        <v>341</v>
      </c>
      <c r="B36" s="119"/>
      <c r="C36" s="120"/>
      <c r="D36" s="119"/>
      <c r="E36" s="119"/>
      <c r="F36" s="119"/>
      <c r="G36" s="119"/>
      <c r="H36" s="124"/>
      <c r="I36" s="119" t="s">
        <v>341</v>
      </c>
      <c r="J36" s="119"/>
      <c r="K36" s="120"/>
      <c r="L36" s="119"/>
      <c r="M36" s="119"/>
      <c r="N36" s="119"/>
      <c r="O36" s="119"/>
      <c r="P36" s="124"/>
      <c r="Q36" s="119" t="s">
        <v>341</v>
      </c>
      <c r="R36" s="119"/>
      <c r="S36" s="120"/>
      <c r="T36" s="119"/>
      <c r="U36" s="119"/>
      <c r="V36" s="119"/>
      <c r="W36" s="119"/>
      <c r="X36" s="124"/>
      <c r="Y36" s="119" t="s">
        <v>341</v>
      </c>
      <c r="Z36" s="119"/>
      <c r="AA36" s="120"/>
      <c r="AB36" s="119"/>
      <c r="AC36" s="119"/>
      <c r="AD36" s="119"/>
      <c r="AE36" s="119"/>
      <c r="AF36" s="124"/>
      <c r="AG36" s="119" t="s">
        <v>341</v>
      </c>
      <c r="AH36" s="119"/>
      <c r="AI36" s="120"/>
      <c r="AJ36" s="119"/>
      <c r="AK36" s="119"/>
      <c r="AL36" s="119"/>
      <c r="AM36" s="119"/>
      <c r="AN36" s="124"/>
      <c r="AO36" s="119" t="s">
        <v>341</v>
      </c>
      <c r="AP36" s="119"/>
      <c r="AQ36" s="120"/>
      <c r="AR36" s="119"/>
      <c r="AS36" s="119"/>
      <c r="AT36" s="119"/>
      <c r="AU36" s="119"/>
      <c r="AV36" s="124"/>
      <c r="AW36" s="119" t="s">
        <v>341</v>
      </c>
      <c r="AX36" s="119"/>
      <c r="AY36" s="120"/>
      <c r="AZ36" s="119"/>
      <c r="BA36" s="119"/>
      <c r="BB36" s="119"/>
      <c r="BC36" s="119"/>
      <c r="BD36" s="124"/>
      <c r="BE36" s="119" t="s">
        <v>341</v>
      </c>
      <c r="BF36" s="119"/>
      <c r="BG36" s="120"/>
      <c r="BH36" s="119"/>
      <c r="BI36" s="119"/>
      <c r="BJ36" s="119"/>
      <c r="BK36" s="119"/>
      <c r="BL36" s="124"/>
      <c r="BM36" s="119" t="s">
        <v>341</v>
      </c>
      <c r="BN36" s="119"/>
      <c r="BO36" s="120"/>
      <c r="BP36" s="119"/>
      <c r="BQ36" s="119"/>
      <c r="BR36" s="119"/>
      <c r="BS36" s="119"/>
      <c r="BT36" s="124"/>
      <c r="BU36" s="119" t="s">
        <v>341</v>
      </c>
      <c r="BV36" s="119"/>
      <c r="BW36" s="120"/>
      <c r="BX36" s="119"/>
      <c r="BY36" s="119"/>
      <c r="BZ36" s="119"/>
      <c r="CA36" s="119"/>
      <c r="CB36" s="124"/>
      <c r="CC36" s="119" t="s">
        <v>341</v>
      </c>
      <c r="CD36" s="119"/>
      <c r="CE36" s="120"/>
      <c r="CF36" s="119"/>
      <c r="CG36" s="119"/>
      <c r="CH36" s="119"/>
      <c r="CI36" s="119"/>
    </row>
    <row r="39" s="104" customFormat="1" customHeight="1" spans="1:87">
      <c r="A39" s="105"/>
      <c r="B39" s="106"/>
      <c r="C39" s="107" t="s">
        <v>330</v>
      </c>
      <c r="D39" s="107"/>
      <c r="E39" s="107"/>
      <c r="F39" s="105"/>
      <c r="G39" s="105"/>
      <c r="H39" s="124" t="str">
        <f>H20</f>
        <v>RD01</v>
      </c>
      <c r="I39" s="105"/>
      <c r="J39" s="106"/>
      <c r="K39" s="107" t="s">
        <v>330</v>
      </c>
      <c r="L39" s="107"/>
      <c r="M39" s="107"/>
      <c r="N39" s="105"/>
      <c r="O39" s="105"/>
      <c r="P39" s="124" t="str">
        <f>P20</f>
        <v>RD02</v>
      </c>
      <c r="Q39" s="105"/>
      <c r="R39" s="106"/>
      <c r="S39" s="107" t="s">
        <v>330</v>
      </c>
      <c r="T39" s="107"/>
      <c r="U39" s="107"/>
      <c r="V39" s="105"/>
      <c r="W39" s="105"/>
      <c r="X39" s="124" t="str">
        <f>X20</f>
        <v>RD03</v>
      </c>
      <c r="Y39" s="105"/>
      <c r="Z39" s="106"/>
      <c r="AA39" s="107" t="s">
        <v>330</v>
      </c>
      <c r="AB39" s="107"/>
      <c r="AC39" s="107"/>
      <c r="AD39" s="105"/>
      <c r="AE39" s="105"/>
      <c r="AF39" s="124" t="str">
        <f>AF20</f>
        <v>RD04</v>
      </c>
      <c r="AG39" s="105"/>
      <c r="AH39" s="106"/>
      <c r="AI39" s="107" t="s">
        <v>330</v>
      </c>
      <c r="AJ39" s="107"/>
      <c r="AK39" s="107"/>
      <c r="AL39" s="105"/>
      <c r="AM39" s="105"/>
      <c r="AN39" s="124" t="str">
        <f>AN20</f>
        <v>RD05</v>
      </c>
      <c r="AO39" s="105"/>
      <c r="AP39" s="106"/>
      <c r="AQ39" s="107" t="s">
        <v>330</v>
      </c>
      <c r="AR39" s="107"/>
      <c r="AS39" s="107"/>
      <c r="AT39" s="105"/>
      <c r="AU39" s="105"/>
      <c r="AV39" s="124" t="str">
        <f>AV20</f>
        <v>RD06</v>
      </c>
      <c r="AW39" s="105"/>
      <c r="AX39" s="106"/>
      <c r="AY39" s="107" t="s">
        <v>330</v>
      </c>
      <c r="AZ39" s="107"/>
      <c r="BA39" s="107"/>
      <c r="BB39" s="105"/>
      <c r="BC39" s="105"/>
      <c r="BD39" s="124" t="str">
        <f>BD20</f>
        <v>RD07</v>
      </c>
      <c r="BE39" s="105"/>
      <c r="BF39" s="106"/>
      <c r="BG39" s="107" t="s">
        <v>330</v>
      </c>
      <c r="BH39" s="107"/>
      <c r="BI39" s="107"/>
      <c r="BJ39" s="105"/>
      <c r="BK39" s="105"/>
      <c r="BL39" s="124" t="str">
        <f>BL20</f>
        <v>RD08</v>
      </c>
      <c r="BM39" s="105"/>
      <c r="BN39" s="106"/>
      <c r="BO39" s="107" t="s">
        <v>330</v>
      </c>
      <c r="BP39" s="107"/>
      <c r="BQ39" s="107"/>
      <c r="BR39" s="105"/>
      <c r="BS39" s="105"/>
      <c r="BT39" s="124" t="str">
        <f>BT20</f>
        <v>RD09</v>
      </c>
      <c r="BU39" s="105"/>
      <c r="BV39" s="106"/>
      <c r="BW39" s="107" t="s">
        <v>330</v>
      </c>
      <c r="BX39" s="107"/>
      <c r="BY39" s="107"/>
      <c r="BZ39" s="105"/>
      <c r="CA39" s="105"/>
      <c r="CB39" s="124" t="str">
        <f>CB20</f>
        <v>RD10</v>
      </c>
      <c r="CC39" s="105"/>
      <c r="CD39" s="106"/>
      <c r="CE39" s="107" t="s">
        <v>330</v>
      </c>
      <c r="CF39" s="107"/>
      <c r="CG39" s="107"/>
      <c r="CH39" s="105"/>
      <c r="CI39" s="105"/>
    </row>
    <row r="40" s="122" customFormat="1" customHeight="1" spans="1:87">
      <c r="A40" s="108" t="s">
        <v>331</v>
      </c>
      <c r="B40" s="109"/>
      <c r="C40" s="110">
        <v>45747</v>
      </c>
      <c r="D40" s="110"/>
      <c r="E40" s="110"/>
      <c r="F40" s="111"/>
      <c r="G40" s="112"/>
      <c r="H40" s="125"/>
      <c r="I40" s="108" t="s">
        <v>331</v>
      </c>
      <c r="J40" s="109"/>
      <c r="K40" s="110">
        <v>45747</v>
      </c>
      <c r="L40" s="110"/>
      <c r="M40" s="110"/>
      <c r="N40" s="111" t="s">
        <v>332</v>
      </c>
      <c r="O40" s="112" t="str">
        <f>立项!$A$3</f>
        <v>RD01</v>
      </c>
      <c r="P40" s="125"/>
      <c r="Q40" s="108" t="s">
        <v>331</v>
      </c>
      <c r="R40" s="109"/>
      <c r="S40" s="110">
        <v>45747</v>
      </c>
      <c r="T40" s="110"/>
      <c r="U40" s="110"/>
      <c r="V40" s="111" t="s">
        <v>332</v>
      </c>
      <c r="W40" s="112" t="str">
        <f>立项!$A$4</f>
        <v>RD02</v>
      </c>
      <c r="X40" s="125"/>
      <c r="Y40" s="108" t="s">
        <v>331</v>
      </c>
      <c r="Z40" s="109"/>
      <c r="AA40" s="110">
        <v>45747</v>
      </c>
      <c r="AB40" s="110"/>
      <c r="AC40" s="110"/>
      <c r="AD40" s="111" t="s">
        <v>332</v>
      </c>
      <c r="AE40" s="112" t="str">
        <f>立项!$A$5</f>
        <v>RD03</v>
      </c>
      <c r="AF40" s="125"/>
      <c r="AG40" s="108" t="s">
        <v>331</v>
      </c>
      <c r="AH40" s="109"/>
      <c r="AI40" s="110">
        <v>45747</v>
      </c>
      <c r="AJ40" s="110"/>
      <c r="AK40" s="110"/>
      <c r="AL40" s="111" t="s">
        <v>332</v>
      </c>
      <c r="AM40" s="112" t="str">
        <f>立项!$A$6</f>
        <v>RD04</v>
      </c>
      <c r="AN40" s="125"/>
      <c r="AO40" s="108" t="s">
        <v>331</v>
      </c>
      <c r="AP40" s="109"/>
      <c r="AQ40" s="110">
        <v>45747</v>
      </c>
      <c r="AR40" s="110"/>
      <c r="AS40" s="110"/>
      <c r="AT40" s="111" t="s">
        <v>332</v>
      </c>
      <c r="AU40" s="112" t="str">
        <f>立项!$A$7</f>
        <v>RD05</v>
      </c>
      <c r="AV40" s="125"/>
      <c r="AW40" s="108" t="s">
        <v>331</v>
      </c>
      <c r="AX40" s="109"/>
      <c r="AY40" s="110">
        <v>45747</v>
      </c>
      <c r="AZ40" s="110"/>
      <c r="BA40" s="110"/>
      <c r="BB40" s="111" t="s">
        <v>332</v>
      </c>
      <c r="BC40" s="112" t="str">
        <f>立项!$A$8</f>
        <v>RD06</v>
      </c>
      <c r="BD40" s="125"/>
      <c r="BE40" s="108" t="s">
        <v>331</v>
      </c>
      <c r="BF40" s="109"/>
      <c r="BG40" s="110">
        <v>45747</v>
      </c>
      <c r="BH40" s="110"/>
      <c r="BI40" s="110"/>
      <c r="BJ40" s="111" t="s">
        <v>332</v>
      </c>
      <c r="BK40" s="112" t="str">
        <f>立项!$A$9</f>
        <v>RD07</v>
      </c>
      <c r="BL40" s="125"/>
      <c r="BM40" s="108" t="s">
        <v>331</v>
      </c>
      <c r="BN40" s="109"/>
      <c r="BO40" s="110">
        <v>45747</v>
      </c>
      <c r="BP40" s="110"/>
      <c r="BQ40" s="110"/>
      <c r="BR40" s="111" t="s">
        <v>332</v>
      </c>
      <c r="BS40" s="112" t="str">
        <f>立项!$A$10</f>
        <v>RD08</v>
      </c>
      <c r="BT40" s="125"/>
      <c r="BU40" s="108" t="s">
        <v>331</v>
      </c>
      <c r="BV40" s="109"/>
      <c r="BW40" s="110">
        <v>45747</v>
      </c>
      <c r="BX40" s="110"/>
      <c r="BY40" s="110"/>
      <c r="BZ40" s="111" t="s">
        <v>332</v>
      </c>
      <c r="CA40" s="112" t="str">
        <f>立项!$A$11</f>
        <v>RD09</v>
      </c>
      <c r="CB40" s="125"/>
      <c r="CC40" s="108" t="s">
        <v>331</v>
      </c>
      <c r="CD40" s="109"/>
      <c r="CE40" s="110">
        <v>45747</v>
      </c>
      <c r="CF40" s="110"/>
      <c r="CG40" s="110"/>
      <c r="CH40" s="111" t="s">
        <v>332</v>
      </c>
      <c r="CI40" s="112" t="str">
        <f>立项!$A$12</f>
        <v>RD10</v>
      </c>
    </row>
    <row r="41" customHeight="1" spans="1:87">
      <c r="A41" s="113" t="s">
        <v>333</v>
      </c>
      <c r="B41" s="113" t="s">
        <v>334</v>
      </c>
      <c r="C41" s="113" t="s">
        <v>335</v>
      </c>
      <c r="D41" s="113" t="s">
        <v>336</v>
      </c>
      <c r="E41" s="113" t="s">
        <v>337</v>
      </c>
      <c r="F41" s="113" t="s">
        <v>338</v>
      </c>
      <c r="G41" s="113" t="s">
        <v>339</v>
      </c>
      <c r="I41" s="113" t="s">
        <v>333</v>
      </c>
      <c r="J41" s="113" t="s">
        <v>334</v>
      </c>
      <c r="K41" s="113" t="s">
        <v>335</v>
      </c>
      <c r="L41" s="113" t="s">
        <v>336</v>
      </c>
      <c r="M41" s="113" t="s">
        <v>337</v>
      </c>
      <c r="N41" s="113" t="s">
        <v>338</v>
      </c>
      <c r="O41" s="113" t="s">
        <v>339</v>
      </c>
      <c r="Q41" s="113" t="s">
        <v>333</v>
      </c>
      <c r="R41" s="113" t="s">
        <v>334</v>
      </c>
      <c r="S41" s="113" t="s">
        <v>335</v>
      </c>
      <c r="T41" s="113" t="s">
        <v>336</v>
      </c>
      <c r="U41" s="113" t="s">
        <v>337</v>
      </c>
      <c r="V41" s="113" t="s">
        <v>338</v>
      </c>
      <c r="W41" s="113" t="s">
        <v>339</v>
      </c>
      <c r="Y41" s="113" t="s">
        <v>333</v>
      </c>
      <c r="Z41" s="113" t="s">
        <v>334</v>
      </c>
      <c r="AA41" s="113" t="s">
        <v>335</v>
      </c>
      <c r="AB41" s="113" t="s">
        <v>336</v>
      </c>
      <c r="AC41" s="113" t="s">
        <v>337</v>
      </c>
      <c r="AD41" s="113" t="s">
        <v>338</v>
      </c>
      <c r="AE41" s="113" t="s">
        <v>339</v>
      </c>
      <c r="AG41" s="113" t="s">
        <v>333</v>
      </c>
      <c r="AH41" s="113" t="s">
        <v>334</v>
      </c>
      <c r="AI41" s="113" t="s">
        <v>335</v>
      </c>
      <c r="AJ41" s="113" t="s">
        <v>336</v>
      </c>
      <c r="AK41" s="113" t="s">
        <v>337</v>
      </c>
      <c r="AL41" s="113" t="s">
        <v>338</v>
      </c>
      <c r="AM41" s="113" t="s">
        <v>339</v>
      </c>
      <c r="AO41" s="113" t="s">
        <v>333</v>
      </c>
      <c r="AP41" s="113" t="s">
        <v>334</v>
      </c>
      <c r="AQ41" s="113" t="s">
        <v>335</v>
      </c>
      <c r="AR41" s="113" t="s">
        <v>336</v>
      </c>
      <c r="AS41" s="113" t="s">
        <v>337</v>
      </c>
      <c r="AT41" s="113" t="s">
        <v>338</v>
      </c>
      <c r="AU41" s="113" t="s">
        <v>339</v>
      </c>
      <c r="AW41" s="113" t="s">
        <v>333</v>
      </c>
      <c r="AX41" s="113" t="s">
        <v>334</v>
      </c>
      <c r="AY41" s="113" t="s">
        <v>335</v>
      </c>
      <c r="AZ41" s="113" t="s">
        <v>336</v>
      </c>
      <c r="BA41" s="113" t="s">
        <v>337</v>
      </c>
      <c r="BB41" s="113" t="s">
        <v>338</v>
      </c>
      <c r="BC41" s="113" t="s">
        <v>339</v>
      </c>
      <c r="BE41" s="113" t="s">
        <v>333</v>
      </c>
      <c r="BF41" s="113" t="s">
        <v>334</v>
      </c>
      <c r="BG41" s="113" t="s">
        <v>335</v>
      </c>
      <c r="BH41" s="113" t="s">
        <v>336</v>
      </c>
      <c r="BI41" s="113" t="s">
        <v>337</v>
      </c>
      <c r="BJ41" s="113" t="s">
        <v>338</v>
      </c>
      <c r="BK41" s="113" t="s">
        <v>339</v>
      </c>
      <c r="BM41" s="113" t="s">
        <v>333</v>
      </c>
      <c r="BN41" s="113" t="s">
        <v>334</v>
      </c>
      <c r="BO41" s="113" t="s">
        <v>335</v>
      </c>
      <c r="BP41" s="113" t="s">
        <v>336</v>
      </c>
      <c r="BQ41" s="113" t="s">
        <v>337</v>
      </c>
      <c r="BR41" s="113" t="s">
        <v>338</v>
      </c>
      <c r="BS41" s="113" t="s">
        <v>339</v>
      </c>
      <c r="BU41" s="113" t="s">
        <v>333</v>
      </c>
      <c r="BV41" s="113" t="s">
        <v>334</v>
      </c>
      <c r="BW41" s="113" t="s">
        <v>335</v>
      </c>
      <c r="BX41" s="113" t="s">
        <v>336</v>
      </c>
      <c r="BY41" s="113" t="s">
        <v>337</v>
      </c>
      <c r="BZ41" s="113" t="s">
        <v>338</v>
      </c>
      <c r="CA41" s="113" t="s">
        <v>339</v>
      </c>
      <c r="CC41" s="113" t="s">
        <v>333</v>
      </c>
      <c r="CD41" s="113" t="s">
        <v>334</v>
      </c>
      <c r="CE41" s="113" t="s">
        <v>335</v>
      </c>
      <c r="CF41" s="113" t="s">
        <v>336</v>
      </c>
      <c r="CG41" s="113" t="s">
        <v>337</v>
      </c>
      <c r="CH41" s="113" t="s">
        <v>338</v>
      </c>
      <c r="CI41" s="113" t="s">
        <v>339</v>
      </c>
    </row>
    <row r="42" customHeight="1" spans="1:87">
      <c r="A42" s="113"/>
      <c r="B42" s="114"/>
      <c r="C42" s="113"/>
      <c r="D42" s="114"/>
      <c r="E42" s="114"/>
      <c r="F42" s="114">
        <f t="shared" ref="F42:F53" si="248">ROUND(D42*E42,2)</f>
        <v>0</v>
      </c>
      <c r="G42" s="113"/>
      <c r="I42" s="113">
        <f t="shared" ref="I42:I53" si="249">A42</f>
        <v>0</v>
      </c>
      <c r="J42" s="114">
        <f t="shared" ref="J42:J53" si="250">B42</f>
        <v>0</v>
      </c>
      <c r="K42" s="113">
        <f t="shared" ref="K42:K53" si="251">C42</f>
        <v>0</v>
      </c>
      <c r="L42" s="114"/>
      <c r="M42" s="114">
        <f t="shared" ref="M42:S42" si="252">E42</f>
        <v>0</v>
      </c>
      <c r="N42" s="114">
        <f t="shared" ref="N42:N53" si="253">ROUND(L42*M42,2)</f>
        <v>0</v>
      </c>
      <c r="O42" s="113"/>
      <c r="Q42" s="113">
        <f t="shared" si="252"/>
        <v>0</v>
      </c>
      <c r="R42" s="114">
        <f t="shared" si="252"/>
        <v>0</v>
      </c>
      <c r="S42" s="113">
        <f t="shared" si="252"/>
        <v>0</v>
      </c>
      <c r="T42" s="114"/>
      <c r="U42" s="114">
        <f t="shared" ref="U42:AA42" si="254">M42</f>
        <v>0</v>
      </c>
      <c r="V42" s="114">
        <f t="shared" ref="V42:V53" si="255">ROUND(T42*U42,2)</f>
        <v>0</v>
      </c>
      <c r="W42" s="113"/>
      <c r="Y42" s="113">
        <f t="shared" si="254"/>
        <v>0</v>
      </c>
      <c r="Z42" s="114">
        <f t="shared" si="254"/>
        <v>0</v>
      </c>
      <c r="AA42" s="113">
        <f t="shared" si="254"/>
        <v>0</v>
      </c>
      <c r="AB42" s="114"/>
      <c r="AC42" s="114">
        <f t="shared" ref="AC42:AI42" si="256">U42</f>
        <v>0</v>
      </c>
      <c r="AD42" s="114">
        <f t="shared" ref="AD42:AD53" si="257">ROUND(AB42*AC42,2)</f>
        <v>0</v>
      </c>
      <c r="AE42" s="113"/>
      <c r="AG42" s="113">
        <f t="shared" si="256"/>
        <v>0</v>
      </c>
      <c r="AH42" s="114">
        <f t="shared" si="256"/>
        <v>0</v>
      </c>
      <c r="AI42" s="113">
        <f t="shared" si="256"/>
        <v>0</v>
      </c>
      <c r="AJ42" s="114"/>
      <c r="AK42" s="114">
        <f t="shared" ref="AK42:AQ42" si="258">AC42</f>
        <v>0</v>
      </c>
      <c r="AL42" s="114">
        <f t="shared" ref="AL42:AL53" si="259">ROUND(AJ42*AK42,2)</f>
        <v>0</v>
      </c>
      <c r="AM42" s="113"/>
      <c r="AO42" s="113">
        <f t="shared" si="258"/>
        <v>0</v>
      </c>
      <c r="AP42" s="114">
        <f t="shared" si="258"/>
        <v>0</v>
      </c>
      <c r="AQ42" s="113">
        <f t="shared" si="258"/>
        <v>0</v>
      </c>
      <c r="AR42" s="114"/>
      <c r="AS42" s="114">
        <f t="shared" ref="AS42:AY42" si="260">AK42</f>
        <v>0</v>
      </c>
      <c r="AT42" s="114">
        <f t="shared" ref="AT42:AT53" si="261">ROUND(AR42*AS42,2)</f>
        <v>0</v>
      </c>
      <c r="AU42" s="113"/>
      <c r="AW42" s="113">
        <f t="shared" si="260"/>
        <v>0</v>
      </c>
      <c r="AX42" s="114">
        <f t="shared" si="260"/>
        <v>0</v>
      </c>
      <c r="AY42" s="113">
        <f t="shared" si="260"/>
        <v>0</v>
      </c>
      <c r="AZ42" s="114"/>
      <c r="BA42" s="114">
        <f t="shared" ref="BA42:BG42" si="262">AS42</f>
        <v>0</v>
      </c>
      <c r="BB42" s="114">
        <f t="shared" ref="BB42:BB53" si="263">ROUND(AZ42*BA42,2)</f>
        <v>0</v>
      </c>
      <c r="BC42" s="113"/>
      <c r="BE42" s="113">
        <f t="shared" si="262"/>
        <v>0</v>
      </c>
      <c r="BF42" s="114">
        <f t="shared" si="262"/>
        <v>0</v>
      </c>
      <c r="BG42" s="113">
        <f t="shared" si="262"/>
        <v>0</v>
      </c>
      <c r="BH42" s="114"/>
      <c r="BI42" s="114">
        <f t="shared" ref="BI42:BO42" si="264">BA42</f>
        <v>0</v>
      </c>
      <c r="BJ42" s="114">
        <f t="shared" ref="BJ42:BJ53" si="265">ROUND(BH42*BI42,2)</f>
        <v>0</v>
      </c>
      <c r="BK42" s="113"/>
      <c r="BM42" s="113">
        <f t="shared" si="264"/>
        <v>0</v>
      </c>
      <c r="BN42" s="114">
        <f t="shared" si="264"/>
        <v>0</v>
      </c>
      <c r="BO42" s="113">
        <f t="shared" si="264"/>
        <v>0</v>
      </c>
      <c r="BP42" s="114"/>
      <c r="BQ42" s="114">
        <f t="shared" ref="BQ42:BW42" si="266">BI42</f>
        <v>0</v>
      </c>
      <c r="BR42" s="114">
        <f t="shared" ref="BR42:BR53" si="267">ROUND(BP42*BQ42,2)</f>
        <v>0</v>
      </c>
      <c r="BS42" s="113"/>
      <c r="BU42" s="113">
        <f t="shared" si="266"/>
        <v>0</v>
      </c>
      <c r="BV42" s="114">
        <f t="shared" si="266"/>
        <v>0</v>
      </c>
      <c r="BW42" s="113">
        <f t="shared" si="266"/>
        <v>0</v>
      </c>
      <c r="BX42" s="114"/>
      <c r="BY42" s="114">
        <f t="shared" ref="BY42:CE42" si="268">BQ42</f>
        <v>0</v>
      </c>
      <c r="BZ42" s="114">
        <f t="shared" ref="BZ42:BZ53" si="269">ROUND(BX42*BY42,2)</f>
        <v>0</v>
      </c>
      <c r="CA42" s="113"/>
      <c r="CC42" s="113">
        <f t="shared" si="268"/>
        <v>0</v>
      </c>
      <c r="CD42" s="114">
        <f t="shared" si="268"/>
        <v>0</v>
      </c>
      <c r="CE42" s="113">
        <f t="shared" si="268"/>
        <v>0</v>
      </c>
      <c r="CF42" s="114">
        <f t="shared" ref="CF42:CF53" si="270">D42-L42-T42-AB42-AJ42-AR42-AZ42-BH42-BP42-BX42</f>
        <v>0</v>
      </c>
      <c r="CG42" s="114">
        <f t="shared" ref="CG42:CG53" si="271">BY42</f>
        <v>0</v>
      </c>
      <c r="CH42" s="114">
        <f t="shared" ref="CH42:CH53" si="272">F42-N42-V42-AD42-AL42-AT42-BB42-BJ42-BR42-BZ42</f>
        <v>0</v>
      </c>
      <c r="CI42" s="113"/>
    </row>
    <row r="43" s="104" customFormat="1" customHeight="1" spans="1:87">
      <c r="A43" s="113"/>
      <c r="B43" s="114"/>
      <c r="C43" s="113"/>
      <c r="D43" s="114"/>
      <c r="E43" s="114"/>
      <c r="F43" s="114">
        <f t="shared" si="248"/>
        <v>0</v>
      </c>
      <c r="G43" s="113"/>
      <c r="H43" s="124"/>
      <c r="I43" s="113">
        <f t="shared" si="249"/>
        <v>0</v>
      </c>
      <c r="J43" s="114">
        <f t="shared" si="250"/>
        <v>0</v>
      </c>
      <c r="K43" s="113">
        <f t="shared" si="251"/>
        <v>0</v>
      </c>
      <c r="L43" s="114"/>
      <c r="M43" s="114">
        <f t="shared" ref="M43:S43" si="273">E43</f>
        <v>0</v>
      </c>
      <c r="N43" s="114">
        <f t="shared" si="253"/>
        <v>0</v>
      </c>
      <c r="O43" s="113"/>
      <c r="P43" s="124"/>
      <c r="Q43" s="113">
        <f t="shared" si="273"/>
        <v>0</v>
      </c>
      <c r="R43" s="114">
        <f t="shared" si="273"/>
        <v>0</v>
      </c>
      <c r="S43" s="113">
        <f t="shared" si="273"/>
        <v>0</v>
      </c>
      <c r="T43" s="114"/>
      <c r="U43" s="114">
        <f t="shared" ref="U43:AA43" si="274">M43</f>
        <v>0</v>
      </c>
      <c r="V43" s="114">
        <f t="shared" si="255"/>
        <v>0</v>
      </c>
      <c r="W43" s="113"/>
      <c r="X43" s="124"/>
      <c r="Y43" s="113">
        <f t="shared" si="274"/>
        <v>0</v>
      </c>
      <c r="Z43" s="114">
        <f t="shared" si="274"/>
        <v>0</v>
      </c>
      <c r="AA43" s="113">
        <f t="shared" si="274"/>
        <v>0</v>
      </c>
      <c r="AB43" s="114"/>
      <c r="AC43" s="114">
        <f t="shared" ref="AC43:AI43" si="275">U43</f>
        <v>0</v>
      </c>
      <c r="AD43" s="114">
        <f t="shared" si="257"/>
        <v>0</v>
      </c>
      <c r="AE43" s="113"/>
      <c r="AF43" s="124"/>
      <c r="AG43" s="113">
        <f t="shared" si="275"/>
        <v>0</v>
      </c>
      <c r="AH43" s="114">
        <f t="shared" si="275"/>
        <v>0</v>
      </c>
      <c r="AI43" s="113">
        <f t="shared" si="275"/>
        <v>0</v>
      </c>
      <c r="AJ43" s="114"/>
      <c r="AK43" s="114">
        <f t="shared" ref="AK43:AQ43" si="276">AC43</f>
        <v>0</v>
      </c>
      <c r="AL43" s="114">
        <f t="shared" si="259"/>
        <v>0</v>
      </c>
      <c r="AM43" s="113"/>
      <c r="AN43" s="124"/>
      <c r="AO43" s="113">
        <f t="shared" si="276"/>
        <v>0</v>
      </c>
      <c r="AP43" s="114">
        <f t="shared" si="276"/>
        <v>0</v>
      </c>
      <c r="AQ43" s="113">
        <f t="shared" si="276"/>
        <v>0</v>
      </c>
      <c r="AR43" s="114"/>
      <c r="AS43" s="114">
        <f t="shared" ref="AS43:AY43" si="277">AK43</f>
        <v>0</v>
      </c>
      <c r="AT43" s="114">
        <f t="shared" si="261"/>
        <v>0</v>
      </c>
      <c r="AU43" s="113"/>
      <c r="AV43" s="124"/>
      <c r="AW43" s="113">
        <f t="shared" si="277"/>
        <v>0</v>
      </c>
      <c r="AX43" s="114">
        <f t="shared" si="277"/>
        <v>0</v>
      </c>
      <c r="AY43" s="113">
        <f t="shared" si="277"/>
        <v>0</v>
      </c>
      <c r="AZ43" s="114"/>
      <c r="BA43" s="114">
        <f t="shared" ref="BA43:BG43" si="278">AS43</f>
        <v>0</v>
      </c>
      <c r="BB43" s="114">
        <f t="shared" si="263"/>
        <v>0</v>
      </c>
      <c r="BC43" s="113"/>
      <c r="BD43" s="124"/>
      <c r="BE43" s="113">
        <f t="shared" si="278"/>
        <v>0</v>
      </c>
      <c r="BF43" s="114">
        <f t="shared" si="278"/>
        <v>0</v>
      </c>
      <c r="BG43" s="113">
        <f t="shared" si="278"/>
        <v>0</v>
      </c>
      <c r="BH43" s="114"/>
      <c r="BI43" s="114">
        <f t="shared" ref="BI43:BO43" si="279">BA43</f>
        <v>0</v>
      </c>
      <c r="BJ43" s="114">
        <f t="shared" si="265"/>
        <v>0</v>
      </c>
      <c r="BK43" s="113"/>
      <c r="BL43" s="124"/>
      <c r="BM43" s="113">
        <f t="shared" si="279"/>
        <v>0</v>
      </c>
      <c r="BN43" s="114">
        <f t="shared" si="279"/>
        <v>0</v>
      </c>
      <c r="BO43" s="113">
        <f t="shared" si="279"/>
        <v>0</v>
      </c>
      <c r="BP43" s="114"/>
      <c r="BQ43" s="114">
        <f t="shared" ref="BQ43:BW43" si="280">BI43</f>
        <v>0</v>
      </c>
      <c r="BR43" s="114">
        <f t="shared" si="267"/>
        <v>0</v>
      </c>
      <c r="BS43" s="113"/>
      <c r="BT43" s="124"/>
      <c r="BU43" s="113">
        <f t="shared" si="280"/>
        <v>0</v>
      </c>
      <c r="BV43" s="114">
        <f t="shared" si="280"/>
        <v>0</v>
      </c>
      <c r="BW43" s="113">
        <f t="shared" si="280"/>
        <v>0</v>
      </c>
      <c r="BX43" s="114"/>
      <c r="BY43" s="114">
        <f t="shared" ref="BY43:CE43" si="281">BQ43</f>
        <v>0</v>
      </c>
      <c r="BZ43" s="114">
        <f t="shared" si="269"/>
        <v>0</v>
      </c>
      <c r="CA43" s="113"/>
      <c r="CB43" s="124"/>
      <c r="CC43" s="113">
        <f t="shared" si="281"/>
        <v>0</v>
      </c>
      <c r="CD43" s="114">
        <f t="shared" si="281"/>
        <v>0</v>
      </c>
      <c r="CE43" s="113">
        <f t="shared" si="281"/>
        <v>0</v>
      </c>
      <c r="CF43" s="114">
        <f t="shared" si="270"/>
        <v>0</v>
      </c>
      <c r="CG43" s="114">
        <f t="shared" si="271"/>
        <v>0</v>
      </c>
      <c r="CH43" s="114">
        <f t="shared" si="272"/>
        <v>0</v>
      </c>
      <c r="CI43" s="113"/>
    </row>
    <row r="44" s="104" customFormat="1" customHeight="1" spans="1:87">
      <c r="A44" s="113"/>
      <c r="B44" s="114"/>
      <c r="C44" s="113"/>
      <c r="D44" s="114"/>
      <c r="E44" s="114"/>
      <c r="F44" s="114">
        <f t="shared" si="248"/>
        <v>0</v>
      </c>
      <c r="G44" s="113"/>
      <c r="H44" s="124"/>
      <c r="I44" s="113">
        <f t="shared" si="249"/>
        <v>0</v>
      </c>
      <c r="J44" s="114">
        <f t="shared" si="250"/>
        <v>0</v>
      </c>
      <c r="K44" s="113">
        <f t="shared" si="251"/>
        <v>0</v>
      </c>
      <c r="L44" s="114"/>
      <c r="M44" s="114">
        <f t="shared" ref="M44:S44" si="282">E44</f>
        <v>0</v>
      </c>
      <c r="N44" s="114">
        <f t="shared" si="253"/>
        <v>0</v>
      </c>
      <c r="O44" s="113"/>
      <c r="P44" s="124"/>
      <c r="Q44" s="113">
        <f t="shared" si="282"/>
        <v>0</v>
      </c>
      <c r="R44" s="114">
        <f t="shared" si="282"/>
        <v>0</v>
      </c>
      <c r="S44" s="113">
        <f t="shared" si="282"/>
        <v>0</v>
      </c>
      <c r="T44" s="114"/>
      <c r="U44" s="114">
        <f t="shared" ref="U44:AA44" si="283">M44</f>
        <v>0</v>
      </c>
      <c r="V44" s="114">
        <f t="shared" si="255"/>
        <v>0</v>
      </c>
      <c r="W44" s="113"/>
      <c r="X44" s="124"/>
      <c r="Y44" s="113">
        <f t="shared" si="283"/>
        <v>0</v>
      </c>
      <c r="Z44" s="114">
        <f t="shared" si="283"/>
        <v>0</v>
      </c>
      <c r="AA44" s="113">
        <f t="shared" si="283"/>
        <v>0</v>
      </c>
      <c r="AB44" s="114"/>
      <c r="AC44" s="114">
        <f t="shared" ref="AC44:AI44" si="284">U44</f>
        <v>0</v>
      </c>
      <c r="AD44" s="114">
        <f t="shared" si="257"/>
        <v>0</v>
      </c>
      <c r="AE44" s="113"/>
      <c r="AF44" s="124"/>
      <c r="AG44" s="113">
        <f t="shared" si="284"/>
        <v>0</v>
      </c>
      <c r="AH44" s="114">
        <f t="shared" si="284"/>
        <v>0</v>
      </c>
      <c r="AI44" s="113">
        <f t="shared" si="284"/>
        <v>0</v>
      </c>
      <c r="AJ44" s="114"/>
      <c r="AK44" s="114">
        <f t="shared" ref="AK44:AQ44" si="285">AC44</f>
        <v>0</v>
      </c>
      <c r="AL44" s="114">
        <f t="shared" si="259"/>
        <v>0</v>
      </c>
      <c r="AM44" s="113"/>
      <c r="AN44" s="124"/>
      <c r="AO44" s="113">
        <f t="shared" si="285"/>
        <v>0</v>
      </c>
      <c r="AP44" s="114">
        <f t="shared" si="285"/>
        <v>0</v>
      </c>
      <c r="AQ44" s="113">
        <f t="shared" si="285"/>
        <v>0</v>
      </c>
      <c r="AR44" s="114"/>
      <c r="AS44" s="114">
        <f t="shared" ref="AS44:AY44" si="286">AK44</f>
        <v>0</v>
      </c>
      <c r="AT44" s="114">
        <f t="shared" si="261"/>
        <v>0</v>
      </c>
      <c r="AU44" s="113"/>
      <c r="AV44" s="124"/>
      <c r="AW44" s="113">
        <f t="shared" si="286"/>
        <v>0</v>
      </c>
      <c r="AX44" s="114">
        <f t="shared" si="286"/>
        <v>0</v>
      </c>
      <c r="AY44" s="113">
        <f t="shared" si="286"/>
        <v>0</v>
      </c>
      <c r="AZ44" s="114"/>
      <c r="BA44" s="114">
        <f t="shared" ref="BA44:BG44" si="287">AS44</f>
        <v>0</v>
      </c>
      <c r="BB44" s="114">
        <f t="shared" si="263"/>
        <v>0</v>
      </c>
      <c r="BC44" s="113"/>
      <c r="BD44" s="124"/>
      <c r="BE44" s="113">
        <f t="shared" si="287"/>
        <v>0</v>
      </c>
      <c r="BF44" s="114">
        <f t="shared" si="287"/>
        <v>0</v>
      </c>
      <c r="BG44" s="113">
        <f t="shared" si="287"/>
        <v>0</v>
      </c>
      <c r="BH44" s="114"/>
      <c r="BI44" s="114">
        <f t="shared" ref="BI44:BO44" si="288">BA44</f>
        <v>0</v>
      </c>
      <c r="BJ44" s="114">
        <f t="shared" si="265"/>
        <v>0</v>
      </c>
      <c r="BK44" s="113"/>
      <c r="BL44" s="124"/>
      <c r="BM44" s="113">
        <f t="shared" si="288"/>
        <v>0</v>
      </c>
      <c r="BN44" s="114">
        <f t="shared" si="288"/>
        <v>0</v>
      </c>
      <c r="BO44" s="113">
        <f t="shared" si="288"/>
        <v>0</v>
      </c>
      <c r="BP44" s="114"/>
      <c r="BQ44" s="114">
        <f t="shared" ref="BQ44:BW44" si="289">BI44</f>
        <v>0</v>
      </c>
      <c r="BR44" s="114">
        <f t="shared" si="267"/>
        <v>0</v>
      </c>
      <c r="BS44" s="113"/>
      <c r="BT44" s="124"/>
      <c r="BU44" s="113">
        <f t="shared" si="289"/>
        <v>0</v>
      </c>
      <c r="BV44" s="114">
        <f t="shared" si="289"/>
        <v>0</v>
      </c>
      <c r="BW44" s="113">
        <f t="shared" si="289"/>
        <v>0</v>
      </c>
      <c r="BX44" s="114"/>
      <c r="BY44" s="114">
        <f t="shared" ref="BY44:CE44" si="290">BQ44</f>
        <v>0</v>
      </c>
      <c r="BZ44" s="114">
        <f t="shared" si="269"/>
        <v>0</v>
      </c>
      <c r="CA44" s="113"/>
      <c r="CB44" s="124"/>
      <c r="CC44" s="113">
        <f t="shared" si="290"/>
        <v>0</v>
      </c>
      <c r="CD44" s="114">
        <f t="shared" si="290"/>
        <v>0</v>
      </c>
      <c r="CE44" s="113">
        <f t="shared" si="290"/>
        <v>0</v>
      </c>
      <c r="CF44" s="114">
        <f t="shared" si="270"/>
        <v>0</v>
      </c>
      <c r="CG44" s="114">
        <f t="shared" si="271"/>
        <v>0</v>
      </c>
      <c r="CH44" s="114">
        <f t="shared" si="272"/>
        <v>0</v>
      </c>
      <c r="CI44" s="113"/>
    </row>
    <row r="45" s="104" customFormat="1" customHeight="1" spans="1:87">
      <c r="A45" s="126"/>
      <c r="B45" s="114"/>
      <c r="C45" s="113"/>
      <c r="D45" s="114"/>
      <c r="E45" s="114"/>
      <c r="F45" s="114">
        <f t="shared" si="248"/>
        <v>0</v>
      </c>
      <c r="G45" s="113"/>
      <c r="H45" s="124"/>
      <c r="I45" s="113">
        <f t="shared" si="249"/>
        <v>0</v>
      </c>
      <c r="J45" s="114">
        <f t="shared" si="250"/>
        <v>0</v>
      </c>
      <c r="K45" s="113">
        <f t="shared" si="251"/>
        <v>0</v>
      </c>
      <c r="L45" s="114"/>
      <c r="M45" s="114">
        <f t="shared" ref="M45:S45" si="291">E45</f>
        <v>0</v>
      </c>
      <c r="N45" s="114">
        <f t="shared" si="253"/>
        <v>0</v>
      </c>
      <c r="O45" s="113"/>
      <c r="P45" s="124"/>
      <c r="Q45" s="113">
        <f t="shared" si="291"/>
        <v>0</v>
      </c>
      <c r="R45" s="114">
        <f t="shared" si="291"/>
        <v>0</v>
      </c>
      <c r="S45" s="113">
        <f t="shared" si="291"/>
        <v>0</v>
      </c>
      <c r="T45" s="114"/>
      <c r="U45" s="114">
        <f t="shared" ref="U45:AA45" si="292">M45</f>
        <v>0</v>
      </c>
      <c r="V45" s="114">
        <f t="shared" si="255"/>
        <v>0</v>
      </c>
      <c r="W45" s="113"/>
      <c r="X45" s="124"/>
      <c r="Y45" s="113">
        <f t="shared" si="292"/>
        <v>0</v>
      </c>
      <c r="Z45" s="114">
        <f t="shared" si="292"/>
        <v>0</v>
      </c>
      <c r="AA45" s="113">
        <f t="shared" si="292"/>
        <v>0</v>
      </c>
      <c r="AB45" s="114"/>
      <c r="AC45" s="114">
        <f t="shared" ref="AC45:AI45" si="293">U45</f>
        <v>0</v>
      </c>
      <c r="AD45" s="114">
        <f t="shared" si="257"/>
        <v>0</v>
      </c>
      <c r="AE45" s="113"/>
      <c r="AF45" s="124"/>
      <c r="AG45" s="113">
        <f t="shared" si="293"/>
        <v>0</v>
      </c>
      <c r="AH45" s="114">
        <f t="shared" si="293"/>
        <v>0</v>
      </c>
      <c r="AI45" s="113">
        <f t="shared" si="293"/>
        <v>0</v>
      </c>
      <c r="AJ45" s="114"/>
      <c r="AK45" s="114">
        <f t="shared" ref="AK45:AQ45" si="294">AC45</f>
        <v>0</v>
      </c>
      <c r="AL45" s="114">
        <f t="shared" si="259"/>
        <v>0</v>
      </c>
      <c r="AM45" s="113"/>
      <c r="AN45" s="124"/>
      <c r="AO45" s="113">
        <f t="shared" si="294"/>
        <v>0</v>
      </c>
      <c r="AP45" s="114">
        <f t="shared" si="294"/>
        <v>0</v>
      </c>
      <c r="AQ45" s="113">
        <f t="shared" si="294"/>
        <v>0</v>
      </c>
      <c r="AR45" s="114"/>
      <c r="AS45" s="114">
        <f t="shared" ref="AS45:AY45" si="295">AK45</f>
        <v>0</v>
      </c>
      <c r="AT45" s="114">
        <f t="shared" si="261"/>
        <v>0</v>
      </c>
      <c r="AU45" s="113"/>
      <c r="AV45" s="124"/>
      <c r="AW45" s="113">
        <f t="shared" si="295"/>
        <v>0</v>
      </c>
      <c r="AX45" s="114">
        <f t="shared" si="295"/>
        <v>0</v>
      </c>
      <c r="AY45" s="113">
        <f t="shared" si="295"/>
        <v>0</v>
      </c>
      <c r="AZ45" s="114"/>
      <c r="BA45" s="114">
        <f t="shared" ref="BA45:BG45" si="296">AS45</f>
        <v>0</v>
      </c>
      <c r="BB45" s="114">
        <f t="shared" si="263"/>
        <v>0</v>
      </c>
      <c r="BC45" s="113"/>
      <c r="BD45" s="124"/>
      <c r="BE45" s="113">
        <f t="shared" si="296"/>
        <v>0</v>
      </c>
      <c r="BF45" s="114">
        <f t="shared" si="296"/>
        <v>0</v>
      </c>
      <c r="BG45" s="113">
        <f t="shared" si="296"/>
        <v>0</v>
      </c>
      <c r="BH45" s="114"/>
      <c r="BI45" s="114">
        <f t="shared" ref="BI45:BO45" si="297">BA45</f>
        <v>0</v>
      </c>
      <c r="BJ45" s="114">
        <f t="shared" si="265"/>
        <v>0</v>
      </c>
      <c r="BK45" s="113"/>
      <c r="BL45" s="124"/>
      <c r="BM45" s="113">
        <f t="shared" si="297"/>
        <v>0</v>
      </c>
      <c r="BN45" s="114">
        <f t="shared" si="297"/>
        <v>0</v>
      </c>
      <c r="BO45" s="113">
        <f t="shared" si="297"/>
        <v>0</v>
      </c>
      <c r="BP45" s="114"/>
      <c r="BQ45" s="114">
        <f t="shared" ref="BQ45:BW45" si="298">BI45</f>
        <v>0</v>
      </c>
      <c r="BR45" s="114">
        <f t="shared" si="267"/>
        <v>0</v>
      </c>
      <c r="BS45" s="113"/>
      <c r="BT45" s="124"/>
      <c r="BU45" s="113">
        <f t="shared" si="298"/>
        <v>0</v>
      </c>
      <c r="BV45" s="114">
        <f t="shared" si="298"/>
        <v>0</v>
      </c>
      <c r="BW45" s="113">
        <f t="shared" si="298"/>
        <v>0</v>
      </c>
      <c r="BX45" s="114"/>
      <c r="BY45" s="114">
        <f t="shared" ref="BY45:CE45" si="299">BQ45</f>
        <v>0</v>
      </c>
      <c r="BZ45" s="114">
        <f t="shared" si="269"/>
        <v>0</v>
      </c>
      <c r="CA45" s="113"/>
      <c r="CB45" s="124"/>
      <c r="CC45" s="113">
        <f t="shared" si="299"/>
        <v>0</v>
      </c>
      <c r="CD45" s="114">
        <f t="shared" si="299"/>
        <v>0</v>
      </c>
      <c r="CE45" s="113">
        <f t="shared" si="299"/>
        <v>0</v>
      </c>
      <c r="CF45" s="114">
        <f t="shared" si="270"/>
        <v>0</v>
      </c>
      <c r="CG45" s="114">
        <f t="shared" si="271"/>
        <v>0</v>
      </c>
      <c r="CH45" s="114">
        <f t="shared" si="272"/>
        <v>0</v>
      </c>
      <c r="CI45" s="113"/>
    </row>
    <row r="46" s="104" customFormat="1" customHeight="1" spans="1:87">
      <c r="A46" s="113"/>
      <c r="B46" s="114"/>
      <c r="C46" s="113"/>
      <c r="D46" s="114"/>
      <c r="E46" s="114"/>
      <c r="F46" s="114">
        <f t="shared" si="248"/>
        <v>0</v>
      </c>
      <c r="G46" s="113"/>
      <c r="H46" s="124"/>
      <c r="I46" s="113">
        <f t="shared" si="249"/>
        <v>0</v>
      </c>
      <c r="J46" s="114">
        <f t="shared" si="250"/>
        <v>0</v>
      </c>
      <c r="K46" s="113">
        <f t="shared" si="251"/>
        <v>0</v>
      </c>
      <c r="L46" s="114"/>
      <c r="M46" s="114">
        <f t="shared" ref="M46:S46" si="300">E46</f>
        <v>0</v>
      </c>
      <c r="N46" s="114">
        <f t="shared" si="253"/>
        <v>0</v>
      </c>
      <c r="O46" s="113"/>
      <c r="P46" s="124"/>
      <c r="Q46" s="113">
        <f t="shared" si="300"/>
        <v>0</v>
      </c>
      <c r="R46" s="114">
        <f t="shared" si="300"/>
        <v>0</v>
      </c>
      <c r="S46" s="113">
        <f t="shared" si="300"/>
        <v>0</v>
      </c>
      <c r="T46" s="114"/>
      <c r="U46" s="114">
        <f t="shared" ref="U46:AA46" si="301">M46</f>
        <v>0</v>
      </c>
      <c r="V46" s="114">
        <f t="shared" si="255"/>
        <v>0</v>
      </c>
      <c r="W46" s="113"/>
      <c r="X46" s="124"/>
      <c r="Y46" s="113">
        <f t="shared" si="301"/>
        <v>0</v>
      </c>
      <c r="Z46" s="114">
        <f t="shared" si="301"/>
        <v>0</v>
      </c>
      <c r="AA46" s="113">
        <f t="shared" si="301"/>
        <v>0</v>
      </c>
      <c r="AB46" s="114"/>
      <c r="AC46" s="114">
        <f t="shared" ref="AC46:AI46" si="302">U46</f>
        <v>0</v>
      </c>
      <c r="AD46" s="114">
        <f t="shared" si="257"/>
        <v>0</v>
      </c>
      <c r="AE46" s="113"/>
      <c r="AF46" s="124"/>
      <c r="AG46" s="113">
        <f t="shared" si="302"/>
        <v>0</v>
      </c>
      <c r="AH46" s="114">
        <f t="shared" si="302"/>
        <v>0</v>
      </c>
      <c r="AI46" s="113">
        <f t="shared" si="302"/>
        <v>0</v>
      </c>
      <c r="AJ46" s="114"/>
      <c r="AK46" s="114">
        <f t="shared" ref="AK46:AQ46" si="303">AC46</f>
        <v>0</v>
      </c>
      <c r="AL46" s="114">
        <f t="shared" si="259"/>
        <v>0</v>
      </c>
      <c r="AM46" s="113"/>
      <c r="AN46" s="124"/>
      <c r="AO46" s="113">
        <f t="shared" si="303"/>
        <v>0</v>
      </c>
      <c r="AP46" s="114">
        <f t="shared" si="303"/>
        <v>0</v>
      </c>
      <c r="AQ46" s="113">
        <f t="shared" si="303"/>
        <v>0</v>
      </c>
      <c r="AR46" s="114"/>
      <c r="AS46" s="114">
        <f t="shared" ref="AS46:AY46" si="304">AK46</f>
        <v>0</v>
      </c>
      <c r="AT46" s="114">
        <f t="shared" si="261"/>
        <v>0</v>
      </c>
      <c r="AU46" s="113"/>
      <c r="AV46" s="124"/>
      <c r="AW46" s="113">
        <f t="shared" si="304"/>
        <v>0</v>
      </c>
      <c r="AX46" s="114">
        <f t="shared" si="304"/>
        <v>0</v>
      </c>
      <c r="AY46" s="113">
        <f t="shared" si="304"/>
        <v>0</v>
      </c>
      <c r="AZ46" s="114"/>
      <c r="BA46" s="114">
        <f t="shared" ref="BA46:BG46" si="305">AS46</f>
        <v>0</v>
      </c>
      <c r="BB46" s="114">
        <f t="shared" si="263"/>
        <v>0</v>
      </c>
      <c r="BC46" s="113"/>
      <c r="BD46" s="124"/>
      <c r="BE46" s="113">
        <f t="shared" si="305"/>
        <v>0</v>
      </c>
      <c r="BF46" s="114">
        <f t="shared" si="305"/>
        <v>0</v>
      </c>
      <c r="BG46" s="113">
        <f t="shared" si="305"/>
        <v>0</v>
      </c>
      <c r="BH46" s="114"/>
      <c r="BI46" s="114">
        <f t="shared" ref="BI46:BO46" si="306">BA46</f>
        <v>0</v>
      </c>
      <c r="BJ46" s="114">
        <f t="shared" si="265"/>
        <v>0</v>
      </c>
      <c r="BK46" s="113"/>
      <c r="BL46" s="124"/>
      <c r="BM46" s="113">
        <f t="shared" si="306"/>
        <v>0</v>
      </c>
      <c r="BN46" s="114">
        <f t="shared" si="306"/>
        <v>0</v>
      </c>
      <c r="BO46" s="113">
        <f t="shared" si="306"/>
        <v>0</v>
      </c>
      <c r="BP46" s="114"/>
      <c r="BQ46" s="114">
        <f t="shared" ref="BQ46:BW46" si="307">BI46</f>
        <v>0</v>
      </c>
      <c r="BR46" s="114">
        <f t="shared" si="267"/>
        <v>0</v>
      </c>
      <c r="BS46" s="113"/>
      <c r="BT46" s="124"/>
      <c r="BU46" s="113">
        <f t="shared" si="307"/>
        <v>0</v>
      </c>
      <c r="BV46" s="114">
        <f t="shared" si="307"/>
        <v>0</v>
      </c>
      <c r="BW46" s="113">
        <f t="shared" si="307"/>
        <v>0</v>
      </c>
      <c r="BX46" s="114"/>
      <c r="BY46" s="114">
        <f t="shared" ref="BY46:CE46" si="308">BQ46</f>
        <v>0</v>
      </c>
      <c r="BZ46" s="114">
        <f t="shared" si="269"/>
        <v>0</v>
      </c>
      <c r="CA46" s="113"/>
      <c r="CB46" s="124"/>
      <c r="CC46" s="113">
        <f t="shared" si="308"/>
        <v>0</v>
      </c>
      <c r="CD46" s="114">
        <f t="shared" si="308"/>
        <v>0</v>
      </c>
      <c r="CE46" s="113">
        <f t="shared" si="308"/>
        <v>0</v>
      </c>
      <c r="CF46" s="114">
        <f t="shared" si="270"/>
        <v>0</v>
      </c>
      <c r="CG46" s="114">
        <f t="shared" si="271"/>
        <v>0</v>
      </c>
      <c r="CH46" s="114">
        <f t="shared" si="272"/>
        <v>0</v>
      </c>
      <c r="CI46" s="113"/>
    </row>
    <row r="47" s="104" customFormat="1" customHeight="1" spans="1:87">
      <c r="A47" s="113"/>
      <c r="B47" s="114"/>
      <c r="C47" s="113"/>
      <c r="D47" s="114"/>
      <c r="E47" s="114"/>
      <c r="F47" s="114">
        <f t="shared" si="248"/>
        <v>0</v>
      </c>
      <c r="G47" s="113"/>
      <c r="H47" s="124"/>
      <c r="I47" s="113">
        <f t="shared" si="249"/>
        <v>0</v>
      </c>
      <c r="J47" s="114">
        <f t="shared" si="250"/>
        <v>0</v>
      </c>
      <c r="K47" s="113">
        <f t="shared" si="251"/>
        <v>0</v>
      </c>
      <c r="L47" s="114"/>
      <c r="M47" s="114">
        <f t="shared" ref="M47:S47" si="309">E47</f>
        <v>0</v>
      </c>
      <c r="N47" s="114">
        <f t="shared" si="253"/>
        <v>0</v>
      </c>
      <c r="O47" s="113"/>
      <c r="P47" s="124"/>
      <c r="Q47" s="113">
        <f t="shared" si="309"/>
        <v>0</v>
      </c>
      <c r="R47" s="114">
        <f t="shared" si="309"/>
        <v>0</v>
      </c>
      <c r="S47" s="113">
        <f t="shared" si="309"/>
        <v>0</v>
      </c>
      <c r="T47" s="114"/>
      <c r="U47" s="114">
        <f t="shared" ref="U47:AA47" si="310">M47</f>
        <v>0</v>
      </c>
      <c r="V47" s="114">
        <f t="shared" si="255"/>
        <v>0</v>
      </c>
      <c r="W47" s="113"/>
      <c r="X47" s="124"/>
      <c r="Y47" s="113">
        <f t="shared" si="310"/>
        <v>0</v>
      </c>
      <c r="Z47" s="114">
        <f t="shared" si="310"/>
        <v>0</v>
      </c>
      <c r="AA47" s="113">
        <f t="shared" si="310"/>
        <v>0</v>
      </c>
      <c r="AB47" s="114"/>
      <c r="AC47" s="114">
        <f t="shared" ref="AC47:AI47" si="311">U47</f>
        <v>0</v>
      </c>
      <c r="AD47" s="114">
        <f t="shared" si="257"/>
        <v>0</v>
      </c>
      <c r="AE47" s="113"/>
      <c r="AF47" s="124"/>
      <c r="AG47" s="113">
        <f t="shared" si="311"/>
        <v>0</v>
      </c>
      <c r="AH47" s="114">
        <f t="shared" si="311"/>
        <v>0</v>
      </c>
      <c r="AI47" s="113">
        <f t="shared" si="311"/>
        <v>0</v>
      </c>
      <c r="AJ47" s="114"/>
      <c r="AK47" s="114">
        <f t="shared" ref="AK47:AQ47" si="312">AC47</f>
        <v>0</v>
      </c>
      <c r="AL47" s="114">
        <f t="shared" si="259"/>
        <v>0</v>
      </c>
      <c r="AM47" s="113"/>
      <c r="AN47" s="124"/>
      <c r="AO47" s="113">
        <f t="shared" si="312"/>
        <v>0</v>
      </c>
      <c r="AP47" s="114">
        <f t="shared" si="312"/>
        <v>0</v>
      </c>
      <c r="AQ47" s="113">
        <f t="shared" si="312"/>
        <v>0</v>
      </c>
      <c r="AR47" s="114"/>
      <c r="AS47" s="114">
        <f t="shared" ref="AS47:AY47" si="313">AK47</f>
        <v>0</v>
      </c>
      <c r="AT47" s="114">
        <f t="shared" si="261"/>
        <v>0</v>
      </c>
      <c r="AU47" s="113"/>
      <c r="AV47" s="124"/>
      <c r="AW47" s="113">
        <f t="shared" si="313"/>
        <v>0</v>
      </c>
      <c r="AX47" s="114">
        <f t="shared" si="313"/>
        <v>0</v>
      </c>
      <c r="AY47" s="113">
        <f t="shared" si="313"/>
        <v>0</v>
      </c>
      <c r="AZ47" s="114"/>
      <c r="BA47" s="114">
        <f t="shared" ref="BA47:BG47" si="314">AS47</f>
        <v>0</v>
      </c>
      <c r="BB47" s="114">
        <f t="shared" si="263"/>
        <v>0</v>
      </c>
      <c r="BC47" s="113"/>
      <c r="BD47" s="124"/>
      <c r="BE47" s="113">
        <f t="shared" si="314"/>
        <v>0</v>
      </c>
      <c r="BF47" s="114">
        <f t="shared" si="314"/>
        <v>0</v>
      </c>
      <c r="BG47" s="113">
        <f t="shared" si="314"/>
        <v>0</v>
      </c>
      <c r="BH47" s="114"/>
      <c r="BI47" s="114">
        <f t="shared" ref="BI47:BO47" si="315">BA47</f>
        <v>0</v>
      </c>
      <c r="BJ47" s="114">
        <f t="shared" si="265"/>
        <v>0</v>
      </c>
      <c r="BK47" s="113"/>
      <c r="BL47" s="124"/>
      <c r="BM47" s="113">
        <f t="shared" si="315"/>
        <v>0</v>
      </c>
      <c r="BN47" s="114">
        <f t="shared" si="315"/>
        <v>0</v>
      </c>
      <c r="BO47" s="113">
        <f t="shared" si="315"/>
        <v>0</v>
      </c>
      <c r="BP47" s="114"/>
      <c r="BQ47" s="114">
        <f t="shared" ref="BQ47:BW47" si="316">BI47</f>
        <v>0</v>
      </c>
      <c r="BR47" s="114">
        <f t="shared" si="267"/>
        <v>0</v>
      </c>
      <c r="BS47" s="113"/>
      <c r="BT47" s="124"/>
      <c r="BU47" s="113">
        <f t="shared" si="316"/>
        <v>0</v>
      </c>
      <c r="BV47" s="114">
        <f t="shared" si="316"/>
        <v>0</v>
      </c>
      <c r="BW47" s="113">
        <f t="shared" si="316"/>
        <v>0</v>
      </c>
      <c r="BX47" s="114"/>
      <c r="BY47" s="114">
        <f t="shared" ref="BY47:CE47" si="317">BQ47</f>
        <v>0</v>
      </c>
      <c r="BZ47" s="114">
        <f t="shared" si="269"/>
        <v>0</v>
      </c>
      <c r="CA47" s="113"/>
      <c r="CB47" s="124"/>
      <c r="CC47" s="113">
        <f t="shared" si="317"/>
        <v>0</v>
      </c>
      <c r="CD47" s="114">
        <f t="shared" si="317"/>
        <v>0</v>
      </c>
      <c r="CE47" s="113">
        <f t="shared" si="317"/>
        <v>0</v>
      </c>
      <c r="CF47" s="114">
        <f t="shared" si="270"/>
        <v>0</v>
      </c>
      <c r="CG47" s="114">
        <f t="shared" si="271"/>
        <v>0</v>
      </c>
      <c r="CH47" s="114">
        <f t="shared" si="272"/>
        <v>0</v>
      </c>
      <c r="CI47" s="113"/>
    </row>
    <row r="48" s="104" customFormat="1" customHeight="1" spans="1:87">
      <c r="A48" s="113"/>
      <c r="B48" s="114"/>
      <c r="C48" s="113"/>
      <c r="D48" s="114"/>
      <c r="E48" s="114"/>
      <c r="F48" s="114">
        <f t="shared" si="248"/>
        <v>0</v>
      </c>
      <c r="G48" s="113"/>
      <c r="H48" s="124"/>
      <c r="I48" s="113">
        <f t="shared" si="249"/>
        <v>0</v>
      </c>
      <c r="J48" s="114">
        <f t="shared" si="250"/>
        <v>0</v>
      </c>
      <c r="K48" s="113">
        <f t="shared" si="251"/>
        <v>0</v>
      </c>
      <c r="L48" s="114"/>
      <c r="M48" s="114">
        <f t="shared" ref="M48:S48" si="318">E48</f>
        <v>0</v>
      </c>
      <c r="N48" s="114">
        <f t="shared" si="253"/>
        <v>0</v>
      </c>
      <c r="O48" s="113"/>
      <c r="P48" s="124"/>
      <c r="Q48" s="113">
        <f t="shared" si="318"/>
        <v>0</v>
      </c>
      <c r="R48" s="114">
        <f t="shared" si="318"/>
        <v>0</v>
      </c>
      <c r="S48" s="113">
        <f t="shared" si="318"/>
        <v>0</v>
      </c>
      <c r="T48" s="114"/>
      <c r="U48" s="114">
        <f t="shared" ref="U48:AA48" si="319">M48</f>
        <v>0</v>
      </c>
      <c r="V48" s="114">
        <f t="shared" si="255"/>
        <v>0</v>
      </c>
      <c r="W48" s="113"/>
      <c r="X48" s="124"/>
      <c r="Y48" s="113">
        <f t="shared" si="319"/>
        <v>0</v>
      </c>
      <c r="Z48" s="114">
        <f t="shared" si="319"/>
        <v>0</v>
      </c>
      <c r="AA48" s="113">
        <f t="shared" si="319"/>
        <v>0</v>
      </c>
      <c r="AB48" s="114"/>
      <c r="AC48" s="114">
        <f t="shared" ref="AC48:AI48" si="320">U48</f>
        <v>0</v>
      </c>
      <c r="AD48" s="114">
        <f t="shared" si="257"/>
        <v>0</v>
      </c>
      <c r="AE48" s="113"/>
      <c r="AF48" s="124"/>
      <c r="AG48" s="113">
        <f t="shared" si="320"/>
        <v>0</v>
      </c>
      <c r="AH48" s="114">
        <f t="shared" si="320"/>
        <v>0</v>
      </c>
      <c r="AI48" s="113">
        <f t="shared" si="320"/>
        <v>0</v>
      </c>
      <c r="AJ48" s="114"/>
      <c r="AK48" s="114">
        <f t="shared" ref="AK48:AQ48" si="321">AC48</f>
        <v>0</v>
      </c>
      <c r="AL48" s="114">
        <f t="shared" si="259"/>
        <v>0</v>
      </c>
      <c r="AM48" s="113"/>
      <c r="AN48" s="124"/>
      <c r="AO48" s="113">
        <f t="shared" si="321"/>
        <v>0</v>
      </c>
      <c r="AP48" s="114">
        <f t="shared" si="321"/>
        <v>0</v>
      </c>
      <c r="AQ48" s="113">
        <f t="shared" si="321"/>
        <v>0</v>
      </c>
      <c r="AR48" s="114"/>
      <c r="AS48" s="114">
        <f t="shared" ref="AS48:AY48" si="322">AK48</f>
        <v>0</v>
      </c>
      <c r="AT48" s="114">
        <f t="shared" si="261"/>
        <v>0</v>
      </c>
      <c r="AU48" s="113"/>
      <c r="AV48" s="124"/>
      <c r="AW48" s="113">
        <f t="shared" si="322"/>
        <v>0</v>
      </c>
      <c r="AX48" s="114">
        <f t="shared" si="322"/>
        <v>0</v>
      </c>
      <c r="AY48" s="113">
        <f t="shared" si="322"/>
        <v>0</v>
      </c>
      <c r="AZ48" s="114"/>
      <c r="BA48" s="114">
        <f t="shared" ref="BA48:BG48" si="323">AS48</f>
        <v>0</v>
      </c>
      <c r="BB48" s="114">
        <f t="shared" si="263"/>
        <v>0</v>
      </c>
      <c r="BC48" s="113"/>
      <c r="BD48" s="124"/>
      <c r="BE48" s="113">
        <f t="shared" si="323"/>
        <v>0</v>
      </c>
      <c r="BF48" s="114">
        <f t="shared" si="323"/>
        <v>0</v>
      </c>
      <c r="BG48" s="113">
        <f t="shared" si="323"/>
        <v>0</v>
      </c>
      <c r="BH48" s="114"/>
      <c r="BI48" s="114">
        <f t="shared" ref="BI48:BO48" si="324">BA48</f>
        <v>0</v>
      </c>
      <c r="BJ48" s="114">
        <f t="shared" si="265"/>
        <v>0</v>
      </c>
      <c r="BK48" s="113"/>
      <c r="BL48" s="124"/>
      <c r="BM48" s="113">
        <f t="shared" si="324"/>
        <v>0</v>
      </c>
      <c r="BN48" s="114">
        <f t="shared" si="324"/>
        <v>0</v>
      </c>
      <c r="BO48" s="113">
        <f t="shared" si="324"/>
        <v>0</v>
      </c>
      <c r="BP48" s="114"/>
      <c r="BQ48" s="114">
        <f t="shared" ref="BQ48:BW48" si="325">BI48</f>
        <v>0</v>
      </c>
      <c r="BR48" s="114">
        <f t="shared" si="267"/>
        <v>0</v>
      </c>
      <c r="BS48" s="113"/>
      <c r="BT48" s="124"/>
      <c r="BU48" s="113">
        <f t="shared" si="325"/>
        <v>0</v>
      </c>
      <c r="BV48" s="114">
        <f t="shared" si="325"/>
        <v>0</v>
      </c>
      <c r="BW48" s="113">
        <f t="shared" si="325"/>
        <v>0</v>
      </c>
      <c r="BX48" s="114"/>
      <c r="BY48" s="114">
        <f t="shared" ref="BY48:CE48" si="326">BQ48</f>
        <v>0</v>
      </c>
      <c r="BZ48" s="114">
        <f t="shared" si="269"/>
        <v>0</v>
      </c>
      <c r="CA48" s="113"/>
      <c r="CB48" s="124"/>
      <c r="CC48" s="113">
        <f t="shared" si="326"/>
        <v>0</v>
      </c>
      <c r="CD48" s="114">
        <f t="shared" si="326"/>
        <v>0</v>
      </c>
      <c r="CE48" s="113">
        <f t="shared" si="326"/>
        <v>0</v>
      </c>
      <c r="CF48" s="114">
        <f t="shared" si="270"/>
        <v>0</v>
      </c>
      <c r="CG48" s="114">
        <f t="shared" si="271"/>
        <v>0</v>
      </c>
      <c r="CH48" s="114">
        <f t="shared" si="272"/>
        <v>0</v>
      </c>
      <c r="CI48" s="113"/>
    </row>
    <row r="49" s="104" customFormat="1" customHeight="1" spans="1:87">
      <c r="A49" s="113"/>
      <c r="B49" s="114"/>
      <c r="C49" s="113"/>
      <c r="D49" s="114"/>
      <c r="E49" s="114"/>
      <c r="F49" s="114">
        <f t="shared" si="248"/>
        <v>0</v>
      </c>
      <c r="G49" s="113"/>
      <c r="H49" s="124"/>
      <c r="I49" s="113">
        <f t="shared" si="249"/>
        <v>0</v>
      </c>
      <c r="J49" s="114">
        <f t="shared" si="250"/>
        <v>0</v>
      </c>
      <c r="K49" s="113">
        <f t="shared" si="251"/>
        <v>0</v>
      </c>
      <c r="L49" s="114"/>
      <c r="M49" s="114">
        <f t="shared" ref="M49:S49" si="327">E49</f>
        <v>0</v>
      </c>
      <c r="N49" s="114">
        <f t="shared" si="253"/>
        <v>0</v>
      </c>
      <c r="O49" s="113"/>
      <c r="P49" s="124"/>
      <c r="Q49" s="113">
        <f t="shared" si="327"/>
        <v>0</v>
      </c>
      <c r="R49" s="114">
        <f t="shared" si="327"/>
        <v>0</v>
      </c>
      <c r="S49" s="113">
        <f t="shared" si="327"/>
        <v>0</v>
      </c>
      <c r="T49" s="114"/>
      <c r="U49" s="114">
        <f t="shared" ref="U49:AA49" si="328">M49</f>
        <v>0</v>
      </c>
      <c r="V49" s="114">
        <f t="shared" si="255"/>
        <v>0</v>
      </c>
      <c r="W49" s="113"/>
      <c r="X49" s="124"/>
      <c r="Y49" s="113">
        <f t="shared" si="328"/>
        <v>0</v>
      </c>
      <c r="Z49" s="114">
        <f t="shared" si="328"/>
        <v>0</v>
      </c>
      <c r="AA49" s="113">
        <f t="shared" si="328"/>
        <v>0</v>
      </c>
      <c r="AB49" s="114"/>
      <c r="AC49" s="114">
        <f t="shared" ref="AC49:AI49" si="329">U49</f>
        <v>0</v>
      </c>
      <c r="AD49" s="114">
        <f t="shared" si="257"/>
        <v>0</v>
      </c>
      <c r="AE49" s="113"/>
      <c r="AF49" s="124"/>
      <c r="AG49" s="113">
        <f t="shared" si="329"/>
        <v>0</v>
      </c>
      <c r="AH49" s="114">
        <f t="shared" si="329"/>
        <v>0</v>
      </c>
      <c r="AI49" s="113">
        <f t="shared" si="329"/>
        <v>0</v>
      </c>
      <c r="AJ49" s="114"/>
      <c r="AK49" s="114">
        <f t="shared" ref="AK49:AQ49" si="330">AC49</f>
        <v>0</v>
      </c>
      <c r="AL49" s="114">
        <f t="shared" si="259"/>
        <v>0</v>
      </c>
      <c r="AM49" s="113"/>
      <c r="AN49" s="124"/>
      <c r="AO49" s="113">
        <f t="shared" si="330"/>
        <v>0</v>
      </c>
      <c r="AP49" s="114">
        <f t="shared" si="330"/>
        <v>0</v>
      </c>
      <c r="AQ49" s="113">
        <f t="shared" si="330"/>
        <v>0</v>
      </c>
      <c r="AR49" s="114"/>
      <c r="AS49" s="114">
        <f t="shared" ref="AS49:AY49" si="331">AK49</f>
        <v>0</v>
      </c>
      <c r="AT49" s="114">
        <f t="shared" si="261"/>
        <v>0</v>
      </c>
      <c r="AU49" s="113"/>
      <c r="AV49" s="124"/>
      <c r="AW49" s="113">
        <f t="shared" si="331"/>
        <v>0</v>
      </c>
      <c r="AX49" s="114">
        <f t="shared" si="331"/>
        <v>0</v>
      </c>
      <c r="AY49" s="113">
        <f t="shared" si="331"/>
        <v>0</v>
      </c>
      <c r="AZ49" s="114"/>
      <c r="BA49" s="114">
        <f t="shared" ref="BA49:BG49" si="332">AS49</f>
        <v>0</v>
      </c>
      <c r="BB49" s="114">
        <f t="shared" si="263"/>
        <v>0</v>
      </c>
      <c r="BC49" s="113"/>
      <c r="BD49" s="124"/>
      <c r="BE49" s="113">
        <f t="shared" si="332"/>
        <v>0</v>
      </c>
      <c r="BF49" s="114">
        <f t="shared" si="332"/>
        <v>0</v>
      </c>
      <c r="BG49" s="113">
        <f t="shared" si="332"/>
        <v>0</v>
      </c>
      <c r="BH49" s="114"/>
      <c r="BI49" s="114">
        <f t="shared" ref="BI49:BO49" si="333">BA49</f>
        <v>0</v>
      </c>
      <c r="BJ49" s="114">
        <f t="shared" si="265"/>
        <v>0</v>
      </c>
      <c r="BK49" s="113"/>
      <c r="BL49" s="124"/>
      <c r="BM49" s="113">
        <f t="shared" si="333"/>
        <v>0</v>
      </c>
      <c r="BN49" s="114">
        <f t="shared" si="333"/>
        <v>0</v>
      </c>
      <c r="BO49" s="113">
        <f t="shared" si="333"/>
        <v>0</v>
      </c>
      <c r="BP49" s="114"/>
      <c r="BQ49" s="114">
        <f t="shared" ref="BQ49:BW49" si="334">BI49</f>
        <v>0</v>
      </c>
      <c r="BR49" s="114">
        <f t="shared" si="267"/>
        <v>0</v>
      </c>
      <c r="BS49" s="113"/>
      <c r="BT49" s="124"/>
      <c r="BU49" s="113">
        <f t="shared" si="334"/>
        <v>0</v>
      </c>
      <c r="BV49" s="114">
        <f t="shared" si="334"/>
        <v>0</v>
      </c>
      <c r="BW49" s="113">
        <f t="shared" si="334"/>
        <v>0</v>
      </c>
      <c r="BX49" s="114"/>
      <c r="BY49" s="114">
        <f t="shared" ref="BY49:CE49" si="335">BQ49</f>
        <v>0</v>
      </c>
      <c r="BZ49" s="114">
        <f t="shared" si="269"/>
        <v>0</v>
      </c>
      <c r="CA49" s="113"/>
      <c r="CB49" s="124"/>
      <c r="CC49" s="113">
        <f t="shared" si="335"/>
        <v>0</v>
      </c>
      <c r="CD49" s="114">
        <f t="shared" si="335"/>
        <v>0</v>
      </c>
      <c r="CE49" s="113">
        <f t="shared" si="335"/>
        <v>0</v>
      </c>
      <c r="CF49" s="114">
        <f t="shared" si="270"/>
        <v>0</v>
      </c>
      <c r="CG49" s="114">
        <f t="shared" si="271"/>
        <v>0</v>
      </c>
      <c r="CH49" s="114">
        <f t="shared" si="272"/>
        <v>0</v>
      </c>
      <c r="CI49" s="113"/>
    </row>
    <row r="50" s="104" customFormat="1" customHeight="1" spans="1:87">
      <c r="A50" s="113"/>
      <c r="B50" s="114"/>
      <c r="C50" s="113"/>
      <c r="D50" s="114"/>
      <c r="E50" s="114"/>
      <c r="F50" s="114">
        <f t="shared" si="248"/>
        <v>0</v>
      </c>
      <c r="G50" s="113"/>
      <c r="H50" s="124"/>
      <c r="I50" s="113">
        <f t="shared" si="249"/>
        <v>0</v>
      </c>
      <c r="J50" s="114">
        <f t="shared" si="250"/>
        <v>0</v>
      </c>
      <c r="K50" s="113">
        <f t="shared" si="251"/>
        <v>0</v>
      </c>
      <c r="L50" s="114"/>
      <c r="M50" s="114">
        <f t="shared" ref="M50:S50" si="336">E50</f>
        <v>0</v>
      </c>
      <c r="N50" s="114">
        <f t="shared" si="253"/>
        <v>0</v>
      </c>
      <c r="O50" s="113"/>
      <c r="P50" s="124"/>
      <c r="Q50" s="113">
        <f t="shared" si="336"/>
        <v>0</v>
      </c>
      <c r="R50" s="114">
        <f t="shared" si="336"/>
        <v>0</v>
      </c>
      <c r="S50" s="113">
        <f t="shared" si="336"/>
        <v>0</v>
      </c>
      <c r="T50" s="114"/>
      <c r="U50" s="114">
        <f t="shared" ref="U50:AA50" si="337">M50</f>
        <v>0</v>
      </c>
      <c r="V50" s="114">
        <f t="shared" si="255"/>
        <v>0</v>
      </c>
      <c r="W50" s="113"/>
      <c r="X50" s="124"/>
      <c r="Y50" s="113">
        <f t="shared" si="337"/>
        <v>0</v>
      </c>
      <c r="Z50" s="114">
        <f t="shared" si="337"/>
        <v>0</v>
      </c>
      <c r="AA50" s="113">
        <f t="shared" si="337"/>
        <v>0</v>
      </c>
      <c r="AB50" s="114"/>
      <c r="AC50" s="114">
        <f t="shared" ref="AC50:AI50" si="338">U50</f>
        <v>0</v>
      </c>
      <c r="AD50" s="114">
        <f t="shared" si="257"/>
        <v>0</v>
      </c>
      <c r="AE50" s="113"/>
      <c r="AF50" s="124"/>
      <c r="AG50" s="113">
        <f t="shared" si="338"/>
        <v>0</v>
      </c>
      <c r="AH50" s="114">
        <f t="shared" si="338"/>
        <v>0</v>
      </c>
      <c r="AI50" s="113">
        <f t="shared" si="338"/>
        <v>0</v>
      </c>
      <c r="AJ50" s="114"/>
      <c r="AK50" s="114">
        <f t="shared" ref="AK50:AQ50" si="339">AC50</f>
        <v>0</v>
      </c>
      <c r="AL50" s="114">
        <f t="shared" si="259"/>
        <v>0</v>
      </c>
      <c r="AM50" s="113"/>
      <c r="AN50" s="124"/>
      <c r="AO50" s="113">
        <f t="shared" si="339"/>
        <v>0</v>
      </c>
      <c r="AP50" s="114">
        <f t="shared" si="339"/>
        <v>0</v>
      </c>
      <c r="AQ50" s="113">
        <f t="shared" si="339"/>
        <v>0</v>
      </c>
      <c r="AR50" s="114"/>
      <c r="AS50" s="114">
        <f t="shared" ref="AS50:AY50" si="340">AK50</f>
        <v>0</v>
      </c>
      <c r="AT50" s="114">
        <f t="shared" si="261"/>
        <v>0</v>
      </c>
      <c r="AU50" s="113"/>
      <c r="AV50" s="124"/>
      <c r="AW50" s="113">
        <f t="shared" si="340"/>
        <v>0</v>
      </c>
      <c r="AX50" s="114">
        <f t="shared" si="340"/>
        <v>0</v>
      </c>
      <c r="AY50" s="113">
        <f t="shared" si="340"/>
        <v>0</v>
      </c>
      <c r="AZ50" s="114"/>
      <c r="BA50" s="114">
        <f t="shared" ref="BA50:BG50" si="341">AS50</f>
        <v>0</v>
      </c>
      <c r="BB50" s="114">
        <f t="shared" si="263"/>
        <v>0</v>
      </c>
      <c r="BC50" s="113"/>
      <c r="BD50" s="124"/>
      <c r="BE50" s="113">
        <f t="shared" si="341"/>
        <v>0</v>
      </c>
      <c r="BF50" s="114">
        <f t="shared" si="341"/>
        <v>0</v>
      </c>
      <c r="BG50" s="113">
        <f t="shared" si="341"/>
        <v>0</v>
      </c>
      <c r="BH50" s="114"/>
      <c r="BI50" s="114">
        <f t="shared" ref="BI50:BO50" si="342">BA50</f>
        <v>0</v>
      </c>
      <c r="BJ50" s="114">
        <f t="shared" si="265"/>
        <v>0</v>
      </c>
      <c r="BK50" s="113"/>
      <c r="BL50" s="124"/>
      <c r="BM50" s="113">
        <f t="shared" si="342"/>
        <v>0</v>
      </c>
      <c r="BN50" s="114">
        <f t="shared" si="342"/>
        <v>0</v>
      </c>
      <c r="BO50" s="113">
        <f t="shared" si="342"/>
        <v>0</v>
      </c>
      <c r="BP50" s="114"/>
      <c r="BQ50" s="114">
        <f t="shared" ref="BQ50:BW50" si="343">BI50</f>
        <v>0</v>
      </c>
      <c r="BR50" s="114">
        <f t="shared" si="267"/>
        <v>0</v>
      </c>
      <c r="BS50" s="113"/>
      <c r="BT50" s="124"/>
      <c r="BU50" s="113">
        <f t="shared" si="343"/>
        <v>0</v>
      </c>
      <c r="BV50" s="114">
        <f t="shared" si="343"/>
        <v>0</v>
      </c>
      <c r="BW50" s="113">
        <f t="shared" si="343"/>
        <v>0</v>
      </c>
      <c r="BX50" s="114"/>
      <c r="BY50" s="114">
        <f t="shared" ref="BY50:CE50" si="344">BQ50</f>
        <v>0</v>
      </c>
      <c r="BZ50" s="114">
        <f t="shared" si="269"/>
        <v>0</v>
      </c>
      <c r="CA50" s="113"/>
      <c r="CB50" s="124"/>
      <c r="CC50" s="113">
        <f t="shared" si="344"/>
        <v>0</v>
      </c>
      <c r="CD50" s="114">
        <f t="shared" si="344"/>
        <v>0</v>
      </c>
      <c r="CE50" s="113">
        <f t="shared" si="344"/>
        <v>0</v>
      </c>
      <c r="CF50" s="114">
        <f t="shared" si="270"/>
        <v>0</v>
      </c>
      <c r="CG50" s="114">
        <f t="shared" si="271"/>
        <v>0</v>
      </c>
      <c r="CH50" s="114">
        <f t="shared" si="272"/>
        <v>0</v>
      </c>
      <c r="CI50" s="113"/>
    </row>
    <row r="51" s="104" customFormat="1" customHeight="1" spans="1:87">
      <c r="A51" s="113"/>
      <c r="B51" s="114"/>
      <c r="C51" s="113"/>
      <c r="D51" s="114"/>
      <c r="E51" s="114"/>
      <c r="F51" s="114">
        <f t="shared" si="248"/>
        <v>0</v>
      </c>
      <c r="G51" s="113"/>
      <c r="H51" s="124"/>
      <c r="I51" s="113">
        <f t="shared" si="249"/>
        <v>0</v>
      </c>
      <c r="J51" s="114">
        <f t="shared" si="250"/>
        <v>0</v>
      </c>
      <c r="K51" s="113">
        <f t="shared" si="251"/>
        <v>0</v>
      </c>
      <c r="L51" s="114"/>
      <c r="M51" s="114">
        <f t="shared" ref="M51:S51" si="345">E51</f>
        <v>0</v>
      </c>
      <c r="N51" s="114">
        <f t="shared" si="253"/>
        <v>0</v>
      </c>
      <c r="O51" s="113"/>
      <c r="P51" s="124"/>
      <c r="Q51" s="113">
        <f t="shared" si="345"/>
        <v>0</v>
      </c>
      <c r="R51" s="114">
        <f t="shared" si="345"/>
        <v>0</v>
      </c>
      <c r="S51" s="113">
        <f t="shared" si="345"/>
        <v>0</v>
      </c>
      <c r="T51" s="114"/>
      <c r="U51" s="114">
        <f t="shared" ref="U51:AA51" si="346">M51</f>
        <v>0</v>
      </c>
      <c r="V51" s="114">
        <f t="shared" si="255"/>
        <v>0</v>
      </c>
      <c r="W51" s="113"/>
      <c r="X51" s="124"/>
      <c r="Y51" s="113">
        <f t="shared" si="346"/>
        <v>0</v>
      </c>
      <c r="Z51" s="114">
        <f t="shared" si="346"/>
        <v>0</v>
      </c>
      <c r="AA51" s="113">
        <f t="shared" si="346"/>
        <v>0</v>
      </c>
      <c r="AB51" s="114"/>
      <c r="AC51" s="114">
        <f t="shared" ref="AC51:AI51" si="347">U51</f>
        <v>0</v>
      </c>
      <c r="AD51" s="114">
        <f t="shared" si="257"/>
        <v>0</v>
      </c>
      <c r="AE51" s="113"/>
      <c r="AF51" s="124"/>
      <c r="AG51" s="113">
        <f t="shared" si="347"/>
        <v>0</v>
      </c>
      <c r="AH51" s="114">
        <f t="shared" si="347"/>
        <v>0</v>
      </c>
      <c r="AI51" s="113">
        <f t="shared" si="347"/>
        <v>0</v>
      </c>
      <c r="AJ51" s="114"/>
      <c r="AK51" s="114">
        <f t="shared" ref="AK51:AQ51" si="348">AC51</f>
        <v>0</v>
      </c>
      <c r="AL51" s="114">
        <f t="shared" si="259"/>
        <v>0</v>
      </c>
      <c r="AM51" s="113"/>
      <c r="AN51" s="124"/>
      <c r="AO51" s="113">
        <f t="shared" si="348"/>
        <v>0</v>
      </c>
      <c r="AP51" s="114">
        <f t="shared" si="348"/>
        <v>0</v>
      </c>
      <c r="AQ51" s="113">
        <f t="shared" si="348"/>
        <v>0</v>
      </c>
      <c r="AR51" s="114"/>
      <c r="AS51" s="114">
        <f t="shared" ref="AS51:AY51" si="349">AK51</f>
        <v>0</v>
      </c>
      <c r="AT51" s="114">
        <f t="shared" si="261"/>
        <v>0</v>
      </c>
      <c r="AU51" s="113"/>
      <c r="AV51" s="124"/>
      <c r="AW51" s="113">
        <f t="shared" si="349"/>
        <v>0</v>
      </c>
      <c r="AX51" s="114">
        <f t="shared" si="349"/>
        <v>0</v>
      </c>
      <c r="AY51" s="113">
        <f t="shared" si="349"/>
        <v>0</v>
      </c>
      <c r="AZ51" s="114"/>
      <c r="BA51" s="114">
        <f t="shared" ref="BA51:BG51" si="350">AS51</f>
        <v>0</v>
      </c>
      <c r="BB51" s="114">
        <f t="shared" si="263"/>
        <v>0</v>
      </c>
      <c r="BC51" s="113"/>
      <c r="BD51" s="124"/>
      <c r="BE51" s="113">
        <f t="shared" si="350"/>
        <v>0</v>
      </c>
      <c r="BF51" s="114">
        <f t="shared" si="350"/>
        <v>0</v>
      </c>
      <c r="BG51" s="113">
        <f t="shared" si="350"/>
        <v>0</v>
      </c>
      <c r="BH51" s="114"/>
      <c r="BI51" s="114">
        <f t="shared" ref="BI51:BO51" si="351">BA51</f>
        <v>0</v>
      </c>
      <c r="BJ51" s="114">
        <f t="shared" si="265"/>
        <v>0</v>
      </c>
      <c r="BK51" s="113"/>
      <c r="BL51" s="124"/>
      <c r="BM51" s="113">
        <f t="shared" si="351"/>
        <v>0</v>
      </c>
      <c r="BN51" s="114">
        <f t="shared" si="351"/>
        <v>0</v>
      </c>
      <c r="BO51" s="113">
        <f t="shared" si="351"/>
        <v>0</v>
      </c>
      <c r="BP51" s="114"/>
      <c r="BQ51" s="114">
        <f t="shared" ref="BQ51:BW51" si="352">BI51</f>
        <v>0</v>
      </c>
      <c r="BR51" s="114">
        <f t="shared" si="267"/>
        <v>0</v>
      </c>
      <c r="BS51" s="113"/>
      <c r="BT51" s="124"/>
      <c r="BU51" s="113">
        <f t="shared" si="352"/>
        <v>0</v>
      </c>
      <c r="BV51" s="114">
        <f t="shared" si="352"/>
        <v>0</v>
      </c>
      <c r="BW51" s="113">
        <f t="shared" si="352"/>
        <v>0</v>
      </c>
      <c r="BX51" s="114"/>
      <c r="BY51" s="114">
        <f t="shared" ref="BY51:CE51" si="353">BQ51</f>
        <v>0</v>
      </c>
      <c r="BZ51" s="114">
        <f t="shared" si="269"/>
        <v>0</v>
      </c>
      <c r="CA51" s="113"/>
      <c r="CB51" s="124"/>
      <c r="CC51" s="113">
        <f t="shared" si="353"/>
        <v>0</v>
      </c>
      <c r="CD51" s="114">
        <f t="shared" si="353"/>
        <v>0</v>
      </c>
      <c r="CE51" s="113">
        <f t="shared" si="353"/>
        <v>0</v>
      </c>
      <c r="CF51" s="114">
        <f t="shared" si="270"/>
        <v>0</v>
      </c>
      <c r="CG51" s="114">
        <f t="shared" si="271"/>
        <v>0</v>
      </c>
      <c r="CH51" s="114">
        <f t="shared" si="272"/>
        <v>0</v>
      </c>
      <c r="CI51" s="113"/>
    </row>
    <row r="52" s="104" customFormat="1" customHeight="1" spans="1:87">
      <c r="A52" s="113"/>
      <c r="B52" s="114"/>
      <c r="C52" s="113"/>
      <c r="D52" s="114"/>
      <c r="E52" s="114"/>
      <c r="F52" s="114">
        <f t="shared" si="248"/>
        <v>0</v>
      </c>
      <c r="G52" s="113"/>
      <c r="H52" s="124"/>
      <c r="I52" s="113">
        <f t="shared" si="249"/>
        <v>0</v>
      </c>
      <c r="J52" s="114">
        <f t="shared" si="250"/>
        <v>0</v>
      </c>
      <c r="K52" s="113">
        <f t="shared" si="251"/>
        <v>0</v>
      </c>
      <c r="L52" s="114"/>
      <c r="M52" s="114">
        <f t="shared" ref="M52:S52" si="354">E52</f>
        <v>0</v>
      </c>
      <c r="N52" s="114">
        <f t="shared" si="253"/>
        <v>0</v>
      </c>
      <c r="O52" s="113"/>
      <c r="P52" s="124"/>
      <c r="Q52" s="113">
        <f t="shared" si="354"/>
        <v>0</v>
      </c>
      <c r="R52" s="114">
        <f t="shared" si="354"/>
        <v>0</v>
      </c>
      <c r="S52" s="113">
        <f t="shared" si="354"/>
        <v>0</v>
      </c>
      <c r="T52" s="114"/>
      <c r="U52" s="114">
        <f t="shared" ref="U52:AA52" si="355">M52</f>
        <v>0</v>
      </c>
      <c r="V52" s="114">
        <f t="shared" si="255"/>
        <v>0</v>
      </c>
      <c r="W52" s="113"/>
      <c r="X52" s="124"/>
      <c r="Y52" s="113">
        <f t="shared" si="355"/>
        <v>0</v>
      </c>
      <c r="Z52" s="114">
        <f t="shared" si="355"/>
        <v>0</v>
      </c>
      <c r="AA52" s="113">
        <f t="shared" si="355"/>
        <v>0</v>
      </c>
      <c r="AB52" s="114"/>
      <c r="AC52" s="114">
        <f t="shared" ref="AC52:AI52" si="356">U52</f>
        <v>0</v>
      </c>
      <c r="AD52" s="114">
        <f t="shared" si="257"/>
        <v>0</v>
      </c>
      <c r="AE52" s="113"/>
      <c r="AF52" s="124"/>
      <c r="AG52" s="113">
        <f t="shared" si="356"/>
        <v>0</v>
      </c>
      <c r="AH52" s="114">
        <f t="shared" si="356"/>
        <v>0</v>
      </c>
      <c r="AI52" s="113">
        <f t="shared" si="356"/>
        <v>0</v>
      </c>
      <c r="AJ52" s="114"/>
      <c r="AK52" s="114">
        <f t="shared" ref="AK52:AQ52" si="357">AC52</f>
        <v>0</v>
      </c>
      <c r="AL52" s="114">
        <f t="shared" si="259"/>
        <v>0</v>
      </c>
      <c r="AM52" s="113"/>
      <c r="AN52" s="124"/>
      <c r="AO52" s="113">
        <f t="shared" si="357"/>
        <v>0</v>
      </c>
      <c r="AP52" s="114">
        <f t="shared" si="357"/>
        <v>0</v>
      </c>
      <c r="AQ52" s="113">
        <f t="shared" si="357"/>
        <v>0</v>
      </c>
      <c r="AR52" s="114"/>
      <c r="AS52" s="114">
        <f t="shared" ref="AS52:AY52" si="358">AK52</f>
        <v>0</v>
      </c>
      <c r="AT52" s="114">
        <f t="shared" si="261"/>
        <v>0</v>
      </c>
      <c r="AU52" s="113"/>
      <c r="AV52" s="124"/>
      <c r="AW52" s="113">
        <f t="shared" si="358"/>
        <v>0</v>
      </c>
      <c r="AX52" s="114">
        <f t="shared" si="358"/>
        <v>0</v>
      </c>
      <c r="AY52" s="113">
        <f t="shared" si="358"/>
        <v>0</v>
      </c>
      <c r="AZ52" s="114"/>
      <c r="BA52" s="114">
        <f t="shared" ref="BA52:BG52" si="359">AS52</f>
        <v>0</v>
      </c>
      <c r="BB52" s="114">
        <f t="shared" si="263"/>
        <v>0</v>
      </c>
      <c r="BC52" s="113"/>
      <c r="BD52" s="124"/>
      <c r="BE52" s="113">
        <f t="shared" si="359"/>
        <v>0</v>
      </c>
      <c r="BF52" s="114">
        <f t="shared" si="359"/>
        <v>0</v>
      </c>
      <c r="BG52" s="113">
        <f t="shared" si="359"/>
        <v>0</v>
      </c>
      <c r="BH52" s="114"/>
      <c r="BI52" s="114">
        <f t="shared" ref="BI52:BO52" si="360">BA52</f>
        <v>0</v>
      </c>
      <c r="BJ52" s="114">
        <f t="shared" si="265"/>
        <v>0</v>
      </c>
      <c r="BK52" s="113"/>
      <c r="BL52" s="124"/>
      <c r="BM52" s="113">
        <f t="shared" si="360"/>
        <v>0</v>
      </c>
      <c r="BN52" s="114">
        <f t="shared" si="360"/>
        <v>0</v>
      </c>
      <c r="BO52" s="113">
        <f t="shared" si="360"/>
        <v>0</v>
      </c>
      <c r="BP52" s="114"/>
      <c r="BQ52" s="114">
        <f t="shared" ref="BQ52:BW52" si="361">BI52</f>
        <v>0</v>
      </c>
      <c r="BR52" s="114">
        <f t="shared" si="267"/>
        <v>0</v>
      </c>
      <c r="BS52" s="113"/>
      <c r="BT52" s="124"/>
      <c r="BU52" s="113">
        <f t="shared" si="361"/>
        <v>0</v>
      </c>
      <c r="BV52" s="114">
        <f t="shared" si="361"/>
        <v>0</v>
      </c>
      <c r="BW52" s="113">
        <f t="shared" si="361"/>
        <v>0</v>
      </c>
      <c r="BX52" s="114"/>
      <c r="BY52" s="114">
        <f t="shared" ref="BY52:CE52" si="362">BQ52</f>
        <v>0</v>
      </c>
      <c r="BZ52" s="114">
        <f t="shared" si="269"/>
        <v>0</v>
      </c>
      <c r="CA52" s="113"/>
      <c r="CB52" s="124"/>
      <c r="CC52" s="113">
        <f t="shared" si="362"/>
        <v>0</v>
      </c>
      <c r="CD52" s="114">
        <f t="shared" si="362"/>
        <v>0</v>
      </c>
      <c r="CE52" s="113">
        <f t="shared" si="362"/>
        <v>0</v>
      </c>
      <c r="CF52" s="114">
        <f t="shared" si="270"/>
        <v>0</v>
      </c>
      <c r="CG52" s="114">
        <f t="shared" si="271"/>
        <v>0</v>
      </c>
      <c r="CH52" s="114">
        <f t="shared" si="272"/>
        <v>0</v>
      </c>
      <c r="CI52" s="113"/>
    </row>
    <row r="53" s="104" customFormat="1" customHeight="1" spans="1:87">
      <c r="A53" s="113"/>
      <c r="B53" s="114"/>
      <c r="C53" s="113"/>
      <c r="D53" s="114"/>
      <c r="E53" s="114"/>
      <c r="F53" s="114">
        <f t="shared" si="248"/>
        <v>0</v>
      </c>
      <c r="G53" s="113"/>
      <c r="H53" s="124"/>
      <c r="I53" s="113">
        <f t="shared" si="249"/>
        <v>0</v>
      </c>
      <c r="J53" s="114">
        <f t="shared" si="250"/>
        <v>0</v>
      </c>
      <c r="K53" s="113">
        <f t="shared" si="251"/>
        <v>0</v>
      </c>
      <c r="L53" s="114"/>
      <c r="M53" s="114">
        <f t="shared" ref="M53:S53" si="363">E53</f>
        <v>0</v>
      </c>
      <c r="N53" s="114">
        <f t="shared" si="253"/>
        <v>0</v>
      </c>
      <c r="O53" s="113"/>
      <c r="P53" s="124"/>
      <c r="Q53" s="113">
        <f t="shared" si="363"/>
        <v>0</v>
      </c>
      <c r="R53" s="114">
        <f t="shared" si="363"/>
        <v>0</v>
      </c>
      <c r="S53" s="113">
        <f t="shared" si="363"/>
        <v>0</v>
      </c>
      <c r="T53" s="114"/>
      <c r="U53" s="114">
        <f t="shared" ref="U53:AA53" si="364">M53</f>
        <v>0</v>
      </c>
      <c r="V53" s="114">
        <f t="shared" si="255"/>
        <v>0</v>
      </c>
      <c r="W53" s="113"/>
      <c r="X53" s="124"/>
      <c r="Y53" s="113">
        <f t="shared" si="364"/>
        <v>0</v>
      </c>
      <c r="Z53" s="114">
        <f t="shared" si="364"/>
        <v>0</v>
      </c>
      <c r="AA53" s="113">
        <f t="shared" si="364"/>
        <v>0</v>
      </c>
      <c r="AB53" s="114"/>
      <c r="AC53" s="114">
        <f t="shared" ref="AC53:AI53" si="365">U53</f>
        <v>0</v>
      </c>
      <c r="AD53" s="114">
        <f t="shared" si="257"/>
        <v>0</v>
      </c>
      <c r="AE53" s="113"/>
      <c r="AF53" s="124"/>
      <c r="AG53" s="113">
        <f t="shared" si="365"/>
        <v>0</v>
      </c>
      <c r="AH53" s="114">
        <f t="shared" si="365"/>
        <v>0</v>
      </c>
      <c r="AI53" s="113">
        <f t="shared" si="365"/>
        <v>0</v>
      </c>
      <c r="AJ53" s="114"/>
      <c r="AK53" s="114">
        <f t="shared" ref="AK53:AQ53" si="366">AC53</f>
        <v>0</v>
      </c>
      <c r="AL53" s="114">
        <f t="shared" si="259"/>
        <v>0</v>
      </c>
      <c r="AM53" s="113"/>
      <c r="AN53" s="124"/>
      <c r="AO53" s="113">
        <f t="shared" si="366"/>
        <v>0</v>
      </c>
      <c r="AP53" s="114">
        <f t="shared" si="366"/>
        <v>0</v>
      </c>
      <c r="AQ53" s="113">
        <f t="shared" si="366"/>
        <v>0</v>
      </c>
      <c r="AR53" s="114"/>
      <c r="AS53" s="114">
        <f t="shared" ref="AS53:AY53" si="367">AK53</f>
        <v>0</v>
      </c>
      <c r="AT53" s="114">
        <f t="shared" si="261"/>
        <v>0</v>
      </c>
      <c r="AU53" s="113"/>
      <c r="AV53" s="124"/>
      <c r="AW53" s="113">
        <f t="shared" si="367"/>
        <v>0</v>
      </c>
      <c r="AX53" s="114">
        <f t="shared" si="367"/>
        <v>0</v>
      </c>
      <c r="AY53" s="113">
        <f t="shared" si="367"/>
        <v>0</v>
      </c>
      <c r="AZ53" s="114"/>
      <c r="BA53" s="114">
        <f t="shared" ref="BA53:BG53" si="368">AS53</f>
        <v>0</v>
      </c>
      <c r="BB53" s="114">
        <f t="shared" si="263"/>
        <v>0</v>
      </c>
      <c r="BC53" s="113"/>
      <c r="BD53" s="124"/>
      <c r="BE53" s="113">
        <f t="shared" si="368"/>
        <v>0</v>
      </c>
      <c r="BF53" s="114">
        <f t="shared" si="368"/>
        <v>0</v>
      </c>
      <c r="BG53" s="113">
        <f t="shared" si="368"/>
        <v>0</v>
      </c>
      <c r="BH53" s="114"/>
      <c r="BI53" s="114">
        <f t="shared" ref="BI53:BO53" si="369">BA53</f>
        <v>0</v>
      </c>
      <c r="BJ53" s="114">
        <f t="shared" si="265"/>
        <v>0</v>
      </c>
      <c r="BK53" s="113"/>
      <c r="BL53" s="124"/>
      <c r="BM53" s="113">
        <f t="shared" si="369"/>
        <v>0</v>
      </c>
      <c r="BN53" s="114">
        <f t="shared" si="369"/>
        <v>0</v>
      </c>
      <c r="BO53" s="113">
        <f t="shared" si="369"/>
        <v>0</v>
      </c>
      <c r="BP53" s="114"/>
      <c r="BQ53" s="114">
        <f t="shared" ref="BQ53:BW53" si="370">BI53</f>
        <v>0</v>
      </c>
      <c r="BR53" s="114">
        <f t="shared" si="267"/>
        <v>0</v>
      </c>
      <c r="BS53" s="113"/>
      <c r="BT53" s="124"/>
      <c r="BU53" s="113">
        <f t="shared" si="370"/>
        <v>0</v>
      </c>
      <c r="BV53" s="114">
        <f t="shared" si="370"/>
        <v>0</v>
      </c>
      <c r="BW53" s="113">
        <f t="shared" si="370"/>
        <v>0</v>
      </c>
      <c r="BX53" s="114"/>
      <c r="BY53" s="114">
        <f t="shared" ref="BY53:CE53" si="371">BQ53</f>
        <v>0</v>
      </c>
      <c r="BZ53" s="114">
        <f t="shared" si="269"/>
        <v>0</v>
      </c>
      <c r="CA53" s="113"/>
      <c r="CB53" s="124"/>
      <c r="CC53" s="113">
        <f t="shared" si="371"/>
        <v>0</v>
      </c>
      <c r="CD53" s="114">
        <f t="shared" si="371"/>
        <v>0</v>
      </c>
      <c r="CE53" s="113">
        <f t="shared" si="371"/>
        <v>0</v>
      </c>
      <c r="CF53" s="114">
        <f t="shared" si="270"/>
        <v>0</v>
      </c>
      <c r="CG53" s="114">
        <f t="shared" si="271"/>
        <v>0</v>
      </c>
      <c r="CH53" s="114">
        <f t="shared" si="272"/>
        <v>0</v>
      </c>
      <c r="CI53" s="113"/>
    </row>
    <row r="54" s="104" customFormat="1" customHeight="1" spans="1:87">
      <c r="A54" s="115" t="s">
        <v>340</v>
      </c>
      <c r="B54" s="116"/>
      <c r="C54" s="116"/>
      <c r="D54" s="116"/>
      <c r="E54" s="117"/>
      <c r="F54" s="118">
        <f>SUM(F42:F53)</f>
        <v>0</v>
      </c>
      <c r="G54" s="114"/>
      <c r="H54" s="124"/>
      <c r="I54" s="115" t="s">
        <v>340</v>
      </c>
      <c r="J54" s="116"/>
      <c r="K54" s="116"/>
      <c r="L54" s="116"/>
      <c r="M54" s="117"/>
      <c r="N54" s="118">
        <f>SUM(N42:N53)</f>
        <v>0</v>
      </c>
      <c r="O54" s="114"/>
      <c r="P54" s="124"/>
      <c r="Q54" s="115" t="s">
        <v>340</v>
      </c>
      <c r="R54" s="116"/>
      <c r="S54" s="116"/>
      <c r="T54" s="116"/>
      <c r="U54" s="117"/>
      <c r="V54" s="118">
        <f>SUM(V42:V53)</f>
        <v>0</v>
      </c>
      <c r="W54" s="114"/>
      <c r="X54" s="124"/>
      <c r="Y54" s="115" t="s">
        <v>340</v>
      </c>
      <c r="Z54" s="116"/>
      <c r="AA54" s="116"/>
      <c r="AB54" s="116"/>
      <c r="AC54" s="117"/>
      <c r="AD54" s="118">
        <f>SUM(AD42:AD53)</f>
        <v>0</v>
      </c>
      <c r="AE54" s="114"/>
      <c r="AF54" s="124"/>
      <c r="AG54" s="115" t="s">
        <v>340</v>
      </c>
      <c r="AH54" s="116"/>
      <c r="AI54" s="116"/>
      <c r="AJ54" s="116"/>
      <c r="AK54" s="117"/>
      <c r="AL54" s="118">
        <f>SUM(AL42:AL53)</f>
        <v>0</v>
      </c>
      <c r="AM54" s="114"/>
      <c r="AN54" s="124"/>
      <c r="AO54" s="115" t="s">
        <v>340</v>
      </c>
      <c r="AP54" s="116"/>
      <c r="AQ54" s="116"/>
      <c r="AR54" s="116"/>
      <c r="AS54" s="117"/>
      <c r="AT54" s="118">
        <f>SUM(AT42:AT53)</f>
        <v>0</v>
      </c>
      <c r="AU54" s="114"/>
      <c r="AV54" s="124"/>
      <c r="AW54" s="115" t="s">
        <v>340</v>
      </c>
      <c r="AX54" s="116"/>
      <c r="AY54" s="116"/>
      <c r="AZ54" s="116"/>
      <c r="BA54" s="117"/>
      <c r="BB54" s="118">
        <f>SUM(BB42:BB53)</f>
        <v>0</v>
      </c>
      <c r="BC54" s="114"/>
      <c r="BD54" s="124"/>
      <c r="BE54" s="115" t="s">
        <v>340</v>
      </c>
      <c r="BF54" s="116"/>
      <c r="BG54" s="116"/>
      <c r="BH54" s="116"/>
      <c r="BI54" s="117"/>
      <c r="BJ54" s="118">
        <f>SUM(BJ42:BJ53)</f>
        <v>0</v>
      </c>
      <c r="BK54" s="114"/>
      <c r="BL54" s="124"/>
      <c r="BM54" s="115" t="s">
        <v>340</v>
      </c>
      <c r="BN54" s="116"/>
      <c r="BO54" s="116"/>
      <c r="BP54" s="116"/>
      <c r="BQ54" s="117"/>
      <c r="BR54" s="118">
        <f>SUM(BR42:BR53)</f>
        <v>0</v>
      </c>
      <c r="BS54" s="114"/>
      <c r="BT54" s="124"/>
      <c r="BU54" s="115" t="s">
        <v>340</v>
      </c>
      <c r="BV54" s="116"/>
      <c r="BW54" s="116"/>
      <c r="BX54" s="116"/>
      <c r="BY54" s="117"/>
      <c r="BZ54" s="118">
        <f>SUM(BZ42:BZ53)</f>
        <v>0</v>
      </c>
      <c r="CA54" s="114"/>
      <c r="CB54" s="124"/>
      <c r="CC54" s="115" t="s">
        <v>340</v>
      </c>
      <c r="CD54" s="116"/>
      <c r="CE54" s="116"/>
      <c r="CF54" s="116"/>
      <c r="CG54" s="117"/>
      <c r="CH54" s="118">
        <f>SUM(CH42:CH53)</f>
        <v>0</v>
      </c>
      <c r="CI54" s="114"/>
    </row>
    <row r="55" s="104" customFormat="1" customHeight="1" spans="1:87">
      <c r="A55" s="119" t="s">
        <v>341</v>
      </c>
      <c r="B55" s="119"/>
      <c r="C55" s="120"/>
      <c r="D55" s="119"/>
      <c r="E55" s="119"/>
      <c r="F55" s="119"/>
      <c r="G55" s="119"/>
      <c r="H55" s="124"/>
      <c r="I55" s="119" t="s">
        <v>341</v>
      </c>
      <c r="J55" s="119"/>
      <c r="K55" s="120"/>
      <c r="L55" s="119"/>
      <c r="M55" s="119"/>
      <c r="N55" s="119"/>
      <c r="O55" s="119"/>
      <c r="P55" s="124"/>
      <c r="Q55" s="119" t="s">
        <v>341</v>
      </c>
      <c r="R55" s="119"/>
      <c r="S55" s="120"/>
      <c r="T55" s="119"/>
      <c r="U55" s="119"/>
      <c r="V55" s="119"/>
      <c r="W55" s="119"/>
      <c r="X55" s="124"/>
      <c r="Y55" s="119" t="s">
        <v>341</v>
      </c>
      <c r="Z55" s="119"/>
      <c r="AA55" s="120"/>
      <c r="AB55" s="119"/>
      <c r="AC55" s="119"/>
      <c r="AD55" s="119"/>
      <c r="AE55" s="119"/>
      <c r="AF55" s="124"/>
      <c r="AG55" s="119" t="s">
        <v>341</v>
      </c>
      <c r="AH55" s="119"/>
      <c r="AI55" s="120"/>
      <c r="AJ55" s="119"/>
      <c r="AK55" s="119"/>
      <c r="AL55" s="119"/>
      <c r="AM55" s="119"/>
      <c r="AN55" s="124"/>
      <c r="AO55" s="119" t="s">
        <v>341</v>
      </c>
      <c r="AP55" s="119"/>
      <c r="AQ55" s="120"/>
      <c r="AR55" s="119"/>
      <c r="AS55" s="119"/>
      <c r="AT55" s="119"/>
      <c r="AU55" s="119"/>
      <c r="AV55" s="124"/>
      <c r="AW55" s="119" t="s">
        <v>341</v>
      </c>
      <c r="AX55" s="119"/>
      <c r="AY55" s="120"/>
      <c r="AZ55" s="119"/>
      <c r="BA55" s="119"/>
      <c r="BB55" s="119"/>
      <c r="BC55" s="119"/>
      <c r="BD55" s="124"/>
      <c r="BE55" s="119" t="s">
        <v>341</v>
      </c>
      <c r="BF55" s="119"/>
      <c r="BG55" s="120"/>
      <c r="BH55" s="119"/>
      <c r="BI55" s="119"/>
      <c r="BJ55" s="119"/>
      <c r="BK55" s="119"/>
      <c r="BL55" s="124"/>
      <c r="BM55" s="119" t="s">
        <v>341</v>
      </c>
      <c r="BN55" s="119"/>
      <c r="BO55" s="120"/>
      <c r="BP55" s="119"/>
      <c r="BQ55" s="119"/>
      <c r="BR55" s="119"/>
      <c r="BS55" s="119"/>
      <c r="BT55" s="124"/>
      <c r="BU55" s="119" t="s">
        <v>341</v>
      </c>
      <c r="BV55" s="119"/>
      <c r="BW55" s="120"/>
      <c r="BX55" s="119"/>
      <c r="BY55" s="119"/>
      <c r="BZ55" s="119"/>
      <c r="CA55" s="119"/>
      <c r="CB55" s="124"/>
      <c r="CC55" s="119" t="s">
        <v>341</v>
      </c>
      <c r="CD55" s="119"/>
      <c r="CE55" s="120"/>
      <c r="CF55" s="119"/>
      <c r="CG55" s="119"/>
      <c r="CH55" s="119"/>
      <c r="CI55" s="119"/>
    </row>
    <row r="58" customHeight="1" spans="1:87">
      <c r="A58" s="105"/>
      <c r="B58" s="106"/>
      <c r="C58" s="107" t="s">
        <v>330</v>
      </c>
      <c r="D58" s="107"/>
      <c r="E58" s="107"/>
      <c r="F58" s="105"/>
      <c r="G58" s="105"/>
      <c r="H58" s="124" t="str">
        <f>H39</f>
        <v>RD01</v>
      </c>
      <c r="I58" s="105"/>
      <c r="J58" s="106"/>
      <c r="K58" s="107" t="s">
        <v>330</v>
      </c>
      <c r="L58" s="107"/>
      <c r="M58" s="107"/>
      <c r="N58" s="105"/>
      <c r="O58" s="105"/>
      <c r="P58" s="124" t="str">
        <f>P39</f>
        <v>RD02</v>
      </c>
      <c r="Q58" s="105"/>
      <c r="R58" s="106"/>
      <c r="S58" s="107" t="s">
        <v>330</v>
      </c>
      <c r="T58" s="107"/>
      <c r="U58" s="107"/>
      <c r="V58" s="105"/>
      <c r="W58" s="105"/>
      <c r="X58" s="124" t="str">
        <f>X39</f>
        <v>RD03</v>
      </c>
      <c r="Y58" s="105"/>
      <c r="Z58" s="106"/>
      <c r="AA58" s="107" t="s">
        <v>330</v>
      </c>
      <c r="AB58" s="107"/>
      <c r="AC58" s="107"/>
      <c r="AD58" s="105"/>
      <c r="AE58" s="105"/>
      <c r="AF58" s="124" t="str">
        <f>AF39</f>
        <v>RD04</v>
      </c>
      <c r="AG58" s="105"/>
      <c r="AH58" s="106"/>
      <c r="AI58" s="107" t="s">
        <v>330</v>
      </c>
      <c r="AJ58" s="107"/>
      <c r="AK58" s="107"/>
      <c r="AL58" s="105"/>
      <c r="AM58" s="105"/>
      <c r="AN58" s="124" t="str">
        <f>AN39</f>
        <v>RD05</v>
      </c>
      <c r="AO58" s="105"/>
      <c r="AP58" s="106"/>
      <c r="AQ58" s="107" t="s">
        <v>330</v>
      </c>
      <c r="AR58" s="107"/>
      <c r="AS58" s="107"/>
      <c r="AT58" s="105"/>
      <c r="AU58" s="105"/>
      <c r="AV58" s="124" t="str">
        <f>AV39</f>
        <v>RD06</v>
      </c>
      <c r="AW58" s="105"/>
      <c r="AX58" s="106"/>
      <c r="AY58" s="107" t="s">
        <v>330</v>
      </c>
      <c r="AZ58" s="107"/>
      <c r="BA58" s="107"/>
      <c r="BB58" s="105"/>
      <c r="BC58" s="105"/>
      <c r="BD58" s="124" t="str">
        <f>BD39</f>
        <v>RD07</v>
      </c>
      <c r="BE58" s="105"/>
      <c r="BF58" s="106"/>
      <c r="BG58" s="107" t="s">
        <v>330</v>
      </c>
      <c r="BH58" s="107"/>
      <c r="BI58" s="107"/>
      <c r="BJ58" s="105"/>
      <c r="BK58" s="105"/>
      <c r="BL58" s="124" t="str">
        <f>BL39</f>
        <v>RD08</v>
      </c>
      <c r="BM58" s="105"/>
      <c r="BN58" s="106"/>
      <c r="BO58" s="107" t="s">
        <v>330</v>
      </c>
      <c r="BP58" s="107"/>
      <c r="BQ58" s="107"/>
      <c r="BR58" s="105"/>
      <c r="BS58" s="105"/>
      <c r="BT58" s="124" t="str">
        <f>BT39</f>
        <v>RD09</v>
      </c>
      <c r="BU58" s="105"/>
      <c r="BV58" s="106"/>
      <c r="BW58" s="107" t="s">
        <v>330</v>
      </c>
      <c r="BX58" s="107"/>
      <c r="BY58" s="107"/>
      <c r="BZ58" s="105"/>
      <c r="CA58" s="105"/>
      <c r="CB58" s="124" t="str">
        <f>CB39</f>
        <v>RD10</v>
      </c>
      <c r="CC58" s="105"/>
      <c r="CD58" s="106"/>
      <c r="CE58" s="107" t="s">
        <v>330</v>
      </c>
      <c r="CF58" s="107"/>
      <c r="CG58" s="107"/>
      <c r="CH58" s="105"/>
      <c r="CI58" s="105"/>
    </row>
    <row r="59" s="122" customFormat="1" customHeight="1" spans="1:87">
      <c r="A59" s="108" t="s">
        <v>331</v>
      </c>
      <c r="B59" s="109"/>
      <c r="C59" s="110">
        <v>45777</v>
      </c>
      <c r="D59" s="110"/>
      <c r="E59" s="110"/>
      <c r="F59" s="111"/>
      <c r="G59" s="112"/>
      <c r="H59" s="125"/>
      <c r="I59" s="108" t="s">
        <v>331</v>
      </c>
      <c r="J59" s="109"/>
      <c r="K59" s="110">
        <v>45777</v>
      </c>
      <c r="L59" s="110"/>
      <c r="M59" s="110"/>
      <c r="N59" s="111" t="s">
        <v>332</v>
      </c>
      <c r="O59" s="112" t="str">
        <f>立项!$A$3</f>
        <v>RD01</v>
      </c>
      <c r="P59" s="125"/>
      <c r="Q59" s="108" t="s">
        <v>331</v>
      </c>
      <c r="R59" s="109"/>
      <c r="S59" s="110">
        <v>45777</v>
      </c>
      <c r="T59" s="110"/>
      <c r="U59" s="110"/>
      <c r="V59" s="111" t="s">
        <v>332</v>
      </c>
      <c r="W59" s="112" t="str">
        <f>立项!$A$4</f>
        <v>RD02</v>
      </c>
      <c r="X59" s="125"/>
      <c r="Y59" s="108" t="s">
        <v>331</v>
      </c>
      <c r="Z59" s="109"/>
      <c r="AA59" s="110">
        <v>45777</v>
      </c>
      <c r="AB59" s="110"/>
      <c r="AC59" s="110"/>
      <c r="AD59" s="111" t="s">
        <v>332</v>
      </c>
      <c r="AE59" s="112" t="str">
        <f>立项!$A$5</f>
        <v>RD03</v>
      </c>
      <c r="AF59" s="125"/>
      <c r="AG59" s="108" t="s">
        <v>331</v>
      </c>
      <c r="AH59" s="109"/>
      <c r="AI59" s="110">
        <v>45777</v>
      </c>
      <c r="AJ59" s="110"/>
      <c r="AK59" s="110"/>
      <c r="AL59" s="111" t="s">
        <v>332</v>
      </c>
      <c r="AM59" s="112" t="str">
        <f>立项!$A$6</f>
        <v>RD04</v>
      </c>
      <c r="AN59" s="125"/>
      <c r="AO59" s="108" t="s">
        <v>331</v>
      </c>
      <c r="AP59" s="109"/>
      <c r="AQ59" s="110">
        <v>45777</v>
      </c>
      <c r="AR59" s="110"/>
      <c r="AS59" s="110"/>
      <c r="AT59" s="111" t="s">
        <v>332</v>
      </c>
      <c r="AU59" s="112" t="str">
        <f>立项!$A$7</f>
        <v>RD05</v>
      </c>
      <c r="AV59" s="125"/>
      <c r="AW59" s="108" t="s">
        <v>331</v>
      </c>
      <c r="AX59" s="109"/>
      <c r="AY59" s="110">
        <v>45777</v>
      </c>
      <c r="AZ59" s="110"/>
      <c r="BA59" s="110"/>
      <c r="BB59" s="111" t="s">
        <v>332</v>
      </c>
      <c r="BC59" s="112" t="str">
        <f>立项!$A$8</f>
        <v>RD06</v>
      </c>
      <c r="BD59" s="125"/>
      <c r="BE59" s="108" t="s">
        <v>331</v>
      </c>
      <c r="BF59" s="109"/>
      <c r="BG59" s="110">
        <v>45777</v>
      </c>
      <c r="BH59" s="110"/>
      <c r="BI59" s="110"/>
      <c r="BJ59" s="111" t="s">
        <v>332</v>
      </c>
      <c r="BK59" s="112" t="str">
        <f>立项!$A$9</f>
        <v>RD07</v>
      </c>
      <c r="BL59" s="125"/>
      <c r="BM59" s="108" t="s">
        <v>331</v>
      </c>
      <c r="BN59" s="109"/>
      <c r="BO59" s="110">
        <v>45777</v>
      </c>
      <c r="BP59" s="110"/>
      <c r="BQ59" s="110"/>
      <c r="BR59" s="111" t="s">
        <v>332</v>
      </c>
      <c r="BS59" s="112" t="str">
        <f>立项!$A$10</f>
        <v>RD08</v>
      </c>
      <c r="BT59" s="125"/>
      <c r="BU59" s="108" t="s">
        <v>331</v>
      </c>
      <c r="BV59" s="109"/>
      <c r="BW59" s="110">
        <v>45777</v>
      </c>
      <c r="BX59" s="110"/>
      <c r="BY59" s="110"/>
      <c r="BZ59" s="111" t="s">
        <v>332</v>
      </c>
      <c r="CA59" s="112" t="str">
        <f>立项!$A$11</f>
        <v>RD09</v>
      </c>
      <c r="CB59" s="125"/>
      <c r="CC59" s="108" t="s">
        <v>331</v>
      </c>
      <c r="CD59" s="109"/>
      <c r="CE59" s="110">
        <v>45777</v>
      </c>
      <c r="CF59" s="110"/>
      <c r="CG59" s="110"/>
      <c r="CH59" s="111" t="s">
        <v>332</v>
      </c>
      <c r="CI59" s="112" t="str">
        <f>立项!$A$12</f>
        <v>RD10</v>
      </c>
    </row>
    <row r="60" s="104" customFormat="1" customHeight="1" spans="1:87">
      <c r="A60" s="113" t="s">
        <v>333</v>
      </c>
      <c r="B60" s="113" t="s">
        <v>334</v>
      </c>
      <c r="C60" s="113" t="s">
        <v>335</v>
      </c>
      <c r="D60" s="113" t="s">
        <v>336</v>
      </c>
      <c r="E60" s="113" t="s">
        <v>337</v>
      </c>
      <c r="F60" s="113" t="s">
        <v>338</v>
      </c>
      <c r="G60" s="113" t="s">
        <v>339</v>
      </c>
      <c r="H60" s="124"/>
      <c r="I60" s="113" t="s">
        <v>333</v>
      </c>
      <c r="J60" s="113" t="s">
        <v>334</v>
      </c>
      <c r="K60" s="113" t="s">
        <v>335</v>
      </c>
      <c r="L60" s="113" t="s">
        <v>336</v>
      </c>
      <c r="M60" s="113" t="s">
        <v>337</v>
      </c>
      <c r="N60" s="113" t="s">
        <v>338</v>
      </c>
      <c r="O60" s="113" t="s">
        <v>339</v>
      </c>
      <c r="P60" s="124"/>
      <c r="Q60" s="113" t="s">
        <v>333</v>
      </c>
      <c r="R60" s="113" t="s">
        <v>334</v>
      </c>
      <c r="S60" s="113" t="s">
        <v>335</v>
      </c>
      <c r="T60" s="113" t="s">
        <v>336</v>
      </c>
      <c r="U60" s="113" t="s">
        <v>337</v>
      </c>
      <c r="V60" s="113" t="s">
        <v>338</v>
      </c>
      <c r="W60" s="113" t="s">
        <v>339</v>
      </c>
      <c r="X60" s="124"/>
      <c r="Y60" s="113" t="s">
        <v>333</v>
      </c>
      <c r="Z60" s="113" t="s">
        <v>334</v>
      </c>
      <c r="AA60" s="113" t="s">
        <v>335</v>
      </c>
      <c r="AB60" s="113" t="s">
        <v>336</v>
      </c>
      <c r="AC60" s="113" t="s">
        <v>337</v>
      </c>
      <c r="AD60" s="113" t="s">
        <v>338</v>
      </c>
      <c r="AE60" s="113" t="s">
        <v>339</v>
      </c>
      <c r="AF60" s="124"/>
      <c r="AG60" s="113" t="s">
        <v>333</v>
      </c>
      <c r="AH60" s="113" t="s">
        <v>334</v>
      </c>
      <c r="AI60" s="113" t="s">
        <v>335</v>
      </c>
      <c r="AJ60" s="113" t="s">
        <v>336</v>
      </c>
      <c r="AK60" s="113" t="s">
        <v>337</v>
      </c>
      <c r="AL60" s="113" t="s">
        <v>338</v>
      </c>
      <c r="AM60" s="113" t="s">
        <v>339</v>
      </c>
      <c r="AN60" s="124"/>
      <c r="AO60" s="113" t="s">
        <v>333</v>
      </c>
      <c r="AP60" s="113" t="s">
        <v>334</v>
      </c>
      <c r="AQ60" s="113" t="s">
        <v>335</v>
      </c>
      <c r="AR60" s="113" t="s">
        <v>336</v>
      </c>
      <c r="AS60" s="113" t="s">
        <v>337</v>
      </c>
      <c r="AT60" s="113" t="s">
        <v>338</v>
      </c>
      <c r="AU60" s="113" t="s">
        <v>339</v>
      </c>
      <c r="AV60" s="124"/>
      <c r="AW60" s="113" t="s">
        <v>333</v>
      </c>
      <c r="AX60" s="113" t="s">
        <v>334</v>
      </c>
      <c r="AY60" s="113" t="s">
        <v>335</v>
      </c>
      <c r="AZ60" s="113" t="s">
        <v>336</v>
      </c>
      <c r="BA60" s="113" t="s">
        <v>337</v>
      </c>
      <c r="BB60" s="113" t="s">
        <v>338</v>
      </c>
      <c r="BC60" s="113" t="s">
        <v>339</v>
      </c>
      <c r="BD60" s="124"/>
      <c r="BE60" s="113" t="s">
        <v>333</v>
      </c>
      <c r="BF60" s="113" t="s">
        <v>334</v>
      </c>
      <c r="BG60" s="113" t="s">
        <v>335</v>
      </c>
      <c r="BH60" s="113" t="s">
        <v>336</v>
      </c>
      <c r="BI60" s="113" t="s">
        <v>337</v>
      </c>
      <c r="BJ60" s="113" t="s">
        <v>338</v>
      </c>
      <c r="BK60" s="113" t="s">
        <v>339</v>
      </c>
      <c r="BL60" s="124"/>
      <c r="BM60" s="113" t="s">
        <v>333</v>
      </c>
      <c r="BN60" s="113" t="s">
        <v>334</v>
      </c>
      <c r="BO60" s="113" t="s">
        <v>335</v>
      </c>
      <c r="BP60" s="113" t="s">
        <v>336</v>
      </c>
      <c r="BQ60" s="113" t="s">
        <v>337</v>
      </c>
      <c r="BR60" s="113" t="s">
        <v>338</v>
      </c>
      <c r="BS60" s="113" t="s">
        <v>339</v>
      </c>
      <c r="BT60" s="124"/>
      <c r="BU60" s="113" t="s">
        <v>333</v>
      </c>
      <c r="BV60" s="113" t="s">
        <v>334</v>
      </c>
      <c r="BW60" s="113" t="s">
        <v>335</v>
      </c>
      <c r="BX60" s="113" t="s">
        <v>336</v>
      </c>
      <c r="BY60" s="113" t="s">
        <v>337</v>
      </c>
      <c r="BZ60" s="113" t="s">
        <v>338</v>
      </c>
      <c r="CA60" s="113" t="s">
        <v>339</v>
      </c>
      <c r="CB60" s="124"/>
      <c r="CC60" s="113" t="s">
        <v>333</v>
      </c>
      <c r="CD60" s="113" t="s">
        <v>334</v>
      </c>
      <c r="CE60" s="113" t="s">
        <v>335</v>
      </c>
      <c r="CF60" s="113" t="s">
        <v>336</v>
      </c>
      <c r="CG60" s="113" t="s">
        <v>337</v>
      </c>
      <c r="CH60" s="113" t="s">
        <v>338</v>
      </c>
      <c r="CI60" s="113" t="s">
        <v>339</v>
      </c>
    </row>
    <row r="61" s="104" customFormat="1" customHeight="1" spans="1:87">
      <c r="A61" s="113"/>
      <c r="B61" s="114"/>
      <c r="C61" s="113"/>
      <c r="D61" s="114"/>
      <c r="E61" s="114"/>
      <c r="F61" s="114">
        <f t="shared" ref="F61:F72" si="372">ROUND(D61*E61,2)</f>
        <v>0</v>
      </c>
      <c r="G61" s="113"/>
      <c r="H61" s="124"/>
      <c r="I61" s="113">
        <f t="shared" ref="I61:I72" si="373">A61</f>
        <v>0</v>
      </c>
      <c r="J61" s="114">
        <f t="shared" ref="J61:J72" si="374">B61</f>
        <v>0</v>
      </c>
      <c r="K61" s="113">
        <f t="shared" ref="K61:K72" si="375">C61</f>
        <v>0</v>
      </c>
      <c r="L61" s="114"/>
      <c r="M61" s="114">
        <f t="shared" ref="M61:S61" si="376">E61</f>
        <v>0</v>
      </c>
      <c r="N61" s="114">
        <f t="shared" ref="N61:N72" si="377">ROUND(L61*M61,2)</f>
        <v>0</v>
      </c>
      <c r="O61" s="113"/>
      <c r="P61" s="124"/>
      <c r="Q61" s="113">
        <f t="shared" si="376"/>
        <v>0</v>
      </c>
      <c r="R61" s="114">
        <f t="shared" si="376"/>
        <v>0</v>
      </c>
      <c r="S61" s="113">
        <f t="shared" si="376"/>
        <v>0</v>
      </c>
      <c r="T61" s="114"/>
      <c r="U61" s="114">
        <f t="shared" ref="U61:AA61" si="378">M61</f>
        <v>0</v>
      </c>
      <c r="V61" s="114">
        <f t="shared" ref="V61:V72" si="379">ROUND(T61*U61,2)</f>
        <v>0</v>
      </c>
      <c r="W61" s="113"/>
      <c r="X61" s="124"/>
      <c r="Y61" s="113">
        <f t="shared" si="378"/>
        <v>0</v>
      </c>
      <c r="Z61" s="114">
        <f t="shared" si="378"/>
        <v>0</v>
      </c>
      <c r="AA61" s="113">
        <f t="shared" si="378"/>
        <v>0</v>
      </c>
      <c r="AB61" s="114"/>
      <c r="AC61" s="114">
        <f t="shared" ref="AC61:AI61" si="380">U61</f>
        <v>0</v>
      </c>
      <c r="AD61" s="114">
        <f t="shared" ref="AD61:AD72" si="381">ROUND(AB61*AC61,2)</f>
        <v>0</v>
      </c>
      <c r="AE61" s="113"/>
      <c r="AF61" s="124"/>
      <c r="AG61" s="113">
        <f t="shared" si="380"/>
        <v>0</v>
      </c>
      <c r="AH61" s="114">
        <f t="shared" si="380"/>
        <v>0</v>
      </c>
      <c r="AI61" s="113">
        <f t="shared" si="380"/>
        <v>0</v>
      </c>
      <c r="AJ61" s="114"/>
      <c r="AK61" s="114">
        <f t="shared" ref="AK61:AQ61" si="382">AC61</f>
        <v>0</v>
      </c>
      <c r="AL61" s="114">
        <f t="shared" ref="AL61:AL72" si="383">ROUND(AJ61*AK61,2)</f>
        <v>0</v>
      </c>
      <c r="AM61" s="113"/>
      <c r="AN61" s="124"/>
      <c r="AO61" s="113">
        <f t="shared" si="382"/>
        <v>0</v>
      </c>
      <c r="AP61" s="114">
        <f t="shared" si="382"/>
        <v>0</v>
      </c>
      <c r="AQ61" s="113">
        <f t="shared" si="382"/>
        <v>0</v>
      </c>
      <c r="AR61" s="114"/>
      <c r="AS61" s="114">
        <f t="shared" ref="AS61:AY61" si="384">AK61</f>
        <v>0</v>
      </c>
      <c r="AT61" s="114">
        <f t="shared" ref="AT61:AT72" si="385">ROUND(AR61*AS61,2)</f>
        <v>0</v>
      </c>
      <c r="AU61" s="113"/>
      <c r="AV61" s="124"/>
      <c r="AW61" s="113">
        <f t="shared" si="384"/>
        <v>0</v>
      </c>
      <c r="AX61" s="114">
        <f t="shared" si="384"/>
        <v>0</v>
      </c>
      <c r="AY61" s="113">
        <f t="shared" si="384"/>
        <v>0</v>
      </c>
      <c r="AZ61" s="114"/>
      <c r="BA61" s="114">
        <f t="shared" ref="BA61:BG61" si="386">AS61</f>
        <v>0</v>
      </c>
      <c r="BB61" s="114">
        <f t="shared" ref="BB61:BB72" si="387">ROUND(AZ61*BA61,2)</f>
        <v>0</v>
      </c>
      <c r="BC61" s="113"/>
      <c r="BD61" s="124"/>
      <c r="BE61" s="113">
        <f t="shared" si="386"/>
        <v>0</v>
      </c>
      <c r="BF61" s="114">
        <f t="shared" si="386"/>
        <v>0</v>
      </c>
      <c r="BG61" s="113">
        <f t="shared" si="386"/>
        <v>0</v>
      </c>
      <c r="BH61" s="114"/>
      <c r="BI61" s="114">
        <f t="shared" ref="BI61:BO61" si="388">BA61</f>
        <v>0</v>
      </c>
      <c r="BJ61" s="114">
        <f t="shared" ref="BJ61:BJ72" si="389">ROUND(BH61*BI61,2)</f>
        <v>0</v>
      </c>
      <c r="BK61" s="113"/>
      <c r="BL61" s="124"/>
      <c r="BM61" s="113">
        <f t="shared" si="388"/>
        <v>0</v>
      </c>
      <c r="BN61" s="114">
        <f t="shared" si="388"/>
        <v>0</v>
      </c>
      <c r="BO61" s="113">
        <f t="shared" si="388"/>
        <v>0</v>
      </c>
      <c r="BP61" s="114"/>
      <c r="BQ61" s="114">
        <f t="shared" ref="BQ61:BW61" si="390">BI61</f>
        <v>0</v>
      </c>
      <c r="BR61" s="114">
        <f t="shared" ref="BR61:BR72" si="391">ROUND(BP61*BQ61,2)</f>
        <v>0</v>
      </c>
      <c r="BS61" s="113"/>
      <c r="BT61" s="124"/>
      <c r="BU61" s="113">
        <f t="shared" si="390"/>
        <v>0</v>
      </c>
      <c r="BV61" s="114">
        <f t="shared" si="390"/>
        <v>0</v>
      </c>
      <c r="BW61" s="113">
        <f t="shared" si="390"/>
        <v>0</v>
      </c>
      <c r="BX61" s="114"/>
      <c r="BY61" s="114">
        <f t="shared" ref="BY61:CE61" si="392">BQ61</f>
        <v>0</v>
      </c>
      <c r="BZ61" s="114">
        <f t="shared" ref="BZ61:BZ72" si="393">ROUND(BX61*BY61,2)</f>
        <v>0</v>
      </c>
      <c r="CA61" s="113"/>
      <c r="CB61" s="124"/>
      <c r="CC61" s="113">
        <f t="shared" si="392"/>
        <v>0</v>
      </c>
      <c r="CD61" s="114">
        <f t="shared" si="392"/>
        <v>0</v>
      </c>
      <c r="CE61" s="113">
        <f t="shared" si="392"/>
        <v>0</v>
      </c>
      <c r="CF61" s="114">
        <f t="shared" ref="CF61:CF72" si="394">D61-L61-T61-AB61-AJ61-AR61-AZ61-BH61-BP61-BX61</f>
        <v>0</v>
      </c>
      <c r="CG61" s="114">
        <f t="shared" ref="CG61:CG72" si="395">BY61</f>
        <v>0</v>
      </c>
      <c r="CH61" s="114">
        <f t="shared" ref="CH61:CH72" si="396">F61-N61-V61-AD61-AL61-AT61-BB61-BJ61-BR61-BZ61</f>
        <v>0</v>
      </c>
      <c r="CI61" s="113"/>
    </row>
    <row r="62" s="104" customFormat="1" customHeight="1" spans="1:87">
      <c r="A62" s="113"/>
      <c r="B62" s="114"/>
      <c r="C62" s="113"/>
      <c r="D62" s="114"/>
      <c r="E62" s="114"/>
      <c r="F62" s="114">
        <f t="shared" si="372"/>
        <v>0</v>
      </c>
      <c r="G62" s="113"/>
      <c r="H62" s="124"/>
      <c r="I62" s="113">
        <f t="shared" si="373"/>
        <v>0</v>
      </c>
      <c r="J62" s="114">
        <f t="shared" si="374"/>
        <v>0</v>
      </c>
      <c r="K62" s="113">
        <f t="shared" si="375"/>
        <v>0</v>
      </c>
      <c r="L62" s="114"/>
      <c r="M62" s="114">
        <f t="shared" ref="M62:S62" si="397">E62</f>
        <v>0</v>
      </c>
      <c r="N62" s="114">
        <f t="shared" si="377"/>
        <v>0</v>
      </c>
      <c r="O62" s="113"/>
      <c r="P62" s="124"/>
      <c r="Q62" s="113">
        <f t="shared" si="397"/>
        <v>0</v>
      </c>
      <c r="R62" s="114">
        <f t="shared" si="397"/>
        <v>0</v>
      </c>
      <c r="S62" s="113">
        <f t="shared" si="397"/>
        <v>0</v>
      </c>
      <c r="T62" s="114"/>
      <c r="U62" s="114">
        <f t="shared" ref="U62:AA62" si="398">M62</f>
        <v>0</v>
      </c>
      <c r="V62" s="114">
        <f t="shared" si="379"/>
        <v>0</v>
      </c>
      <c r="W62" s="113"/>
      <c r="X62" s="124"/>
      <c r="Y62" s="113">
        <f t="shared" si="398"/>
        <v>0</v>
      </c>
      <c r="Z62" s="114">
        <f t="shared" si="398"/>
        <v>0</v>
      </c>
      <c r="AA62" s="113">
        <f t="shared" si="398"/>
        <v>0</v>
      </c>
      <c r="AB62" s="114"/>
      <c r="AC62" s="114">
        <f t="shared" ref="AC62:AI62" si="399">U62</f>
        <v>0</v>
      </c>
      <c r="AD62" s="114">
        <f t="shared" si="381"/>
        <v>0</v>
      </c>
      <c r="AE62" s="113"/>
      <c r="AF62" s="124"/>
      <c r="AG62" s="113">
        <f t="shared" si="399"/>
        <v>0</v>
      </c>
      <c r="AH62" s="114">
        <f t="shared" si="399"/>
        <v>0</v>
      </c>
      <c r="AI62" s="113">
        <f t="shared" si="399"/>
        <v>0</v>
      </c>
      <c r="AJ62" s="114"/>
      <c r="AK62" s="114">
        <f t="shared" ref="AK62:AQ62" si="400">AC62</f>
        <v>0</v>
      </c>
      <c r="AL62" s="114">
        <f t="shared" si="383"/>
        <v>0</v>
      </c>
      <c r="AM62" s="113"/>
      <c r="AN62" s="124"/>
      <c r="AO62" s="113">
        <f t="shared" si="400"/>
        <v>0</v>
      </c>
      <c r="AP62" s="114">
        <f t="shared" si="400"/>
        <v>0</v>
      </c>
      <c r="AQ62" s="113">
        <f t="shared" si="400"/>
        <v>0</v>
      </c>
      <c r="AR62" s="114"/>
      <c r="AS62" s="114">
        <f t="shared" ref="AS62:AY62" si="401">AK62</f>
        <v>0</v>
      </c>
      <c r="AT62" s="114">
        <f t="shared" si="385"/>
        <v>0</v>
      </c>
      <c r="AU62" s="113"/>
      <c r="AV62" s="124"/>
      <c r="AW62" s="113">
        <f t="shared" si="401"/>
        <v>0</v>
      </c>
      <c r="AX62" s="114">
        <f t="shared" si="401"/>
        <v>0</v>
      </c>
      <c r="AY62" s="113">
        <f t="shared" si="401"/>
        <v>0</v>
      </c>
      <c r="AZ62" s="114"/>
      <c r="BA62" s="114">
        <f t="shared" ref="BA62:BG62" si="402">AS62</f>
        <v>0</v>
      </c>
      <c r="BB62" s="114">
        <f t="shared" si="387"/>
        <v>0</v>
      </c>
      <c r="BC62" s="113"/>
      <c r="BD62" s="124"/>
      <c r="BE62" s="113">
        <f t="shared" si="402"/>
        <v>0</v>
      </c>
      <c r="BF62" s="114">
        <f t="shared" si="402"/>
        <v>0</v>
      </c>
      <c r="BG62" s="113">
        <f t="shared" si="402"/>
        <v>0</v>
      </c>
      <c r="BH62" s="114"/>
      <c r="BI62" s="114">
        <f t="shared" ref="BI62:BO62" si="403">BA62</f>
        <v>0</v>
      </c>
      <c r="BJ62" s="114">
        <f t="shared" si="389"/>
        <v>0</v>
      </c>
      <c r="BK62" s="113"/>
      <c r="BL62" s="124"/>
      <c r="BM62" s="113">
        <f t="shared" si="403"/>
        <v>0</v>
      </c>
      <c r="BN62" s="114">
        <f t="shared" si="403"/>
        <v>0</v>
      </c>
      <c r="BO62" s="113">
        <f t="shared" si="403"/>
        <v>0</v>
      </c>
      <c r="BP62" s="114"/>
      <c r="BQ62" s="114">
        <f t="shared" ref="BQ62:BW62" si="404">BI62</f>
        <v>0</v>
      </c>
      <c r="BR62" s="114">
        <f t="shared" si="391"/>
        <v>0</v>
      </c>
      <c r="BS62" s="113"/>
      <c r="BT62" s="124"/>
      <c r="BU62" s="113">
        <f t="shared" si="404"/>
        <v>0</v>
      </c>
      <c r="BV62" s="114">
        <f t="shared" si="404"/>
        <v>0</v>
      </c>
      <c r="BW62" s="113">
        <f t="shared" si="404"/>
        <v>0</v>
      </c>
      <c r="BX62" s="114"/>
      <c r="BY62" s="114">
        <f t="shared" ref="BY62:CE62" si="405">BQ62</f>
        <v>0</v>
      </c>
      <c r="BZ62" s="114">
        <f t="shared" si="393"/>
        <v>0</v>
      </c>
      <c r="CA62" s="113"/>
      <c r="CB62" s="124"/>
      <c r="CC62" s="113">
        <f t="shared" si="405"/>
        <v>0</v>
      </c>
      <c r="CD62" s="114">
        <f t="shared" si="405"/>
        <v>0</v>
      </c>
      <c r="CE62" s="113">
        <f t="shared" si="405"/>
        <v>0</v>
      </c>
      <c r="CF62" s="114">
        <f t="shared" si="394"/>
        <v>0</v>
      </c>
      <c r="CG62" s="114">
        <f t="shared" si="395"/>
        <v>0</v>
      </c>
      <c r="CH62" s="114">
        <f t="shared" si="396"/>
        <v>0</v>
      </c>
      <c r="CI62" s="113"/>
    </row>
    <row r="63" s="104" customFormat="1" customHeight="1" spans="1:87">
      <c r="A63" s="113"/>
      <c r="B63" s="114"/>
      <c r="C63" s="113"/>
      <c r="D63" s="114"/>
      <c r="E63" s="114"/>
      <c r="F63" s="114">
        <f t="shared" si="372"/>
        <v>0</v>
      </c>
      <c r="G63" s="113"/>
      <c r="H63" s="124"/>
      <c r="I63" s="113">
        <f t="shared" si="373"/>
        <v>0</v>
      </c>
      <c r="J63" s="114">
        <f t="shared" si="374"/>
        <v>0</v>
      </c>
      <c r="K63" s="113">
        <f t="shared" si="375"/>
        <v>0</v>
      </c>
      <c r="L63" s="114"/>
      <c r="M63" s="114">
        <f t="shared" ref="M63:S63" si="406">E63</f>
        <v>0</v>
      </c>
      <c r="N63" s="114">
        <f t="shared" si="377"/>
        <v>0</v>
      </c>
      <c r="O63" s="113"/>
      <c r="P63" s="124"/>
      <c r="Q63" s="113">
        <f t="shared" si="406"/>
        <v>0</v>
      </c>
      <c r="R63" s="114">
        <f t="shared" si="406"/>
        <v>0</v>
      </c>
      <c r="S63" s="113">
        <f t="shared" si="406"/>
        <v>0</v>
      </c>
      <c r="T63" s="114"/>
      <c r="U63" s="114">
        <f t="shared" ref="U63:AA63" si="407">M63</f>
        <v>0</v>
      </c>
      <c r="V63" s="114">
        <f t="shared" si="379"/>
        <v>0</v>
      </c>
      <c r="W63" s="113"/>
      <c r="X63" s="124"/>
      <c r="Y63" s="113">
        <f t="shared" si="407"/>
        <v>0</v>
      </c>
      <c r="Z63" s="114">
        <f t="shared" si="407"/>
        <v>0</v>
      </c>
      <c r="AA63" s="113">
        <f t="shared" si="407"/>
        <v>0</v>
      </c>
      <c r="AB63" s="114"/>
      <c r="AC63" s="114">
        <f t="shared" ref="AC63:AI63" si="408">U63</f>
        <v>0</v>
      </c>
      <c r="AD63" s="114">
        <f t="shared" si="381"/>
        <v>0</v>
      </c>
      <c r="AE63" s="113"/>
      <c r="AF63" s="124"/>
      <c r="AG63" s="113">
        <f t="shared" si="408"/>
        <v>0</v>
      </c>
      <c r="AH63" s="114">
        <f t="shared" si="408"/>
        <v>0</v>
      </c>
      <c r="AI63" s="113">
        <f t="shared" si="408"/>
        <v>0</v>
      </c>
      <c r="AJ63" s="114"/>
      <c r="AK63" s="114">
        <f t="shared" ref="AK63:AQ63" si="409">AC63</f>
        <v>0</v>
      </c>
      <c r="AL63" s="114">
        <f t="shared" si="383"/>
        <v>0</v>
      </c>
      <c r="AM63" s="113"/>
      <c r="AN63" s="124"/>
      <c r="AO63" s="113">
        <f t="shared" si="409"/>
        <v>0</v>
      </c>
      <c r="AP63" s="114">
        <f t="shared" si="409"/>
        <v>0</v>
      </c>
      <c r="AQ63" s="113">
        <f t="shared" si="409"/>
        <v>0</v>
      </c>
      <c r="AR63" s="114"/>
      <c r="AS63" s="114">
        <f t="shared" ref="AS63:AY63" si="410">AK63</f>
        <v>0</v>
      </c>
      <c r="AT63" s="114">
        <f t="shared" si="385"/>
        <v>0</v>
      </c>
      <c r="AU63" s="113"/>
      <c r="AV63" s="124"/>
      <c r="AW63" s="113">
        <f t="shared" si="410"/>
        <v>0</v>
      </c>
      <c r="AX63" s="114">
        <f t="shared" si="410"/>
        <v>0</v>
      </c>
      <c r="AY63" s="113">
        <f t="shared" si="410"/>
        <v>0</v>
      </c>
      <c r="AZ63" s="114"/>
      <c r="BA63" s="114">
        <f t="shared" ref="BA63:BG63" si="411">AS63</f>
        <v>0</v>
      </c>
      <c r="BB63" s="114">
        <f t="shared" si="387"/>
        <v>0</v>
      </c>
      <c r="BC63" s="113"/>
      <c r="BD63" s="124"/>
      <c r="BE63" s="113">
        <f t="shared" si="411"/>
        <v>0</v>
      </c>
      <c r="BF63" s="114">
        <f t="shared" si="411"/>
        <v>0</v>
      </c>
      <c r="BG63" s="113">
        <f t="shared" si="411"/>
        <v>0</v>
      </c>
      <c r="BH63" s="114"/>
      <c r="BI63" s="114">
        <f t="shared" ref="BI63:BO63" si="412">BA63</f>
        <v>0</v>
      </c>
      <c r="BJ63" s="114">
        <f t="shared" si="389"/>
        <v>0</v>
      </c>
      <c r="BK63" s="113"/>
      <c r="BL63" s="124"/>
      <c r="BM63" s="113">
        <f t="shared" si="412"/>
        <v>0</v>
      </c>
      <c r="BN63" s="114">
        <f t="shared" si="412"/>
        <v>0</v>
      </c>
      <c r="BO63" s="113">
        <f t="shared" si="412"/>
        <v>0</v>
      </c>
      <c r="BP63" s="114"/>
      <c r="BQ63" s="114">
        <f t="shared" ref="BQ63:BW63" si="413">BI63</f>
        <v>0</v>
      </c>
      <c r="BR63" s="114">
        <f t="shared" si="391"/>
        <v>0</v>
      </c>
      <c r="BS63" s="113"/>
      <c r="BT63" s="124"/>
      <c r="BU63" s="113">
        <f t="shared" si="413"/>
        <v>0</v>
      </c>
      <c r="BV63" s="114">
        <f t="shared" si="413"/>
        <v>0</v>
      </c>
      <c r="BW63" s="113">
        <f t="shared" si="413"/>
        <v>0</v>
      </c>
      <c r="BX63" s="114"/>
      <c r="BY63" s="114">
        <f t="shared" ref="BY63:CE63" si="414">BQ63</f>
        <v>0</v>
      </c>
      <c r="BZ63" s="114">
        <f t="shared" si="393"/>
        <v>0</v>
      </c>
      <c r="CA63" s="113"/>
      <c r="CB63" s="124"/>
      <c r="CC63" s="113">
        <f t="shared" si="414"/>
        <v>0</v>
      </c>
      <c r="CD63" s="114">
        <f t="shared" si="414"/>
        <v>0</v>
      </c>
      <c r="CE63" s="113">
        <f t="shared" si="414"/>
        <v>0</v>
      </c>
      <c r="CF63" s="114">
        <f t="shared" si="394"/>
        <v>0</v>
      </c>
      <c r="CG63" s="114">
        <f t="shared" si="395"/>
        <v>0</v>
      </c>
      <c r="CH63" s="114">
        <f t="shared" si="396"/>
        <v>0</v>
      </c>
      <c r="CI63" s="113"/>
    </row>
    <row r="64" s="104" customFormat="1" customHeight="1" spans="1:87">
      <c r="A64" s="126"/>
      <c r="B64" s="114"/>
      <c r="C64" s="113"/>
      <c r="D64" s="114"/>
      <c r="E64" s="114"/>
      <c r="F64" s="114">
        <f t="shared" si="372"/>
        <v>0</v>
      </c>
      <c r="G64" s="113"/>
      <c r="H64" s="124"/>
      <c r="I64" s="113">
        <f t="shared" si="373"/>
        <v>0</v>
      </c>
      <c r="J64" s="114">
        <f t="shared" si="374"/>
        <v>0</v>
      </c>
      <c r="K64" s="113">
        <f t="shared" si="375"/>
        <v>0</v>
      </c>
      <c r="L64" s="114"/>
      <c r="M64" s="114">
        <f t="shared" ref="M64:S64" si="415">E64</f>
        <v>0</v>
      </c>
      <c r="N64" s="114">
        <f t="shared" si="377"/>
        <v>0</v>
      </c>
      <c r="O64" s="113"/>
      <c r="P64" s="124"/>
      <c r="Q64" s="113">
        <f t="shared" si="415"/>
        <v>0</v>
      </c>
      <c r="R64" s="114">
        <f t="shared" si="415"/>
        <v>0</v>
      </c>
      <c r="S64" s="113">
        <f t="shared" si="415"/>
        <v>0</v>
      </c>
      <c r="T64" s="114"/>
      <c r="U64" s="114">
        <f t="shared" ref="U64:AA64" si="416">M64</f>
        <v>0</v>
      </c>
      <c r="V64" s="114">
        <f t="shared" si="379"/>
        <v>0</v>
      </c>
      <c r="W64" s="113"/>
      <c r="X64" s="124"/>
      <c r="Y64" s="113">
        <f t="shared" si="416"/>
        <v>0</v>
      </c>
      <c r="Z64" s="114">
        <f t="shared" si="416"/>
        <v>0</v>
      </c>
      <c r="AA64" s="113">
        <f t="shared" si="416"/>
        <v>0</v>
      </c>
      <c r="AB64" s="114"/>
      <c r="AC64" s="114">
        <f t="shared" ref="AC64:AI64" si="417">U64</f>
        <v>0</v>
      </c>
      <c r="AD64" s="114">
        <f t="shared" si="381"/>
        <v>0</v>
      </c>
      <c r="AE64" s="113"/>
      <c r="AF64" s="124"/>
      <c r="AG64" s="113">
        <f t="shared" si="417"/>
        <v>0</v>
      </c>
      <c r="AH64" s="114">
        <f t="shared" si="417"/>
        <v>0</v>
      </c>
      <c r="AI64" s="113">
        <f t="shared" si="417"/>
        <v>0</v>
      </c>
      <c r="AJ64" s="114"/>
      <c r="AK64" s="114">
        <f t="shared" ref="AK64:AQ64" si="418">AC64</f>
        <v>0</v>
      </c>
      <c r="AL64" s="114">
        <f t="shared" si="383"/>
        <v>0</v>
      </c>
      <c r="AM64" s="113"/>
      <c r="AN64" s="124"/>
      <c r="AO64" s="113">
        <f t="shared" si="418"/>
        <v>0</v>
      </c>
      <c r="AP64" s="114">
        <f t="shared" si="418"/>
        <v>0</v>
      </c>
      <c r="AQ64" s="113">
        <f t="shared" si="418"/>
        <v>0</v>
      </c>
      <c r="AR64" s="114"/>
      <c r="AS64" s="114">
        <f t="shared" ref="AS64:AY64" si="419">AK64</f>
        <v>0</v>
      </c>
      <c r="AT64" s="114">
        <f t="shared" si="385"/>
        <v>0</v>
      </c>
      <c r="AU64" s="113"/>
      <c r="AV64" s="124"/>
      <c r="AW64" s="113">
        <f t="shared" si="419"/>
        <v>0</v>
      </c>
      <c r="AX64" s="114">
        <f t="shared" si="419"/>
        <v>0</v>
      </c>
      <c r="AY64" s="113">
        <f t="shared" si="419"/>
        <v>0</v>
      </c>
      <c r="AZ64" s="114"/>
      <c r="BA64" s="114">
        <f t="shared" ref="BA64:BG64" si="420">AS64</f>
        <v>0</v>
      </c>
      <c r="BB64" s="114">
        <f t="shared" si="387"/>
        <v>0</v>
      </c>
      <c r="BC64" s="113"/>
      <c r="BD64" s="124"/>
      <c r="BE64" s="113">
        <f t="shared" si="420"/>
        <v>0</v>
      </c>
      <c r="BF64" s="114">
        <f t="shared" si="420"/>
        <v>0</v>
      </c>
      <c r="BG64" s="113">
        <f t="shared" si="420"/>
        <v>0</v>
      </c>
      <c r="BH64" s="114"/>
      <c r="BI64" s="114">
        <f t="shared" ref="BI64:BO64" si="421">BA64</f>
        <v>0</v>
      </c>
      <c r="BJ64" s="114">
        <f t="shared" si="389"/>
        <v>0</v>
      </c>
      <c r="BK64" s="113"/>
      <c r="BL64" s="124"/>
      <c r="BM64" s="113">
        <f t="shared" si="421"/>
        <v>0</v>
      </c>
      <c r="BN64" s="114">
        <f t="shared" si="421"/>
        <v>0</v>
      </c>
      <c r="BO64" s="113">
        <f t="shared" si="421"/>
        <v>0</v>
      </c>
      <c r="BP64" s="114"/>
      <c r="BQ64" s="114">
        <f t="shared" ref="BQ64:BW64" si="422">BI64</f>
        <v>0</v>
      </c>
      <c r="BR64" s="114">
        <f t="shared" si="391"/>
        <v>0</v>
      </c>
      <c r="BS64" s="113"/>
      <c r="BT64" s="124"/>
      <c r="BU64" s="113">
        <f t="shared" si="422"/>
        <v>0</v>
      </c>
      <c r="BV64" s="114">
        <f t="shared" si="422"/>
        <v>0</v>
      </c>
      <c r="BW64" s="113">
        <f t="shared" si="422"/>
        <v>0</v>
      </c>
      <c r="BX64" s="114"/>
      <c r="BY64" s="114">
        <f t="shared" ref="BY64:CE64" si="423">BQ64</f>
        <v>0</v>
      </c>
      <c r="BZ64" s="114">
        <f t="shared" si="393"/>
        <v>0</v>
      </c>
      <c r="CA64" s="113"/>
      <c r="CB64" s="124"/>
      <c r="CC64" s="113">
        <f t="shared" si="423"/>
        <v>0</v>
      </c>
      <c r="CD64" s="114">
        <f t="shared" si="423"/>
        <v>0</v>
      </c>
      <c r="CE64" s="113">
        <f t="shared" si="423"/>
        <v>0</v>
      </c>
      <c r="CF64" s="114">
        <f t="shared" si="394"/>
        <v>0</v>
      </c>
      <c r="CG64" s="114">
        <f t="shared" si="395"/>
        <v>0</v>
      </c>
      <c r="CH64" s="114">
        <f t="shared" si="396"/>
        <v>0</v>
      </c>
      <c r="CI64" s="113"/>
    </row>
    <row r="65" s="104" customFormat="1" customHeight="1" spans="1:87">
      <c r="A65" s="126"/>
      <c r="B65" s="127"/>
      <c r="C65" s="126"/>
      <c r="D65" s="127"/>
      <c r="E65" s="127"/>
      <c r="F65" s="114">
        <f t="shared" si="372"/>
        <v>0</v>
      </c>
      <c r="G65" s="113"/>
      <c r="H65" s="124"/>
      <c r="I65" s="113">
        <f t="shared" si="373"/>
        <v>0</v>
      </c>
      <c r="J65" s="114">
        <f t="shared" si="374"/>
        <v>0</v>
      </c>
      <c r="K65" s="113">
        <f t="shared" si="375"/>
        <v>0</v>
      </c>
      <c r="L65" s="114"/>
      <c r="M65" s="114">
        <f t="shared" ref="M65:S65" si="424">E65</f>
        <v>0</v>
      </c>
      <c r="N65" s="114">
        <f t="shared" si="377"/>
        <v>0</v>
      </c>
      <c r="O65" s="113"/>
      <c r="P65" s="124"/>
      <c r="Q65" s="113">
        <f t="shared" si="424"/>
        <v>0</v>
      </c>
      <c r="R65" s="114">
        <f t="shared" si="424"/>
        <v>0</v>
      </c>
      <c r="S65" s="113">
        <f t="shared" si="424"/>
        <v>0</v>
      </c>
      <c r="T65" s="114"/>
      <c r="U65" s="114">
        <f t="shared" ref="U65:AA65" si="425">M65</f>
        <v>0</v>
      </c>
      <c r="V65" s="114">
        <f t="shared" si="379"/>
        <v>0</v>
      </c>
      <c r="W65" s="113"/>
      <c r="X65" s="124"/>
      <c r="Y65" s="113">
        <f t="shared" si="425"/>
        <v>0</v>
      </c>
      <c r="Z65" s="114">
        <f t="shared" si="425"/>
        <v>0</v>
      </c>
      <c r="AA65" s="113">
        <f t="shared" si="425"/>
        <v>0</v>
      </c>
      <c r="AB65" s="114"/>
      <c r="AC65" s="114">
        <f t="shared" ref="AC65:AI65" si="426">U65</f>
        <v>0</v>
      </c>
      <c r="AD65" s="114">
        <f t="shared" si="381"/>
        <v>0</v>
      </c>
      <c r="AE65" s="113"/>
      <c r="AF65" s="124"/>
      <c r="AG65" s="113">
        <f t="shared" si="426"/>
        <v>0</v>
      </c>
      <c r="AH65" s="114">
        <f t="shared" si="426"/>
        <v>0</v>
      </c>
      <c r="AI65" s="113">
        <f t="shared" si="426"/>
        <v>0</v>
      </c>
      <c r="AJ65" s="114"/>
      <c r="AK65" s="114">
        <f t="shared" ref="AK65:AQ65" si="427">AC65</f>
        <v>0</v>
      </c>
      <c r="AL65" s="114">
        <f t="shared" si="383"/>
        <v>0</v>
      </c>
      <c r="AM65" s="113"/>
      <c r="AN65" s="124"/>
      <c r="AO65" s="113">
        <f t="shared" si="427"/>
        <v>0</v>
      </c>
      <c r="AP65" s="114">
        <f t="shared" si="427"/>
        <v>0</v>
      </c>
      <c r="AQ65" s="113">
        <f t="shared" si="427"/>
        <v>0</v>
      </c>
      <c r="AR65" s="114"/>
      <c r="AS65" s="114">
        <f t="shared" ref="AS65:AY65" si="428">AK65</f>
        <v>0</v>
      </c>
      <c r="AT65" s="114">
        <f t="shared" si="385"/>
        <v>0</v>
      </c>
      <c r="AU65" s="113"/>
      <c r="AV65" s="124"/>
      <c r="AW65" s="113">
        <f t="shared" si="428"/>
        <v>0</v>
      </c>
      <c r="AX65" s="114">
        <f t="shared" si="428"/>
        <v>0</v>
      </c>
      <c r="AY65" s="113">
        <f t="shared" si="428"/>
        <v>0</v>
      </c>
      <c r="AZ65" s="114"/>
      <c r="BA65" s="114">
        <f t="shared" ref="BA65:BG65" si="429">AS65</f>
        <v>0</v>
      </c>
      <c r="BB65" s="114">
        <f t="shared" si="387"/>
        <v>0</v>
      </c>
      <c r="BC65" s="113"/>
      <c r="BD65" s="124"/>
      <c r="BE65" s="113">
        <f t="shared" si="429"/>
        <v>0</v>
      </c>
      <c r="BF65" s="114">
        <f t="shared" si="429"/>
        <v>0</v>
      </c>
      <c r="BG65" s="113">
        <f t="shared" si="429"/>
        <v>0</v>
      </c>
      <c r="BH65" s="114"/>
      <c r="BI65" s="114">
        <f t="shared" ref="BI65:BO65" si="430">BA65</f>
        <v>0</v>
      </c>
      <c r="BJ65" s="114">
        <f t="shared" si="389"/>
        <v>0</v>
      </c>
      <c r="BK65" s="113"/>
      <c r="BL65" s="124"/>
      <c r="BM65" s="113">
        <f t="shared" si="430"/>
        <v>0</v>
      </c>
      <c r="BN65" s="114">
        <f t="shared" si="430"/>
        <v>0</v>
      </c>
      <c r="BO65" s="113">
        <f t="shared" si="430"/>
        <v>0</v>
      </c>
      <c r="BP65" s="114"/>
      <c r="BQ65" s="114">
        <f t="shared" ref="BQ65:BW65" si="431">BI65</f>
        <v>0</v>
      </c>
      <c r="BR65" s="114">
        <f t="shared" si="391"/>
        <v>0</v>
      </c>
      <c r="BS65" s="113"/>
      <c r="BT65" s="124"/>
      <c r="BU65" s="113">
        <f t="shared" si="431"/>
        <v>0</v>
      </c>
      <c r="BV65" s="114">
        <f t="shared" si="431"/>
        <v>0</v>
      </c>
      <c r="BW65" s="113">
        <f t="shared" si="431"/>
        <v>0</v>
      </c>
      <c r="BX65" s="114"/>
      <c r="BY65" s="114">
        <f t="shared" ref="BY65:CE65" si="432">BQ65</f>
        <v>0</v>
      </c>
      <c r="BZ65" s="114">
        <f t="shared" si="393"/>
        <v>0</v>
      </c>
      <c r="CA65" s="113"/>
      <c r="CB65" s="124"/>
      <c r="CC65" s="113">
        <f t="shared" si="432"/>
        <v>0</v>
      </c>
      <c r="CD65" s="114">
        <f t="shared" si="432"/>
        <v>0</v>
      </c>
      <c r="CE65" s="113">
        <f t="shared" si="432"/>
        <v>0</v>
      </c>
      <c r="CF65" s="114">
        <f t="shared" si="394"/>
        <v>0</v>
      </c>
      <c r="CG65" s="114">
        <f t="shared" si="395"/>
        <v>0</v>
      </c>
      <c r="CH65" s="114">
        <f t="shared" si="396"/>
        <v>0</v>
      </c>
      <c r="CI65" s="113"/>
    </row>
    <row r="66" s="104" customFormat="1" customHeight="1" spans="1:87">
      <c r="A66" s="126"/>
      <c r="B66" s="127"/>
      <c r="C66" s="126"/>
      <c r="D66" s="127"/>
      <c r="E66" s="127"/>
      <c r="F66" s="114">
        <f t="shared" si="372"/>
        <v>0</v>
      </c>
      <c r="G66" s="113"/>
      <c r="H66" s="124"/>
      <c r="I66" s="113">
        <f t="shared" si="373"/>
        <v>0</v>
      </c>
      <c r="J66" s="114">
        <f t="shared" si="374"/>
        <v>0</v>
      </c>
      <c r="K66" s="113">
        <f t="shared" si="375"/>
        <v>0</v>
      </c>
      <c r="L66" s="114"/>
      <c r="M66" s="114">
        <f t="shared" ref="M66:S66" si="433">E66</f>
        <v>0</v>
      </c>
      <c r="N66" s="114">
        <f t="shared" si="377"/>
        <v>0</v>
      </c>
      <c r="O66" s="113"/>
      <c r="P66" s="124"/>
      <c r="Q66" s="113">
        <f t="shared" si="433"/>
        <v>0</v>
      </c>
      <c r="R66" s="114">
        <f t="shared" si="433"/>
        <v>0</v>
      </c>
      <c r="S66" s="113">
        <f t="shared" si="433"/>
        <v>0</v>
      </c>
      <c r="T66" s="114"/>
      <c r="U66" s="114">
        <f t="shared" ref="U66:AA66" si="434">M66</f>
        <v>0</v>
      </c>
      <c r="V66" s="114">
        <f t="shared" si="379"/>
        <v>0</v>
      </c>
      <c r="W66" s="113"/>
      <c r="X66" s="124"/>
      <c r="Y66" s="113">
        <f t="shared" si="434"/>
        <v>0</v>
      </c>
      <c r="Z66" s="114">
        <f t="shared" si="434"/>
        <v>0</v>
      </c>
      <c r="AA66" s="113">
        <f t="shared" si="434"/>
        <v>0</v>
      </c>
      <c r="AB66" s="114"/>
      <c r="AC66" s="114">
        <f t="shared" ref="AC66:AI66" si="435">U66</f>
        <v>0</v>
      </c>
      <c r="AD66" s="114">
        <f t="shared" si="381"/>
        <v>0</v>
      </c>
      <c r="AE66" s="113"/>
      <c r="AF66" s="124"/>
      <c r="AG66" s="113">
        <f t="shared" si="435"/>
        <v>0</v>
      </c>
      <c r="AH66" s="114">
        <f t="shared" si="435"/>
        <v>0</v>
      </c>
      <c r="AI66" s="113">
        <f t="shared" si="435"/>
        <v>0</v>
      </c>
      <c r="AJ66" s="114"/>
      <c r="AK66" s="114">
        <f t="shared" ref="AK66:AQ66" si="436">AC66</f>
        <v>0</v>
      </c>
      <c r="AL66" s="114">
        <f t="shared" si="383"/>
        <v>0</v>
      </c>
      <c r="AM66" s="113"/>
      <c r="AN66" s="124"/>
      <c r="AO66" s="113">
        <f t="shared" si="436"/>
        <v>0</v>
      </c>
      <c r="AP66" s="114">
        <f t="shared" si="436"/>
        <v>0</v>
      </c>
      <c r="AQ66" s="113">
        <f t="shared" si="436"/>
        <v>0</v>
      </c>
      <c r="AR66" s="114"/>
      <c r="AS66" s="114">
        <f t="shared" ref="AS66:AY66" si="437">AK66</f>
        <v>0</v>
      </c>
      <c r="AT66" s="114">
        <f t="shared" si="385"/>
        <v>0</v>
      </c>
      <c r="AU66" s="113"/>
      <c r="AV66" s="124"/>
      <c r="AW66" s="113">
        <f t="shared" si="437"/>
        <v>0</v>
      </c>
      <c r="AX66" s="114">
        <f t="shared" si="437"/>
        <v>0</v>
      </c>
      <c r="AY66" s="113">
        <f t="shared" si="437"/>
        <v>0</v>
      </c>
      <c r="AZ66" s="114"/>
      <c r="BA66" s="114">
        <f t="shared" ref="BA66:BG66" si="438">AS66</f>
        <v>0</v>
      </c>
      <c r="BB66" s="114">
        <f t="shared" si="387"/>
        <v>0</v>
      </c>
      <c r="BC66" s="113"/>
      <c r="BD66" s="124"/>
      <c r="BE66" s="113">
        <f t="shared" si="438"/>
        <v>0</v>
      </c>
      <c r="BF66" s="114">
        <f t="shared" si="438"/>
        <v>0</v>
      </c>
      <c r="BG66" s="113">
        <f t="shared" si="438"/>
        <v>0</v>
      </c>
      <c r="BH66" s="114"/>
      <c r="BI66" s="114">
        <f t="shared" ref="BI66:BO66" si="439">BA66</f>
        <v>0</v>
      </c>
      <c r="BJ66" s="114">
        <f t="shared" si="389"/>
        <v>0</v>
      </c>
      <c r="BK66" s="113"/>
      <c r="BL66" s="124"/>
      <c r="BM66" s="113">
        <f t="shared" si="439"/>
        <v>0</v>
      </c>
      <c r="BN66" s="114">
        <f t="shared" si="439"/>
        <v>0</v>
      </c>
      <c r="BO66" s="113">
        <f t="shared" si="439"/>
        <v>0</v>
      </c>
      <c r="BP66" s="114"/>
      <c r="BQ66" s="114">
        <f t="shared" ref="BQ66:BW66" si="440">BI66</f>
        <v>0</v>
      </c>
      <c r="BR66" s="114">
        <f t="shared" si="391"/>
        <v>0</v>
      </c>
      <c r="BS66" s="113"/>
      <c r="BT66" s="124"/>
      <c r="BU66" s="113">
        <f t="shared" si="440"/>
        <v>0</v>
      </c>
      <c r="BV66" s="114">
        <f t="shared" si="440"/>
        <v>0</v>
      </c>
      <c r="BW66" s="113">
        <f t="shared" si="440"/>
        <v>0</v>
      </c>
      <c r="BX66" s="114"/>
      <c r="BY66" s="114">
        <f t="shared" ref="BY66:CE66" si="441">BQ66</f>
        <v>0</v>
      </c>
      <c r="BZ66" s="114">
        <f t="shared" si="393"/>
        <v>0</v>
      </c>
      <c r="CA66" s="113"/>
      <c r="CB66" s="124"/>
      <c r="CC66" s="113">
        <f t="shared" si="441"/>
        <v>0</v>
      </c>
      <c r="CD66" s="114">
        <f t="shared" si="441"/>
        <v>0</v>
      </c>
      <c r="CE66" s="113">
        <f t="shared" si="441"/>
        <v>0</v>
      </c>
      <c r="CF66" s="114">
        <f t="shared" si="394"/>
        <v>0</v>
      </c>
      <c r="CG66" s="114">
        <f t="shared" si="395"/>
        <v>0</v>
      </c>
      <c r="CH66" s="114">
        <f t="shared" si="396"/>
        <v>0</v>
      </c>
      <c r="CI66" s="113"/>
    </row>
    <row r="67" s="104" customFormat="1" customHeight="1" spans="1:87">
      <c r="A67" s="126"/>
      <c r="B67" s="127"/>
      <c r="C67" s="126"/>
      <c r="D67" s="127"/>
      <c r="E67" s="127"/>
      <c r="F67" s="114">
        <f t="shared" si="372"/>
        <v>0</v>
      </c>
      <c r="G67" s="113"/>
      <c r="H67" s="124"/>
      <c r="I67" s="113">
        <f t="shared" si="373"/>
        <v>0</v>
      </c>
      <c r="J67" s="114">
        <f t="shared" si="374"/>
        <v>0</v>
      </c>
      <c r="K67" s="113">
        <f t="shared" si="375"/>
        <v>0</v>
      </c>
      <c r="L67" s="114"/>
      <c r="M67" s="114">
        <f t="shared" ref="M67:S67" si="442">E67</f>
        <v>0</v>
      </c>
      <c r="N67" s="114">
        <f t="shared" si="377"/>
        <v>0</v>
      </c>
      <c r="O67" s="113"/>
      <c r="P67" s="124"/>
      <c r="Q67" s="113">
        <f t="shared" si="442"/>
        <v>0</v>
      </c>
      <c r="R67" s="114">
        <f t="shared" si="442"/>
        <v>0</v>
      </c>
      <c r="S67" s="113">
        <f t="shared" si="442"/>
        <v>0</v>
      </c>
      <c r="T67" s="114"/>
      <c r="U67" s="114">
        <f t="shared" ref="U67:AA67" si="443">M67</f>
        <v>0</v>
      </c>
      <c r="V67" s="114">
        <f t="shared" si="379"/>
        <v>0</v>
      </c>
      <c r="W67" s="113"/>
      <c r="X67" s="124"/>
      <c r="Y67" s="113">
        <f t="shared" si="443"/>
        <v>0</v>
      </c>
      <c r="Z67" s="114">
        <f t="shared" si="443"/>
        <v>0</v>
      </c>
      <c r="AA67" s="113">
        <f t="shared" si="443"/>
        <v>0</v>
      </c>
      <c r="AB67" s="114"/>
      <c r="AC67" s="114">
        <f t="shared" ref="AC67:AI67" si="444">U67</f>
        <v>0</v>
      </c>
      <c r="AD67" s="114">
        <f t="shared" si="381"/>
        <v>0</v>
      </c>
      <c r="AE67" s="113"/>
      <c r="AF67" s="124"/>
      <c r="AG67" s="113">
        <f t="shared" si="444"/>
        <v>0</v>
      </c>
      <c r="AH67" s="114">
        <f t="shared" si="444"/>
        <v>0</v>
      </c>
      <c r="AI67" s="113">
        <f t="shared" si="444"/>
        <v>0</v>
      </c>
      <c r="AJ67" s="114"/>
      <c r="AK67" s="114">
        <f t="shared" ref="AK67:AQ67" si="445">AC67</f>
        <v>0</v>
      </c>
      <c r="AL67" s="114">
        <f t="shared" si="383"/>
        <v>0</v>
      </c>
      <c r="AM67" s="113"/>
      <c r="AN67" s="124"/>
      <c r="AO67" s="113">
        <f t="shared" si="445"/>
        <v>0</v>
      </c>
      <c r="AP67" s="114">
        <f t="shared" si="445"/>
        <v>0</v>
      </c>
      <c r="AQ67" s="113">
        <f t="shared" si="445"/>
        <v>0</v>
      </c>
      <c r="AR67" s="114"/>
      <c r="AS67" s="114">
        <f t="shared" ref="AS67:AY67" si="446">AK67</f>
        <v>0</v>
      </c>
      <c r="AT67" s="114">
        <f t="shared" si="385"/>
        <v>0</v>
      </c>
      <c r="AU67" s="113"/>
      <c r="AV67" s="124"/>
      <c r="AW67" s="113">
        <f t="shared" si="446"/>
        <v>0</v>
      </c>
      <c r="AX67" s="114">
        <f t="shared" si="446"/>
        <v>0</v>
      </c>
      <c r="AY67" s="113">
        <f t="shared" si="446"/>
        <v>0</v>
      </c>
      <c r="AZ67" s="114"/>
      <c r="BA67" s="114">
        <f t="shared" ref="BA67:BG67" si="447">AS67</f>
        <v>0</v>
      </c>
      <c r="BB67" s="114">
        <f t="shared" si="387"/>
        <v>0</v>
      </c>
      <c r="BC67" s="113"/>
      <c r="BD67" s="124"/>
      <c r="BE67" s="113">
        <f t="shared" si="447"/>
        <v>0</v>
      </c>
      <c r="BF67" s="114">
        <f t="shared" si="447"/>
        <v>0</v>
      </c>
      <c r="BG67" s="113">
        <f t="shared" si="447"/>
        <v>0</v>
      </c>
      <c r="BH67" s="114"/>
      <c r="BI67" s="114">
        <f t="shared" ref="BI67:BO67" si="448">BA67</f>
        <v>0</v>
      </c>
      <c r="BJ67" s="114">
        <f t="shared" si="389"/>
        <v>0</v>
      </c>
      <c r="BK67" s="113"/>
      <c r="BL67" s="124"/>
      <c r="BM67" s="113">
        <f t="shared" si="448"/>
        <v>0</v>
      </c>
      <c r="BN67" s="114">
        <f t="shared" si="448"/>
        <v>0</v>
      </c>
      <c r="BO67" s="113">
        <f t="shared" si="448"/>
        <v>0</v>
      </c>
      <c r="BP67" s="114"/>
      <c r="BQ67" s="114">
        <f t="shared" ref="BQ67:BW67" si="449">BI67</f>
        <v>0</v>
      </c>
      <c r="BR67" s="114">
        <f t="shared" si="391"/>
        <v>0</v>
      </c>
      <c r="BS67" s="113"/>
      <c r="BT67" s="124"/>
      <c r="BU67" s="113">
        <f t="shared" si="449"/>
        <v>0</v>
      </c>
      <c r="BV67" s="114">
        <f t="shared" si="449"/>
        <v>0</v>
      </c>
      <c r="BW67" s="113">
        <f t="shared" si="449"/>
        <v>0</v>
      </c>
      <c r="BX67" s="114"/>
      <c r="BY67" s="114">
        <f t="shared" ref="BY67:CE67" si="450">BQ67</f>
        <v>0</v>
      </c>
      <c r="BZ67" s="114">
        <f t="shared" si="393"/>
        <v>0</v>
      </c>
      <c r="CA67" s="113"/>
      <c r="CB67" s="124"/>
      <c r="CC67" s="113">
        <f t="shared" si="450"/>
        <v>0</v>
      </c>
      <c r="CD67" s="114">
        <f t="shared" si="450"/>
        <v>0</v>
      </c>
      <c r="CE67" s="113">
        <f t="shared" si="450"/>
        <v>0</v>
      </c>
      <c r="CF67" s="114">
        <f t="shared" si="394"/>
        <v>0</v>
      </c>
      <c r="CG67" s="114">
        <f t="shared" si="395"/>
        <v>0</v>
      </c>
      <c r="CH67" s="114">
        <f t="shared" si="396"/>
        <v>0</v>
      </c>
      <c r="CI67" s="113"/>
    </row>
    <row r="68" s="104" customFormat="1" customHeight="1" spans="1:87">
      <c r="A68" s="126"/>
      <c r="B68" s="127"/>
      <c r="C68" s="126"/>
      <c r="D68" s="127"/>
      <c r="E68" s="127"/>
      <c r="F68" s="114">
        <f t="shared" si="372"/>
        <v>0</v>
      </c>
      <c r="G68" s="113"/>
      <c r="H68" s="124"/>
      <c r="I68" s="113">
        <f t="shared" si="373"/>
        <v>0</v>
      </c>
      <c r="J68" s="114">
        <f t="shared" si="374"/>
        <v>0</v>
      </c>
      <c r="K68" s="113">
        <f t="shared" si="375"/>
        <v>0</v>
      </c>
      <c r="L68" s="114"/>
      <c r="M68" s="114">
        <f t="shared" ref="M68:S68" si="451">E68</f>
        <v>0</v>
      </c>
      <c r="N68" s="114">
        <f t="shared" si="377"/>
        <v>0</v>
      </c>
      <c r="O68" s="113"/>
      <c r="P68" s="124"/>
      <c r="Q68" s="113">
        <f t="shared" si="451"/>
        <v>0</v>
      </c>
      <c r="R68" s="114">
        <f t="shared" si="451"/>
        <v>0</v>
      </c>
      <c r="S68" s="113">
        <f t="shared" si="451"/>
        <v>0</v>
      </c>
      <c r="T68" s="114"/>
      <c r="U68" s="114">
        <f t="shared" ref="U68:AA68" si="452">M68</f>
        <v>0</v>
      </c>
      <c r="V68" s="114">
        <f t="shared" si="379"/>
        <v>0</v>
      </c>
      <c r="W68" s="113"/>
      <c r="X68" s="124"/>
      <c r="Y68" s="113">
        <f t="shared" si="452"/>
        <v>0</v>
      </c>
      <c r="Z68" s="114">
        <f t="shared" si="452"/>
        <v>0</v>
      </c>
      <c r="AA68" s="113">
        <f t="shared" si="452"/>
        <v>0</v>
      </c>
      <c r="AB68" s="114"/>
      <c r="AC68" s="114">
        <f t="shared" ref="AC68:AI68" si="453">U68</f>
        <v>0</v>
      </c>
      <c r="AD68" s="114">
        <f t="shared" si="381"/>
        <v>0</v>
      </c>
      <c r="AE68" s="113"/>
      <c r="AF68" s="124"/>
      <c r="AG68" s="113">
        <f t="shared" si="453"/>
        <v>0</v>
      </c>
      <c r="AH68" s="114">
        <f t="shared" si="453"/>
        <v>0</v>
      </c>
      <c r="AI68" s="113">
        <f t="shared" si="453"/>
        <v>0</v>
      </c>
      <c r="AJ68" s="114"/>
      <c r="AK68" s="114">
        <f t="shared" ref="AK68:AQ68" si="454">AC68</f>
        <v>0</v>
      </c>
      <c r="AL68" s="114">
        <f t="shared" si="383"/>
        <v>0</v>
      </c>
      <c r="AM68" s="113"/>
      <c r="AN68" s="124"/>
      <c r="AO68" s="113">
        <f t="shared" si="454"/>
        <v>0</v>
      </c>
      <c r="AP68" s="114">
        <f t="shared" si="454"/>
        <v>0</v>
      </c>
      <c r="AQ68" s="113">
        <f t="shared" si="454"/>
        <v>0</v>
      </c>
      <c r="AR68" s="114"/>
      <c r="AS68" s="114">
        <f t="shared" ref="AS68:AY68" si="455">AK68</f>
        <v>0</v>
      </c>
      <c r="AT68" s="114">
        <f t="shared" si="385"/>
        <v>0</v>
      </c>
      <c r="AU68" s="113"/>
      <c r="AV68" s="124"/>
      <c r="AW68" s="113">
        <f t="shared" si="455"/>
        <v>0</v>
      </c>
      <c r="AX68" s="114">
        <f t="shared" si="455"/>
        <v>0</v>
      </c>
      <c r="AY68" s="113">
        <f t="shared" si="455"/>
        <v>0</v>
      </c>
      <c r="AZ68" s="114"/>
      <c r="BA68" s="114">
        <f t="shared" ref="BA68:BG68" si="456">AS68</f>
        <v>0</v>
      </c>
      <c r="BB68" s="114">
        <f t="shared" si="387"/>
        <v>0</v>
      </c>
      <c r="BC68" s="113"/>
      <c r="BD68" s="124"/>
      <c r="BE68" s="113">
        <f t="shared" si="456"/>
        <v>0</v>
      </c>
      <c r="BF68" s="114">
        <f t="shared" si="456"/>
        <v>0</v>
      </c>
      <c r="BG68" s="113">
        <f t="shared" si="456"/>
        <v>0</v>
      </c>
      <c r="BH68" s="114"/>
      <c r="BI68" s="114">
        <f t="shared" ref="BI68:BO68" si="457">BA68</f>
        <v>0</v>
      </c>
      <c r="BJ68" s="114">
        <f t="shared" si="389"/>
        <v>0</v>
      </c>
      <c r="BK68" s="113"/>
      <c r="BL68" s="124"/>
      <c r="BM68" s="113">
        <f t="shared" si="457"/>
        <v>0</v>
      </c>
      <c r="BN68" s="114">
        <f t="shared" si="457"/>
        <v>0</v>
      </c>
      <c r="BO68" s="113">
        <f t="shared" si="457"/>
        <v>0</v>
      </c>
      <c r="BP68" s="114"/>
      <c r="BQ68" s="114">
        <f t="shared" ref="BQ68:BW68" si="458">BI68</f>
        <v>0</v>
      </c>
      <c r="BR68" s="114">
        <f t="shared" si="391"/>
        <v>0</v>
      </c>
      <c r="BS68" s="113"/>
      <c r="BT68" s="124"/>
      <c r="BU68" s="113">
        <f t="shared" si="458"/>
        <v>0</v>
      </c>
      <c r="BV68" s="114">
        <f t="shared" si="458"/>
        <v>0</v>
      </c>
      <c r="BW68" s="113">
        <f t="shared" si="458"/>
        <v>0</v>
      </c>
      <c r="BX68" s="114"/>
      <c r="BY68" s="114">
        <f t="shared" ref="BY68:CE68" si="459">BQ68</f>
        <v>0</v>
      </c>
      <c r="BZ68" s="114">
        <f t="shared" si="393"/>
        <v>0</v>
      </c>
      <c r="CA68" s="113"/>
      <c r="CB68" s="124"/>
      <c r="CC68" s="113">
        <f t="shared" si="459"/>
        <v>0</v>
      </c>
      <c r="CD68" s="114">
        <f t="shared" si="459"/>
        <v>0</v>
      </c>
      <c r="CE68" s="113">
        <f t="shared" si="459"/>
        <v>0</v>
      </c>
      <c r="CF68" s="114">
        <f t="shared" si="394"/>
        <v>0</v>
      </c>
      <c r="CG68" s="114">
        <f t="shared" si="395"/>
        <v>0</v>
      </c>
      <c r="CH68" s="114">
        <f t="shared" si="396"/>
        <v>0</v>
      </c>
      <c r="CI68" s="113"/>
    </row>
    <row r="69" s="104" customFormat="1" customHeight="1" spans="1:87">
      <c r="A69" s="126"/>
      <c r="B69" s="127"/>
      <c r="C69" s="126"/>
      <c r="D69" s="127"/>
      <c r="E69" s="127"/>
      <c r="F69" s="114">
        <f t="shared" si="372"/>
        <v>0</v>
      </c>
      <c r="G69" s="113"/>
      <c r="H69" s="124"/>
      <c r="I69" s="113">
        <f t="shared" si="373"/>
        <v>0</v>
      </c>
      <c r="J69" s="114">
        <f t="shared" si="374"/>
        <v>0</v>
      </c>
      <c r="K69" s="113">
        <f t="shared" si="375"/>
        <v>0</v>
      </c>
      <c r="L69" s="114"/>
      <c r="M69" s="114">
        <f t="shared" ref="M69:S69" si="460">E69</f>
        <v>0</v>
      </c>
      <c r="N69" s="114">
        <f t="shared" si="377"/>
        <v>0</v>
      </c>
      <c r="O69" s="113"/>
      <c r="P69" s="124"/>
      <c r="Q69" s="113">
        <f t="shared" si="460"/>
        <v>0</v>
      </c>
      <c r="R69" s="114">
        <f t="shared" si="460"/>
        <v>0</v>
      </c>
      <c r="S69" s="113">
        <f t="shared" si="460"/>
        <v>0</v>
      </c>
      <c r="T69" s="114"/>
      <c r="U69" s="114">
        <f t="shared" ref="U69:AA69" si="461">M69</f>
        <v>0</v>
      </c>
      <c r="V69" s="114">
        <f t="shared" si="379"/>
        <v>0</v>
      </c>
      <c r="W69" s="113"/>
      <c r="X69" s="124"/>
      <c r="Y69" s="113">
        <f t="shared" si="461"/>
        <v>0</v>
      </c>
      <c r="Z69" s="114">
        <f t="shared" si="461"/>
        <v>0</v>
      </c>
      <c r="AA69" s="113">
        <f t="shared" si="461"/>
        <v>0</v>
      </c>
      <c r="AB69" s="114"/>
      <c r="AC69" s="114">
        <f t="shared" ref="AC69:AI69" si="462">U69</f>
        <v>0</v>
      </c>
      <c r="AD69" s="114">
        <f t="shared" si="381"/>
        <v>0</v>
      </c>
      <c r="AE69" s="113"/>
      <c r="AF69" s="124"/>
      <c r="AG69" s="113">
        <f t="shared" si="462"/>
        <v>0</v>
      </c>
      <c r="AH69" s="114">
        <f t="shared" si="462"/>
        <v>0</v>
      </c>
      <c r="AI69" s="113">
        <f t="shared" si="462"/>
        <v>0</v>
      </c>
      <c r="AJ69" s="114"/>
      <c r="AK69" s="114">
        <f t="shared" ref="AK69:AQ69" si="463">AC69</f>
        <v>0</v>
      </c>
      <c r="AL69" s="114">
        <f t="shared" si="383"/>
        <v>0</v>
      </c>
      <c r="AM69" s="113"/>
      <c r="AN69" s="124"/>
      <c r="AO69" s="113">
        <f t="shared" si="463"/>
        <v>0</v>
      </c>
      <c r="AP69" s="114">
        <f t="shared" si="463"/>
        <v>0</v>
      </c>
      <c r="AQ69" s="113">
        <f t="shared" si="463"/>
        <v>0</v>
      </c>
      <c r="AR69" s="114"/>
      <c r="AS69" s="114">
        <f t="shared" ref="AS69:AY69" si="464">AK69</f>
        <v>0</v>
      </c>
      <c r="AT69" s="114">
        <f t="shared" si="385"/>
        <v>0</v>
      </c>
      <c r="AU69" s="113"/>
      <c r="AV69" s="124"/>
      <c r="AW69" s="113">
        <f t="shared" si="464"/>
        <v>0</v>
      </c>
      <c r="AX69" s="114">
        <f t="shared" si="464"/>
        <v>0</v>
      </c>
      <c r="AY69" s="113">
        <f t="shared" si="464"/>
        <v>0</v>
      </c>
      <c r="AZ69" s="114"/>
      <c r="BA69" s="114">
        <f t="shared" ref="BA69:BG69" si="465">AS69</f>
        <v>0</v>
      </c>
      <c r="BB69" s="114">
        <f t="shared" si="387"/>
        <v>0</v>
      </c>
      <c r="BC69" s="113"/>
      <c r="BD69" s="124"/>
      <c r="BE69" s="113">
        <f t="shared" si="465"/>
        <v>0</v>
      </c>
      <c r="BF69" s="114">
        <f t="shared" si="465"/>
        <v>0</v>
      </c>
      <c r="BG69" s="113">
        <f t="shared" si="465"/>
        <v>0</v>
      </c>
      <c r="BH69" s="114"/>
      <c r="BI69" s="114">
        <f t="shared" ref="BI69:BO69" si="466">BA69</f>
        <v>0</v>
      </c>
      <c r="BJ69" s="114">
        <f t="shared" si="389"/>
        <v>0</v>
      </c>
      <c r="BK69" s="113"/>
      <c r="BL69" s="124"/>
      <c r="BM69" s="113">
        <f t="shared" si="466"/>
        <v>0</v>
      </c>
      <c r="BN69" s="114">
        <f t="shared" si="466"/>
        <v>0</v>
      </c>
      <c r="BO69" s="113">
        <f t="shared" si="466"/>
        <v>0</v>
      </c>
      <c r="BP69" s="114"/>
      <c r="BQ69" s="114">
        <f t="shared" ref="BQ69:BW69" si="467">BI69</f>
        <v>0</v>
      </c>
      <c r="BR69" s="114">
        <f t="shared" si="391"/>
        <v>0</v>
      </c>
      <c r="BS69" s="113"/>
      <c r="BT69" s="124"/>
      <c r="BU69" s="113">
        <f t="shared" si="467"/>
        <v>0</v>
      </c>
      <c r="BV69" s="114">
        <f t="shared" si="467"/>
        <v>0</v>
      </c>
      <c r="BW69" s="113">
        <f t="shared" si="467"/>
        <v>0</v>
      </c>
      <c r="BX69" s="114"/>
      <c r="BY69" s="114">
        <f t="shared" ref="BY69:CE69" si="468">BQ69</f>
        <v>0</v>
      </c>
      <c r="BZ69" s="114">
        <f t="shared" si="393"/>
        <v>0</v>
      </c>
      <c r="CA69" s="113"/>
      <c r="CB69" s="124"/>
      <c r="CC69" s="113">
        <f t="shared" si="468"/>
        <v>0</v>
      </c>
      <c r="CD69" s="114">
        <f t="shared" si="468"/>
        <v>0</v>
      </c>
      <c r="CE69" s="113">
        <f t="shared" si="468"/>
        <v>0</v>
      </c>
      <c r="CF69" s="114">
        <f t="shared" si="394"/>
        <v>0</v>
      </c>
      <c r="CG69" s="114">
        <f t="shared" si="395"/>
        <v>0</v>
      </c>
      <c r="CH69" s="114">
        <f t="shared" si="396"/>
        <v>0</v>
      </c>
      <c r="CI69" s="113"/>
    </row>
    <row r="70" s="104" customFormat="1" customHeight="1" spans="1:87">
      <c r="A70" s="113"/>
      <c r="B70" s="114"/>
      <c r="C70" s="113"/>
      <c r="D70" s="114"/>
      <c r="E70" s="114"/>
      <c r="F70" s="114">
        <f t="shared" si="372"/>
        <v>0</v>
      </c>
      <c r="G70" s="113"/>
      <c r="H70" s="124"/>
      <c r="I70" s="113">
        <f t="shared" si="373"/>
        <v>0</v>
      </c>
      <c r="J70" s="114">
        <f t="shared" si="374"/>
        <v>0</v>
      </c>
      <c r="K70" s="113">
        <f t="shared" si="375"/>
        <v>0</v>
      </c>
      <c r="L70" s="114"/>
      <c r="M70" s="114">
        <f t="shared" ref="M70:S70" si="469">E70</f>
        <v>0</v>
      </c>
      <c r="N70" s="114">
        <f t="shared" si="377"/>
        <v>0</v>
      </c>
      <c r="O70" s="113"/>
      <c r="P70" s="124"/>
      <c r="Q70" s="113">
        <f t="shared" si="469"/>
        <v>0</v>
      </c>
      <c r="R70" s="114">
        <f t="shared" si="469"/>
        <v>0</v>
      </c>
      <c r="S70" s="113">
        <f t="shared" si="469"/>
        <v>0</v>
      </c>
      <c r="T70" s="114"/>
      <c r="U70" s="114">
        <f t="shared" ref="U70:AA70" si="470">M70</f>
        <v>0</v>
      </c>
      <c r="V70" s="114">
        <f t="shared" si="379"/>
        <v>0</v>
      </c>
      <c r="W70" s="113"/>
      <c r="X70" s="124"/>
      <c r="Y70" s="113">
        <f t="shared" si="470"/>
        <v>0</v>
      </c>
      <c r="Z70" s="114">
        <f t="shared" si="470"/>
        <v>0</v>
      </c>
      <c r="AA70" s="113">
        <f t="shared" si="470"/>
        <v>0</v>
      </c>
      <c r="AB70" s="114"/>
      <c r="AC70" s="114">
        <f t="shared" ref="AC70:AI70" si="471">U70</f>
        <v>0</v>
      </c>
      <c r="AD70" s="114">
        <f t="shared" si="381"/>
        <v>0</v>
      </c>
      <c r="AE70" s="113"/>
      <c r="AF70" s="124"/>
      <c r="AG70" s="113">
        <f t="shared" si="471"/>
        <v>0</v>
      </c>
      <c r="AH70" s="114">
        <f t="shared" si="471"/>
        <v>0</v>
      </c>
      <c r="AI70" s="113">
        <f t="shared" si="471"/>
        <v>0</v>
      </c>
      <c r="AJ70" s="114"/>
      <c r="AK70" s="114">
        <f t="shared" ref="AK70:AQ70" si="472">AC70</f>
        <v>0</v>
      </c>
      <c r="AL70" s="114">
        <f t="shared" si="383"/>
        <v>0</v>
      </c>
      <c r="AM70" s="113"/>
      <c r="AN70" s="124"/>
      <c r="AO70" s="113">
        <f t="shared" si="472"/>
        <v>0</v>
      </c>
      <c r="AP70" s="114">
        <f t="shared" si="472"/>
        <v>0</v>
      </c>
      <c r="AQ70" s="113">
        <f t="shared" si="472"/>
        <v>0</v>
      </c>
      <c r="AR70" s="114"/>
      <c r="AS70" s="114">
        <f t="shared" ref="AS70:AY70" si="473">AK70</f>
        <v>0</v>
      </c>
      <c r="AT70" s="114">
        <f t="shared" si="385"/>
        <v>0</v>
      </c>
      <c r="AU70" s="113"/>
      <c r="AV70" s="124"/>
      <c r="AW70" s="113">
        <f t="shared" si="473"/>
        <v>0</v>
      </c>
      <c r="AX70" s="114">
        <f t="shared" si="473"/>
        <v>0</v>
      </c>
      <c r="AY70" s="113">
        <f t="shared" si="473"/>
        <v>0</v>
      </c>
      <c r="AZ70" s="114"/>
      <c r="BA70" s="114">
        <f t="shared" ref="BA70:BG70" si="474">AS70</f>
        <v>0</v>
      </c>
      <c r="BB70" s="114">
        <f t="shared" si="387"/>
        <v>0</v>
      </c>
      <c r="BC70" s="113"/>
      <c r="BD70" s="124"/>
      <c r="BE70" s="113">
        <f t="shared" si="474"/>
        <v>0</v>
      </c>
      <c r="BF70" s="114">
        <f t="shared" si="474"/>
        <v>0</v>
      </c>
      <c r="BG70" s="113">
        <f t="shared" si="474"/>
        <v>0</v>
      </c>
      <c r="BH70" s="114"/>
      <c r="BI70" s="114">
        <f t="shared" ref="BI70:BO70" si="475">BA70</f>
        <v>0</v>
      </c>
      <c r="BJ70" s="114">
        <f t="shared" si="389"/>
        <v>0</v>
      </c>
      <c r="BK70" s="113"/>
      <c r="BL70" s="124"/>
      <c r="BM70" s="113">
        <f t="shared" si="475"/>
        <v>0</v>
      </c>
      <c r="BN70" s="114">
        <f t="shared" si="475"/>
        <v>0</v>
      </c>
      <c r="BO70" s="113">
        <f t="shared" si="475"/>
        <v>0</v>
      </c>
      <c r="BP70" s="114"/>
      <c r="BQ70" s="114">
        <f t="shared" ref="BQ70:BW70" si="476">BI70</f>
        <v>0</v>
      </c>
      <c r="BR70" s="114">
        <f t="shared" si="391"/>
        <v>0</v>
      </c>
      <c r="BS70" s="113"/>
      <c r="BT70" s="124"/>
      <c r="BU70" s="113">
        <f t="shared" si="476"/>
        <v>0</v>
      </c>
      <c r="BV70" s="114">
        <f t="shared" si="476"/>
        <v>0</v>
      </c>
      <c r="BW70" s="113">
        <f t="shared" si="476"/>
        <v>0</v>
      </c>
      <c r="BX70" s="114"/>
      <c r="BY70" s="114">
        <f t="shared" ref="BY70:CE70" si="477">BQ70</f>
        <v>0</v>
      </c>
      <c r="BZ70" s="114">
        <f t="shared" si="393"/>
        <v>0</v>
      </c>
      <c r="CA70" s="113"/>
      <c r="CB70" s="124"/>
      <c r="CC70" s="113">
        <f t="shared" si="477"/>
        <v>0</v>
      </c>
      <c r="CD70" s="114">
        <f t="shared" si="477"/>
        <v>0</v>
      </c>
      <c r="CE70" s="113">
        <f t="shared" si="477"/>
        <v>0</v>
      </c>
      <c r="CF70" s="114">
        <f t="shared" si="394"/>
        <v>0</v>
      </c>
      <c r="CG70" s="114">
        <f t="shared" si="395"/>
        <v>0</v>
      </c>
      <c r="CH70" s="114">
        <f t="shared" si="396"/>
        <v>0</v>
      </c>
      <c r="CI70" s="113"/>
    </row>
    <row r="71" s="104" customFormat="1" customHeight="1" spans="1:87">
      <c r="A71" s="113"/>
      <c r="B71" s="114"/>
      <c r="C71" s="113"/>
      <c r="D71" s="114"/>
      <c r="E71" s="114"/>
      <c r="F71" s="114">
        <f t="shared" si="372"/>
        <v>0</v>
      </c>
      <c r="G71" s="113"/>
      <c r="H71" s="124"/>
      <c r="I71" s="113">
        <f t="shared" si="373"/>
        <v>0</v>
      </c>
      <c r="J71" s="114">
        <f t="shared" si="374"/>
        <v>0</v>
      </c>
      <c r="K71" s="113">
        <f t="shared" si="375"/>
        <v>0</v>
      </c>
      <c r="L71" s="114"/>
      <c r="M71" s="114">
        <f t="shared" ref="M71:S71" si="478">E71</f>
        <v>0</v>
      </c>
      <c r="N71" s="114">
        <f t="shared" si="377"/>
        <v>0</v>
      </c>
      <c r="O71" s="113"/>
      <c r="P71" s="124"/>
      <c r="Q71" s="113">
        <f t="shared" si="478"/>
        <v>0</v>
      </c>
      <c r="R71" s="114">
        <f t="shared" si="478"/>
        <v>0</v>
      </c>
      <c r="S71" s="113">
        <f t="shared" si="478"/>
        <v>0</v>
      </c>
      <c r="T71" s="114"/>
      <c r="U71" s="114">
        <f t="shared" ref="U71:AA71" si="479">M71</f>
        <v>0</v>
      </c>
      <c r="V71" s="114">
        <f t="shared" si="379"/>
        <v>0</v>
      </c>
      <c r="W71" s="113"/>
      <c r="X71" s="124"/>
      <c r="Y71" s="113">
        <f t="shared" si="479"/>
        <v>0</v>
      </c>
      <c r="Z71" s="114">
        <f t="shared" si="479"/>
        <v>0</v>
      </c>
      <c r="AA71" s="113">
        <f t="shared" si="479"/>
        <v>0</v>
      </c>
      <c r="AB71" s="114"/>
      <c r="AC71" s="114">
        <f t="shared" ref="AC71:AI71" si="480">U71</f>
        <v>0</v>
      </c>
      <c r="AD71" s="114">
        <f t="shared" si="381"/>
        <v>0</v>
      </c>
      <c r="AE71" s="113"/>
      <c r="AF71" s="124"/>
      <c r="AG71" s="113">
        <f t="shared" si="480"/>
        <v>0</v>
      </c>
      <c r="AH71" s="114">
        <f t="shared" si="480"/>
        <v>0</v>
      </c>
      <c r="AI71" s="113">
        <f t="shared" si="480"/>
        <v>0</v>
      </c>
      <c r="AJ71" s="114"/>
      <c r="AK71" s="114">
        <f t="shared" ref="AK71:AQ71" si="481">AC71</f>
        <v>0</v>
      </c>
      <c r="AL71" s="114">
        <f t="shared" si="383"/>
        <v>0</v>
      </c>
      <c r="AM71" s="113"/>
      <c r="AN71" s="124"/>
      <c r="AO71" s="113">
        <f t="shared" si="481"/>
        <v>0</v>
      </c>
      <c r="AP71" s="114">
        <f t="shared" si="481"/>
        <v>0</v>
      </c>
      <c r="AQ71" s="113">
        <f t="shared" si="481"/>
        <v>0</v>
      </c>
      <c r="AR71" s="114"/>
      <c r="AS71" s="114">
        <f t="shared" ref="AS71:AY71" si="482">AK71</f>
        <v>0</v>
      </c>
      <c r="AT71" s="114">
        <f t="shared" si="385"/>
        <v>0</v>
      </c>
      <c r="AU71" s="113"/>
      <c r="AV71" s="124"/>
      <c r="AW71" s="113">
        <f t="shared" si="482"/>
        <v>0</v>
      </c>
      <c r="AX71" s="114">
        <f t="shared" si="482"/>
        <v>0</v>
      </c>
      <c r="AY71" s="113">
        <f t="shared" si="482"/>
        <v>0</v>
      </c>
      <c r="AZ71" s="114"/>
      <c r="BA71" s="114">
        <f t="shared" ref="BA71:BG71" si="483">AS71</f>
        <v>0</v>
      </c>
      <c r="BB71" s="114">
        <f t="shared" si="387"/>
        <v>0</v>
      </c>
      <c r="BC71" s="113"/>
      <c r="BD71" s="124"/>
      <c r="BE71" s="113">
        <f t="shared" si="483"/>
        <v>0</v>
      </c>
      <c r="BF71" s="114">
        <f t="shared" si="483"/>
        <v>0</v>
      </c>
      <c r="BG71" s="113">
        <f t="shared" si="483"/>
        <v>0</v>
      </c>
      <c r="BH71" s="114"/>
      <c r="BI71" s="114">
        <f t="shared" ref="BI71:BO71" si="484">BA71</f>
        <v>0</v>
      </c>
      <c r="BJ71" s="114">
        <f t="shared" si="389"/>
        <v>0</v>
      </c>
      <c r="BK71" s="113"/>
      <c r="BL71" s="124"/>
      <c r="BM71" s="113">
        <f t="shared" si="484"/>
        <v>0</v>
      </c>
      <c r="BN71" s="114">
        <f t="shared" si="484"/>
        <v>0</v>
      </c>
      <c r="BO71" s="113">
        <f t="shared" si="484"/>
        <v>0</v>
      </c>
      <c r="BP71" s="114"/>
      <c r="BQ71" s="114">
        <f t="shared" ref="BQ71:BW71" si="485">BI71</f>
        <v>0</v>
      </c>
      <c r="BR71" s="114">
        <f t="shared" si="391"/>
        <v>0</v>
      </c>
      <c r="BS71" s="113"/>
      <c r="BT71" s="124"/>
      <c r="BU71" s="113">
        <f t="shared" si="485"/>
        <v>0</v>
      </c>
      <c r="BV71" s="114">
        <f t="shared" si="485"/>
        <v>0</v>
      </c>
      <c r="BW71" s="113">
        <f t="shared" si="485"/>
        <v>0</v>
      </c>
      <c r="BX71" s="114"/>
      <c r="BY71" s="114">
        <f t="shared" ref="BY71:CE71" si="486">BQ71</f>
        <v>0</v>
      </c>
      <c r="BZ71" s="114">
        <f t="shared" si="393"/>
        <v>0</v>
      </c>
      <c r="CA71" s="113"/>
      <c r="CB71" s="124"/>
      <c r="CC71" s="113">
        <f t="shared" si="486"/>
        <v>0</v>
      </c>
      <c r="CD71" s="114">
        <f t="shared" si="486"/>
        <v>0</v>
      </c>
      <c r="CE71" s="113">
        <f t="shared" si="486"/>
        <v>0</v>
      </c>
      <c r="CF71" s="114">
        <f t="shared" si="394"/>
        <v>0</v>
      </c>
      <c r="CG71" s="114">
        <f t="shared" si="395"/>
        <v>0</v>
      </c>
      <c r="CH71" s="114">
        <f t="shared" si="396"/>
        <v>0</v>
      </c>
      <c r="CI71" s="113"/>
    </row>
    <row r="72" s="104" customFormat="1" customHeight="1" spans="1:87">
      <c r="A72" s="113"/>
      <c r="B72" s="114"/>
      <c r="C72" s="113"/>
      <c r="D72" s="114"/>
      <c r="E72" s="114"/>
      <c r="F72" s="114">
        <f t="shared" si="372"/>
        <v>0</v>
      </c>
      <c r="G72" s="113"/>
      <c r="H72" s="124"/>
      <c r="I72" s="113">
        <f t="shared" si="373"/>
        <v>0</v>
      </c>
      <c r="J72" s="114">
        <f t="shared" si="374"/>
        <v>0</v>
      </c>
      <c r="K72" s="113">
        <f t="shared" si="375"/>
        <v>0</v>
      </c>
      <c r="L72" s="114"/>
      <c r="M72" s="114">
        <f t="shared" ref="M72:S72" si="487">E72</f>
        <v>0</v>
      </c>
      <c r="N72" s="114">
        <f t="shared" si="377"/>
        <v>0</v>
      </c>
      <c r="O72" s="113"/>
      <c r="P72" s="124"/>
      <c r="Q72" s="113">
        <f t="shared" si="487"/>
        <v>0</v>
      </c>
      <c r="R72" s="114">
        <f t="shared" si="487"/>
        <v>0</v>
      </c>
      <c r="S72" s="113">
        <f t="shared" si="487"/>
        <v>0</v>
      </c>
      <c r="T72" s="114"/>
      <c r="U72" s="114">
        <f t="shared" ref="U72:AA72" si="488">M72</f>
        <v>0</v>
      </c>
      <c r="V72" s="114">
        <f t="shared" si="379"/>
        <v>0</v>
      </c>
      <c r="W72" s="113"/>
      <c r="X72" s="124"/>
      <c r="Y72" s="113">
        <f t="shared" si="488"/>
        <v>0</v>
      </c>
      <c r="Z72" s="114">
        <f t="shared" si="488"/>
        <v>0</v>
      </c>
      <c r="AA72" s="113">
        <f t="shared" si="488"/>
        <v>0</v>
      </c>
      <c r="AB72" s="114"/>
      <c r="AC72" s="114">
        <f t="shared" ref="AC72:AI72" si="489">U72</f>
        <v>0</v>
      </c>
      <c r="AD72" s="114">
        <f t="shared" si="381"/>
        <v>0</v>
      </c>
      <c r="AE72" s="113"/>
      <c r="AF72" s="124"/>
      <c r="AG72" s="113">
        <f t="shared" si="489"/>
        <v>0</v>
      </c>
      <c r="AH72" s="114">
        <f t="shared" si="489"/>
        <v>0</v>
      </c>
      <c r="AI72" s="113">
        <f t="shared" si="489"/>
        <v>0</v>
      </c>
      <c r="AJ72" s="114"/>
      <c r="AK72" s="114">
        <f t="shared" ref="AK72:AQ72" si="490">AC72</f>
        <v>0</v>
      </c>
      <c r="AL72" s="114">
        <f t="shared" si="383"/>
        <v>0</v>
      </c>
      <c r="AM72" s="113"/>
      <c r="AN72" s="124"/>
      <c r="AO72" s="113">
        <f t="shared" si="490"/>
        <v>0</v>
      </c>
      <c r="AP72" s="114">
        <f t="shared" si="490"/>
        <v>0</v>
      </c>
      <c r="AQ72" s="113">
        <f t="shared" si="490"/>
        <v>0</v>
      </c>
      <c r="AR72" s="114"/>
      <c r="AS72" s="114">
        <f t="shared" ref="AS72:AY72" si="491">AK72</f>
        <v>0</v>
      </c>
      <c r="AT72" s="114">
        <f t="shared" si="385"/>
        <v>0</v>
      </c>
      <c r="AU72" s="113"/>
      <c r="AV72" s="124"/>
      <c r="AW72" s="113">
        <f t="shared" si="491"/>
        <v>0</v>
      </c>
      <c r="AX72" s="114">
        <f t="shared" si="491"/>
        <v>0</v>
      </c>
      <c r="AY72" s="113">
        <f t="shared" si="491"/>
        <v>0</v>
      </c>
      <c r="AZ72" s="114"/>
      <c r="BA72" s="114">
        <f t="shared" ref="BA72:BG72" si="492">AS72</f>
        <v>0</v>
      </c>
      <c r="BB72" s="114">
        <f t="shared" si="387"/>
        <v>0</v>
      </c>
      <c r="BC72" s="113"/>
      <c r="BD72" s="124"/>
      <c r="BE72" s="113">
        <f t="shared" si="492"/>
        <v>0</v>
      </c>
      <c r="BF72" s="114">
        <f t="shared" si="492"/>
        <v>0</v>
      </c>
      <c r="BG72" s="113">
        <f t="shared" si="492"/>
        <v>0</v>
      </c>
      <c r="BH72" s="114"/>
      <c r="BI72" s="114">
        <f t="shared" ref="BI72:BO72" si="493">BA72</f>
        <v>0</v>
      </c>
      <c r="BJ72" s="114">
        <f t="shared" si="389"/>
        <v>0</v>
      </c>
      <c r="BK72" s="113"/>
      <c r="BL72" s="124"/>
      <c r="BM72" s="113">
        <f t="shared" si="493"/>
        <v>0</v>
      </c>
      <c r="BN72" s="114">
        <f t="shared" si="493"/>
        <v>0</v>
      </c>
      <c r="BO72" s="113">
        <f t="shared" si="493"/>
        <v>0</v>
      </c>
      <c r="BP72" s="114"/>
      <c r="BQ72" s="114">
        <f t="shared" ref="BQ72:BW72" si="494">BI72</f>
        <v>0</v>
      </c>
      <c r="BR72" s="114">
        <f t="shared" si="391"/>
        <v>0</v>
      </c>
      <c r="BS72" s="113"/>
      <c r="BT72" s="124"/>
      <c r="BU72" s="113">
        <f t="shared" si="494"/>
        <v>0</v>
      </c>
      <c r="BV72" s="114">
        <f t="shared" si="494"/>
        <v>0</v>
      </c>
      <c r="BW72" s="113">
        <f t="shared" si="494"/>
        <v>0</v>
      </c>
      <c r="BX72" s="114"/>
      <c r="BY72" s="114">
        <f t="shared" ref="BY72:CE72" si="495">BQ72</f>
        <v>0</v>
      </c>
      <c r="BZ72" s="114">
        <f t="shared" si="393"/>
        <v>0</v>
      </c>
      <c r="CA72" s="113"/>
      <c r="CB72" s="124"/>
      <c r="CC72" s="113">
        <f t="shared" si="495"/>
        <v>0</v>
      </c>
      <c r="CD72" s="114">
        <f t="shared" si="495"/>
        <v>0</v>
      </c>
      <c r="CE72" s="113">
        <f t="shared" si="495"/>
        <v>0</v>
      </c>
      <c r="CF72" s="114">
        <f t="shared" si="394"/>
        <v>0</v>
      </c>
      <c r="CG72" s="114">
        <f t="shared" si="395"/>
        <v>0</v>
      </c>
      <c r="CH72" s="114">
        <f t="shared" si="396"/>
        <v>0</v>
      </c>
      <c r="CI72" s="113"/>
    </row>
    <row r="73" s="104" customFormat="1" customHeight="1" spans="1:87">
      <c r="A73" s="115" t="s">
        <v>340</v>
      </c>
      <c r="B73" s="116"/>
      <c r="C73" s="116"/>
      <c r="D73" s="116"/>
      <c r="E73" s="117"/>
      <c r="F73" s="118">
        <f>SUM(F61:F72)</f>
        <v>0</v>
      </c>
      <c r="G73" s="114"/>
      <c r="H73" s="124"/>
      <c r="I73" s="115" t="s">
        <v>340</v>
      </c>
      <c r="J73" s="116"/>
      <c r="K73" s="116"/>
      <c r="L73" s="116"/>
      <c r="M73" s="117"/>
      <c r="N73" s="118">
        <f>SUM(N61:N72)</f>
        <v>0</v>
      </c>
      <c r="O73" s="114"/>
      <c r="P73" s="124"/>
      <c r="Q73" s="115" t="s">
        <v>340</v>
      </c>
      <c r="R73" s="116"/>
      <c r="S73" s="116"/>
      <c r="T73" s="116"/>
      <c r="U73" s="117"/>
      <c r="V73" s="118">
        <f>SUM(V61:V72)</f>
        <v>0</v>
      </c>
      <c r="W73" s="114"/>
      <c r="X73" s="124"/>
      <c r="Y73" s="115" t="s">
        <v>340</v>
      </c>
      <c r="Z73" s="116"/>
      <c r="AA73" s="116"/>
      <c r="AB73" s="116"/>
      <c r="AC73" s="117"/>
      <c r="AD73" s="118">
        <f>SUM(AD61:AD72)</f>
        <v>0</v>
      </c>
      <c r="AE73" s="114"/>
      <c r="AF73" s="124"/>
      <c r="AG73" s="115" t="s">
        <v>340</v>
      </c>
      <c r="AH73" s="116"/>
      <c r="AI73" s="116"/>
      <c r="AJ73" s="116"/>
      <c r="AK73" s="117"/>
      <c r="AL73" s="118">
        <f>SUM(AL61:AL72)</f>
        <v>0</v>
      </c>
      <c r="AM73" s="114"/>
      <c r="AN73" s="124"/>
      <c r="AO73" s="115" t="s">
        <v>340</v>
      </c>
      <c r="AP73" s="116"/>
      <c r="AQ73" s="116"/>
      <c r="AR73" s="116"/>
      <c r="AS73" s="117"/>
      <c r="AT73" s="118">
        <f>SUM(AT61:AT72)</f>
        <v>0</v>
      </c>
      <c r="AU73" s="114"/>
      <c r="AV73" s="124"/>
      <c r="AW73" s="115" t="s">
        <v>340</v>
      </c>
      <c r="AX73" s="116"/>
      <c r="AY73" s="116"/>
      <c r="AZ73" s="116"/>
      <c r="BA73" s="117"/>
      <c r="BB73" s="118">
        <f>SUM(BB61:BB72)</f>
        <v>0</v>
      </c>
      <c r="BC73" s="114"/>
      <c r="BD73" s="124"/>
      <c r="BE73" s="115" t="s">
        <v>340</v>
      </c>
      <c r="BF73" s="116"/>
      <c r="BG73" s="116"/>
      <c r="BH73" s="116"/>
      <c r="BI73" s="117"/>
      <c r="BJ73" s="118">
        <f>SUM(BJ61:BJ72)</f>
        <v>0</v>
      </c>
      <c r="BK73" s="114"/>
      <c r="BL73" s="124"/>
      <c r="BM73" s="115" t="s">
        <v>340</v>
      </c>
      <c r="BN73" s="116"/>
      <c r="BO73" s="116"/>
      <c r="BP73" s="116"/>
      <c r="BQ73" s="117"/>
      <c r="BR73" s="118">
        <f>SUM(BR61:BR72)</f>
        <v>0</v>
      </c>
      <c r="BS73" s="114"/>
      <c r="BT73" s="124"/>
      <c r="BU73" s="115" t="s">
        <v>340</v>
      </c>
      <c r="BV73" s="116"/>
      <c r="BW73" s="116"/>
      <c r="BX73" s="116"/>
      <c r="BY73" s="117"/>
      <c r="BZ73" s="118">
        <f>SUM(BZ61:BZ72)</f>
        <v>0</v>
      </c>
      <c r="CA73" s="114"/>
      <c r="CB73" s="124"/>
      <c r="CC73" s="115" t="s">
        <v>340</v>
      </c>
      <c r="CD73" s="116"/>
      <c r="CE73" s="116"/>
      <c r="CF73" s="116"/>
      <c r="CG73" s="117"/>
      <c r="CH73" s="118">
        <f>SUM(CH61:CH72)</f>
        <v>0</v>
      </c>
      <c r="CI73" s="114"/>
    </row>
    <row r="74" s="104" customFormat="1" customHeight="1" spans="1:87">
      <c r="A74" s="119" t="s">
        <v>341</v>
      </c>
      <c r="B74" s="119"/>
      <c r="C74" s="120"/>
      <c r="D74" s="119"/>
      <c r="E74" s="119"/>
      <c r="F74" s="119"/>
      <c r="G74" s="119"/>
      <c r="H74" s="124"/>
      <c r="I74" s="119" t="s">
        <v>341</v>
      </c>
      <c r="J74" s="119"/>
      <c r="K74" s="120"/>
      <c r="L74" s="119"/>
      <c r="M74" s="119"/>
      <c r="N74" s="119"/>
      <c r="O74" s="119"/>
      <c r="P74" s="124"/>
      <c r="Q74" s="119" t="s">
        <v>341</v>
      </c>
      <c r="R74" s="119"/>
      <c r="S74" s="120"/>
      <c r="T74" s="119"/>
      <c r="U74" s="119"/>
      <c r="V74" s="119"/>
      <c r="W74" s="119"/>
      <c r="X74" s="124"/>
      <c r="Y74" s="119" t="s">
        <v>341</v>
      </c>
      <c r="Z74" s="119"/>
      <c r="AA74" s="120"/>
      <c r="AB74" s="119"/>
      <c r="AC74" s="119"/>
      <c r="AD74" s="119"/>
      <c r="AE74" s="119"/>
      <c r="AF74" s="124"/>
      <c r="AG74" s="119" t="s">
        <v>341</v>
      </c>
      <c r="AH74" s="119"/>
      <c r="AI74" s="120"/>
      <c r="AJ74" s="119"/>
      <c r="AK74" s="119"/>
      <c r="AL74" s="119"/>
      <c r="AM74" s="119"/>
      <c r="AN74" s="124"/>
      <c r="AO74" s="119" t="s">
        <v>341</v>
      </c>
      <c r="AP74" s="119"/>
      <c r="AQ74" s="120"/>
      <c r="AR74" s="119"/>
      <c r="AS74" s="119"/>
      <c r="AT74" s="119"/>
      <c r="AU74" s="119"/>
      <c r="AV74" s="124"/>
      <c r="AW74" s="119" t="s">
        <v>341</v>
      </c>
      <c r="AX74" s="119"/>
      <c r="AY74" s="120"/>
      <c r="AZ74" s="119"/>
      <c r="BA74" s="119"/>
      <c r="BB74" s="119"/>
      <c r="BC74" s="119"/>
      <c r="BD74" s="124"/>
      <c r="BE74" s="119" t="s">
        <v>341</v>
      </c>
      <c r="BF74" s="119"/>
      <c r="BG74" s="120"/>
      <c r="BH74" s="119"/>
      <c r="BI74" s="119"/>
      <c r="BJ74" s="119"/>
      <c r="BK74" s="119"/>
      <c r="BL74" s="124"/>
      <c r="BM74" s="119" t="s">
        <v>341</v>
      </c>
      <c r="BN74" s="119"/>
      <c r="BO74" s="120"/>
      <c r="BP74" s="119"/>
      <c r="BQ74" s="119"/>
      <c r="BR74" s="119"/>
      <c r="BS74" s="119"/>
      <c r="BT74" s="124"/>
      <c r="BU74" s="119" t="s">
        <v>341</v>
      </c>
      <c r="BV74" s="119"/>
      <c r="BW74" s="120"/>
      <c r="BX74" s="119"/>
      <c r="BY74" s="119"/>
      <c r="BZ74" s="119"/>
      <c r="CA74" s="119"/>
      <c r="CB74" s="124"/>
      <c r="CC74" s="119" t="s">
        <v>341</v>
      </c>
      <c r="CD74" s="119"/>
      <c r="CE74" s="120"/>
      <c r="CF74" s="119"/>
      <c r="CG74" s="119"/>
      <c r="CH74" s="119"/>
      <c r="CI74" s="119"/>
    </row>
    <row r="77" customHeight="1" spans="1:87">
      <c r="A77" s="105"/>
      <c r="B77" s="106"/>
      <c r="C77" s="107" t="s">
        <v>330</v>
      </c>
      <c r="D77" s="107"/>
      <c r="E77" s="107"/>
      <c r="F77" s="105"/>
      <c r="G77" s="105"/>
      <c r="H77" s="124" t="str">
        <f>H58</f>
        <v>RD01</v>
      </c>
      <c r="I77" s="105"/>
      <c r="J77" s="106"/>
      <c r="K77" s="107" t="s">
        <v>330</v>
      </c>
      <c r="L77" s="107"/>
      <c r="M77" s="107"/>
      <c r="N77" s="105"/>
      <c r="O77" s="105"/>
      <c r="P77" s="124" t="str">
        <f>P58</f>
        <v>RD02</v>
      </c>
      <c r="Q77" s="105"/>
      <c r="R77" s="106"/>
      <c r="S77" s="107" t="s">
        <v>330</v>
      </c>
      <c r="T77" s="107"/>
      <c r="U77" s="107"/>
      <c r="V77" s="105"/>
      <c r="W77" s="105"/>
      <c r="X77" s="124" t="str">
        <f>X58</f>
        <v>RD03</v>
      </c>
      <c r="Y77" s="105"/>
      <c r="Z77" s="106"/>
      <c r="AA77" s="107" t="s">
        <v>330</v>
      </c>
      <c r="AB77" s="107"/>
      <c r="AC77" s="107"/>
      <c r="AD77" s="105"/>
      <c r="AE77" s="105"/>
      <c r="AF77" s="124" t="str">
        <f>AF58</f>
        <v>RD04</v>
      </c>
      <c r="AG77" s="105"/>
      <c r="AH77" s="106"/>
      <c r="AI77" s="107" t="s">
        <v>330</v>
      </c>
      <c r="AJ77" s="107"/>
      <c r="AK77" s="107"/>
      <c r="AL77" s="105"/>
      <c r="AM77" s="105"/>
      <c r="AN77" s="124" t="str">
        <f>AN58</f>
        <v>RD05</v>
      </c>
      <c r="AO77" s="105"/>
      <c r="AP77" s="106"/>
      <c r="AQ77" s="107" t="s">
        <v>330</v>
      </c>
      <c r="AR77" s="107"/>
      <c r="AS77" s="107"/>
      <c r="AT77" s="105"/>
      <c r="AU77" s="105"/>
      <c r="AV77" s="124" t="str">
        <f>AV58</f>
        <v>RD06</v>
      </c>
      <c r="AW77" s="105"/>
      <c r="AX77" s="106"/>
      <c r="AY77" s="107" t="s">
        <v>330</v>
      </c>
      <c r="AZ77" s="107"/>
      <c r="BA77" s="107"/>
      <c r="BB77" s="105"/>
      <c r="BC77" s="105"/>
      <c r="BD77" s="124" t="str">
        <f>BD58</f>
        <v>RD07</v>
      </c>
      <c r="BE77" s="105"/>
      <c r="BF77" s="106"/>
      <c r="BG77" s="107" t="s">
        <v>330</v>
      </c>
      <c r="BH77" s="107"/>
      <c r="BI77" s="107"/>
      <c r="BJ77" s="105"/>
      <c r="BK77" s="105"/>
      <c r="BL77" s="124" t="str">
        <f>BL58</f>
        <v>RD08</v>
      </c>
      <c r="BM77" s="105"/>
      <c r="BN77" s="106"/>
      <c r="BO77" s="107" t="s">
        <v>330</v>
      </c>
      <c r="BP77" s="107"/>
      <c r="BQ77" s="107"/>
      <c r="BR77" s="105"/>
      <c r="BS77" s="105"/>
      <c r="BT77" s="124" t="str">
        <f>BT58</f>
        <v>RD09</v>
      </c>
      <c r="BU77" s="105"/>
      <c r="BV77" s="106"/>
      <c r="BW77" s="107" t="s">
        <v>330</v>
      </c>
      <c r="BX77" s="107"/>
      <c r="BY77" s="107"/>
      <c r="BZ77" s="105"/>
      <c r="CA77" s="105"/>
      <c r="CB77" s="124" t="str">
        <f>CB58</f>
        <v>RD10</v>
      </c>
      <c r="CC77" s="105"/>
      <c r="CD77" s="106"/>
      <c r="CE77" s="107" t="s">
        <v>330</v>
      </c>
      <c r="CF77" s="107"/>
      <c r="CG77" s="107"/>
      <c r="CH77" s="105"/>
      <c r="CI77" s="105"/>
    </row>
    <row r="78" s="122" customFormat="1" customHeight="1" spans="1:87">
      <c r="A78" s="108" t="s">
        <v>331</v>
      </c>
      <c r="B78" s="109"/>
      <c r="C78" s="110">
        <v>45808</v>
      </c>
      <c r="D78" s="110"/>
      <c r="E78" s="110"/>
      <c r="F78" s="111"/>
      <c r="G78" s="112"/>
      <c r="H78" s="125"/>
      <c r="I78" s="108" t="s">
        <v>331</v>
      </c>
      <c r="J78" s="109"/>
      <c r="K78" s="110">
        <v>45808</v>
      </c>
      <c r="L78" s="110"/>
      <c r="M78" s="110"/>
      <c r="N78" s="111" t="s">
        <v>332</v>
      </c>
      <c r="O78" s="112" t="str">
        <f>立项!$A$3</f>
        <v>RD01</v>
      </c>
      <c r="P78" s="125"/>
      <c r="Q78" s="108" t="s">
        <v>331</v>
      </c>
      <c r="R78" s="109"/>
      <c r="S78" s="110">
        <v>45808</v>
      </c>
      <c r="T78" s="110"/>
      <c r="U78" s="110"/>
      <c r="V78" s="111" t="s">
        <v>332</v>
      </c>
      <c r="W78" s="112" t="str">
        <f>立项!$A$4</f>
        <v>RD02</v>
      </c>
      <c r="X78" s="125"/>
      <c r="Y78" s="108" t="s">
        <v>331</v>
      </c>
      <c r="Z78" s="109"/>
      <c r="AA78" s="110">
        <v>45808</v>
      </c>
      <c r="AB78" s="110"/>
      <c r="AC78" s="110"/>
      <c r="AD78" s="111" t="s">
        <v>332</v>
      </c>
      <c r="AE78" s="112" t="str">
        <f>立项!$A$5</f>
        <v>RD03</v>
      </c>
      <c r="AF78" s="125"/>
      <c r="AG78" s="108" t="s">
        <v>331</v>
      </c>
      <c r="AH78" s="109"/>
      <c r="AI78" s="110">
        <v>45808</v>
      </c>
      <c r="AJ78" s="110"/>
      <c r="AK78" s="110"/>
      <c r="AL78" s="111" t="s">
        <v>332</v>
      </c>
      <c r="AM78" s="112" t="str">
        <f>立项!$A$6</f>
        <v>RD04</v>
      </c>
      <c r="AN78" s="125"/>
      <c r="AO78" s="108" t="s">
        <v>331</v>
      </c>
      <c r="AP78" s="109"/>
      <c r="AQ78" s="110">
        <v>45808</v>
      </c>
      <c r="AR78" s="110"/>
      <c r="AS78" s="110"/>
      <c r="AT78" s="111" t="s">
        <v>332</v>
      </c>
      <c r="AU78" s="112" t="str">
        <f>立项!$A$7</f>
        <v>RD05</v>
      </c>
      <c r="AV78" s="125"/>
      <c r="AW78" s="108" t="s">
        <v>331</v>
      </c>
      <c r="AX78" s="109"/>
      <c r="AY78" s="110">
        <v>45808</v>
      </c>
      <c r="AZ78" s="110"/>
      <c r="BA78" s="110"/>
      <c r="BB78" s="111" t="s">
        <v>332</v>
      </c>
      <c r="BC78" s="112" t="str">
        <f>立项!$A$8</f>
        <v>RD06</v>
      </c>
      <c r="BD78" s="125"/>
      <c r="BE78" s="108" t="s">
        <v>331</v>
      </c>
      <c r="BF78" s="109"/>
      <c r="BG78" s="110">
        <v>45808</v>
      </c>
      <c r="BH78" s="110"/>
      <c r="BI78" s="110"/>
      <c r="BJ78" s="111" t="s">
        <v>332</v>
      </c>
      <c r="BK78" s="112" t="str">
        <f>立项!$A$9</f>
        <v>RD07</v>
      </c>
      <c r="BL78" s="125"/>
      <c r="BM78" s="108" t="s">
        <v>331</v>
      </c>
      <c r="BN78" s="109"/>
      <c r="BO78" s="110">
        <v>45808</v>
      </c>
      <c r="BP78" s="110"/>
      <c r="BQ78" s="110"/>
      <c r="BR78" s="111" t="s">
        <v>332</v>
      </c>
      <c r="BS78" s="112" t="str">
        <f>立项!$A$10</f>
        <v>RD08</v>
      </c>
      <c r="BT78" s="125"/>
      <c r="BU78" s="108" t="s">
        <v>331</v>
      </c>
      <c r="BV78" s="109"/>
      <c r="BW78" s="110">
        <v>45808</v>
      </c>
      <c r="BX78" s="110"/>
      <c r="BY78" s="110"/>
      <c r="BZ78" s="111" t="s">
        <v>332</v>
      </c>
      <c r="CA78" s="112" t="str">
        <f>立项!$A$11</f>
        <v>RD09</v>
      </c>
      <c r="CB78" s="125"/>
      <c r="CC78" s="108" t="s">
        <v>331</v>
      </c>
      <c r="CD78" s="109"/>
      <c r="CE78" s="110">
        <v>45808</v>
      </c>
      <c r="CF78" s="110"/>
      <c r="CG78" s="110"/>
      <c r="CH78" s="111" t="s">
        <v>332</v>
      </c>
      <c r="CI78" s="112" t="str">
        <f>立项!$A$12</f>
        <v>RD10</v>
      </c>
    </row>
    <row r="79" s="104" customFormat="1" customHeight="1" spans="1:87">
      <c r="A79" s="113" t="s">
        <v>333</v>
      </c>
      <c r="B79" s="113" t="s">
        <v>334</v>
      </c>
      <c r="C79" s="113" t="s">
        <v>335</v>
      </c>
      <c r="D79" s="113" t="s">
        <v>336</v>
      </c>
      <c r="E79" s="113" t="s">
        <v>337</v>
      </c>
      <c r="F79" s="113" t="s">
        <v>338</v>
      </c>
      <c r="G79" s="113" t="s">
        <v>339</v>
      </c>
      <c r="H79" s="124"/>
      <c r="I79" s="113" t="s">
        <v>333</v>
      </c>
      <c r="J79" s="113" t="s">
        <v>334</v>
      </c>
      <c r="K79" s="113" t="s">
        <v>335</v>
      </c>
      <c r="L79" s="113" t="s">
        <v>336</v>
      </c>
      <c r="M79" s="113" t="s">
        <v>337</v>
      </c>
      <c r="N79" s="113" t="s">
        <v>338</v>
      </c>
      <c r="O79" s="113" t="s">
        <v>339</v>
      </c>
      <c r="P79" s="124"/>
      <c r="Q79" s="113" t="s">
        <v>333</v>
      </c>
      <c r="R79" s="113" t="s">
        <v>334</v>
      </c>
      <c r="S79" s="113" t="s">
        <v>335</v>
      </c>
      <c r="T79" s="113" t="s">
        <v>336</v>
      </c>
      <c r="U79" s="113" t="s">
        <v>337</v>
      </c>
      <c r="V79" s="113" t="s">
        <v>338</v>
      </c>
      <c r="W79" s="113" t="s">
        <v>339</v>
      </c>
      <c r="X79" s="124"/>
      <c r="Y79" s="113" t="s">
        <v>333</v>
      </c>
      <c r="Z79" s="113" t="s">
        <v>334</v>
      </c>
      <c r="AA79" s="113" t="s">
        <v>335</v>
      </c>
      <c r="AB79" s="113" t="s">
        <v>336</v>
      </c>
      <c r="AC79" s="113" t="s">
        <v>337</v>
      </c>
      <c r="AD79" s="113" t="s">
        <v>338</v>
      </c>
      <c r="AE79" s="113" t="s">
        <v>339</v>
      </c>
      <c r="AF79" s="124"/>
      <c r="AG79" s="113" t="s">
        <v>333</v>
      </c>
      <c r="AH79" s="113" t="s">
        <v>334</v>
      </c>
      <c r="AI79" s="113" t="s">
        <v>335</v>
      </c>
      <c r="AJ79" s="113" t="s">
        <v>336</v>
      </c>
      <c r="AK79" s="113" t="s">
        <v>337</v>
      </c>
      <c r="AL79" s="113" t="s">
        <v>338</v>
      </c>
      <c r="AM79" s="113" t="s">
        <v>339</v>
      </c>
      <c r="AN79" s="124"/>
      <c r="AO79" s="113" t="s">
        <v>333</v>
      </c>
      <c r="AP79" s="113" t="s">
        <v>334</v>
      </c>
      <c r="AQ79" s="113" t="s">
        <v>335</v>
      </c>
      <c r="AR79" s="113" t="s">
        <v>336</v>
      </c>
      <c r="AS79" s="113" t="s">
        <v>337</v>
      </c>
      <c r="AT79" s="113" t="s">
        <v>338</v>
      </c>
      <c r="AU79" s="113" t="s">
        <v>339</v>
      </c>
      <c r="AV79" s="124"/>
      <c r="AW79" s="113" t="s">
        <v>333</v>
      </c>
      <c r="AX79" s="113" t="s">
        <v>334</v>
      </c>
      <c r="AY79" s="113" t="s">
        <v>335</v>
      </c>
      <c r="AZ79" s="113" t="s">
        <v>336</v>
      </c>
      <c r="BA79" s="113" t="s">
        <v>337</v>
      </c>
      <c r="BB79" s="113" t="s">
        <v>338</v>
      </c>
      <c r="BC79" s="113" t="s">
        <v>339</v>
      </c>
      <c r="BD79" s="124"/>
      <c r="BE79" s="113" t="s">
        <v>333</v>
      </c>
      <c r="BF79" s="113" t="s">
        <v>334</v>
      </c>
      <c r="BG79" s="113" t="s">
        <v>335</v>
      </c>
      <c r="BH79" s="113" t="s">
        <v>336</v>
      </c>
      <c r="BI79" s="113" t="s">
        <v>337</v>
      </c>
      <c r="BJ79" s="113" t="s">
        <v>338</v>
      </c>
      <c r="BK79" s="113" t="s">
        <v>339</v>
      </c>
      <c r="BL79" s="124"/>
      <c r="BM79" s="113" t="s">
        <v>333</v>
      </c>
      <c r="BN79" s="113" t="s">
        <v>334</v>
      </c>
      <c r="BO79" s="113" t="s">
        <v>335</v>
      </c>
      <c r="BP79" s="113" t="s">
        <v>336</v>
      </c>
      <c r="BQ79" s="113" t="s">
        <v>337</v>
      </c>
      <c r="BR79" s="113" t="s">
        <v>338</v>
      </c>
      <c r="BS79" s="113" t="s">
        <v>339</v>
      </c>
      <c r="BT79" s="124"/>
      <c r="BU79" s="113" t="s">
        <v>333</v>
      </c>
      <c r="BV79" s="113" t="s">
        <v>334</v>
      </c>
      <c r="BW79" s="113" t="s">
        <v>335</v>
      </c>
      <c r="BX79" s="113" t="s">
        <v>336</v>
      </c>
      <c r="BY79" s="113" t="s">
        <v>337</v>
      </c>
      <c r="BZ79" s="113" t="s">
        <v>338</v>
      </c>
      <c r="CA79" s="113" t="s">
        <v>339</v>
      </c>
      <c r="CB79" s="124"/>
      <c r="CC79" s="113" t="s">
        <v>333</v>
      </c>
      <c r="CD79" s="113" t="s">
        <v>334</v>
      </c>
      <c r="CE79" s="113" t="s">
        <v>335</v>
      </c>
      <c r="CF79" s="113" t="s">
        <v>336</v>
      </c>
      <c r="CG79" s="113" t="s">
        <v>337</v>
      </c>
      <c r="CH79" s="113" t="s">
        <v>338</v>
      </c>
      <c r="CI79" s="113" t="s">
        <v>339</v>
      </c>
    </row>
    <row r="80" s="104" customFormat="1" customHeight="1" spans="1:87">
      <c r="A80" s="113"/>
      <c r="B80" s="114"/>
      <c r="C80" s="113"/>
      <c r="D80" s="114"/>
      <c r="E80" s="114"/>
      <c r="F80" s="114">
        <f t="shared" ref="F80:F91" si="496">ROUND(D80*E80,2)</f>
        <v>0</v>
      </c>
      <c r="G80" s="113"/>
      <c r="H80" s="124"/>
      <c r="I80" s="113">
        <f t="shared" ref="I80:I91" si="497">A80</f>
        <v>0</v>
      </c>
      <c r="J80" s="114">
        <f t="shared" ref="J80:J91" si="498">B80</f>
        <v>0</v>
      </c>
      <c r="K80" s="113">
        <f t="shared" ref="K80:K91" si="499">C80</f>
        <v>0</v>
      </c>
      <c r="L80" s="114"/>
      <c r="M80" s="114">
        <f t="shared" ref="M80:S80" si="500">E80</f>
        <v>0</v>
      </c>
      <c r="N80" s="114">
        <f t="shared" ref="N80:N91" si="501">ROUND(L80*M80,2)</f>
        <v>0</v>
      </c>
      <c r="O80" s="113"/>
      <c r="P80" s="124"/>
      <c r="Q80" s="113">
        <f t="shared" si="500"/>
        <v>0</v>
      </c>
      <c r="R80" s="114">
        <f t="shared" si="500"/>
        <v>0</v>
      </c>
      <c r="S80" s="113">
        <f t="shared" si="500"/>
        <v>0</v>
      </c>
      <c r="T80" s="114"/>
      <c r="U80" s="114">
        <f t="shared" ref="U80:AA80" si="502">M80</f>
        <v>0</v>
      </c>
      <c r="V80" s="114">
        <f t="shared" ref="V80:V91" si="503">ROUND(T80*U80,2)</f>
        <v>0</v>
      </c>
      <c r="W80" s="113"/>
      <c r="X80" s="124"/>
      <c r="Y80" s="113">
        <f t="shared" si="502"/>
        <v>0</v>
      </c>
      <c r="Z80" s="114">
        <f t="shared" si="502"/>
        <v>0</v>
      </c>
      <c r="AA80" s="113">
        <f t="shared" si="502"/>
        <v>0</v>
      </c>
      <c r="AB80" s="114"/>
      <c r="AC80" s="114">
        <f t="shared" ref="AC80:AI80" si="504">U80</f>
        <v>0</v>
      </c>
      <c r="AD80" s="114">
        <f t="shared" ref="AD80:AD91" si="505">ROUND(AB80*AC80,2)</f>
        <v>0</v>
      </c>
      <c r="AE80" s="113"/>
      <c r="AF80" s="124"/>
      <c r="AG80" s="113">
        <f t="shared" si="504"/>
        <v>0</v>
      </c>
      <c r="AH80" s="114">
        <f t="shared" si="504"/>
        <v>0</v>
      </c>
      <c r="AI80" s="113">
        <f t="shared" si="504"/>
        <v>0</v>
      </c>
      <c r="AJ80" s="114"/>
      <c r="AK80" s="114">
        <f t="shared" ref="AK80:AQ80" si="506">AC80</f>
        <v>0</v>
      </c>
      <c r="AL80" s="114">
        <f t="shared" ref="AL80:AL91" si="507">ROUND(AJ80*AK80,2)</f>
        <v>0</v>
      </c>
      <c r="AM80" s="113"/>
      <c r="AN80" s="124"/>
      <c r="AO80" s="113">
        <f t="shared" si="506"/>
        <v>0</v>
      </c>
      <c r="AP80" s="114">
        <f t="shared" si="506"/>
        <v>0</v>
      </c>
      <c r="AQ80" s="113">
        <f t="shared" si="506"/>
        <v>0</v>
      </c>
      <c r="AR80" s="114"/>
      <c r="AS80" s="114">
        <f t="shared" ref="AS80:AY80" si="508">AK80</f>
        <v>0</v>
      </c>
      <c r="AT80" s="114">
        <f t="shared" ref="AT80:AT91" si="509">ROUND(AR80*AS80,2)</f>
        <v>0</v>
      </c>
      <c r="AU80" s="113"/>
      <c r="AV80" s="124"/>
      <c r="AW80" s="113">
        <f t="shared" si="508"/>
        <v>0</v>
      </c>
      <c r="AX80" s="114">
        <f t="shared" si="508"/>
        <v>0</v>
      </c>
      <c r="AY80" s="113">
        <f t="shared" si="508"/>
        <v>0</v>
      </c>
      <c r="AZ80" s="114"/>
      <c r="BA80" s="114">
        <f t="shared" ref="BA80:BG80" si="510">AS80</f>
        <v>0</v>
      </c>
      <c r="BB80" s="114">
        <f t="shared" ref="BB80:BB91" si="511">ROUND(AZ80*BA80,2)</f>
        <v>0</v>
      </c>
      <c r="BC80" s="113"/>
      <c r="BD80" s="124"/>
      <c r="BE80" s="113">
        <f t="shared" si="510"/>
        <v>0</v>
      </c>
      <c r="BF80" s="114">
        <f t="shared" si="510"/>
        <v>0</v>
      </c>
      <c r="BG80" s="113">
        <f t="shared" si="510"/>
        <v>0</v>
      </c>
      <c r="BH80" s="114"/>
      <c r="BI80" s="114">
        <f t="shared" ref="BI80:BO80" si="512">BA80</f>
        <v>0</v>
      </c>
      <c r="BJ80" s="114">
        <f t="shared" ref="BJ80:BJ91" si="513">ROUND(BH80*BI80,2)</f>
        <v>0</v>
      </c>
      <c r="BK80" s="113"/>
      <c r="BL80" s="124"/>
      <c r="BM80" s="113">
        <f t="shared" si="512"/>
        <v>0</v>
      </c>
      <c r="BN80" s="114">
        <f t="shared" si="512"/>
        <v>0</v>
      </c>
      <c r="BO80" s="113">
        <f t="shared" si="512"/>
        <v>0</v>
      </c>
      <c r="BP80" s="114"/>
      <c r="BQ80" s="114">
        <f t="shared" ref="BQ80:BW80" si="514">BI80</f>
        <v>0</v>
      </c>
      <c r="BR80" s="114">
        <f t="shared" ref="BR80:BR91" si="515">ROUND(BP80*BQ80,2)</f>
        <v>0</v>
      </c>
      <c r="BS80" s="113"/>
      <c r="BT80" s="124"/>
      <c r="BU80" s="113">
        <f t="shared" si="514"/>
        <v>0</v>
      </c>
      <c r="BV80" s="114">
        <f t="shared" si="514"/>
        <v>0</v>
      </c>
      <c r="BW80" s="113">
        <f t="shared" si="514"/>
        <v>0</v>
      </c>
      <c r="BX80" s="114"/>
      <c r="BY80" s="114">
        <f t="shared" ref="BY80:CE80" si="516">BQ80</f>
        <v>0</v>
      </c>
      <c r="BZ80" s="114">
        <f t="shared" ref="BZ80:BZ91" si="517">ROUND(BX80*BY80,2)</f>
        <v>0</v>
      </c>
      <c r="CA80" s="113"/>
      <c r="CB80" s="124"/>
      <c r="CC80" s="113">
        <f t="shared" si="516"/>
        <v>0</v>
      </c>
      <c r="CD80" s="114">
        <f t="shared" si="516"/>
        <v>0</v>
      </c>
      <c r="CE80" s="113">
        <f t="shared" si="516"/>
        <v>0</v>
      </c>
      <c r="CF80" s="114">
        <f t="shared" ref="CF80:CF91" si="518">D80-L80-T80-AB80-AJ80-AR80-AZ80-BH80-BP80-BX80</f>
        <v>0</v>
      </c>
      <c r="CG80" s="114">
        <f t="shared" ref="CG80:CG91" si="519">BY80</f>
        <v>0</v>
      </c>
      <c r="CH80" s="114">
        <f t="shared" ref="CH80:CH91" si="520">F80-N80-V80-AD80-AL80-AT80-BB80-BJ80-BR80-BZ80</f>
        <v>0</v>
      </c>
      <c r="CI80" s="113"/>
    </row>
    <row r="81" s="104" customFormat="1" customHeight="1" spans="1:87">
      <c r="A81" s="113"/>
      <c r="B81" s="114"/>
      <c r="C81" s="113"/>
      <c r="D81" s="114"/>
      <c r="E81" s="114"/>
      <c r="F81" s="114">
        <f t="shared" si="496"/>
        <v>0</v>
      </c>
      <c r="G81" s="113"/>
      <c r="H81" s="124"/>
      <c r="I81" s="113">
        <f t="shared" si="497"/>
        <v>0</v>
      </c>
      <c r="J81" s="114">
        <f t="shared" si="498"/>
        <v>0</v>
      </c>
      <c r="K81" s="113">
        <f t="shared" si="499"/>
        <v>0</v>
      </c>
      <c r="L81" s="114"/>
      <c r="M81" s="114">
        <f t="shared" ref="M81:S81" si="521">E81</f>
        <v>0</v>
      </c>
      <c r="N81" s="114">
        <f t="shared" si="501"/>
        <v>0</v>
      </c>
      <c r="O81" s="113"/>
      <c r="P81" s="124"/>
      <c r="Q81" s="113">
        <f t="shared" si="521"/>
        <v>0</v>
      </c>
      <c r="R81" s="114">
        <f t="shared" si="521"/>
        <v>0</v>
      </c>
      <c r="S81" s="113">
        <f t="shared" si="521"/>
        <v>0</v>
      </c>
      <c r="T81" s="114"/>
      <c r="U81" s="114">
        <f t="shared" ref="U81:AA81" si="522">M81</f>
        <v>0</v>
      </c>
      <c r="V81" s="114">
        <f t="shared" si="503"/>
        <v>0</v>
      </c>
      <c r="W81" s="113"/>
      <c r="X81" s="124"/>
      <c r="Y81" s="113">
        <f t="shared" si="522"/>
        <v>0</v>
      </c>
      <c r="Z81" s="114">
        <f t="shared" si="522"/>
        <v>0</v>
      </c>
      <c r="AA81" s="113">
        <f t="shared" si="522"/>
        <v>0</v>
      </c>
      <c r="AB81" s="114"/>
      <c r="AC81" s="114">
        <f t="shared" ref="AC81:AI81" si="523">U81</f>
        <v>0</v>
      </c>
      <c r="AD81" s="114">
        <f t="shared" si="505"/>
        <v>0</v>
      </c>
      <c r="AE81" s="113"/>
      <c r="AF81" s="124"/>
      <c r="AG81" s="113">
        <f t="shared" si="523"/>
        <v>0</v>
      </c>
      <c r="AH81" s="114">
        <f t="shared" si="523"/>
        <v>0</v>
      </c>
      <c r="AI81" s="113">
        <f t="shared" si="523"/>
        <v>0</v>
      </c>
      <c r="AJ81" s="114"/>
      <c r="AK81" s="114">
        <f t="shared" ref="AK81:AQ81" si="524">AC81</f>
        <v>0</v>
      </c>
      <c r="AL81" s="114">
        <f t="shared" si="507"/>
        <v>0</v>
      </c>
      <c r="AM81" s="113"/>
      <c r="AN81" s="124"/>
      <c r="AO81" s="113">
        <f t="shared" si="524"/>
        <v>0</v>
      </c>
      <c r="AP81" s="114">
        <f t="shared" si="524"/>
        <v>0</v>
      </c>
      <c r="AQ81" s="113">
        <f t="shared" si="524"/>
        <v>0</v>
      </c>
      <c r="AR81" s="114"/>
      <c r="AS81" s="114">
        <f t="shared" ref="AS81:AY81" si="525">AK81</f>
        <v>0</v>
      </c>
      <c r="AT81" s="114">
        <f t="shared" si="509"/>
        <v>0</v>
      </c>
      <c r="AU81" s="113"/>
      <c r="AV81" s="124"/>
      <c r="AW81" s="113">
        <f t="shared" si="525"/>
        <v>0</v>
      </c>
      <c r="AX81" s="114">
        <f t="shared" si="525"/>
        <v>0</v>
      </c>
      <c r="AY81" s="113">
        <f t="shared" si="525"/>
        <v>0</v>
      </c>
      <c r="AZ81" s="114"/>
      <c r="BA81" s="114">
        <f t="shared" ref="BA81:BG81" si="526">AS81</f>
        <v>0</v>
      </c>
      <c r="BB81" s="114">
        <f t="shared" si="511"/>
        <v>0</v>
      </c>
      <c r="BC81" s="113"/>
      <c r="BD81" s="124"/>
      <c r="BE81" s="113">
        <f t="shared" si="526"/>
        <v>0</v>
      </c>
      <c r="BF81" s="114">
        <f t="shared" si="526"/>
        <v>0</v>
      </c>
      <c r="BG81" s="113">
        <f t="shared" si="526"/>
        <v>0</v>
      </c>
      <c r="BH81" s="114"/>
      <c r="BI81" s="114">
        <f t="shared" ref="BI81:BO81" si="527">BA81</f>
        <v>0</v>
      </c>
      <c r="BJ81" s="114">
        <f t="shared" si="513"/>
        <v>0</v>
      </c>
      <c r="BK81" s="113"/>
      <c r="BL81" s="124"/>
      <c r="BM81" s="113">
        <f t="shared" si="527"/>
        <v>0</v>
      </c>
      <c r="BN81" s="114">
        <f t="shared" si="527"/>
        <v>0</v>
      </c>
      <c r="BO81" s="113">
        <f t="shared" si="527"/>
        <v>0</v>
      </c>
      <c r="BP81" s="114"/>
      <c r="BQ81" s="114">
        <f t="shared" ref="BQ81:BW81" si="528">BI81</f>
        <v>0</v>
      </c>
      <c r="BR81" s="114">
        <f t="shared" si="515"/>
        <v>0</v>
      </c>
      <c r="BS81" s="113"/>
      <c r="BT81" s="124"/>
      <c r="BU81" s="113">
        <f t="shared" si="528"/>
        <v>0</v>
      </c>
      <c r="BV81" s="114">
        <f t="shared" si="528"/>
        <v>0</v>
      </c>
      <c r="BW81" s="113">
        <f t="shared" si="528"/>
        <v>0</v>
      </c>
      <c r="BX81" s="114"/>
      <c r="BY81" s="114">
        <f t="shared" ref="BY81:CE81" si="529">BQ81</f>
        <v>0</v>
      </c>
      <c r="BZ81" s="114">
        <f t="shared" si="517"/>
        <v>0</v>
      </c>
      <c r="CA81" s="113"/>
      <c r="CB81" s="124"/>
      <c r="CC81" s="113">
        <f t="shared" si="529"/>
        <v>0</v>
      </c>
      <c r="CD81" s="114">
        <f t="shared" si="529"/>
        <v>0</v>
      </c>
      <c r="CE81" s="113">
        <f t="shared" si="529"/>
        <v>0</v>
      </c>
      <c r="CF81" s="114">
        <f t="shared" si="518"/>
        <v>0</v>
      </c>
      <c r="CG81" s="114">
        <f t="shared" si="519"/>
        <v>0</v>
      </c>
      <c r="CH81" s="114">
        <f t="shared" si="520"/>
        <v>0</v>
      </c>
      <c r="CI81" s="113"/>
    </row>
    <row r="82" s="104" customFormat="1" customHeight="1" spans="1:87">
      <c r="A82" s="113"/>
      <c r="B82" s="114"/>
      <c r="C82" s="113"/>
      <c r="D82" s="114"/>
      <c r="E82" s="114"/>
      <c r="F82" s="114">
        <f t="shared" si="496"/>
        <v>0</v>
      </c>
      <c r="G82" s="113"/>
      <c r="H82" s="124"/>
      <c r="I82" s="113">
        <f t="shared" si="497"/>
        <v>0</v>
      </c>
      <c r="J82" s="114">
        <f t="shared" si="498"/>
        <v>0</v>
      </c>
      <c r="K82" s="113">
        <f t="shared" si="499"/>
        <v>0</v>
      </c>
      <c r="L82" s="114"/>
      <c r="M82" s="114">
        <f t="shared" ref="M82:S82" si="530">E82</f>
        <v>0</v>
      </c>
      <c r="N82" s="114">
        <f t="shared" si="501"/>
        <v>0</v>
      </c>
      <c r="O82" s="113"/>
      <c r="P82" s="124"/>
      <c r="Q82" s="113">
        <f t="shared" si="530"/>
        <v>0</v>
      </c>
      <c r="R82" s="114">
        <f t="shared" si="530"/>
        <v>0</v>
      </c>
      <c r="S82" s="113">
        <f t="shared" si="530"/>
        <v>0</v>
      </c>
      <c r="T82" s="114"/>
      <c r="U82" s="114">
        <f t="shared" ref="U82:AA82" si="531">M82</f>
        <v>0</v>
      </c>
      <c r="V82" s="114">
        <f t="shared" si="503"/>
        <v>0</v>
      </c>
      <c r="W82" s="113"/>
      <c r="X82" s="124"/>
      <c r="Y82" s="113">
        <f t="shared" si="531"/>
        <v>0</v>
      </c>
      <c r="Z82" s="114">
        <f t="shared" si="531"/>
        <v>0</v>
      </c>
      <c r="AA82" s="113">
        <f t="shared" si="531"/>
        <v>0</v>
      </c>
      <c r="AB82" s="114"/>
      <c r="AC82" s="114">
        <f t="shared" ref="AC82:AI82" si="532">U82</f>
        <v>0</v>
      </c>
      <c r="AD82" s="114">
        <f t="shared" si="505"/>
        <v>0</v>
      </c>
      <c r="AE82" s="113"/>
      <c r="AF82" s="124"/>
      <c r="AG82" s="113">
        <f t="shared" si="532"/>
        <v>0</v>
      </c>
      <c r="AH82" s="114">
        <f t="shared" si="532"/>
        <v>0</v>
      </c>
      <c r="AI82" s="113">
        <f t="shared" si="532"/>
        <v>0</v>
      </c>
      <c r="AJ82" s="114"/>
      <c r="AK82" s="114">
        <f t="shared" ref="AK82:AQ82" si="533">AC82</f>
        <v>0</v>
      </c>
      <c r="AL82" s="114">
        <f t="shared" si="507"/>
        <v>0</v>
      </c>
      <c r="AM82" s="113"/>
      <c r="AN82" s="124"/>
      <c r="AO82" s="113">
        <f t="shared" si="533"/>
        <v>0</v>
      </c>
      <c r="AP82" s="114">
        <f t="shared" si="533"/>
        <v>0</v>
      </c>
      <c r="AQ82" s="113">
        <f t="shared" si="533"/>
        <v>0</v>
      </c>
      <c r="AR82" s="114"/>
      <c r="AS82" s="114">
        <f t="shared" ref="AS82:AY82" si="534">AK82</f>
        <v>0</v>
      </c>
      <c r="AT82" s="114">
        <f t="shared" si="509"/>
        <v>0</v>
      </c>
      <c r="AU82" s="113"/>
      <c r="AV82" s="124"/>
      <c r="AW82" s="113">
        <f t="shared" si="534"/>
        <v>0</v>
      </c>
      <c r="AX82" s="114">
        <f t="shared" si="534"/>
        <v>0</v>
      </c>
      <c r="AY82" s="113">
        <f t="shared" si="534"/>
        <v>0</v>
      </c>
      <c r="AZ82" s="114"/>
      <c r="BA82" s="114">
        <f t="shared" ref="BA82:BG82" si="535">AS82</f>
        <v>0</v>
      </c>
      <c r="BB82" s="114">
        <f t="shared" si="511"/>
        <v>0</v>
      </c>
      <c r="BC82" s="113"/>
      <c r="BD82" s="124"/>
      <c r="BE82" s="113">
        <f t="shared" si="535"/>
        <v>0</v>
      </c>
      <c r="BF82" s="114">
        <f t="shared" si="535"/>
        <v>0</v>
      </c>
      <c r="BG82" s="113">
        <f t="shared" si="535"/>
        <v>0</v>
      </c>
      <c r="BH82" s="114"/>
      <c r="BI82" s="114">
        <f t="shared" ref="BI82:BO82" si="536">BA82</f>
        <v>0</v>
      </c>
      <c r="BJ82" s="114">
        <f t="shared" si="513"/>
        <v>0</v>
      </c>
      <c r="BK82" s="113"/>
      <c r="BL82" s="124"/>
      <c r="BM82" s="113">
        <f t="shared" si="536"/>
        <v>0</v>
      </c>
      <c r="BN82" s="114">
        <f t="shared" si="536"/>
        <v>0</v>
      </c>
      <c r="BO82" s="113">
        <f t="shared" si="536"/>
        <v>0</v>
      </c>
      <c r="BP82" s="114"/>
      <c r="BQ82" s="114">
        <f t="shared" ref="BQ82:BW82" si="537">BI82</f>
        <v>0</v>
      </c>
      <c r="BR82" s="114">
        <f t="shared" si="515"/>
        <v>0</v>
      </c>
      <c r="BS82" s="113"/>
      <c r="BT82" s="124"/>
      <c r="BU82" s="113">
        <f t="shared" si="537"/>
        <v>0</v>
      </c>
      <c r="BV82" s="114">
        <f t="shared" si="537"/>
        <v>0</v>
      </c>
      <c r="BW82" s="113">
        <f t="shared" si="537"/>
        <v>0</v>
      </c>
      <c r="BX82" s="114"/>
      <c r="BY82" s="114">
        <f t="shared" ref="BY82:CE82" si="538">BQ82</f>
        <v>0</v>
      </c>
      <c r="BZ82" s="114">
        <f t="shared" si="517"/>
        <v>0</v>
      </c>
      <c r="CA82" s="113"/>
      <c r="CB82" s="124"/>
      <c r="CC82" s="113">
        <f t="shared" si="538"/>
        <v>0</v>
      </c>
      <c r="CD82" s="114">
        <f t="shared" si="538"/>
        <v>0</v>
      </c>
      <c r="CE82" s="113">
        <f t="shared" si="538"/>
        <v>0</v>
      </c>
      <c r="CF82" s="114">
        <f t="shared" si="518"/>
        <v>0</v>
      </c>
      <c r="CG82" s="114">
        <f t="shared" si="519"/>
        <v>0</v>
      </c>
      <c r="CH82" s="114">
        <f t="shared" si="520"/>
        <v>0</v>
      </c>
      <c r="CI82" s="113"/>
    </row>
    <row r="83" s="104" customFormat="1" customHeight="1" spans="1:87">
      <c r="A83" s="126"/>
      <c r="B83" s="114"/>
      <c r="C83" s="113"/>
      <c r="D83" s="114"/>
      <c r="E83" s="114"/>
      <c r="F83" s="114">
        <f t="shared" si="496"/>
        <v>0</v>
      </c>
      <c r="G83" s="113"/>
      <c r="H83" s="124"/>
      <c r="I83" s="113">
        <f t="shared" si="497"/>
        <v>0</v>
      </c>
      <c r="J83" s="114">
        <f t="shared" si="498"/>
        <v>0</v>
      </c>
      <c r="K83" s="113">
        <f t="shared" si="499"/>
        <v>0</v>
      </c>
      <c r="L83" s="114"/>
      <c r="M83" s="114">
        <f t="shared" ref="M83:S83" si="539">E83</f>
        <v>0</v>
      </c>
      <c r="N83" s="114">
        <f t="shared" si="501"/>
        <v>0</v>
      </c>
      <c r="O83" s="113"/>
      <c r="P83" s="124"/>
      <c r="Q83" s="113">
        <f t="shared" si="539"/>
        <v>0</v>
      </c>
      <c r="R83" s="114">
        <f t="shared" si="539"/>
        <v>0</v>
      </c>
      <c r="S83" s="113">
        <f t="shared" si="539"/>
        <v>0</v>
      </c>
      <c r="T83" s="114"/>
      <c r="U83" s="114">
        <f t="shared" ref="U83:AA83" si="540">M83</f>
        <v>0</v>
      </c>
      <c r="V83" s="114">
        <f t="shared" si="503"/>
        <v>0</v>
      </c>
      <c r="W83" s="113"/>
      <c r="X83" s="124"/>
      <c r="Y83" s="113">
        <f t="shared" si="540"/>
        <v>0</v>
      </c>
      <c r="Z83" s="114">
        <f t="shared" si="540"/>
        <v>0</v>
      </c>
      <c r="AA83" s="113">
        <f t="shared" si="540"/>
        <v>0</v>
      </c>
      <c r="AB83" s="114"/>
      <c r="AC83" s="114">
        <f t="shared" ref="AC83:AI83" si="541">U83</f>
        <v>0</v>
      </c>
      <c r="AD83" s="114">
        <f t="shared" si="505"/>
        <v>0</v>
      </c>
      <c r="AE83" s="113"/>
      <c r="AF83" s="124"/>
      <c r="AG83" s="113">
        <f t="shared" si="541"/>
        <v>0</v>
      </c>
      <c r="AH83" s="114">
        <f t="shared" si="541"/>
        <v>0</v>
      </c>
      <c r="AI83" s="113">
        <f t="shared" si="541"/>
        <v>0</v>
      </c>
      <c r="AJ83" s="114"/>
      <c r="AK83" s="114">
        <f t="shared" ref="AK83:AQ83" si="542">AC83</f>
        <v>0</v>
      </c>
      <c r="AL83" s="114">
        <f t="shared" si="507"/>
        <v>0</v>
      </c>
      <c r="AM83" s="113"/>
      <c r="AN83" s="124"/>
      <c r="AO83" s="113">
        <f t="shared" si="542"/>
        <v>0</v>
      </c>
      <c r="AP83" s="114">
        <f t="shared" si="542"/>
        <v>0</v>
      </c>
      <c r="AQ83" s="113">
        <f t="shared" si="542"/>
        <v>0</v>
      </c>
      <c r="AR83" s="114"/>
      <c r="AS83" s="114">
        <f t="shared" ref="AS83:AY83" si="543">AK83</f>
        <v>0</v>
      </c>
      <c r="AT83" s="114">
        <f t="shared" si="509"/>
        <v>0</v>
      </c>
      <c r="AU83" s="113"/>
      <c r="AV83" s="124"/>
      <c r="AW83" s="113">
        <f t="shared" si="543"/>
        <v>0</v>
      </c>
      <c r="AX83" s="114">
        <f t="shared" si="543"/>
        <v>0</v>
      </c>
      <c r="AY83" s="113">
        <f t="shared" si="543"/>
        <v>0</v>
      </c>
      <c r="AZ83" s="114"/>
      <c r="BA83" s="114">
        <f t="shared" ref="BA83:BG83" si="544">AS83</f>
        <v>0</v>
      </c>
      <c r="BB83" s="114">
        <f t="shared" si="511"/>
        <v>0</v>
      </c>
      <c r="BC83" s="113"/>
      <c r="BD83" s="124"/>
      <c r="BE83" s="113">
        <f t="shared" si="544"/>
        <v>0</v>
      </c>
      <c r="BF83" s="114">
        <f t="shared" si="544"/>
        <v>0</v>
      </c>
      <c r="BG83" s="113">
        <f t="shared" si="544"/>
        <v>0</v>
      </c>
      <c r="BH83" s="114"/>
      <c r="BI83" s="114">
        <f t="shared" ref="BI83:BO83" si="545">BA83</f>
        <v>0</v>
      </c>
      <c r="BJ83" s="114">
        <f t="shared" si="513"/>
        <v>0</v>
      </c>
      <c r="BK83" s="113"/>
      <c r="BL83" s="124"/>
      <c r="BM83" s="113">
        <f t="shared" si="545"/>
        <v>0</v>
      </c>
      <c r="BN83" s="114">
        <f t="shared" si="545"/>
        <v>0</v>
      </c>
      <c r="BO83" s="113">
        <f t="shared" si="545"/>
        <v>0</v>
      </c>
      <c r="BP83" s="114"/>
      <c r="BQ83" s="114">
        <f t="shared" ref="BQ83:BW83" si="546">BI83</f>
        <v>0</v>
      </c>
      <c r="BR83" s="114">
        <f t="shared" si="515"/>
        <v>0</v>
      </c>
      <c r="BS83" s="113"/>
      <c r="BT83" s="124"/>
      <c r="BU83" s="113">
        <f t="shared" si="546"/>
        <v>0</v>
      </c>
      <c r="BV83" s="114">
        <f t="shared" si="546"/>
        <v>0</v>
      </c>
      <c r="BW83" s="113">
        <f t="shared" si="546"/>
        <v>0</v>
      </c>
      <c r="BX83" s="114"/>
      <c r="BY83" s="114">
        <f t="shared" ref="BY83:CE83" si="547">BQ83</f>
        <v>0</v>
      </c>
      <c r="BZ83" s="114">
        <f t="shared" si="517"/>
        <v>0</v>
      </c>
      <c r="CA83" s="113"/>
      <c r="CB83" s="124"/>
      <c r="CC83" s="113">
        <f t="shared" si="547"/>
        <v>0</v>
      </c>
      <c r="CD83" s="114">
        <f t="shared" si="547"/>
        <v>0</v>
      </c>
      <c r="CE83" s="113">
        <f t="shared" si="547"/>
        <v>0</v>
      </c>
      <c r="CF83" s="114">
        <f t="shared" si="518"/>
        <v>0</v>
      </c>
      <c r="CG83" s="114">
        <f t="shared" si="519"/>
        <v>0</v>
      </c>
      <c r="CH83" s="114">
        <f t="shared" si="520"/>
        <v>0</v>
      </c>
      <c r="CI83" s="113"/>
    </row>
    <row r="84" s="104" customFormat="1" customHeight="1" spans="1:87">
      <c r="A84" s="126"/>
      <c r="B84" s="127"/>
      <c r="C84" s="126"/>
      <c r="D84" s="127"/>
      <c r="E84" s="127"/>
      <c r="F84" s="114">
        <f t="shared" si="496"/>
        <v>0</v>
      </c>
      <c r="G84" s="113"/>
      <c r="H84" s="124"/>
      <c r="I84" s="113">
        <f t="shared" si="497"/>
        <v>0</v>
      </c>
      <c r="J84" s="114">
        <f t="shared" si="498"/>
        <v>0</v>
      </c>
      <c r="K84" s="113">
        <f t="shared" si="499"/>
        <v>0</v>
      </c>
      <c r="L84" s="114"/>
      <c r="M84" s="114">
        <f t="shared" ref="M84:S84" si="548">E84</f>
        <v>0</v>
      </c>
      <c r="N84" s="114">
        <f t="shared" si="501"/>
        <v>0</v>
      </c>
      <c r="O84" s="113"/>
      <c r="P84" s="124"/>
      <c r="Q84" s="113">
        <f t="shared" si="548"/>
        <v>0</v>
      </c>
      <c r="R84" s="114">
        <f t="shared" si="548"/>
        <v>0</v>
      </c>
      <c r="S84" s="113">
        <f t="shared" si="548"/>
        <v>0</v>
      </c>
      <c r="T84" s="114"/>
      <c r="U84" s="114">
        <f t="shared" ref="U84:AA84" si="549">M84</f>
        <v>0</v>
      </c>
      <c r="V84" s="114">
        <f t="shared" si="503"/>
        <v>0</v>
      </c>
      <c r="W84" s="113"/>
      <c r="X84" s="124"/>
      <c r="Y84" s="113">
        <f t="shared" si="549"/>
        <v>0</v>
      </c>
      <c r="Z84" s="114">
        <f t="shared" si="549"/>
        <v>0</v>
      </c>
      <c r="AA84" s="113">
        <f t="shared" si="549"/>
        <v>0</v>
      </c>
      <c r="AB84" s="114"/>
      <c r="AC84" s="114">
        <f t="shared" ref="AC84:AI84" si="550">U84</f>
        <v>0</v>
      </c>
      <c r="AD84" s="114">
        <f t="shared" si="505"/>
        <v>0</v>
      </c>
      <c r="AE84" s="113"/>
      <c r="AF84" s="124"/>
      <c r="AG84" s="113">
        <f t="shared" si="550"/>
        <v>0</v>
      </c>
      <c r="AH84" s="114">
        <f t="shared" si="550"/>
        <v>0</v>
      </c>
      <c r="AI84" s="113">
        <f t="shared" si="550"/>
        <v>0</v>
      </c>
      <c r="AJ84" s="114"/>
      <c r="AK84" s="114">
        <f t="shared" ref="AK84:AQ84" si="551">AC84</f>
        <v>0</v>
      </c>
      <c r="AL84" s="114">
        <f t="shared" si="507"/>
        <v>0</v>
      </c>
      <c r="AM84" s="113"/>
      <c r="AN84" s="124"/>
      <c r="AO84" s="113">
        <f t="shared" si="551"/>
        <v>0</v>
      </c>
      <c r="AP84" s="114">
        <f t="shared" si="551"/>
        <v>0</v>
      </c>
      <c r="AQ84" s="113">
        <f t="shared" si="551"/>
        <v>0</v>
      </c>
      <c r="AR84" s="114"/>
      <c r="AS84" s="114">
        <f t="shared" ref="AS84:AY84" si="552">AK84</f>
        <v>0</v>
      </c>
      <c r="AT84" s="114">
        <f t="shared" si="509"/>
        <v>0</v>
      </c>
      <c r="AU84" s="113"/>
      <c r="AV84" s="124"/>
      <c r="AW84" s="113">
        <f t="shared" si="552"/>
        <v>0</v>
      </c>
      <c r="AX84" s="114">
        <f t="shared" si="552"/>
        <v>0</v>
      </c>
      <c r="AY84" s="113">
        <f t="shared" si="552"/>
        <v>0</v>
      </c>
      <c r="AZ84" s="114"/>
      <c r="BA84" s="114">
        <f t="shared" ref="BA84:BG84" si="553">AS84</f>
        <v>0</v>
      </c>
      <c r="BB84" s="114">
        <f t="shared" si="511"/>
        <v>0</v>
      </c>
      <c r="BC84" s="113"/>
      <c r="BD84" s="124"/>
      <c r="BE84" s="113">
        <f t="shared" si="553"/>
        <v>0</v>
      </c>
      <c r="BF84" s="114">
        <f t="shared" si="553"/>
        <v>0</v>
      </c>
      <c r="BG84" s="113">
        <f t="shared" si="553"/>
        <v>0</v>
      </c>
      <c r="BH84" s="114"/>
      <c r="BI84" s="114">
        <f t="shared" ref="BI84:BO84" si="554">BA84</f>
        <v>0</v>
      </c>
      <c r="BJ84" s="114">
        <f t="shared" si="513"/>
        <v>0</v>
      </c>
      <c r="BK84" s="113"/>
      <c r="BL84" s="124"/>
      <c r="BM84" s="113">
        <f t="shared" si="554"/>
        <v>0</v>
      </c>
      <c r="BN84" s="114">
        <f t="shared" si="554"/>
        <v>0</v>
      </c>
      <c r="BO84" s="113">
        <f t="shared" si="554"/>
        <v>0</v>
      </c>
      <c r="BP84" s="114"/>
      <c r="BQ84" s="114">
        <f t="shared" ref="BQ84:BW84" si="555">BI84</f>
        <v>0</v>
      </c>
      <c r="BR84" s="114">
        <f t="shared" si="515"/>
        <v>0</v>
      </c>
      <c r="BS84" s="113"/>
      <c r="BT84" s="124"/>
      <c r="BU84" s="113">
        <f t="shared" si="555"/>
        <v>0</v>
      </c>
      <c r="BV84" s="114">
        <f t="shared" si="555"/>
        <v>0</v>
      </c>
      <c r="BW84" s="113">
        <f t="shared" si="555"/>
        <v>0</v>
      </c>
      <c r="BX84" s="114"/>
      <c r="BY84" s="114">
        <f t="shared" ref="BY84:CE84" si="556">BQ84</f>
        <v>0</v>
      </c>
      <c r="BZ84" s="114">
        <f t="shared" si="517"/>
        <v>0</v>
      </c>
      <c r="CA84" s="113"/>
      <c r="CB84" s="124"/>
      <c r="CC84" s="113">
        <f t="shared" si="556"/>
        <v>0</v>
      </c>
      <c r="CD84" s="114">
        <f t="shared" si="556"/>
        <v>0</v>
      </c>
      <c r="CE84" s="113">
        <f t="shared" si="556"/>
        <v>0</v>
      </c>
      <c r="CF84" s="114">
        <f t="shared" si="518"/>
        <v>0</v>
      </c>
      <c r="CG84" s="114">
        <f t="shared" si="519"/>
        <v>0</v>
      </c>
      <c r="CH84" s="114">
        <f t="shared" si="520"/>
        <v>0</v>
      </c>
      <c r="CI84" s="113"/>
    </row>
    <row r="85" s="104" customFormat="1" customHeight="1" spans="1:87">
      <c r="A85" s="126"/>
      <c r="B85" s="127"/>
      <c r="C85" s="126"/>
      <c r="D85" s="127"/>
      <c r="E85" s="127"/>
      <c r="F85" s="114">
        <f t="shared" si="496"/>
        <v>0</v>
      </c>
      <c r="G85" s="113"/>
      <c r="H85" s="124"/>
      <c r="I85" s="113">
        <f t="shared" si="497"/>
        <v>0</v>
      </c>
      <c r="J85" s="114">
        <f t="shared" si="498"/>
        <v>0</v>
      </c>
      <c r="K85" s="113">
        <f t="shared" si="499"/>
        <v>0</v>
      </c>
      <c r="L85" s="114"/>
      <c r="M85" s="114">
        <f t="shared" ref="M85:S85" si="557">E85</f>
        <v>0</v>
      </c>
      <c r="N85" s="114">
        <f t="shared" si="501"/>
        <v>0</v>
      </c>
      <c r="O85" s="113"/>
      <c r="P85" s="124"/>
      <c r="Q85" s="113">
        <f t="shared" si="557"/>
        <v>0</v>
      </c>
      <c r="R85" s="114">
        <f t="shared" si="557"/>
        <v>0</v>
      </c>
      <c r="S85" s="113">
        <f t="shared" si="557"/>
        <v>0</v>
      </c>
      <c r="T85" s="114"/>
      <c r="U85" s="114">
        <f t="shared" ref="U85:AA85" si="558">M85</f>
        <v>0</v>
      </c>
      <c r="V85" s="114">
        <f t="shared" si="503"/>
        <v>0</v>
      </c>
      <c r="W85" s="113"/>
      <c r="X85" s="124"/>
      <c r="Y85" s="113">
        <f t="shared" si="558"/>
        <v>0</v>
      </c>
      <c r="Z85" s="114">
        <f t="shared" si="558"/>
        <v>0</v>
      </c>
      <c r="AA85" s="113">
        <f t="shared" si="558"/>
        <v>0</v>
      </c>
      <c r="AB85" s="114"/>
      <c r="AC85" s="114">
        <f t="shared" ref="AC85:AI85" si="559">U85</f>
        <v>0</v>
      </c>
      <c r="AD85" s="114">
        <f t="shared" si="505"/>
        <v>0</v>
      </c>
      <c r="AE85" s="113"/>
      <c r="AF85" s="124"/>
      <c r="AG85" s="113">
        <f t="shared" si="559"/>
        <v>0</v>
      </c>
      <c r="AH85" s="114">
        <f t="shared" si="559"/>
        <v>0</v>
      </c>
      <c r="AI85" s="113">
        <f t="shared" si="559"/>
        <v>0</v>
      </c>
      <c r="AJ85" s="114"/>
      <c r="AK85" s="114">
        <f t="shared" ref="AK85:AQ85" si="560">AC85</f>
        <v>0</v>
      </c>
      <c r="AL85" s="114">
        <f t="shared" si="507"/>
        <v>0</v>
      </c>
      <c r="AM85" s="113"/>
      <c r="AN85" s="124"/>
      <c r="AO85" s="113">
        <f t="shared" si="560"/>
        <v>0</v>
      </c>
      <c r="AP85" s="114">
        <f t="shared" si="560"/>
        <v>0</v>
      </c>
      <c r="AQ85" s="113">
        <f t="shared" si="560"/>
        <v>0</v>
      </c>
      <c r="AR85" s="114"/>
      <c r="AS85" s="114">
        <f t="shared" ref="AS85:AY85" si="561">AK85</f>
        <v>0</v>
      </c>
      <c r="AT85" s="114">
        <f t="shared" si="509"/>
        <v>0</v>
      </c>
      <c r="AU85" s="113"/>
      <c r="AV85" s="124"/>
      <c r="AW85" s="113">
        <f t="shared" si="561"/>
        <v>0</v>
      </c>
      <c r="AX85" s="114">
        <f t="shared" si="561"/>
        <v>0</v>
      </c>
      <c r="AY85" s="113">
        <f t="shared" si="561"/>
        <v>0</v>
      </c>
      <c r="AZ85" s="114"/>
      <c r="BA85" s="114">
        <f t="shared" ref="BA85:BG85" si="562">AS85</f>
        <v>0</v>
      </c>
      <c r="BB85" s="114">
        <f t="shared" si="511"/>
        <v>0</v>
      </c>
      <c r="BC85" s="113"/>
      <c r="BD85" s="124"/>
      <c r="BE85" s="113">
        <f t="shared" si="562"/>
        <v>0</v>
      </c>
      <c r="BF85" s="114">
        <f t="shared" si="562"/>
        <v>0</v>
      </c>
      <c r="BG85" s="113">
        <f t="shared" si="562"/>
        <v>0</v>
      </c>
      <c r="BH85" s="114"/>
      <c r="BI85" s="114">
        <f t="shared" ref="BI85:BO85" si="563">BA85</f>
        <v>0</v>
      </c>
      <c r="BJ85" s="114">
        <f t="shared" si="513"/>
        <v>0</v>
      </c>
      <c r="BK85" s="113"/>
      <c r="BL85" s="124"/>
      <c r="BM85" s="113">
        <f t="shared" si="563"/>
        <v>0</v>
      </c>
      <c r="BN85" s="114">
        <f t="shared" si="563"/>
        <v>0</v>
      </c>
      <c r="BO85" s="113">
        <f t="shared" si="563"/>
        <v>0</v>
      </c>
      <c r="BP85" s="114"/>
      <c r="BQ85" s="114">
        <f t="shared" ref="BQ85:BW85" si="564">BI85</f>
        <v>0</v>
      </c>
      <c r="BR85" s="114">
        <f t="shared" si="515"/>
        <v>0</v>
      </c>
      <c r="BS85" s="113"/>
      <c r="BT85" s="124"/>
      <c r="BU85" s="113">
        <f t="shared" si="564"/>
        <v>0</v>
      </c>
      <c r="BV85" s="114">
        <f t="shared" si="564"/>
        <v>0</v>
      </c>
      <c r="BW85" s="113">
        <f t="shared" si="564"/>
        <v>0</v>
      </c>
      <c r="BX85" s="114"/>
      <c r="BY85" s="114">
        <f t="shared" ref="BY85:CE85" si="565">BQ85</f>
        <v>0</v>
      </c>
      <c r="BZ85" s="114">
        <f t="shared" si="517"/>
        <v>0</v>
      </c>
      <c r="CA85" s="113"/>
      <c r="CB85" s="124"/>
      <c r="CC85" s="113">
        <f t="shared" si="565"/>
        <v>0</v>
      </c>
      <c r="CD85" s="114">
        <f t="shared" si="565"/>
        <v>0</v>
      </c>
      <c r="CE85" s="113">
        <f t="shared" si="565"/>
        <v>0</v>
      </c>
      <c r="CF85" s="114">
        <f t="shared" si="518"/>
        <v>0</v>
      </c>
      <c r="CG85" s="114">
        <f t="shared" si="519"/>
        <v>0</v>
      </c>
      <c r="CH85" s="114">
        <f t="shared" si="520"/>
        <v>0</v>
      </c>
      <c r="CI85" s="113"/>
    </row>
    <row r="86" s="104" customFormat="1" customHeight="1" spans="1:87">
      <c r="A86" s="126"/>
      <c r="B86" s="127"/>
      <c r="C86" s="126"/>
      <c r="D86" s="127"/>
      <c r="E86" s="127"/>
      <c r="F86" s="114">
        <f t="shared" si="496"/>
        <v>0</v>
      </c>
      <c r="G86" s="113"/>
      <c r="H86" s="124"/>
      <c r="I86" s="113">
        <f t="shared" si="497"/>
        <v>0</v>
      </c>
      <c r="J86" s="114">
        <f t="shared" si="498"/>
        <v>0</v>
      </c>
      <c r="K86" s="113">
        <f t="shared" si="499"/>
        <v>0</v>
      </c>
      <c r="L86" s="114"/>
      <c r="M86" s="114">
        <f t="shared" ref="M86:S86" si="566">E86</f>
        <v>0</v>
      </c>
      <c r="N86" s="114">
        <f t="shared" si="501"/>
        <v>0</v>
      </c>
      <c r="O86" s="113"/>
      <c r="P86" s="124"/>
      <c r="Q86" s="113">
        <f t="shared" si="566"/>
        <v>0</v>
      </c>
      <c r="R86" s="114">
        <f t="shared" si="566"/>
        <v>0</v>
      </c>
      <c r="S86" s="113">
        <f t="shared" si="566"/>
        <v>0</v>
      </c>
      <c r="T86" s="114"/>
      <c r="U86" s="114">
        <f t="shared" ref="U86:AA86" si="567">M86</f>
        <v>0</v>
      </c>
      <c r="V86" s="114">
        <f t="shared" si="503"/>
        <v>0</v>
      </c>
      <c r="W86" s="113"/>
      <c r="X86" s="124"/>
      <c r="Y86" s="113">
        <f t="shared" si="567"/>
        <v>0</v>
      </c>
      <c r="Z86" s="114">
        <f t="shared" si="567"/>
        <v>0</v>
      </c>
      <c r="AA86" s="113">
        <f t="shared" si="567"/>
        <v>0</v>
      </c>
      <c r="AB86" s="114"/>
      <c r="AC86" s="114">
        <f t="shared" ref="AC86:AI86" si="568">U86</f>
        <v>0</v>
      </c>
      <c r="AD86" s="114">
        <f t="shared" si="505"/>
        <v>0</v>
      </c>
      <c r="AE86" s="113"/>
      <c r="AF86" s="124"/>
      <c r="AG86" s="113">
        <f t="shared" si="568"/>
        <v>0</v>
      </c>
      <c r="AH86" s="114">
        <f t="shared" si="568"/>
        <v>0</v>
      </c>
      <c r="AI86" s="113">
        <f t="shared" si="568"/>
        <v>0</v>
      </c>
      <c r="AJ86" s="114"/>
      <c r="AK86" s="114">
        <f t="shared" ref="AK86:AQ86" si="569">AC86</f>
        <v>0</v>
      </c>
      <c r="AL86" s="114">
        <f t="shared" si="507"/>
        <v>0</v>
      </c>
      <c r="AM86" s="113"/>
      <c r="AN86" s="124"/>
      <c r="AO86" s="113">
        <f t="shared" si="569"/>
        <v>0</v>
      </c>
      <c r="AP86" s="114">
        <f t="shared" si="569"/>
        <v>0</v>
      </c>
      <c r="AQ86" s="113">
        <f t="shared" si="569"/>
        <v>0</v>
      </c>
      <c r="AR86" s="114"/>
      <c r="AS86" s="114">
        <f t="shared" ref="AS86:AY86" si="570">AK86</f>
        <v>0</v>
      </c>
      <c r="AT86" s="114">
        <f t="shared" si="509"/>
        <v>0</v>
      </c>
      <c r="AU86" s="113"/>
      <c r="AV86" s="124"/>
      <c r="AW86" s="113">
        <f t="shared" si="570"/>
        <v>0</v>
      </c>
      <c r="AX86" s="114">
        <f t="shared" si="570"/>
        <v>0</v>
      </c>
      <c r="AY86" s="113">
        <f t="shared" si="570"/>
        <v>0</v>
      </c>
      <c r="AZ86" s="114"/>
      <c r="BA86" s="114">
        <f t="shared" ref="BA86:BG86" si="571">AS86</f>
        <v>0</v>
      </c>
      <c r="BB86" s="114">
        <f t="shared" si="511"/>
        <v>0</v>
      </c>
      <c r="BC86" s="113"/>
      <c r="BD86" s="124"/>
      <c r="BE86" s="113">
        <f t="shared" si="571"/>
        <v>0</v>
      </c>
      <c r="BF86" s="114">
        <f t="shared" si="571"/>
        <v>0</v>
      </c>
      <c r="BG86" s="113">
        <f t="shared" si="571"/>
        <v>0</v>
      </c>
      <c r="BH86" s="114"/>
      <c r="BI86" s="114">
        <f t="shared" ref="BI86:BO86" si="572">BA86</f>
        <v>0</v>
      </c>
      <c r="BJ86" s="114">
        <f t="shared" si="513"/>
        <v>0</v>
      </c>
      <c r="BK86" s="113"/>
      <c r="BL86" s="124"/>
      <c r="BM86" s="113">
        <f t="shared" si="572"/>
        <v>0</v>
      </c>
      <c r="BN86" s="114">
        <f t="shared" si="572"/>
        <v>0</v>
      </c>
      <c r="BO86" s="113">
        <f t="shared" si="572"/>
        <v>0</v>
      </c>
      <c r="BP86" s="114"/>
      <c r="BQ86" s="114">
        <f t="shared" ref="BQ86:BW86" si="573">BI86</f>
        <v>0</v>
      </c>
      <c r="BR86" s="114">
        <f t="shared" si="515"/>
        <v>0</v>
      </c>
      <c r="BS86" s="113"/>
      <c r="BT86" s="124"/>
      <c r="BU86" s="113">
        <f t="shared" si="573"/>
        <v>0</v>
      </c>
      <c r="BV86" s="114">
        <f t="shared" si="573"/>
        <v>0</v>
      </c>
      <c r="BW86" s="113">
        <f t="shared" si="573"/>
        <v>0</v>
      </c>
      <c r="BX86" s="114"/>
      <c r="BY86" s="114">
        <f t="shared" ref="BY86:CE86" si="574">BQ86</f>
        <v>0</v>
      </c>
      <c r="BZ86" s="114">
        <f t="shared" si="517"/>
        <v>0</v>
      </c>
      <c r="CA86" s="113"/>
      <c r="CB86" s="124"/>
      <c r="CC86" s="113">
        <f t="shared" si="574"/>
        <v>0</v>
      </c>
      <c r="CD86" s="114">
        <f t="shared" si="574"/>
        <v>0</v>
      </c>
      <c r="CE86" s="113">
        <f t="shared" si="574"/>
        <v>0</v>
      </c>
      <c r="CF86" s="114">
        <f t="shared" si="518"/>
        <v>0</v>
      </c>
      <c r="CG86" s="114">
        <f t="shared" si="519"/>
        <v>0</v>
      </c>
      <c r="CH86" s="114">
        <f t="shared" si="520"/>
        <v>0</v>
      </c>
      <c r="CI86" s="113"/>
    </row>
    <row r="87" s="104" customFormat="1" customHeight="1" spans="1:87">
      <c r="A87" s="126"/>
      <c r="B87" s="127"/>
      <c r="C87" s="126"/>
      <c r="D87" s="127"/>
      <c r="E87" s="127"/>
      <c r="F87" s="114">
        <f t="shared" si="496"/>
        <v>0</v>
      </c>
      <c r="G87" s="113"/>
      <c r="H87" s="124"/>
      <c r="I87" s="113">
        <f t="shared" si="497"/>
        <v>0</v>
      </c>
      <c r="J87" s="114">
        <f t="shared" si="498"/>
        <v>0</v>
      </c>
      <c r="K87" s="113">
        <f t="shared" si="499"/>
        <v>0</v>
      </c>
      <c r="L87" s="114"/>
      <c r="M87" s="114">
        <f t="shared" ref="M87:S87" si="575">E87</f>
        <v>0</v>
      </c>
      <c r="N87" s="114">
        <f t="shared" si="501"/>
        <v>0</v>
      </c>
      <c r="O87" s="113"/>
      <c r="P87" s="124"/>
      <c r="Q87" s="113">
        <f t="shared" si="575"/>
        <v>0</v>
      </c>
      <c r="R87" s="114">
        <f t="shared" si="575"/>
        <v>0</v>
      </c>
      <c r="S87" s="113">
        <f t="shared" si="575"/>
        <v>0</v>
      </c>
      <c r="T87" s="114"/>
      <c r="U87" s="114">
        <f t="shared" ref="U87:AA87" si="576">M87</f>
        <v>0</v>
      </c>
      <c r="V87" s="114">
        <f t="shared" si="503"/>
        <v>0</v>
      </c>
      <c r="W87" s="113"/>
      <c r="X87" s="124"/>
      <c r="Y87" s="113">
        <f t="shared" si="576"/>
        <v>0</v>
      </c>
      <c r="Z87" s="114">
        <f t="shared" si="576"/>
        <v>0</v>
      </c>
      <c r="AA87" s="113">
        <f t="shared" si="576"/>
        <v>0</v>
      </c>
      <c r="AB87" s="114"/>
      <c r="AC87" s="114">
        <f t="shared" ref="AC87:AI87" si="577">U87</f>
        <v>0</v>
      </c>
      <c r="AD87" s="114">
        <f t="shared" si="505"/>
        <v>0</v>
      </c>
      <c r="AE87" s="113"/>
      <c r="AF87" s="124"/>
      <c r="AG87" s="113">
        <f t="shared" si="577"/>
        <v>0</v>
      </c>
      <c r="AH87" s="114">
        <f t="shared" si="577"/>
        <v>0</v>
      </c>
      <c r="AI87" s="113">
        <f t="shared" si="577"/>
        <v>0</v>
      </c>
      <c r="AJ87" s="114"/>
      <c r="AK87" s="114">
        <f t="shared" ref="AK87:AQ87" si="578">AC87</f>
        <v>0</v>
      </c>
      <c r="AL87" s="114">
        <f t="shared" si="507"/>
        <v>0</v>
      </c>
      <c r="AM87" s="113"/>
      <c r="AN87" s="124"/>
      <c r="AO87" s="113">
        <f t="shared" si="578"/>
        <v>0</v>
      </c>
      <c r="AP87" s="114">
        <f t="shared" si="578"/>
        <v>0</v>
      </c>
      <c r="AQ87" s="113">
        <f t="shared" si="578"/>
        <v>0</v>
      </c>
      <c r="AR87" s="114"/>
      <c r="AS87" s="114">
        <f t="shared" ref="AS87:AY87" si="579">AK87</f>
        <v>0</v>
      </c>
      <c r="AT87" s="114">
        <f t="shared" si="509"/>
        <v>0</v>
      </c>
      <c r="AU87" s="113"/>
      <c r="AV87" s="124"/>
      <c r="AW87" s="113">
        <f t="shared" si="579"/>
        <v>0</v>
      </c>
      <c r="AX87" s="114">
        <f t="shared" si="579"/>
        <v>0</v>
      </c>
      <c r="AY87" s="113">
        <f t="shared" si="579"/>
        <v>0</v>
      </c>
      <c r="AZ87" s="114"/>
      <c r="BA87" s="114">
        <f t="shared" ref="BA87:BG87" si="580">AS87</f>
        <v>0</v>
      </c>
      <c r="BB87" s="114">
        <f t="shared" si="511"/>
        <v>0</v>
      </c>
      <c r="BC87" s="113"/>
      <c r="BD87" s="124"/>
      <c r="BE87" s="113">
        <f t="shared" si="580"/>
        <v>0</v>
      </c>
      <c r="BF87" s="114">
        <f t="shared" si="580"/>
        <v>0</v>
      </c>
      <c r="BG87" s="113">
        <f t="shared" si="580"/>
        <v>0</v>
      </c>
      <c r="BH87" s="114"/>
      <c r="BI87" s="114">
        <f t="shared" ref="BI87:BO87" si="581">BA87</f>
        <v>0</v>
      </c>
      <c r="BJ87" s="114">
        <f t="shared" si="513"/>
        <v>0</v>
      </c>
      <c r="BK87" s="113"/>
      <c r="BL87" s="124"/>
      <c r="BM87" s="113">
        <f t="shared" si="581"/>
        <v>0</v>
      </c>
      <c r="BN87" s="114">
        <f t="shared" si="581"/>
        <v>0</v>
      </c>
      <c r="BO87" s="113">
        <f t="shared" si="581"/>
        <v>0</v>
      </c>
      <c r="BP87" s="114"/>
      <c r="BQ87" s="114">
        <f t="shared" ref="BQ87:BW87" si="582">BI87</f>
        <v>0</v>
      </c>
      <c r="BR87" s="114">
        <f t="shared" si="515"/>
        <v>0</v>
      </c>
      <c r="BS87" s="113"/>
      <c r="BT87" s="124"/>
      <c r="BU87" s="113">
        <f t="shared" si="582"/>
        <v>0</v>
      </c>
      <c r="BV87" s="114">
        <f t="shared" si="582"/>
        <v>0</v>
      </c>
      <c r="BW87" s="113">
        <f t="shared" si="582"/>
        <v>0</v>
      </c>
      <c r="BX87" s="114"/>
      <c r="BY87" s="114">
        <f t="shared" ref="BY87:CE87" si="583">BQ87</f>
        <v>0</v>
      </c>
      <c r="BZ87" s="114">
        <f t="shared" si="517"/>
        <v>0</v>
      </c>
      <c r="CA87" s="113"/>
      <c r="CB87" s="124"/>
      <c r="CC87" s="113">
        <f t="shared" si="583"/>
        <v>0</v>
      </c>
      <c r="CD87" s="114">
        <f t="shared" si="583"/>
        <v>0</v>
      </c>
      <c r="CE87" s="113">
        <f t="shared" si="583"/>
        <v>0</v>
      </c>
      <c r="CF87" s="114">
        <f t="shared" si="518"/>
        <v>0</v>
      </c>
      <c r="CG87" s="114">
        <f t="shared" si="519"/>
        <v>0</v>
      </c>
      <c r="CH87" s="114">
        <f t="shared" si="520"/>
        <v>0</v>
      </c>
      <c r="CI87" s="113"/>
    </row>
    <row r="88" s="104" customFormat="1" customHeight="1" spans="1:87">
      <c r="A88" s="126"/>
      <c r="B88" s="127"/>
      <c r="C88" s="126"/>
      <c r="D88" s="127"/>
      <c r="E88" s="127"/>
      <c r="F88" s="114">
        <f t="shared" si="496"/>
        <v>0</v>
      </c>
      <c r="G88" s="113"/>
      <c r="H88" s="124"/>
      <c r="I88" s="113">
        <f t="shared" si="497"/>
        <v>0</v>
      </c>
      <c r="J88" s="114">
        <f t="shared" si="498"/>
        <v>0</v>
      </c>
      <c r="K88" s="113">
        <f t="shared" si="499"/>
        <v>0</v>
      </c>
      <c r="L88" s="114"/>
      <c r="M88" s="114">
        <f t="shared" ref="M88:S88" si="584">E88</f>
        <v>0</v>
      </c>
      <c r="N88" s="114">
        <f t="shared" si="501"/>
        <v>0</v>
      </c>
      <c r="O88" s="113"/>
      <c r="P88" s="124"/>
      <c r="Q88" s="113">
        <f t="shared" si="584"/>
        <v>0</v>
      </c>
      <c r="R88" s="114">
        <f t="shared" si="584"/>
        <v>0</v>
      </c>
      <c r="S88" s="113">
        <f t="shared" si="584"/>
        <v>0</v>
      </c>
      <c r="T88" s="114"/>
      <c r="U88" s="114">
        <f t="shared" ref="U88:AA88" si="585">M88</f>
        <v>0</v>
      </c>
      <c r="V88" s="114">
        <f t="shared" si="503"/>
        <v>0</v>
      </c>
      <c r="W88" s="113"/>
      <c r="X88" s="124"/>
      <c r="Y88" s="113">
        <f t="shared" si="585"/>
        <v>0</v>
      </c>
      <c r="Z88" s="114">
        <f t="shared" si="585"/>
        <v>0</v>
      </c>
      <c r="AA88" s="113">
        <f t="shared" si="585"/>
        <v>0</v>
      </c>
      <c r="AB88" s="114"/>
      <c r="AC88" s="114">
        <f t="shared" ref="AC88:AI88" si="586">U88</f>
        <v>0</v>
      </c>
      <c r="AD88" s="114">
        <f t="shared" si="505"/>
        <v>0</v>
      </c>
      <c r="AE88" s="113"/>
      <c r="AF88" s="124"/>
      <c r="AG88" s="113">
        <f t="shared" si="586"/>
        <v>0</v>
      </c>
      <c r="AH88" s="114">
        <f t="shared" si="586"/>
        <v>0</v>
      </c>
      <c r="AI88" s="113">
        <f t="shared" si="586"/>
        <v>0</v>
      </c>
      <c r="AJ88" s="114"/>
      <c r="AK88" s="114">
        <f t="shared" ref="AK88:AQ88" si="587">AC88</f>
        <v>0</v>
      </c>
      <c r="AL88" s="114">
        <f t="shared" si="507"/>
        <v>0</v>
      </c>
      <c r="AM88" s="113"/>
      <c r="AN88" s="124"/>
      <c r="AO88" s="113">
        <f t="shared" si="587"/>
        <v>0</v>
      </c>
      <c r="AP88" s="114">
        <f t="shared" si="587"/>
        <v>0</v>
      </c>
      <c r="AQ88" s="113">
        <f t="shared" si="587"/>
        <v>0</v>
      </c>
      <c r="AR88" s="114"/>
      <c r="AS88" s="114">
        <f t="shared" ref="AS88:AY88" si="588">AK88</f>
        <v>0</v>
      </c>
      <c r="AT88" s="114">
        <f t="shared" si="509"/>
        <v>0</v>
      </c>
      <c r="AU88" s="113"/>
      <c r="AV88" s="124"/>
      <c r="AW88" s="113">
        <f t="shared" si="588"/>
        <v>0</v>
      </c>
      <c r="AX88" s="114">
        <f t="shared" si="588"/>
        <v>0</v>
      </c>
      <c r="AY88" s="113">
        <f t="shared" si="588"/>
        <v>0</v>
      </c>
      <c r="AZ88" s="114"/>
      <c r="BA88" s="114">
        <f t="shared" ref="BA88:BG88" si="589">AS88</f>
        <v>0</v>
      </c>
      <c r="BB88" s="114">
        <f t="shared" si="511"/>
        <v>0</v>
      </c>
      <c r="BC88" s="113"/>
      <c r="BD88" s="124"/>
      <c r="BE88" s="113">
        <f t="shared" si="589"/>
        <v>0</v>
      </c>
      <c r="BF88" s="114">
        <f t="shared" si="589"/>
        <v>0</v>
      </c>
      <c r="BG88" s="113">
        <f t="shared" si="589"/>
        <v>0</v>
      </c>
      <c r="BH88" s="114"/>
      <c r="BI88" s="114">
        <f t="shared" ref="BI88:BO88" si="590">BA88</f>
        <v>0</v>
      </c>
      <c r="BJ88" s="114">
        <f t="shared" si="513"/>
        <v>0</v>
      </c>
      <c r="BK88" s="113"/>
      <c r="BL88" s="124"/>
      <c r="BM88" s="113">
        <f t="shared" si="590"/>
        <v>0</v>
      </c>
      <c r="BN88" s="114">
        <f t="shared" si="590"/>
        <v>0</v>
      </c>
      <c r="BO88" s="113">
        <f t="shared" si="590"/>
        <v>0</v>
      </c>
      <c r="BP88" s="114"/>
      <c r="BQ88" s="114">
        <f t="shared" ref="BQ88:BW88" si="591">BI88</f>
        <v>0</v>
      </c>
      <c r="BR88" s="114">
        <f t="shared" si="515"/>
        <v>0</v>
      </c>
      <c r="BS88" s="113"/>
      <c r="BT88" s="124"/>
      <c r="BU88" s="113">
        <f t="shared" si="591"/>
        <v>0</v>
      </c>
      <c r="BV88" s="114">
        <f t="shared" si="591"/>
        <v>0</v>
      </c>
      <c r="BW88" s="113">
        <f t="shared" si="591"/>
        <v>0</v>
      </c>
      <c r="BX88" s="114"/>
      <c r="BY88" s="114">
        <f t="shared" ref="BY88:CE88" si="592">BQ88</f>
        <v>0</v>
      </c>
      <c r="BZ88" s="114">
        <f t="shared" si="517"/>
        <v>0</v>
      </c>
      <c r="CA88" s="113"/>
      <c r="CB88" s="124"/>
      <c r="CC88" s="113">
        <f t="shared" si="592"/>
        <v>0</v>
      </c>
      <c r="CD88" s="114">
        <f t="shared" si="592"/>
        <v>0</v>
      </c>
      <c r="CE88" s="113">
        <f t="shared" si="592"/>
        <v>0</v>
      </c>
      <c r="CF88" s="114">
        <f t="shared" si="518"/>
        <v>0</v>
      </c>
      <c r="CG88" s="114">
        <f t="shared" si="519"/>
        <v>0</v>
      </c>
      <c r="CH88" s="114">
        <f t="shared" si="520"/>
        <v>0</v>
      </c>
      <c r="CI88" s="113"/>
    </row>
    <row r="89" s="104" customFormat="1" customHeight="1" spans="1:87">
      <c r="A89" s="126"/>
      <c r="B89" s="127"/>
      <c r="C89" s="126"/>
      <c r="D89" s="127"/>
      <c r="E89" s="127"/>
      <c r="F89" s="114">
        <f t="shared" si="496"/>
        <v>0</v>
      </c>
      <c r="G89" s="113"/>
      <c r="H89" s="124"/>
      <c r="I89" s="113">
        <f t="shared" si="497"/>
        <v>0</v>
      </c>
      <c r="J89" s="114">
        <f t="shared" si="498"/>
        <v>0</v>
      </c>
      <c r="K89" s="113">
        <f t="shared" si="499"/>
        <v>0</v>
      </c>
      <c r="L89" s="114"/>
      <c r="M89" s="114">
        <f t="shared" ref="M89:S89" si="593">E89</f>
        <v>0</v>
      </c>
      <c r="N89" s="114">
        <f t="shared" si="501"/>
        <v>0</v>
      </c>
      <c r="O89" s="113"/>
      <c r="P89" s="124"/>
      <c r="Q89" s="113">
        <f t="shared" si="593"/>
        <v>0</v>
      </c>
      <c r="R89" s="114">
        <f t="shared" si="593"/>
        <v>0</v>
      </c>
      <c r="S89" s="113">
        <f t="shared" si="593"/>
        <v>0</v>
      </c>
      <c r="T89" s="114"/>
      <c r="U89" s="114">
        <f t="shared" ref="U89:AA89" si="594">M89</f>
        <v>0</v>
      </c>
      <c r="V89" s="114">
        <f t="shared" si="503"/>
        <v>0</v>
      </c>
      <c r="W89" s="113"/>
      <c r="X89" s="124"/>
      <c r="Y89" s="113">
        <f t="shared" si="594"/>
        <v>0</v>
      </c>
      <c r="Z89" s="114">
        <f t="shared" si="594"/>
        <v>0</v>
      </c>
      <c r="AA89" s="113">
        <f t="shared" si="594"/>
        <v>0</v>
      </c>
      <c r="AB89" s="114"/>
      <c r="AC89" s="114">
        <f t="shared" ref="AC89:AI89" si="595">U89</f>
        <v>0</v>
      </c>
      <c r="AD89" s="114">
        <f t="shared" si="505"/>
        <v>0</v>
      </c>
      <c r="AE89" s="113"/>
      <c r="AF89" s="124"/>
      <c r="AG89" s="113">
        <f t="shared" si="595"/>
        <v>0</v>
      </c>
      <c r="AH89" s="114">
        <f t="shared" si="595"/>
        <v>0</v>
      </c>
      <c r="AI89" s="113">
        <f t="shared" si="595"/>
        <v>0</v>
      </c>
      <c r="AJ89" s="114"/>
      <c r="AK89" s="114">
        <f t="shared" ref="AK89:AQ89" si="596">AC89</f>
        <v>0</v>
      </c>
      <c r="AL89" s="114">
        <f t="shared" si="507"/>
        <v>0</v>
      </c>
      <c r="AM89" s="113"/>
      <c r="AN89" s="124"/>
      <c r="AO89" s="113">
        <f t="shared" si="596"/>
        <v>0</v>
      </c>
      <c r="AP89" s="114">
        <f t="shared" si="596"/>
        <v>0</v>
      </c>
      <c r="AQ89" s="113">
        <f t="shared" si="596"/>
        <v>0</v>
      </c>
      <c r="AR89" s="114"/>
      <c r="AS89" s="114">
        <f t="shared" ref="AS89:AY89" si="597">AK89</f>
        <v>0</v>
      </c>
      <c r="AT89" s="114">
        <f t="shared" si="509"/>
        <v>0</v>
      </c>
      <c r="AU89" s="113"/>
      <c r="AV89" s="124"/>
      <c r="AW89" s="113">
        <f t="shared" si="597"/>
        <v>0</v>
      </c>
      <c r="AX89" s="114">
        <f t="shared" si="597"/>
        <v>0</v>
      </c>
      <c r="AY89" s="113">
        <f t="shared" si="597"/>
        <v>0</v>
      </c>
      <c r="AZ89" s="114"/>
      <c r="BA89" s="114">
        <f t="shared" ref="BA89:BG89" si="598">AS89</f>
        <v>0</v>
      </c>
      <c r="BB89" s="114">
        <f t="shared" si="511"/>
        <v>0</v>
      </c>
      <c r="BC89" s="113"/>
      <c r="BD89" s="124"/>
      <c r="BE89" s="113">
        <f t="shared" si="598"/>
        <v>0</v>
      </c>
      <c r="BF89" s="114">
        <f t="shared" si="598"/>
        <v>0</v>
      </c>
      <c r="BG89" s="113">
        <f t="shared" si="598"/>
        <v>0</v>
      </c>
      <c r="BH89" s="114"/>
      <c r="BI89" s="114">
        <f t="shared" ref="BI89:BO89" si="599">BA89</f>
        <v>0</v>
      </c>
      <c r="BJ89" s="114">
        <f t="shared" si="513"/>
        <v>0</v>
      </c>
      <c r="BK89" s="113"/>
      <c r="BL89" s="124"/>
      <c r="BM89" s="113">
        <f t="shared" si="599"/>
        <v>0</v>
      </c>
      <c r="BN89" s="114">
        <f t="shared" si="599"/>
        <v>0</v>
      </c>
      <c r="BO89" s="113">
        <f t="shared" si="599"/>
        <v>0</v>
      </c>
      <c r="BP89" s="114"/>
      <c r="BQ89" s="114">
        <f t="shared" ref="BQ89:BW89" si="600">BI89</f>
        <v>0</v>
      </c>
      <c r="BR89" s="114">
        <f t="shared" si="515"/>
        <v>0</v>
      </c>
      <c r="BS89" s="113"/>
      <c r="BT89" s="124"/>
      <c r="BU89" s="113">
        <f t="shared" si="600"/>
        <v>0</v>
      </c>
      <c r="BV89" s="114">
        <f t="shared" si="600"/>
        <v>0</v>
      </c>
      <c r="BW89" s="113">
        <f t="shared" si="600"/>
        <v>0</v>
      </c>
      <c r="BX89" s="114"/>
      <c r="BY89" s="114">
        <f t="shared" ref="BY89:CE89" si="601">BQ89</f>
        <v>0</v>
      </c>
      <c r="BZ89" s="114">
        <f t="shared" si="517"/>
        <v>0</v>
      </c>
      <c r="CA89" s="113"/>
      <c r="CB89" s="124"/>
      <c r="CC89" s="113">
        <f t="shared" si="601"/>
        <v>0</v>
      </c>
      <c r="CD89" s="114">
        <f t="shared" si="601"/>
        <v>0</v>
      </c>
      <c r="CE89" s="113">
        <f t="shared" si="601"/>
        <v>0</v>
      </c>
      <c r="CF89" s="114">
        <f t="shared" si="518"/>
        <v>0</v>
      </c>
      <c r="CG89" s="114">
        <f t="shared" si="519"/>
        <v>0</v>
      </c>
      <c r="CH89" s="114">
        <f t="shared" si="520"/>
        <v>0</v>
      </c>
      <c r="CI89" s="113"/>
    </row>
    <row r="90" s="104" customFormat="1" customHeight="1" spans="1:87">
      <c r="A90" s="113"/>
      <c r="B90" s="114"/>
      <c r="C90" s="113"/>
      <c r="D90" s="114"/>
      <c r="E90" s="114"/>
      <c r="F90" s="114">
        <f t="shared" si="496"/>
        <v>0</v>
      </c>
      <c r="G90" s="113"/>
      <c r="H90" s="124"/>
      <c r="I90" s="113">
        <f t="shared" si="497"/>
        <v>0</v>
      </c>
      <c r="J90" s="114">
        <f t="shared" si="498"/>
        <v>0</v>
      </c>
      <c r="K90" s="113">
        <f t="shared" si="499"/>
        <v>0</v>
      </c>
      <c r="L90" s="114"/>
      <c r="M90" s="114">
        <f t="shared" ref="M90:S90" si="602">E90</f>
        <v>0</v>
      </c>
      <c r="N90" s="114">
        <f t="shared" si="501"/>
        <v>0</v>
      </c>
      <c r="O90" s="113"/>
      <c r="P90" s="124"/>
      <c r="Q90" s="113">
        <f t="shared" si="602"/>
        <v>0</v>
      </c>
      <c r="R90" s="114">
        <f t="shared" si="602"/>
        <v>0</v>
      </c>
      <c r="S90" s="113">
        <f t="shared" si="602"/>
        <v>0</v>
      </c>
      <c r="T90" s="114"/>
      <c r="U90" s="114">
        <f t="shared" ref="U90:AA90" si="603">M90</f>
        <v>0</v>
      </c>
      <c r="V90" s="114">
        <f t="shared" si="503"/>
        <v>0</v>
      </c>
      <c r="W90" s="113"/>
      <c r="X90" s="124"/>
      <c r="Y90" s="113">
        <f t="shared" si="603"/>
        <v>0</v>
      </c>
      <c r="Z90" s="114">
        <f t="shared" si="603"/>
        <v>0</v>
      </c>
      <c r="AA90" s="113">
        <f t="shared" si="603"/>
        <v>0</v>
      </c>
      <c r="AB90" s="114"/>
      <c r="AC90" s="114">
        <f t="shared" ref="AC90:AI90" si="604">U90</f>
        <v>0</v>
      </c>
      <c r="AD90" s="114">
        <f t="shared" si="505"/>
        <v>0</v>
      </c>
      <c r="AE90" s="113"/>
      <c r="AF90" s="124"/>
      <c r="AG90" s="113">
        <f t="shared" si="604"/>
        <v>0</v>
      </c>
      <c r="AH90" s="114">
        <f t="shared" si="604"/>
        <v>0</v>
      </c>
      <c r="AI90" s="113">
        <f t="shared" si="604"/>
        <v>0</v>
      </c>
      <c r="AJ90" s="114"/>
      <c r="AK90" s="114">
        <f t="shared" ref="AK90:AQ90" si="605">AC90</f>
        <v>0</v>
      </c>
      <c r="AL90" s="114">
        <f t="shared" si="507"/>
        <v>0</v>
      </c>
      <c r="AM90" s="113"/>
      <c r="AN90" s="124"/>
      <c r="AO90" s="113">
        <f t="shared" si="605"/>
        <v>0</v>
      </c>
      <c r="AP90" s="114">
        <f t="shared" si="605"/>
        <v>0</v>
      </c>
      <c r="AQ90" s="113">
        <f t="shared" si="605"/>
        <v>0</v>
      </c>
      <c r="AR90" s="114"/>
      <c r="AS90" s="114">
        <f t="shared" ref="AS90:AY90" si="606">AK90</f>
        <v>0</v>
      </c>
      <c r="AT90" s="114">
        <f t="shared" si="509"/>
        <v>0</v>
      </c>
      <c r="AU90" s="113"/>
      <c r="AV90" s="124"/>
      <c r="AW90" s="113">
        <f t="shared" si="606"/>
        <v>0</v>
      </c>
      <c r="AX90" s="114">
        <f t="shared" si="606"/>
        <v>0</v>
      </c>
      <c r="AY90" s="113">
        <f t="shared" si="606"/>
        <v>0</v>
      </c>
      <c r="AZ90" s="114"/>
      <c r="BA90" s="114">
        <f t="shared" ref="BA90:BG90" si="607">AS90</f>
        <v>0</v>
      </c>
      <c r="BB90" s="114">
        <f t="shared" si="511"/>
        <v>0</v>
      </c>
      <c r="BC90" s="113"/>
      <c r="BD90" s="124"/>
      <c r="BE90" s="113">
        <f t="shared" si="607"/>
        <v>0</v>
      </c>
      <c r="BF90" s="114">
        <f t="shared" si="607"/>
        <v>0</v>
      </c>
      <c r="BG90" s="113">
        <f t="shared" si="607"/>
        <v>0</v>
      </c>
      <c r="BH90" s="114"/>
      <c r="BI90" s="114">
        <f t="shared" ref="BI90:BO90" si="608">BA90</f>
        <v>0</v>
      </c>
      <c r="BJ90" s="114">
        <f t="shared" si="513"/>
        <v>0</v>
      </c>
      <c r="BK90" s="113"/>
      <c r="BL90" s="124"/>
      <c r="BM90" s="113">
        <f t="shared" si="608"/>
        <v>0</v>
      </c>
      <c r="BN90" s="114">
        <f t="shared" si="608"/>
        <v>0</v>
      </c>
      <c r="BO90" s="113">
        <f t="shared" si="608"/>
        <v>0</v>
      </c>
      <c r="BP90" s="114"/>
      <c r="BQ90" s="114">
        <f t="shared" ref="BQ90:BW90" si="609">BI90</f>
        <v>0</v>
      </c>
      <c r="BR90" s="114">
        <f t="shared" si="515"/>
        <v>0</v>
      </c>
      <c r="BS90" s="113"/>
      <c r="BT90" s="124"/>
      <c r="BU90" s="113">
        <f t="shared" si="609"/>
        <v>0</v>
      </c>
      <c r="BV90" s="114">
        <f t="shared" si="609"/>
        <v>0</v>
      </c>
      <c r="BW90" s="113">
        <f t="shared" si="609"/>
        <v>0</v>
      </c>
      <c r="BX90" s="114"/>
      <c r="BY90" s="114">
        <f t="shared" ref="BY90:CE90" si="610">BQ90</f>
        <v>0</v>
      </c>
      <c r="BZ90" s="114">
        <f t="shared" si="517"/>
        <v>0</v>
      </c>
      <c r="CA90" s="113"/>
      <c r="CB90" s="124"/>
      <c r="CC90" s="113">
        <f t="shared" si="610"/>
        <v>0</v>
      </c>
      <c r="CD90" s="114">
        <f t="shared" si="610"/>
        <v>0</v>
      </c>
      <c r="CE90" s="113">
        <f t="shared" si="610"/>
        <v>0</v>
      </c>
      <c r="CF90" s="114">
        <f t="shared" si="518"/>
        <v>0</v>
      </c>
      <c r="CG90" s="114">
        <f t="shared" si="519"/>
        <v>0</v>
      </c>
      <c r="CH90" s="114">
        <f t="shared" si="520"/>
        <v>0</v>
      </c>
      <c r="CI90" s="113"/>
    </row>
    <row r="91" s="104" customFormat="1" customHeight="1" spans="1:87">
      <c r="A91" s="113"/>
      <c r="B91" s="114"/>
      <c r="C91" s="113"/>
      <c r="D91" s="114"/>
      <c r="E91" s="114"/>
      <c r="F91" s="114">
        <f t="shared" si="496"/>
        <v>0</v>
      </c>
      <c r="G91" s="113"/>
      <c r="H91" s="124"/>
      <c r="I91" s="113">
        <f t="shared" si="497"/>
        <v>0</v>
      </c>
      <c r="J91" s="114">
        <f t="shared" si="498"/>
        <v>0</v>
      </c>
      <c r="K91" s="113">
        <f t="shared" si="499"/>
        <v>0</v>
      </c>
      <c r="L91" s="114"/>
      <c r="M91" s="114">
        <f t="shared" ref="M91:S91" si="611">E91</f>
        <v>0</v>
      </c>
      <c r="N91" s="114">
        <f t="shared" si="501"/>
        <v>0</v>
      </c>
      <c r="O91" s="113"/>
      <c r="P91" s="124"/>
      <c r="Q91" s="113">
        <f t="shared" si="611"/>
        <v>0</v>
      </c>
      <c r="R91" s="114">
        <f t="shared" si="611"/>
        <v>0</v>
      </c>
      <c r="S91" s="113">
        <f t="shared" si="611"/>
        <v>0</v>
      </c>
      <c r="T91" s="114"/>
      <c r="U91" s="114">
        <f t="shared" ref="U91:AA91" si="612">M91</f>
        <v>0</v>
      </c>
      <c r="V91" s="114">
        <f t="shared" si="503"/>
        <v>0</v>
      </c>
      <c r="W91" s="113"/>
      <c r="X91" s="124"/>
      <c r="Y91" s="113">
        <f t="shared" si="612"/>
        <v>0</v>
      </c>
      <c r="Z91" s="114">
        <f t="shared" si="612"/>
        <v>0</v>
      </c>
      <c r="AA91" s="113">
        <f t="shared" si="612"/>
        <v>0</v>
      </c>
      <c r="AB91" s="114"/>
      <c r="AC91" s="114">
        <f t="shared" ref="AC91:AI91" si="613">U91</f>
        <v>0</v>
      </c>
      <c r="AD91" s="114">
        <f t="shared" si="505"/>
        <v>0</v>
      </c>
      <c r="AE91" s="113"/>
      <c r="AF91" s="124"/>
      <c r="AG91" s="113">
        <f t="shared" si="613"/>
        <v>0</v>
      </c>
      <c r="AH91" s="114">
        <f t="shared" si="613"/>
        <v>0</v>
      </c>
      <c r="AI91" s="113">
        <f t="shared" si="613"/>
        <v>0</v>
      </c>
      <c r="AJ91" s="114"/>
      <c r="AK91" s="114">
        <f t="shared" ref="AK91:AQ91" si="614">AC91</f>
        <v>0</v>
      </c>
      <c r="AL91" s="114">
        <f t="shared" si="507"/>
        <v>0</v>
      </c>
      <c r="AM91" s="113"/>
      <c r="AN91" s="124"/>
      <c r="AO91" s="113">
        <f t="shared" si="614"/>
        <v>0</v>
      </c>
      <c r="AP91" s="114">
        <f t="shared" si="614"/>
        <v>0</v>
      </c>
      <c r="AQ91" s="113">
        <f t="shared" si="614"/>
        <v>0</v>
      </c>
      <c r="AR91" s="114"/>
      <c r="AS91" s="114">
        <f t="shared" ref="AS91:AY91" si="615">AK91</f>
        <v>0</v>
      </c>
      <c r="AT91" s="114">
        <f t="shared" si="509"/>
        <v>0</v>
      </c>
      <c r="AU91" s="113"/>
      <c r="AV91" s="124"/>
      <c r="AW91" s="113">
        <f t="shared" si="615"/>
        <v>0</v>
      </c>
      <c r="AX91" s="114">
        <f t="shared" si="615"/>
        <v>0</v>
      </c>
      <c r="AY91" s="113">
        <f t="shared" si="615"/>
        <v>0</v>
      </c>
      <c r="AZ91" s="114"/>
      <c r="BA91" s="114">
        <f t="shared" ref="BA91:BG91" si="616">AS91</f>
        <v>0</v>
      </c>
      <c r="BB91" s="114">
        <f t="shared" si="511"/>
        <v>0</v>
      </c>
      <c r="BC91" s="113"/>
      <c r="BD91" s="124"/>
      <c r="BE91" s="113">
        <f t="shared" si="616"/>
        <v>0</v>
      </c>
      <c r="BF91" s="114">
        <f t="shared" si="616"/>
        <v>0</v>
      </c>
      <c r="BG91" s="113">
        <f t="shared" si="616"/>
        <v>0</v>
      </c>
      <c r="BH91" s="114"/>
      <c r="BI91" s="114">
        <f t="shared" ref="BI91:BO91" si="617">BA91</f>
        <v>0</v>
      </c>
      <c r="BJ91" s="114">
        <f t="shared" si="513"/>
        <v>0</v>
      </c>
      <c r="BK91" s="113"/>
      <c r="BL91" s="124"/>
      <c r="BM91" s="113">
        <f t="shared" si="617"/>
        <v>0</v>
      </c>
      <c r="BN91" s="114">
        <f t="shared" si="617"/>
        <v>0</v>
      </c>
      <c r="BO91" s="113">
        <f t="shared" si="617"/>
        <v>0</v>
      </c>
      <c r="BP91" s="114"/>
      <c r="BQ91" s="114">
        <f t="shared" ref="BQ91:BW91" si="618">BI91</f>
        <v>0</v>
      </c>
      <c r="BR91" s="114">
        <f t="shared" si="515"/>
        <v>0</v>
      </c>
      <c r="BS91" s="113"/>
      <c r="BT91" s="124"/>
      <c r="BU91" s="113">
        <f t="shared" si="618"/>
        <v>0</v>
      </c>
      <c r="BV91" s="114">
        <f t="shared" si="618"/>
        <v>0</v>
      </c>
      <c r="BW91" s="113">
        <f t="shared" si="618"/>
        <v>0</v>
      </c>
      <c r="BX91" s="114"/>
      <c r="BY91" s="114">
        <f t="shared" ref="BY91:CE91" si="619">BQ91</f>
        <v>0</v>
      </c>
      <c r="BZ91" s="114">
        <f t="shared" si="517"/>
        <v>0</v>
      </c>
      <c r="CA91" s="113"/>
      <c r="CB91" s="124"/>
      <c r="CC91" s="113">
        <f t="shared" si="619"/>
        <v>0</v>
      </c>
      <c r="CD91" s="114">
        <f t="shared" si="619"/>
        <v>0</v>
      </c>
      <c r="CE91" s="113">
        <f t="shared" si="619"/>
        <v>0</v>
      </c>
      <c r="CF91" s="114">
        <f t="shared" si="518"/>
        <v>0</v>
      </c>
      <c r="CG91" s="114">
        <f t="shared" si="519"/>
        <v>0</v>
      </c>
      <c r="CH91" s="114">
        <f t="shared" si="520"/>
        <v>0</v>
      </c>
      <c r="CI91" s="113"/>
    </row>
    <row r="92" s="104" customFormat="1" customHeight="1" spans="1:87">
      <c r="A92" s="115" t="s">
        <v>340</v>
      </c>
      <c r="B92" s="116"/>
      <c r="C92" s="116"/>
      <c r="D92" s="116"/>
      <c r="E92" s="117"/>
      <c r="F92" s="118">
        <f>SUM(F80:F91)</f>
        <v>0</v>
      </c>
      <c r="G92" s="114"/>
      <c r="H92" s="124"/>
      <c r="I92" s="115" t="s">
        <v>340</v>
      </c>
      <c r="J92" s="116"/>
      <c r="K92" s="116"/>
      <c r="L92" s="116"/>
      <c r="M92" s="117"/>
      <c r="N92" s="118">
        <f>SUM(N80:N91)</f>
        <v>0</v>
      </c>
      <c r="O92" s="114"/>
      <c r="P92" s="124"/>
      <c r="Q92" s="115" t="s">
        <v>340</v>
      </c>
      <c r="R92" s="116"/>
      <c r="S92" s="116"/>
      <c r="T92" s="116"/>
      <c r="U92" s="117"/>
      <c r="V92" s="118">
        <f>SUM(V80:V91)</f>
        <v>0</v>
      </c>
      <c r="W92" s="114"/>
      <c r="X92" s="124"/>
      <c r="Y92" s="115" t="s">
        <v>340</v>
      </c>
      <c r="Z92" s="116"/>
      <c r="AA92" s="116"/>
      <c r="AB92" s="116"/>
      <c r="AC92" s="117"/>
      <c r="AD92" s="118">
        <f>SUM(AD80:AD91)</f>
        <v>0</v>
      </c>
      <c r="AE92" s="114"/>
      <c r="AF92" s="124"/>
      <c r="AG92" s="115" t="s">
        <v>340</v>
      </c>
      <c r="AH92" s="116"/>
      <c r="AI92" s="116"/>
      <c r="AJ92" s="116"/>
      <c r="AK92" s="117"/>
      <c r="AL92" s="118">
        <f>SUM(AL80:AL91)</f>
        <v>0</v>
      </c>
      <c r="AM92" s="114"/>
      <c r="AN92" s="124"/>
      <c r="AO92" s="115" t="s">
        <v>340</v>
      </c>
      <c r="AP92" s="116"/>
      <c r="AQ92" s="116"/>
      <c r="AR92" s="116"/>
      <c r="AS92" s="117"/>
      <c r="AT92" s="118">
        <f>SUM(AT80:AT91)</f>
        <v>0</v>
      </c>
      <c r="AU92" s="114"/>
      <c r="AV92" s="124"/>
      <c r="AW92" s="115" t="s">
        <v>340</v>
      </c>
      <c r="AX92" s="116"/>
      <c r="AY92" s="116"/>
      <c r="AZ92" s="116"/>
      <c r="BA92" s="117"/>
      <c r="BB92" s="118">
        <f>SUM(BB80:BB91)</f>
        <v>0</v>
      </c>
      <c r="BC92" s="114"/>
      <c r="BD92" s="124"/>
      <c r="BE92" s="115" t="s">
        <v>340</v>
      </c>
      <c r="BF92" s="116"/>
      <c r="BG92" s="116"/>
      <c r="BH92" s="116"/>
      <c r="BI92" s="117"/>
      <c r="BJ92" s="118">
        <f>SUM(BJ80:BJ91)</f>
        <v>0</v>
      </c>
      <c r="BK92" s="114"/>
      <c r="BL92" s="124"/>
      <c r="BM92" s="115" t="s">
        <v>340</v>
      </c>
      <c r="BN92" s="116"/>
      <c r="BO92" s="116"/>
      <c r="BP92" s="116"/>
      <c r="BQ92" s="117"/>
      <c r="BR92" s="118">
        <f>SUM(BR80:BR91)</f>
        <v>0</v>
      </c>
      <c r="BS92" s="114"/>
      <c r="BT92" s="124"/>
      <c r="BU92" s="115" t="s">
        <v>340</v>
      </c>
      <c r="BV92" s="116"/>
      <c r="BW92" s="116"/>
      <c r="BX92" s="116"/>
      <c r="BY92" s="117"/>
      <c r="BZ92" s="118">
        <f>SUM(BZ80:BZ91)</f>
        <v>0</v>
      </c>
      <c r="CA92" s="114"/>
      <c r="CB92" s="124"/>
      <c r="CC92" s="115" t="s">
        <v>340</v>
      </c>
      <c r="CD92" s="116"/>
      <c r="CE92" s="116"/>
      <c r="CF92" s="116"/>
      <c r="CG92" s="117"/>
      <c r="CH92" s="118">
        <f>SUM(CH80:CH91)</f>
        <v>0</v>
      </c>
      <c r="CI92" s="114"/>
    </row>
    <row r="93" s="104" customFormat="1" customHeight="1" spans="1:87">
      <c r="A93" s="119" t="s">
        <v>341</v>
      </c>
      <c r="B93" s="119"/>
      <c r="C93" s="120"/>
      <c r="D93" s="119"/>
      <c r="E93" s="119"/>
      <c r="F93" s="119"/>
      <c r="G93" s="119"/>
      <c r="H93" s="124"/>
      <c r="I93" s="119" t="s">
        <v>341</v>
      </c>
      <c r="J93" s="119"/>
      <c r="K93" s="120"/>
      <c r="L93" s="119"/>
      <c r="M93" s="119"/>
      <c r="N93" s="119"/>
      <c r="O93" s="119"/>
      <c r="P93" s="124"/>
      <c r="Q93" s="119" t="s">
        <v>341</v>
      </c>
      <c r="R93" s="119"/>
      <c r="S93" s="120"/>
      <c r="T93" s="119"/>
      <c r="U93" s="119"/>
      <c r="V93" s="119"/>
      <c r="W93" s="119"/>
      <c r="X93" s="124"/>
      <c r="Y93" s="119" t="s">
        <v>341</v>
      </c>
      <c r="Z93" s="119"/>
      <c r="AA93" s="120"/>
      <c r="AB93" s="119"/>
      <c r="AC93" s="119"/>
      <c r="AD93" s="119"/>
      <c r="AE93" s="119"/>
      <c r="AF93" s="124"/>
      <c r="AG93" s="119" t="s">
        <v>341</v>
      </c>
      <c r="AH93" s="119"/>
      <c r="AI93" s="120"/>
      <c r="AJ93" s="119"/>
      <c r="AK93" s="119"/>
      <c r="AL93" s="119"/>
      <c r="AM93" s="119"/>
      <c r="AN93" s="124"/>
      <c r="AO93" s="119" t="s">
        <v>341</v>
      </c>
      <c r="AP93" s="119"/>
      <c r="AQ93" s="120"/>
      <c r="AR93" s="119"/>
      <c r="AS93" s="119"/>
      <c r="AT93" s="119"/>
      <c r="AU93" s="119"/>
      <c r="AV93" s="124"/>
      <c r="AW93" s="119" t="s">
        <v>341</v>
      </c>
      <c r="AX93" s="119"/>
      <c r="AY93" s="120"/>
      <c r="AZ93" s="119"/>
      <c r="BA93" s="119"/>
      <c r="BB93" s="119"/>
      <c r="BC93" s="119"/>
      <c r="BD93" s="124"/>
      <c r="BE93" s="119" t="s">
        <v>341</v>
      </c>
      <c r="BF93" s="119"/>
      <c r="BG93" s="120"/>
      <c r="BH93" s="119"/>
      <c r="BI93" s="119"/>
      <c r="BJ93" s="119"/>
      <c r="BK93" s="119"/>
      <c r="BL93" s="124"/>
      <c r="BM93" s="119" t="s">
        <v>341</v>
      </c>
      <c r="BN93" s="119"/>
      <c r="BO93" s="120"/>
      <c r="BP93" s="119"/>
      <c r="BQ93" s="119"/>
      <c r="BR93" s="119"/>
      <c r="BS93" s="119"/>
      <c r="BT93" s="124"/>
      <c r="BU93" s="119" t="s">
        <v>341</v>
      </c>
      <c r="BV93" s="119"/>
      <c r="BW93" s="120"/>
      <c r="BX93" s="119"/>
      <c r="BY93" s="119"/>
      <c r="BZ93" s="119"/>
      <c r="CA93" s="119"/>
      <c r="CB93" s="124"/>
      <c r="CC93" s="119" t="s">
        <v>341</v>
      </c>
      <c r="CD93" s="119"/>
      <c r="CE93" s="120"/>
      <c r="CF93" s="119"/>
      <c r="CG93" s="119"/>
      <c r="CH93" s="119"/>
      <c r="CI93" s="119"/>
    </row>
    <row r="96" s="104" customFormat="1" customHeight="1" spans="1:87">
      <c r="A96" s="105"/>
      <c r="B96" s="106"/>
      <c r="C96" s="107" t="s">
        <v>330</v>
      </c>
      <c r="D96" s="107"/>
      <c r="E96" s="107"/>
      <c r="F96" s="105"/>
      <c r="G96" s="105"/>
      <c r="H96" s="124" t="str">
        <f>H77</f>
        <v>RD01</v>
      </c>
      <c r="I96" s="105"/>
      <c r="J96" s="106"/>
      <c r="K96" s="107" t="s">
        <v>330</v>
      </c>
      <c r="L96" s="107"/>
      <c r="M96" s="107"/>
      <c r="N96" s="105"/>
      <c r="O96" s="105"/>
      <c r="P96" s="124" t="str">
        <f>P77</f>
        <v>RD02</v>
      </c>
      <c r="Q96" s="105"/>
      <c r="R96" s="106"/>
      <c r="S96" s="107" t="s">
        <v>330</v>
      </c>
      <c r="T96" s="107"/>
      <c r="U96" s="107"/>
      <c r="V96" s="105"/>
      <c r="W96" s="105"/>
      <c r="X96" s="124" t="str">
        <f>X77</f>
        <v>RD03</v>
      </c>
      <c r="Y96" s="105"/>
      <c r="Z96" s="106"/>
      <c r="AA96" s="107" t="s">
        <v>330</v>
      </c>
      <c r="AB96" s="107"/>
      <c r="AC96" s="107"/>
      <c r="AD96" s="105"/>
      <c r="AE96" s="105"/>
      <c r="AF96" s="124" t="str">
        <f>AF77</f>
        <v>RD04</v>
      </c>
      <c r="AG96" s="105"/>
      <c r="AH96" s="106"/>
      <c r="AI96" s="107" t="s">
        <v>330</v>
      </c>
      <c r="AJ96" s="107"/>
      <c r="AK96" s="107"/>
      <c r="AL96" s="105"/>
      <c r="AM96" s="105"/>
      <c r="AN96" s="124" t="str">
        <f>AN77</f>
        <v>RD05</v>
      </c>
      <c r="AO96" s="105"/>
      <c r="AP96" s="106"/>
      <c r="AQ96" s="107" t="s">
        <v>330</v>
      </c>
      <c r="AR96" s="107"/>
      <c r="AS96" s="107"/>
      <c r="AT96" s="105"/>
      <c r="AU96" s="105"/>
      <c r="AV96" s="124" t="str">
        <f>AV77</f>
        <v>RD06</v>
      </c>
      <c r="AW96" s="105"/>
      <c r="AX96" s="106"/>
      <c r="AY96" s="107" t="s">
        <v>330</v>
      </c>
      <c r="AZ96" s="107"/>
      <c r="BA96" s="107"/>
      <c r="BB96" s="105"/>
      <c r="BC96" s="105"/>
      <c r="BD96" s="124" t="str">
        <f>BD77</f>
        <v>RD07</v>
      </c>
      <c r="BE96" s="105"/>
      <c r="BF96" s="106"/>
      <c r="BG96" s="107" t="s">
        <v>330</v>
      </c>
      <c r="BH96" s="107"/>
      <c r="BI96" s="107"/>
      <c r="BJ96" s="105"/>
      <c r="BK96" s="105"/>
      <c r="BL96" s="124" t="str">
        <f>BL77</f>
        <v>RD08</v>
      </c>
      <c r="BM96" s="105"/>
      <c r="BN96" s="106"/>
      <c r="BO96" s="107" t="s">
        <v>330</v>
      </c>
      <c r="BP96" s="107"/>
      <c r="BQ96" s="107"/>
      <c r="BR96" s="105"/>
      <c r="BS96" s="105"/>
      <c r="BT96" s="124" t="str">
        <f>BT77</f>
        <v>RD09</v>
      </c>
      <c r="BU96" s="105"/>
      <c r="BV96" s="106"/>
      <c r="BW96" s="107" t="s">
        <v>330</v>
      </c>
      <c r="BX96" s="107"/>
      <c r="BY96" s="107"/>
      <c r="BZ96" s="105"/>
      <c r="CA96" s="105"/>
      <c r="CB96" s="124" t="str">
        <f>CB77</f>
        <v>RD10</v>
      </c>
      <c r="CC96" s="105"/>
      <c r="CD96" s="106"/>
      <c r="CE96" s="107" t="s">
        <v>330</v>
      </c>
      <c r="CF96" s="107"/>
      <c r="CG96" s="107"/>
      <c r="CH96" s="105"/>
      <c r="CI96" s="105"/>
    </row>
    <row r="97" s="122" customFormat="1" customHeight="1" spans="1:87">
      <c r="A97" s="108" t="s">
        <v>331</v>
      </c>
      <c r="B97" s="109"/>
      <c r="C97" s="110">
        <v>45838</v>
      </c>
      <c r="D97" s="110"/>
      <c r="E97" s="110"/>
      <c r="F97" s="111"/>
      <c r="G97" s="112"/>
      <c r="H97" s="125"/>
      <c r="I97" s="108" t="s">
        <v>331</v>
      </c>
      <c r="J97" s="109"/>
      <c r="K97" s="110">
        <v>45838</v>
      </c>
      <c r="L97" s="110"/>
      <c r="M97" s="110"/>
      <c r="N97" s="111" t="s">
        <v>332</v>
      </c>
      <c r="O97" s="112" t="str">
        <f>立项!$A$3</f>
        <v>RD01</v>
      </c>
      <c r="P97" s="125"/>
      <c r="Q97" s="108" t="s">
        <v>331</v>
      </c>
      <c r="R97" s="109"/>
      <c r="S97" s="110">
        <v>45838</v>
      </c>
      <c r="T97" s="110"/>
      <c r="U97" s="110"/>
      <c r="V97" s="111" t="s">
        <v>332</v>
      </c>
      <c r="W97" s="112" t="str">
        <f>立项!$A$4</f>
        <v>RD02</v>
      </c>
      <c r="X97" s="125"/>
      <c r="Y97" s="108" t="s">
        <v>331</v>
      </c>
      <c r="Z97" s="109"/>
      <c r="AA97" s="110">
        <v>45838</v>
      </c>
      <c r="AB97" s="110"/>
      <c r="AC97" s="110"/>
      <c r="AD97" s="111" t="s">
        <v>332</v>
      </c>
      <c r="AE97" s="112" t="str">
        <f>立项!$A$5</f>
        <v>RD03</v>
      </c>
      <c r="AF97" s="125"/>
      <c r="AG97" s="108" t="s">
        <v>331</v>
      </c>
      <c r="AH97" s="109"/>
      <c r="AI97" s="110">
        <v>45838</v>
      </c>
      <c r="AJ97" s="110"/>
      <c r="AK97" s="110"/>
      <c r="AL97" s="111" t="s">
        <v>332</v>
      </c>
      <c r="AM97" s="112" t="str">
        <f>立项!$A$6</f>
        <v>RD04</v>
      </c>
      <c r="AN97" s="125"/>
      <c r="AO97" s="108" t="s">
        <v>331</v>
      </c>
      <c r="AP97" s="109"/>
      <c r="AQ97" s="110">
        <v>45838</v>
      </c>
      <c r="AR97" s="110"/>
      <c r="AS97" s="110"/>
      <c r="AT97" s="111" t="s">
        <v>332</v>
      </c>
      <c r="AU97" s="112" t="str">
        <f>立项!$A$7</f>
        <v>RD05</v>
      </c>
      <c r="AV97" s="125"/>
      <c r="AW97" s="108" t="s">
        <v>331</v>
      </c>
      <c r="AX97" s="109"/>
      <c r="AY97" s="110">
        <v>45838</v>
      </c>
      <c r="AZ97" s="110"/>
      <c r="BA97" s="110"/>
      <c r="BB97" s="111" t="s">
        <v>332</v>
      </c>
      <c r="BC97" s="112" t="str">
        <f>立项!$A$8</f>
        <v>RD06</v>
      </c>
      <c r="BD97" s="125"/>
      <c r="BE97" s="108" t="s">
        <v>331</v>
      </c>
      <c r="BF97" s="109"/>
      <c r="BG97" s="110">
        <v>45838</v>
      </c>
      <c r="BH97" s="110"/>
      <c r="BI97" s="110"/>
      <c r="BJ97" s="111" t="s">
        <v>332</v>
      </c>
      <c r="BK97" s="112" t="str">
        <f>立项!$A$9</f>
        <v>RD07</v>
      </c>
      <c r="BL97" s="125"/>
      <c r="BM97" s="108" t="s">
        <v>331</v>
      </c>
      <c r="BN97" s="109"/>
      <c r="BO97" s="110">
        <v>45838</v>
      </c>
      <c r="BP97" s="110"/>
      <c r="BQ97" s="110"/>
      <c r="BR97" s="111" t="s">
        <v>332</v>
      </c>
      <c r="BS97" s="112" t="str">
        <f>立项!$A$10</f>
        <v>RD08</v>
      </c>
      <c r="BT97" s="125"/>
      <c r="BU97" s="108" t="s">
        <v>331</v>
      </c>
      <c r="BV97" s="109"/>
      <c r="BW97" s="110">
        <v>45838</v>
      </c>
      <c r="BX97" s="110"/>
      <c r="BY97" s="110"/>
      <c r="BZ97" s="111" t="s">
        <v>332</v>
      </c>
      <c r="CA97" s="112" t="str">
        <f>立项!$A$11</f>
        <v>RD09</v>
      </c>
      <c r="CB97" s="125"/>
      <c r="CC97" s="108" t="s">
        <v>331</v>
      </c>
      <c r="CD97" s="109"/>
      <c r="CE97" s="110">
        <v>45838</v>
      </c>
      <c r="CF97" s="110"/>
      <c r="CG97" s="110"/>
      <c r="CH97" s="111" t="s">
        <v>332</v>
      </c>
      <c r="CI97" s="112" t="str">
        <f>立项!$A$12</f>
        <v>RD10</v>
      </c>
    </row>
    <row r="98" customHeight="1" spans="1:87">
      <c r="A98" s="113" t="s">
        <v>333</v>
      </c>
      <c r="B98" s="113" t="s">
        <v>334</v>
      </c>
      <c r="C98" s="113" t="s">
        <v>335</v>
      </c>
      <c r="D98" s="113" t="s">
        <v>336</v>
      </c>
      <c r="E98" s="113" t="s">
        <v>337</v>
      </c>
      <c r="F98" s="113" t="s">
        <v>338</v>
      </c>
      <c r="G98" s="113" t="s">
        <v>339</v>
      </c>
      <c r="I98" s="113" t="s">
        <v>333</v>
      </c>
      <c r="J98" s="113" t="s">
        <v>334</v>
      </c>
      <c r="K98" s="113" t="s">
        <v>335</v>
      </c>
      <c r="L98" s="113" t="s">
        <v>336</v>
      </c>
      <c r="M98" s="113" t="s">
        <v>337</v>
      </c>
      <c r="N98" s="113" t="s">
        <v>338</v>
      </c>
      <c r="O98" s="113" t="s">
        <v>339</v>
      </c>
      <c r="Q98" s="113" t="s">
        <v>333</v>
      </c>
      <c r="R98" s="113" t="s">
        <v>334</v>
      </c>
      <c r="S98" s="113" t="s">
        <v>335</v>
      </c>
      <c r="T98" s="113" t="s">
        <v>336</v>
      </c>
      <c r="U98" s="113" t="s">
        <v>337</v>
      </c>
      <c r="V98" s="113" t="s">
        <v>338</v>
      </c>
      <c r="W98" s="113" t="s">
        <v>339</v>
      </c>
      <c r="Y98" s="113" t="s">
        <v>333</v>
      </c>
      <c r="Z98" s="113" t="s">
        <v>334</v>
      </c>
      <c r="AA98" s="113" t="s">
        <v>335</v>
      </c>
      <c r="AB98" s="113" t="s">
        <v>336</v>
      </c>
      <c r="AC98" s="113" t="s">
        <v>337</v>
      </c>
      <c r="AD98" s="113" t="s">
        <v>338</v>
      </c>
      <c r="AE98" s="113" t="s">
        <v>339</v>
      </c>
      <c r="AG98" s="113" t="s">
        <v>333</v>
      </c>
      <c r="AH98" s="113" t="s">
        <v>334</v>
      </c>
      <c r="AI98" s="113" t="s">
        <v>335</v>
      </c>
      <c r="AJ98" s="113" t="s">
        <v>336</v>
      </c>
      <c r="AK98" s="113" t="s">
        <v>337</v>
      </c>
      <c r="AL98" s="113" t="s">
        <v>338</v>
      </c>
      <c r="AM98" s="113" t="s">
        <v>339</v>
      </c>
      <c r="AO98" s="113" t="s">
        <v>333</v>
      </c>
      <c r="AP98" s="113" t="s">
        <v>334</v>
      </c>
      <c r="AQ98" s="113" t="s">
        <v>335</v>
      </c>
      <c r="AR98" s="113" t="s">
        <v>336</v>
      </c>
      <c r="AS98" s="113" t="s">
        <v>337</v>
      </c>
      <c r="AT98" s="113" t="s">
        <v>338</v>
      </c>
      <c r="AU98" s="113" t="s">
        <v>339</v>
      </c>
      <c r="AW98" s="113" t="s">
        <v>333</v>
      </c>
      <c r="AX98" s="113" t="s">
        <v>334</v>
      </c>
      <c r="AY98" s="113" t="s">
        <v>335</v>
      </c>
      <c r="AZ98" s="113" t="s">
        <v>336</v>
      </c>
      <c r="BA98" s="113" t="s">
        <v>337</v>
      </c>
      <c r="BB98" s="113" t="s">
        <v>338</v>
      </c>
      <c r="BC98" s="113" t="s">
        <v>339</v>
      </c>
      <c r="BE98" s="113" t="s">
        <v>333</v>
      </c>
      <c r="BF98" s="113" t="s">
        <v>334</v>
      </c>
      <c r="BG98" s="113" t="s">
        <v>335</v>
      </c>
      <c r="BH98" s="113" t="s">
        <v>336</v>
      </c>
      <c r="BI98" s="113" t="s">
        <v>337</v>
      </c>
      <c r="BJ98" s="113" t="s">
        <v>338</v>
      </c>
      <c r="BK98" s="113" t="s">
        <v>339</v>
      </c>
      <c r="BM98" s="113" t="s">
        <v>333</v>
      </c>
      <c r="BN98" s="113" t="s">
        <v>334</v>
      </c>
      <c r="BO98" s="113" t="s">
        <v>335</v>
      </c>
      <c r="BP98" s="113" t="s">
        <v>336</v>
      </c>
      <c r="BQ98" s="113" t="s">
        <v>337</v>
      </c>
      <c r="BR98" s="113" t="s">
        <v>338</v>
      </c>
      <c r="BS98" s="113" t="s">
        <v>339</v>
      </c>
      <c r="BU98" s="113" t="s">
        <v>333</v>
      </c>
      <c r="BV98" s="113" t="s">
        <v>334</v>
      </c>
      <c r="BW98" s="113" t="s">
        <v>335</v>
      </c>
      <c r="BX98" s="113" t="s">
        <v>336</v>
      </c>
      <c r="BY98" s="113" t="s">
        <v>337</v>
      </c>
      <c r="BZ98" s="113" t="s">
        <v>338</v>
      </c>
      <c r="CA98" s="113" t="s">
        <v>339</v>
      </c>
      <c r="CC98" s="113" t="s">
        <v>333</v>
      </c>
      <c r="CD98" s="113" t="s">
        <v>334</v>
      </c>
      <c r="CE98" s="113" t="s">
        <v>335</v>
      </c>
      <c r="CF98" s="113" t="s">
        <v>336</v>
      </c>
      <c r="CG98" s="113" t="s">
        <v>337</v>
      </c>
      <c r="CH98" s="113" t="s">
        <v>338</v>
      </c>
      <c r="CI98" s="113" t="s">
        <v>339</v>
      </c>
    </row>
    <row r="99" s="104" customFormat="1" customHeight="1" spans="1:87">
      <c r="A99" s="113"/>
      <c r="B99" s="114"/>
      <c r="C99" s="113"/>
      <c r="D99" s="114"/>
      <c r="E99" s="114"/>
      <c r="F99" s="114">
        <f t="shared" ref="F99:F110" si="620">ROUND(D99*E99,2)</f>
        <v>0</v>
      </c>
      <c r="G99" s="113"/>
      <c r="H99" s="124"/>
      <c r="I99" s="113">
        <f t="shared" ref="I99:I110" si="621">A99</f>
        <v>0</v>
      </c>
      <c r="J99" s="114">
        <f t="shared" ref="J99:J110" si="622">B99</f>
        <v>0</v>
      </c>
      <c r="K99" s="113">
        <f t="shared" ref="K99:K110" si="623">C99</f>
        <v>0</v>
      </c>
      <c r="L99" s="114"/>
      <c r="M99" s="114">
        <f t="shared" ref="M99:S99" si="624">E99</f>
        <v>0</v>
      </c>
      <c r="N99" s="114">
        <f t="shared" ref="N99:N110" si="625">ROUND(L99*M99,2)</f>
        <v>0</v>
      </c>
      <c r="O99" s="113"/>
      <c r="P99" s="124"/>
      <c r="Q99" s="113">
        <f t="shared" si="624"/>
        <v>0</v>
      </c>
      <c r="R99" s="114">
        <f t="shared" si="624"/>
        <v>0</v>
      </c>
      <c r="S99" s="113">
        <f t="shared" si="624"/>
        <v>0</v>
      </c>
      <c r="T99" s="114"/>
      <c r="U99" s="114">
        <f t="shared" ref="U99:AA99" si="626">M99</f>
        <v>0</v>
      </c>
      <c r="V99" s="114">
        <f t="shared" ref="V99:V110" si="627">ROUND(T99*U99,2)</f>
        <v>0</v>
      </c>
      <c r="W99" s="113"/>
      <c r="X99" s="124"/>
      <c r="Y99" s="113">
        <f t="shared" si="626"/>
        <v>0</v>
      </c>
      <c r="Z99" s="114">
        <f t="shared" si="626"/>
        <v>0</v>
      </c>
      <c r="AA99" s="113">
        <f t="shared" si="626"/>
        <v>0</v>
      </c>
      <c r="AB99" s="114"/>
      <c r="AC99" s="114">
        <f t="shared" ref="AC99:AI99" si="628">U99</f>
        <v>0</v>
      </c>
      <c r="AD99" s="114">
        <f t="shared" ref="AD99:AD110" si="629">ROUND(AB99*AC99,2)</f>
        <v>0</v>
      </c>
      <c r="AE99" s="113"/>
      <c r="AF99" s="124"/>
      <c r="AG99" s="113">
        <f t="shared" si="628"/>
        <v>0</v>
      </c>
      <c r="AH99" s="114">
        <f t="shared" si="628"/>
        <v>0</v>
      </c>
      <c r="AI99" s="113">
        <f t="shared" si="628"/>
        <v>0</v>
      </c>
      <c r="AJ99" s="114"/>
      <c r="AK99" s="114">
        <f t="shared" ref="AK99:AQ99" si="630">AC99</f>
        <v>0</v>
      </c>
      <c r="AL99" s="114">
        <f t="shared" ref="AL99:AL110" si="631">ROUND(AJ99*AK99,2)</f>
        <v>0</v>
      </c>
      <c r="AM99" s="113"/>
      <c r="AN99" s="124"/>
      <c r="AO99" s="113">
        <f t="shared" si="630"/>
        <v>0</v>
      </c>
      <c r="AP99" s="114">
        <f t="shared" si="630"/>
        <v>0</v>
      </c>
      <c r="AQ99" s="113">
        <f t="shared" si="630"/>
        <v>0</v>
      </c>
      <c r="AR99" s="114"/>
      <c r="AS99" s="114">
        <f t="shared" ref="AS99:AY99" si="632">AK99</f>
        <v>0</v>
      </c>
      <c r="AT99" s="114">
        <f t="shared" ref="AT99:AT110" si="633">ROUND(AR99*AS99,2)</f>
        <v>0</v>
      </c>
      <c r="AU99" s="113"/>
      <c r="AV99" s="124"/>
      <c r="AW99" s="113">
        <f t="shared" si="632"/>
        <v>0</v>
      </c>
      <c r="AX99" s="114">
        <f t="shared" si="632"/>
        <v>0</v>
      </c>
      <c r="AY99" s="113">
        <f t="shared" si="632"/>
        <v>0</v>
      </c>
      <c r="AZ99" s="114"/>
      <c r="BA99" s="114">
        <f t="shared" ref="BA99:BG99" si="634">AS99</f>
        <v>0</v>
      </c>
      <c r="BB99" s="114">
        <f t="shared" ref="BB99:BB110" si="635">ROUND(AZ99*BA99,2)</f>
        <v>0</v>
      </c>
      <c r="BC99" s="113"/>
      <c r="BD99" s="124"/>
      <c r="BE99" s="113">
        <f t="shared" si="634"/>
        <v>0</v>
      </c>
      <c r="BF99" s="114">
        <f t="shared" si="634"/>
        <v>0</v>
      </c>
      <c r="BG99" s="113">
        <f t="shared" si="634"/>
        <v>0</v>
      </c>
      <c r="BH99" s="114"/>
      <c r="BI99" s="114">
        <f t="shared" ref="BI99:BO99" si="636">BA99</f>
        <v>0</v>
      </c>
      <c r="BJ99" s="114">
        <f t="shared" ref="BJ99:BJ110" si="637">ROUND(BH99*BI99,2)</f>
        <v>0</v>
      </c>
      <c r="BK99" s="113"/>
      <c r="BL99" s="124"/>
      <c r="BM99" s="113">
        <f t="shared" si="636"/>
        <v>0</v>
      </c>
      <c r="BN99" s="114">
        <f t="shared" si="636"/>
        <v>0</v>
      </c>
      <c r="BO99" s="113">
        <f t="shared" si="636"/>
        <v>0</v>
      </c>
      <c r="BP99" s="114"/>
      <c r="BQ99" s="114">
        <f t="shared" ref="BQ99:BW99" si="638">BI99</f>
        <v>0</v>
      </c>
      <c r="BR99" s="114">
        <f t="shared" ref="BR99:BR110" si="639">ROUND(BP99*BQ99,2)</f>
        <v>0</v>
      </c>
      <c r="BS99" s="113"/>
      <c r="BT99" s="124"/>
      <c r="BU99" s="113">
        <f t="shared" si="638"/>
        <v>0</v>
      </c>
      <c r="BV99" s="114">
        <f t="shared" si="638"/>
        <v>0</v>
      </c>
      <c r="BW99" s="113">
        <f t="shared" si="638"/>
        <v>0</v>
      </c>
      <c r="BX99" s="114"/>
      <c r="BY99" s="114">
        <f t="shared" ref="BY99:CE99" si="640">BQ99</f>
        <v>0</v>
      </c>
      <c r="BZ99" s="114">
        <f t="shared" ref="BZ99:BZ110" si="641">ROUND(BX99*BY99,2)</f>
        <v>0</v>
      </c>
      <c r="CA99" s="113"/>
      <c r="CB99" s="124"/>
      <c r="CC99" s="113">
        <f t="shared" si="640"/>
        <v>0</v>
      </c>
      <c r="CD99" s="114">
        <f t="shared" si="640"/>
        <v>0</v>
      </c>
      <c r="CE99" s="113">
        <f t="shared" si="640"/>
        <v>0</v>
      </c>
      <c r="CF99" s="114">
        <f t="shared" ref="CF99:CF110" si="642">D99-L99-T99-AB99-AJ99-AR99-AZ99-BH99-BP99-BX99</f>
        <v>0</v>
      </c>
      <c r="CG99" s="114">
        <f t="shared" ref="CG99:CG110" si="643">BY99</f>
        <v>0</v>
      </c>
      <c r="CH99" s="114">
        <f t="shared" ref="CH99:CH110" si="644">F99-N99-V99-AD99-AL99-AT99-BB99-BJ99-BR99-BZ99</f>
        <v>0</v>
      </c>
      <c r="CI99" s="113"/>
    </row>
    <row r="100" s="104" customFormat="1" customHeight="1" spans="1:87">
      <c r="A100" s="113"/>
      <c r="B100" s="114"/>
      <c r="C100" s="113"/>
      <c r="D100" s="114"/>
      <c r="E100" s="114"/>
      <c r="F100" s="114">
        <f t="shared" si="620"/>
        <v>0</v>
      </c>
      <c r="G100" s="113"/>
      <c r="H100" s="124"/>
      <c r="I100" s="113">
        <f t="shared" si="621"/>
        <v>0</v>
      </c>
      <c r="J100" s="114">
        <f t="shared" si="622"/>
        <v>0</v>
      </c>
      <c r="K100" s="113">
        <f t="shared" si="623"/>
        <v>0</v>
      </c>
      <c r="L100" s="114"/>
      <c r="M100" s="114">
        <f t="shared" ref="M100:S100" si="645">E100</f>
        <v>0</v>
      </c>
      <c r="N100" s="114">
        <f t="shared" si="625"/>
        <v>0</v>
      </c>
      <c r="O100" s="113"/>
      <c r="P100" s="124"/>
      <c r="Q100" s="113">
        <f t="shared" si="645"/>
        <v>0</v>
      </c>
      <c r="R100" s="114">
        <f t="shared" si="645"/>
        <v>0</v>
      </c>
      <c r="S100" s="113">
        <f t="shared" si="645"/>
        <v>0</v>
      </c>
      <c r="T100" s="114"/>
      <c r="U100" s="114">
        <f t="shared" ref="U100:AA100" si="646">M100</f>
        <v>0</v>
      </c>
      <c r="V100" s="114">
        <f t="shared" si="627"/>
        <v>0</v>
      </c>
      <c r="W100" s="113"/>
      <c r="X100" s="124"/>
      <c r="Y100" s="113">
        <f t="shared" si="646"/>
        <v>0</v>
      </c>
      <c r="Z100" s="114">
        <f t="shared" si="646"/>
        <v>0</v>
      </c>
      <c r="AA100" s="113">
        <f t="shared" si="646"/>
        <v>0</v>
      </c>
      <c r="AB100" s="114"/>
      <c r="AC100" s="114">
        <f t="shared" ref="AC100:AI100" si="647">U100</f>
        <v>0</v>
      </c>
      <c r="AD100" s="114">
        <f t="shared" si="629"/>
        <v>0</v>
      </c>
      <c r="AE100" s="113"/>
      <c r="AF100" s="124"/>
      <c r="AG100" s="113">
        <f t="shared" si="647"/>
        <v>0</v>
      </c>
      <c r="AH100" s="114">
        <f t="shared" si="647"/>
        <v>0</v>
      </c>
      <c r="AI100" s="113">
        <f t="shared" si="647"/>
        <v>0</v>
      </c>
      <c r="AJ100" s="114"/>
      <c r="AK100" s="114">
        <f t="shared" ref="AK100:AQ100" si="648">AC100</f>
        <v>0</v>
      </c>
      <c r="AL100" s="114">
        <f t="shared" si="631"/>
        <v>0</v>
      </c>
      <c r="AM100" s="113"/>
      <c r="AN100" s="124"/>
      <c r="AO100" s="113">
        <f t="shared" si="648"/>
        <v>0</v>
      </c>
      <c r="AP100" s="114">
        <f t="shared" si="648"/>
        <v>0</v>
      </c>
      <c r="AQ100" s="113">
        <f t="shared" si="648"/>
        <v>0</v>
      </c>
      <c r="AR100" s="114"/>
      <c r="AS100" s="114">
        <f t="shared" ref="AS100:AY100" si="649">AK100</f>
        <v>0</v>
      </c>
      <c r="AT100" s="114">
        <f t="shared" si="633"/>
        <v>0</v>
      </c>
      <c r="AU100" s="113"/>
      <c r="AV100" s="124"/>
      <c r="AW100" s="113">
        <f t="shared" si="649"/>
        <v>0</v>
      </c>
      <c r="AX100" s="114">
        <f t="shared" si="649"/>
        <v>0</v>
      </c>
      <c r="AY100" s="113">
        <f t="shared" si="649"/>
        <v>0</v>
      </c>
      <c r="AZ100" s="114"/>
      <c r="BA100" s="114">
        <f t="shared" ref="BA100:BG100" si="650">AS100</f>
        <v>0</v>
      </c>
      <c r="BB100" s="114">
        <f t="shared" si="635"/>
        <v>0</v>
      </c>
      <c r="BC100" s="113"/>
      <c r="BD100" s="124"/>
      <c r="BE100" s="113">
        <f t="shared" si="650"/>
        <v>0</v>
      </c>
      <c r="BF100" s="114">
        <f t="shared" si="650"/>
        <v>0</v>
      </c>
      <c r="BG100" s="113">
        <f t="shared" si="650"/>
        <v>0</v>
      </c>
      <c r="BH100" s="114"/>
      <c r="BI100" s="114">
        <f t="shared" ref="BI100:BO100" si="651">BA100</f>
        <v>0</v>
      </c>
      <c r="BJ100" s="114">
        <f t="shared" si="637"/>
        <v>0</v>
      </c>
      <c r="BK100" s="113"/>
      <c r="BL100" s="124"/>
      <c r="BM100" s="113">
        <f t="shared" si="651"/>
        <v>0</v>
      </c>
      <c r="BN100" s="114">
        <f t="shared" si="651"/>
        <v>0</v>
      </c>
      <c r="BO100" s="113">
        <f t="shared" si="651"/>
        <v>0</v>
      </c>
      <c r="BP100" s="114"/>
      <c r="BQ100" s="114">
        <f t="shared" ref="BQ100:BW100" si="652">BI100</f>
        <v>0</v>
      </c>
      <c r="BR100" s="114">
        <f t="shared" si="639"/>
        <v>0</v>
      </c>
      <c r="BS100" s="113"/>
      <c r="BT100" s="124"/>
      <c r="BU100" s="113">
        <f t="shared" si="652"/>
        <v>0</v>
      </c>
      <c r="BV100" s="114">
        <f t="shared" si="652"/>
        <v>0</v>
      </c>
      <c r="BW100" s="113">
        <f t="shared" si="652"/>
        <v>0</v>
      </c>
      <c r="BX100" s="114"/>
      <c r="BY100" s="114">
        <f t="shared" ref="BY100:CE100" si="653">BQ100</f>
        <v>0</v>
      </c>
      <c r="BZ100" s="114">
        <f t="shared" si="641"/>
        <v>0</v>
      </c>
      <c r="CA100" s="113"/>
      <c r="CB100" s="124"/>
      <c r="CC100" s="113">
        <f t="shared" si="653"/>
        <v>0</v>
      </c>
      <c r="CD100" s="114">
        <f t="shared" si="653"/>
        <v>0</v>
      </c>
      <c r="CE100" s="113">
        <f t="shared" si="653"/>
        <v>0</v>
      </c>
      <c r="CF100" s="114">
        <f t="shared" si="642"/>
        <v>0</v>
      </c>
      <c r="CG100" s="114">
        <f t="shared" si="643"/>
        <v>0</v>
      </c>
      <c r="CH100" s="114">
        <f t="shared" si="644"/>
        <v>0</v>
      </c>
      <c r="CI100" s="113"/>
    </row>
    <row r="101" s="104" customFormat="1" customHeight="1" spans="1:87">
      <c r="A101" s="113"/>
      <c r="B101" s="114"/>
      <c r="C101" s="113"/>
      <c r="D101" s="114"/>
      <c r="E101" s="114"/>
      <c r="F101" s="114">
        <f t="shared" si="620"/>
        <v>0</v>
      </c>
      <c r="G101" s="113"/>
      <c r="H101" s="124"/>
      <c r="I101" s="113">
        <f t="shared" si="621"/>
        <v>0</v>
      </c>
      <c r="J101" s="114">
        <f t="shared" si="622"/>
        <v>0</v>
      </c>
      <c r="K101" s="113">
        <f t="shared" si="623"/>
        <v>0</v>
      </c>
      <c r="L101" s="114"/>
      <c r="M101" s="114">
        <f t="shared" ref="M101:S101" si="654">E101</f>
        <v>0</v>
      </c>
      <c r="N101" s="114">
        <f t="shared" si="625"/>
        <v>0</v>
      </c>
      <c r="O101" s="113"/>
      <c r="P101" s="124"/>
      <c r="Q101" s="113">
        <f t="shared" si="654"/>
        <v>0</v>
      </c>
      <c r="R101" s="114">
        <f t="shared" si="654"/>
        <v>0</v>
      </c>
      <c r="S101" s="113">
        <f t="shared" si="654"/>
        <v>0</v>
      </c>
      <c r="T101" s="114"/>
      <c r="U101" s="114">
        <f t="shared" ref="U101:AA101" si="655">M101</f>
        <v>0</v>
      </c>
      <c r="V101" s="114">
        <f t="shared" si="627"/>
        <v>0</v>
      </c>
      <c r="W101" s="113"/>
      <c r="X101" s="124"/>
      <c r="Y101" s="113">
        <f t="shared" si="655"/>
        <v>0</v>
      </c>
      <c r="Z101" s="114">
        <f t="shared" si="655"/>
        <v>0</v>
      </c>
      <c r="AA101" s="113">
        <f t="shared" si="655"/>
        <v>0</v>
      </c>
      <c r="AB101" s="114"/>
      <c r="AC101" s="114">
        <f t="shared" ref="AC101:AI101" si="656">U101</f>
        <v>0</v>
      </c>
      <c r="AD101" s="114">
        <f t="shared" si="629"/>
        <v>0</v>
      </c>
      <c r="AE101" s="113"/>
      <c r="AF101" s="124"/>
      <c r="AG101" s="113">
        <f t="shared" si="656"/>
        <v>0</v>
      </c>
      <c r="AH101" s="114">
        <f t="shared" si="656"/>
        <v>0</v>
      </c>
      <c r="AI101" s="113">
        <f t="shared" si="656"/>
        <v>0</v>
      </c>
      <c r="AJ101" s="114"/>
      <c r="AK101" s="114">
        <f t="shared" ref="AK101:AQ101" si="657">AC101</f>
        <v>0</v>
      </c>
      <c r="AL101" s="114">
        <f t="shared" si="631"/>
        <v>0</v>
      </c>
      <c r="AM101" s="113"/>
      <c r="AN101" s="124"/>
      <c r="AO101" s="113">
        <f t="shared" si="657"/>
        <v>0</v>
      </c>
      <c r="AP101" s="114">
        <f t="shared" si="657"/>
        <v>0</v>
      </c>
      <c r="AQ101" s="113">
        <f t="shared" si="657"/>
        <v>0</v>
      </c>
      <c r="AR101" s="114"/>
      <c r="AS101" s="114">
        <f t="shared" ref="AS101:AY101" si="658">AK101</f>
        <v>0</v>
      </c>
      <c r="AT101" s="114">
        <f t="shared" si="633"/>
        <v>0</v>
      </c>
      <c r="AU101" s="113"/>
      <c r="AV101" s="124"/>
      <c r="AW101" s="113">
        <f t="shared" si="658"/>
        <v>0</v>
      </c>
      <c r="AX101" s="114">
        <f t="shared" si="658"/>
        <v>0</v>
      </c>
      <c r="AY101" s="113">
        <f t="shared" si="658"/>
        <v>0</v>
      </c>
      <c r="AZ101" s="114"/>
      <c r="BA101" s="114">
        <f t="shared" ref="BA101:BG101" si="659">AS101</f>
        <v>0</v>
      </c>
      <c r="BB101" s="114">
        <f t="shared" si="635"/>
        <v>0</v>
      </c>
      <c r="BC101" s="113"/>
      <c r="BD101" s="124"/>
      <c r="BE101" s="113">
        <f t="shared" si="659"/>
        <v>0</v>
      </c>
      <c r="BF101" s="114">
        <f t="shared" si="659"/>
        <v>0</v>
      </c>
      <c r="BG101" s="113">
        <f t="shared" si="659"/>
        <v>0</v>
      </c>
      <c r="BH101" s="114"/>
      <c r="BI101" s="114">
        <f t="shared" ref="BI101:BO101" si="660">BA101</f>
        <v>0</v>
      </c>
      <c r="BJ101" s="114">
        <f t="shared" si="637"/>
        <v>0</v>
      </c>
      <c r="BK101" s="113"/>
      <c r="BL101" s="124"/>
      <c r="BM101" s="113">
        <f t="shared" si="660"/>
        <v>0</v>
      </c>
      <c r="BN101" s="114">
        <f t="shared" si="660"/>
        <v>0</v>
      </c>
      <c r="BO101" s="113">
        <f t="shared" si="660"/>
        <v>0</v>
      </c>
      <c r="BP101" s="114"/>
      <c r="BQ101" s="114">
        <f t="shared" ref="BQ101:BW101" si="661">BI101</f>
        <v>0</v>
      </c>
      <c r="BR101" s="114">
        <f t="shared" si="639"/>
        <v>0</v>
      </c>
      <c r="BS101" s="113"/>
      <c r="BT101" s="124"/>
      <c r="BU101" s="113">
        <f t="shared" si="661"/>
        <v>0</v>
      </c>
      <c r="BV101" s="114">
        <f t="shared" si="661"/>
        <v>0</v>
      </c>
      <c r="BW101" s="113">
        <f t="shared" si="661"/>
        <v>0</v>
      </c>
      <c r="BX101" s="114"/>
      <c r="BY101" s="114">
        <f t="shared" ref="BY101:CE101" si="662">BQ101</f>
        <v>0</v>
      </c>
      <c r="BZ101" s="114">
        <f t="shared" si="641"/>
        <v>0</v>
      </c>
      <c r="CA101" s="113"/>
      <c r="CB101" s="124"/>
      <c r="CC101" s="113">
        <f t="shared" si="662"/>
        <v>0</v>
      </c>
      <c r="CD101" s="114">
        <f t="shared" si="662"/>
        <v>0</v>
      </c>
      <c r="CE101" s="113">
        <f t="shared" si="662"/>
        <v>0</v>
      </c>
      <c r="CF101" s="114">
        <f t="shared" si="642"/>
        <v>0</v>
      </c>
      <c r="CG101" s="114">
        <f t="shared" si="643"/>
        <v>0</v>
      </c>
      <c r="CH101" s="114">
        <f t="shared" si="644"/>
        <v>0</v>
      </c>
      <c r="CI101" s="113"/>
    </row>
    <row r="102" s="104" customFormat="1" customHeight="1" spans="1:87">
      <c r="A102" s="126"/>
      <c r="B102" s="114"/>
      <c r="C102" s="113"/>
      <c r="D102" s="114"/>
      <c r="E102" s="114"/>
      <c r="F102" s="114">
        <f t="shared" si="620"/>
        <v>0</v>
      </c>
      <c r="G102" s="113"/>
      <c r="H102" s="124"/>
      <c r="I102" s="113">
        <f t="shared" si="621"/>
        <v>0</v>
      </c>
      <c r="J102" s="114">
        <f t="shared" si="622"/>
        <v>0</v>
      </c>
      <c r="K102" s="113">
        <f t="shared" si="623"/>
        <v>0</v>
      </c>
      <c r="L102" s="114"/>
      <c r="M102" s="114">
        <f t="shared" ref="M102:S102" si="663">E102</f>
        <v>0</v>
      </c>
      <c r="N102" s="114">
        <f t="shared" si="625"/>
        <v>0</v>
      </c>
      <c r="O102" s="113"/>
      <c r="P102" s="124"/>
      <c r="Q102" s="113">
        <f t="shared" si="663"/>
        <v>0</v>
      </c>
      <c r="R102" s="114">
        <f t="shared" si="663"/>
        <v>0</v>
      </c>
      <c r="S102" s="113">
        <f t="shared" si="663"/>
        <v>0</v>
      </c>
      <c r="T102" s="114"/>
      <c r="U102" s="114">
        <f t="shared" ref="U102:AA102" si="664">M102</f>
        <v>0</v>
      </c>
      <c r="V102" s="114">
        <f t="shared" si="627"/>
        <v>0</v>
      </c>
      <c r="W102" s="113"/>
      <c r="X102" s="124"/>
      <c r="Y102" s="113">
        <f t="shared" si="664"/>
        <v>0</v>
      </c>
      <c r="Z102" s="114">
        <f t="shared" si="664"/>
        <v>0</v>
      </c>
      <c r="AA102" s="113">
        <f t="shared" si="664"/>
        <v>0</v>
      </c>
      <c r="AB102" s="114"/>
      <c r="AC102" s="114">
        <f t="shared" ref="AC102:AI102" si="665">U102</f>
        <v>0</v>
      </c>
      <c r="AD102" s="114">
        <f t="shared" si="629"/>
        <v>0</v>
      </c>
      <c r="AE102" s="113"/>
      <c r="AF102" s="124"/>
      <c r="AG102" s="113">
        <f t="shared" si="665"/>
        <v>0</v>
      </c>
      <c r="AH102" s="114">
        <f t="shared" si="665"/>
        <v>0</v>
      </c>
      <c r="AI102" s="113">
        <f t="shared" si="665"/>
        <v>0</v>
      </c>
      <c r="AJ102" s="114"/>
      <c r="AK102" s="114">
        <f t="shared" ref="AK102:AQ102" si="666">AC102</f>
        <v>0</v>
      </c>
      <c r="AL102" s="114">
        <f t="shared" si="631"/>
        <v>0</v>
      </c>
      <c r="AM102" s="113"/>
      <c r="AN102" s="124"/>
      <c r="AO102" s="113">
        <f t="shared" si="666"/>
        <v>0</v>
      </c>
      <c r="AP102" s="114">
        <f t="shared" si="666"/>
        <v>0</v>
      </c>
      <c r="AQ102" s="113">
        <f t="shared" si="666"/>
        <v>0</v>
      </c>
      <c r="AR102" s="114"/>
      <c r="AS102" s="114">
        <f t="shared" ref="AS102:AY102" si="667">AK102</f>
        <v>0</v>
      </c>
      <c r="AT102" s="114">
        <f t="shared" si="633"/>
        <v>0</v>
      </c>
      <c r="AU102" s="113"/>
      <c r="AV102" s="124"/>
      <c r="AW102" s="113">
        <f t="shared" si="667"/>
        <v>0</v>
      </c>
      <c r="AX102" s="114">
        <f t="shared" si="667"/>
        <v>0</v>
      </c>
      <c r="AY102" s="113">
        <f t="shared" si="667"/>
        <v>0</v>
      </c>
      <c r="AZ102" s="114"/>
      <c r="BA102" s="114">
        <f t="shared" ref="BA102:BG102" si="668">AS102</f>
        <v>0</v>
      </c>
      <c r="BB102" s="114">
        <f t="shared" si="635"/>
        <v>0</v>
      </c>
      <c r="BC102" s="113"/>
      <c r="BD102" s="124"/>
      <c r="BE102" s="113">
        <f t="shared" si="668"/>
        <v>0</v>
      </c>
      <c r="BF102" s="114">
        <f t="shared" si="668"/>
        <v>0</v>
      </c>
      <c r="BG102" s="113">
        <f t="shared" si="668"/>
        <v>0</v>
      </c>
      <c r="BH102" s="114"/>
      <c r="BI102" s="114">
        <f t="shared" ref="BI102:BO102" si="669">BA102</f>
        <v>0</v>
      </c>
      <c r="BJ102" s="114">
        <f t="shared" si="637"/>
        <v>0</v>
      </c>
      <c r="BK102" s="113"/>
      <c r="BL102" s="124"/>
      <c r="BM102" s="113">
        <f t="shared" si="669"/>
        <v>0</v>
      </c>
      <c r="BN102" s="114">
        <f t="shared" si="669"/>
        <v>0</v>
      </c>
      <c r="BO102" s="113">
        <f t="shared" si="669"/>
        <v>0</v>
      </c>
      <c r="BP102" s="114"/>
      <c r="BQ102" s="114">
        <f t="shared" ref="BQ102:BW102" si="670">BI102</f>
        <v>0</v>
      </c>
      <c r="BR102" s="114">
        <f t="shared" si="639"/>
        <v>0</v>
      </c>
      <c r="BS102" s="113"/>
      <c r="BT102" s="124"/>
      <c r="BU102" s="113">
        <f t="shared" si="670"/>
        <v>0</v>
      </c>
      <c r="BV102" s="114">
        <f t="shared" si="670"/>
        <v>0</v>
      </c>
      <c r="BW102" s="113">
        <f t="shared" si="670"/>
        <v>0</v>
      </c>
      <c r="BX102" s="114"/>
      <c r="BY102" s="114">
        <f t="shared" ref="BY102:CE102" si="671">BQ102</f>
        <v>0</v>
      </c>
      <c r="BZ102" s="114">
        <f t="shared" si="641"/>
        <v>0</v>
      </c>
      <c r="CA102" s="113"/>
      <c r="CB102" s="124"/>
      <c r="CC102" s="113">
        <f t="shared" si="671"/>
        <v>0</v>
      </c>
      <c r="CD102" s="114">
        <f t="shared" si="671"/>
        <v>0</v>
      </c>
      <c r="CE102" s="113">
        <f t="shared" si="671"/>
        <v>0</v>
      </c>
      <c r="CF102" s="114">
        <f t="shared" si="642"/>
        <v>0</v>
      </c>
      <c r="CG102" s="114">
        <f t="shared" si="643"/>
        <v>0</v>
      </c>
      <c r="CH102" s="114">
        <f t="shared" si="644"/>
        <v>0</v>
      </c>
      <c r="CI102" s="113"/>
    </row>
    <row r="103" s="104" customFormat="1" customHeight="1" spans="1:87">
      <c r="A103" s="113"/>
      <c r="B103" s="114"/>
      <c r="C103" s="113"/>
      <c r="D103" s="114"/>
      <c r="E103" s="119"/>
      <c r="F103" s="114">
        <f t="shared" si="620"/>
        <v>0</v>
      </c>
      <c r="G103" s="113"/>
      <c r="H103" s="124"/>
      <c r="I103" s="113">
        <f t="shared" si="621"/>
        <v>0</v>
      </c>
      <c r="J103" s="114">
        <f t="shared" si="622"/>
        <v>0</v>
      </c>
      <c r="K103" s="113">
        <f t="shared" si="623"/>
        <v>0</v>
      </c>
      <c r="L103" s="114"/>
      <c r="M103" s="114">
        <f t="shared" ref="M103:S103" si="672">E103</f>
        <v>0</v>
      </c>
      <c r="N103" s="114">
        <f t="shared" si="625"/>
        <v>0</v>
      </c>
      <c r="O103" s="113"/>
      <c r="P103" s="124"/>
      <c r="Q103" s="113">
        <f t="shared" si="672"/>
        <v>0</v>
      </c>
      <c r="R103" s="114">
        <f t="shared" si="672"/>
        <v>0</v>
      </c>
      <c r="S103" s="113">
        <f t="shared" si="672"/>
        <v>0</v>
      </c>
      <c r="T103" s="114"/>
      <c r="U103" s="114">
        <f t="shared" ref="U103:AA103" si="673">M103</f>
        <v>0</v>
      </c>
      <c r="V103" s="114">
        <f t="shared" si="627"/>
        <v>0</v>
      </c>
      <c r="W103" s="113"/>
      <c r="X103" s="124"/>
      <c r="Y103" s="113">
        <f t="shared" si="673"/>
        <v>0</v>
      </c>
      <c r="Z103" s="114">
        <f t="shared" si="673"/>
        <v>0</v>
      </c>
      <c r="AA103" s="113">
        <f t="shared" si="673"/>
        <v>0</v>
      </c>
      <c r="AB103" s="114"/>
      <c r="AC103" s="114">
        <f t="shared" ref="AC103:AI103" si="674">U103</f>
        <v>0</v>
      </c>
      <c r="AD103" s="114">
        <f t="shared" si="629"/>
        <v>0</v>
      </c>
      <c r="AE103" s="113"/>
      <c r="AF103" s="124"/>
      <c r="AG103" s="113">
        <f t="shared" si="674"/>
        <v>0</v>
      </c>
      <c r="AH103" s="114">
        <f t="shared" si="674"/>
        <v>0</v>
      </c>
      <c r="AI103" s="113">
        <f t="shared" si="674"/>
        <v>0</v>
      </c>
      <c r="AJ103" s="114"/>
      <c r="AK103" s="114">
        <f t="shared" ref="AK103:AQ103" si="675">AC103</f>
        <v>0</v>
      </c>
      <c r="AL103" s="114">
        <f t="shared" si="631"/>
        <v>0</v>
      </c>
      <c r="AM103" s="113"/>
      <c r="AN103" s="124"/>
      <c r="AO103" s="113">
        <f t="shared" si="675"/>
        <v>0</v>
      </c>
      <c r="AP103" s="114">
        <f t="shared" si="675"/>
        <v>0</v>
      </c>
      <c r="AQ103" s="113">
        <f t="shared" si="675"/>
        <v>0</v>
      </c>
      <c r="AR103" s="114"/>
      <c r="AS103" s="114">
        <f t="shared" ref="AS103:AY103" si="676">AK103</f>
        <v>0</v>
      </c>
      <c r="AT103" s="114">
        <f t="shared" si="633"/>
        <v>0</v>
      </c>
      <c r="AU103" s="113"/>
      <c r="AV103" s="124"/>
      <c r="AW103" s="113">
        <f t="shared" si="676"/>
        <v>0</v>
      </c>
      <c r="AX103" s="114">
        <f t="shared" si="676"/>
        <v>0</v>
      </c>
      <c r="AY103" s="113">
        <f t="shared" si="676"/>
        <v>0</v>
      </c>
      <c r="AZ103" s="114"/>
      <c r="BA103" s="114">
        <f t="shared" ref="BA103:BG103" si="677">AS103</f>
        <v>0</v>
      </c>
      <c r="BB103" s="114">
        <f t="shared" si="635"/>
        <v>0</v>
      </c>
      <c r="BC103" s="113"/>
      <c r="BD103" s="124"/>
      <c r="BE103" s="113">
        <f t="shared" si="677"/>
        <v>0</v>
      </c>
      <c r="BF103" s="114">
        <f t="shared" si="677"/>
        <v>0</v>
      </c>
      <c r="BG103" s="113">
        <f t="shared" si="677"/>
        <v>0</v>
      </c>
      <c r="BH103" s="114"/>
      <c r="BI103" s="114">
        <f t="shared" ref="BI103:BO103" si="678">BA103</f>
        <v>0</v>
      </c>
      <c r="BJ103" s="114">
        <f t="shared" si="637"/>
        <v>0</v>
      </c>
      <c r="BK103" s="113"/>
      <c r="BL103" s="124"/>
      <c r="BM103" s="113">
        <f t="shared" si="678"/>
        <v>0</v>
      </c>
      <c r="BN103" s="114">
        <f t="shared" si="678"/>
        <v>0</v>
      </c>
      <c r="BO103" s="113">
        <f t="shared" si="678"/>
        <v>0</v>
      </c>
      <c r="BP103" s="114"/>
      <c r="BQ103" s="114">
        <f t="shared" ref="BQ103:BW103" si="679">BI103</f>
        <v>0</v>
      </c>
      <c r="BR103" s="114">
        <f t="shared" si="639"/>
        <v>0</v>
      </c>
      <c r="BS103" s="113"/>
      <c r="BT103" s="124"/>
      <c r="BU103" s="113">
        <f t="shared" si="679"/>
        <v>0</v>
      </c>
      <c r="BV103" s="114">
        <f t="shared" si="679"/>
        <v>0</v>
      </c>
      <c r="BW103" s="113">
        <f t="shared" si="679"/>
        <v>0</v>
      </c>
      <c r="BX103" s="114"/>
      <c r="BY103" s="114">
        <f t="shared" ref="BY103:CE103" si="680">BQ103</f>
        <v>0</v>
      </c>
      <c r="BZ103" s="114">
        <f t="shared" si="641"/>
        <v>0</v>
      </c>
      <c r="CA103" s="113"/>
      <c r="CB103" s="124"/>
      <c r="CC103" s="113">
        <f t="shared" si="680"/>
        <v>0</v>
      </c>
      <c r="CD103" s="114">
        <f t="shared" si="680"/>
        <v>0</v>
      </c>
      <c r="CE103" s="113">
        <f t="shared" si="680"/>
        <v>0</v>
      </c>
      <c r="CF103" s="114">
        <f t="shared" si="642"/>
        <v>0</v>
      </c>
      <c r="CG103" s="114">
        <f t="shared" si="643"/>
        <v>0</v>
      </c>
      <c r="CH103" s="114">
        <f t="shared" si="644"/>
        <v>0</v>
      </c>
      <c r="CI103" s="113"/>
    </row>
    <row r="104" s="104" customFormat="1" customHeight="1" spans="1:87">
      <c r="A104" s="126"/>
      <c r="B104" s="127"/>
      <c r="C104" s="126"/>
      <c r="D104" s="127"/>
      <c r="E104" s="127"/>
      <c r="F104" s="114">
        <f t="shared" si="620"/>
        <v>0</v>
      </c>
      <c r="G104" s="113"/>
      <c r="H104" s="124"/>
      <c r="I104" s="113">
        <f t="shared" si="621"/>
        <v>0</v>
      </c>
      <c r="J104" s="114">
        <f t="shared" si="622"/>
        <v>0</v>
      </c>
      <c r="K104" s="113">
        <f t="shared" si="623"/>
        <v>0</v>
      </c>
      <c r="L104" s="114"/>
      <c r="M104" s="114">
        <f t="shared" ref="M104:S104" si="681">E104</f>
        <v>0</v>
      </c>
      <c r="N104" s="114">
        <f t="shared" si="625"/>
        <v>0</v>
      </c>
      <c r="O104" s="113"/>
      <c r="P104" s="124"/>
      <c r="Q104" s="113">
        <f t="shared" si="681"/>
        <v>0</v>
      </c>
      <c r="R104" s="114">
        <f t="shared" si="681"/>
        <v>0</v>
      </c>
      <c r="S104" s="113">
        <f t="shared" si="681"/>
        <v>0</v>
      </c>
      <c r="T104" s="114"/>
      <c r="U104" s="114">
        <f t="shared" ref="U104:AA104" si="682">M104</f>
        <v>0</v>
      </c>
      <c r="V104" s="114">
        <f t="shared" si="627"/>
        <v>0</v>
      </c>
      <c r="W104" s="113"/>
      <c r="X104" s="124"/>
      <c r="Y104" s="113">
        <f t="shared" si="682"/>
        <v>0</v>
      </c>
      <c r="Z104" s="114">
        <f t="shared" si="682"/>
        <v>0</v>
      </c>
      <c r="AA104" s="113">
        <f t="shared" si="682"/>
        <v>0</v>
      </c>
      <c r="AB104" s="114"/>
      <c r="AC104" s="114">
        <f t="shared" ref="AC104:AI104" si="683">U104</f>
        <v>0</v>
      </c>
      <c r="AD104" s="114">
        <f t="shared" si="629"/>
        <v>0</v>
      </c>
      <c r="AE104" s="113"/>
      <c r="AF104" s="124"/>
      <c r="AG104" s="113">
        <f t="shared" si="683"/>
        <v>0</v>
      </c>
      <c r="AH104" s="114">
        <f t="shared" si="683"/>
        <v>0</v>
      </c>
      <c r="AI104" s="113">
        <f t="shared" si="683"/>
        <v>0</v>
      </c>
      <c r="AJ104" s="114"/>
      <c r="AK104" s="114">
        <f t="shared" ref="AK104:AQ104" si="684">AC104</f>
        <v>0</v>
      </c>
      <c r="AL104" s="114">
        <f t="shared" si="631"/>
        <v>0</v>
      </c>
      <c r="AM104" s="113"/>
      <c r="AN104" s="124"/>
      <c r="AO104" s="113">
        <f t="shared" si="684"/>
        <v>0</v>
      </c>
      <c r="AP104" s="114">
        <f t="shared" si="684"/>
        <v>0</v>
      </c>
      <c r="AQ104" s="113">
        <f t="shared" si="684"/>
        <v>0</v>
      </c>
      <c r="AR104" s="114"/>
      <c r="AS104" s="114">
        <f t="shared" ref="AS104:AY104" si="685">AK104</f>
        <v>0</v>
      </c>
      <c r="AT104" s="114">
        <f t="shared" si="633"/>
        <v>0</v>
      </c>
      <c r="AU104" s="113"/>
      <c r="AV104" s="124"/>
      <c r="AW104" s="113">
        <f t="shared" si="685"/>
        <v>0</v>
      </c>
      <c r="AX104" s="114">
        <f t="shared" si="685"/>
        <v>0</v>
      </c>
      <c r="AY104" s="113">
        <f t="shared" si="685"/>
        <v>0</v>
      </c>
      <c r="AZ104" s="114"/>
      <c r="BA104" s="114">
        <f t="shared" ref="BA104:BG104" si="686">AS104</f>
        <v>0</v>
      </c>
      <c r="BB104" s="114">
        <f t="shared" si="635"/>
        <v>0</v>
      </c>
      <c r="BC104" s="113"/>
      <c r="BD104" s="124"/>
      <c r="BE104" s="113">
        <f t="shared" si="686"/>
        <v>0</v>
      </c>
      <c r="BF104" s="114">
        <f t="shared" si="686"/>
        <v>0</v>
      </c>
      <c r="BG104" s="113">
        <f t="shared" si="686"/>
        <v>0</v>
      </c>
      <c r="BH104" s="114"/>
      <c r="BI104" s="114">
        <f t="shared" ref="BI104:BO104" si="687">BA104</f>
        <v>0</v>
      </c>
      <c r="BJ104" s="114">
        <f t="shared" si="637"/>
        <v>0</v>
      </c>
      <c r="BK104" s="113"/>
      <c r="BL104" s="124"/>
      <c r="BM104" s="113">
        <f t="shared" si="687"/>
        <v>0</v>
      </c>
      <c r="BN104" s="114">
        <f t="shared" si="687"/>
        <v>0</v>
      </c>
      <c r="BO104" s="113">
        <f t="shared" si="687"/>
        <v>0</v>
      </c>
      <c r="BP104" s="114"/>
      <c r="BQ104" s="114">
        <f t="shared" ref="BQ104:BW104" si="688">BI104</f>
        <v>0</v>
      </c>
      <c r="BR104" s="114">
        <f t="shared" si="639"/>
        <v>0</v>
      </c>
      <c r="BS104" s="113"/>
      <c r="BT104" s="124"/>
      <c r="BU104" s="113">
        <f t="shared" si="688"/>
        <v>0</v>
      </c>
      <c r="BV104" s="114">
        <f t="shared" si="688"/>
        <v>0</v>
      </c>
      <c r="BW104" s="113">
        <f t="shared" si="688"/>
        <v>0</v>
      </c>
      <c r="BX104" s="114"/>
      <c r="BY104" s="114">
        <f t="shared" ref="BY104:CE104" si="689">BQ104</f>
        <v>0</v>
      </c>
      <c r="BZ104" s="114">
        <f t="shared" si="641"/>
        <v>0</v>
      </c>
      <c r="CA104" s="113"/>
      <c r="CB104" s="124"/>
      <c r="CC104" s="113">
        <f t="shared" si="689"/>
        <v>0</v>
      </c>
      <c r="CD104" s="114">
        <f t="shared" si="689"/>
        <v>0</v>
      </c>
      <c r="CE104" s="113">
        <f t="shared" si="689"/>
        <v>0</v>
      </c>
      <c r="CF104" s="114">
        <f t="shared" si="642"/>
        <v>0</v>
      </c>
      <c r="CG104" s="114">
        <f t="shared" si="643"/>
        <v>0</v>
      </c>
      <c r="CH104" s="114">
        <f t="shared" si="644"/>
        <v>0</v>
      </c>
      <c r="CI104" s="113"/>
    </row>
    <row r="105" s="104" customFormat="1" customHeight="1" spans="1:87">
      <c r="A105" s="126"/>
      <c r="B105" s="127"/>
      <c r="C105" s="126"/>
      <c r="D105" s="127"/>
      <c r="E105" s="127"/>
      <c r="F105" s="114">
        <f t="shared" si="620"/>
        <v>0</v>
      </c>
      <c r="G105" s="113"/>
      <c r="H105" s="124"/>
      <c r="I105" s="113">
        <f t="shared" si="621"/>
        <v>0</v>
      </c>
      <c r="J105" s="114">
        <f t="shared" si="622"/>
        <v>0</v>
      </c>
      <c r="K105" s="113">
        <f t="shared" si="623"/>
        <v>0</v>
      </c>
      <c r="L105" s="114"/>
      <c r="M105" s="114">
        <f t="shared" ref="M105:S105" si="690">E105</f>
        <v>0</v>
      </c>
      <c r="N105" s="114">
        <f t="shared" si="625"/>
        <v>0</v>
      </c>
      <c r="O105" s="113"/>
      <c r="P105" s="124"/>
      <c r="Q105" s="113">
        <f t="shared" si="690"/>
        <v>0</v>
      </c>
      <c r="R105" s="114">
        <f t="shared" si="690"/>
        <v>0</v>
      </c>
      <c r="S105" s="113">
        <f t="shared" si="690"/>
        <v>0</v>
      </c>
      <c r="T105" s="114"/>
      <c r="U105" s="114">
        <f t="shared" ref="U105:AA105" si="691">M105</f>
        <v>0</v>
      </c>
      <c r="V105" s="114">
        <f t="shared" si="627"/>
        <v>0</v>
      </c>
      <c r="W105" s="113"/>
      <c r="X105" s="124"/>
      <c r="Y105" s="113">
        <f t="shared" si="691"/>
        <v>0</v>
      </c>
      <c r="Z105" s="114">
        <f t="shared" si="691"/>
        <v>0</v>
      </c>
      <c r="AA105" s="113">
        <f t="shared" si="691"/>
        <v>0</v>
      </c>
      <c r="AB105" s="114"/>
      <c r="AC105" s="114">
        <f t="shared" ref="AC105:AI105" si="692">U105</f>
        <v>0</v>
      </c>
      <c r="AD105" s="114">
        <f t="shared" si="629"/>
        <v>0</v>
      </c>
      <c r="AE105" s="113"/>
      <c r="AF105" s="124"/>
      <c r="AG105" s="113">
        <f t="shared" si="692"/>
        <v>0</v>
      </c>
      <c r="AH105" s="114">
        <f t="shared" si="692"/>
        <v>0</v>
      </c>
      <c r="AI105" s="113">
        <f t="shared" si="692"/>
        <v>0</v>
      </c>
      <c r="AJ105" s="114"/>
      <c r="AK105" s="114">
        <f t="shared" ref="AK105:AQ105" si="693">AC105</f>
        <v>0</v>
      </c>
      <c r="AL105" s="114">
        <f t="shared" si="631"/>
        <v>0</v>
      </c>
      <c r="AM105" s="113"/>
      <c r="AN105" s="124"/>
      <c r="AO105" s="113">
        <f t="shared" si="693"/>
        <v>0</v>
      </c>
      <c r="AP105" s="114">
        <f t="shared" si="693"/>
        <v>0</v>
      </c>
      <c r="AQ105" s="113">
        <f t="shared" si="693"/>
        <v>0</v>
      </c>
      <c r="AR105" s="114"/>
      <c r="AS105" s="114">
        <f t="shared" ref="AS105:AY105" si="694">AK105</f>
        <v>0</v>
      </c>
      <c r="AT105" s="114">
        <f t="shared" si="633"/>
        <v>0</v>
      </c>
      <c r="AU105" s="113"/>
      <c r="AV105" s="124"/>
      <c r="AW105" s="113">
        <f t="shared" si="694"/>
        <v>0</v>
      </c>
      <c r="AX105" s="114">
        <f t="shared" si="694"/>
        <v>0</v>
      </c>
      <c r="AY105" s="113">
        <f t="shared" si="694"/>
        <v>0</v>
      </c>
      <c r="AZ105" s="114"/>
      <c r="BA105" s="114">
        <f t="shared" ref="BA105:BG105" si="695">AS105</f>
        <v>0</v>
      </c>
      <c r="BB105" s="114">
        <f t="shared" si="635"/>
        <v>0</v>
      </c>
      <c r="BC105" s="113"/>
      <c r="BD105" s="124"/>
      <c r="BE105" s="113">
        <f t="shared" si="695"/>
        <v>0</v>
      </c>
      <c r="BF105" s="114">
        <f t="shared" si="695"/>
        <v>0</v>
      </c>
      <c r="BG105" s="113">
        <f t="shared" si="695"/>
        <v>0</v>
      </c>
      <c r="BH105" s="114"/>
      <c r="BI105" s="114">
        <f t="shared" ref="BI105:BO105" si="696">BA105</f>
        <v>0</v>
      </c>
      <c r="BJ105" s="114">
        <f t="shared" si="637"/>
        <v>0</v>
      </c>
      <c r="BK105" s="113"/>
      <c r="BL105" s="124"/>
      <c r="BM105" s="113">
        <f t="shared" si="696"/>
        <v>0</v>
      </c>
      <c r="BN105" s="114">
        <f t="shared" si="696"/>
        <v>0</v>
      </c>
      <c r="BO105" s="113">
        <f t="shared" si="696"/>
        <v>0</v>
      </c>
      <c r="BP105" s="114"/>
      <c r="BQ105" s="114">
        <f t="shared" ref="BQ105:BW105" si="697">BI105</f>
        <v>0</v>
      </c>
      <c r="BR105" s="114">
        <f t="shared" si="639"/>
        <v>0</v>
      </c>
      <c r="BS105" s="113"/>
      <c r="BT105" s="124"/>
      <c r="BU105" s="113">
        <f t="shared" si="697"/>
        <v>0</v>
      </c>
      <c r="BV105" s="114">
        <f t="shared" si="697"/>
        <v>0</v>
      </c>
      <c r="BW105" s="113">
        <f t="shared" si="697"/>
        <v>0</v>
      </c>
      <c r="BX105" s="114"/>
      <c r="BY105" s="114">
        <f t="shared" ref="BY105:CE105" si="698">BQ105</f>
        <v>0</v>
      </c>
      <c r="BZ105" s="114">
        <f t="shared" si="641"/>
        <v>0</v>
      </c>
      <c r="CA105" s="113"/>
      <c r="CB105" s="124"/>
      <c r="CC105" s="113">
        <f t="shared" si="698"/>
        <v>0</v>
      </c>
      <c r="CD105" s="114">
        <f t="shared" si="698"/>
        <v>0</v>
      </c>
      <c r="CE105" s="113">
        <f t="shared" si="698"/>
        <v>0</v>
      </c>
      <c r="CF105" s="114">
        <f t="shared" si="642"/>
        <v>0</v>
      </c>
      <c r="CG105" s="114">
        <f t="shared" si="643"/>
        <v>0</v>
      </c>
      <c r="CH105" s="114">
        <f t="shared" si="644"/>
        <v>0</v>
      </c>
      <c r="CI105" s="113"/>
    </row>
    <row r="106" s="104" customFormat="1" customHeight="1" spans="1:87">
      <c r="A106" s="126"/>
      <c r="B106" s="127"/>
      <c r="C106" s="126"/>
      <c r="D106" s="127"/>
      <c r="E106" s="127"/>
      <c r="F106" s="114">
        <f t="shared" si="620"/>
        <v>0</v>
      </c>
      <c r="G106" s="113"/>
      <c r="H106" s="124"/>
      <c r="I106" s="113">
        <f t="shared" si="621"/>
        <v>0</v>
      </c>
      <c r="J106" s="114">
        <f t="shared" si="622"/>
        <v>0</v>
      </c>
      <c r="K106" s="113">
        <f t="shared" si="623"/>
        <v>0</v>
      </c>
      <c r="L106" s="114"/>
      <c r="M106" s="114">
        <f t="shared" ref="M106:S106" si="699">E106</f>
        <v>0</v>
      </c>
      <c r="N106" s="114">
        <f t="shared" si="625"/>
        <v>0</v>
      </c>
      <c r="O106" s="113"/>
      <c r="P106" s="124"/>
      <c r="Q106" s="113">
        <f t="shared" si="699"/>
        <v>0</v>
      </c>
      <c r="R106" s="114">
        <f t="shared" si="699"/>
        <v>0</v>
      </c>
      <c r="S106" s="113">
        <f t="shared" si="699"/>
        <v>0</v>
      </c>
      <c r="T106" s="114"/>
      <c r="U106" s="114">
        <f t="shared" ref="U106:AA106" si="700">M106</f>
        <v>0</v>
      </c>
      <c r="V106" s="114">
        <f t="shared" si="627"/>
        <v>0</v>
      </c>
      <c r="W106" s="113"/>
      <c r="X106" s="124"/>
      <c r="Y106" s="113">
        <f t="shared" si="700"/>
        <v>0</v>
      </c>
      <c r="Z106" s="114">
        <f t="shared" si="700"/>
        <v>0</v>
      </c>
      <c r="AA106" s="113">
        <f t="shared" si="700"/>
        <v>0</v>
      </c>
      <c r="AB106" s="114"/>
      <c r="AC106" s="114">
        <f t="shared" ref="AC106:AI106" si="701">U106</f>
        <v>0</v>
      </c>
      <c r="AD106" s="114">
        <f t="shared" si="629"/>
        <v>0</v>
      </c>
      <c r="AE106" s="113"/>
      <c r="AF106" s="124"/>
      <c r="AG106" s="113">
        <f t="shared" si="701"/>
        <v>0</v>
      </c>
      <c r="AH106" s="114">
        <f t="shared" si="701"/>
        <v>0</v>
      </c>
      <c r="AI106" s="113">
        <f t="shared" si="701"/>
        <v>0</v>
      </c>
      <c r="AJ106" s="114"/>
      <c r="AK106" s="114">
        <f t="shared" ref="AK106:AQ106" si="702">AC106</f>
        <v>0</v>
      </c>
      <c r="AL106" s="114">
        <f t="shared" si="631"/>
        <v>0</v>
      </c>
      <c r="AM106" s="113"/>
      <c r="AN106" s="124"/>
      <c r="AO106" s="113">
        <f t="shared" si="702"/>
        <v>0</v>
      </c>
      <c r="AP106" s="114">
        <f t="shared" si="702"/>
        <v>0</v>
      </c>
      <c r="AQ106" s="113">
        <f t="shared" si="702"/>
        <v>0</v>
      </c>
      <c r="AR106" s="114"/>
      <c r="AS106" s="114">
        <f t="shared" ref="AS106:AY106" si="703">AK106</f>
        <v>0</v>
      </c>
      <c r="AT106" s="114">
        <f t="shared" si="633"/>
        <v>0</v>
      </c>
      <c r="AU106" s="113"/>
      <c r="AV106" s="124"/>
      <c r="AW106" s="113">
        <f t="shared" si="703"/>
        <v>0</v>
      </c>
      <c r="AX106" s="114">
        <f t="shared" si="703"/>
        <v>0</v>
      </c>
      <c r="AY106" s="113">
        <f t="shared" si="703"/>
        <v>0</v>
      </c>
      <c r="AZ106" s="114"/>
      <c r="BA106" s="114">
        <f t="shared" ref="BA106:BG106" si="704">AS106</f>
        <v>0</v>
      </c>
      <c r="BB106" s="114">
        <f t="shared" si="635"/>
        <v>0</v>
      </c>
      <c r="BC106" s="113"/>
      <c r="BD106" s="124"/>
      <c r="BE106" s="113">
        <f t="shared" si="704"/>
        <v>0</v>
      </c>
      <c r="BF106" s="114">
        <f t="shared" si="704"/>
        <v>0</v>
      </c>
      <c r="BG106" s="113">
        <f t="shared" si="704"/>
        <v>0</v>
      </c>
      <c r="BH106" s="114"/>
      <c r="BI106" s="114">
        <f t="shared" ref="BI106:BO106" si="705">BA106</f>
        <v>0</v>
      </c>
      <c r="BJ106" s="114">
        <f t="shared" si="637"/>
        <v>0</v>
      </c>
      <c r="BK106" s="113"/>
      <c r="BL106" s="124"/>
      <c r="BM106" s="113">
        <f t="shared" si="705"/>
        <v>0</v>
      </c>
      <c r="BN106" s="114">
        <f t="shared" si="705"/>
        <v>0</v>
      </c>
      <c r="BO106" s="113">
        <f t="shared" si="705"/>
        <v>0</v>
      </c>
      <c r="BP106" s="114"/>
      <c r="BQ106" s="114">
        <f t="shared" ref="BQ106:BW106" si="706">BI106</f>
        <v>0</v>
      </c>
      <c r="BR106" s="114">
        <f t="shared" si="639"/>
        <v>0</v>
      </c>
      <c r="BS106" s="113"/>
      <c r="BT106" s="124"/>
      <c r="BU106" s="113">
        <f t="shared" si="706"/>
        <v>0</v>
      </c>
      <c r="BV106" s="114">
        <f t="shared" si="706"/>
        <v>0</v>
      </c>
      <c r="BW106" s="113">
        <f t="shared" si="706"/>
        <v>0</v>
      </c>
      <c r="BX106" s="114"/>
      <c r="BY106" s="114">
        <f t="shared" ref="BY106:CE106" si="707">BQ106</f>
        <v>0</v>
      </c>
      <c r="BZ106" s="114">
        <f t="shared" si="641"/>
        <v>0</v>
      </c>
      <c r="CA106" s="113"/>
      <c r="CB106" s="124"/>
      <c r="CC106" s="113">
        <f t="shared" si="707"/>
        <v>0</v>
      </c>
      <c r="CD106" s="114">
        <f t="shared" si="707"/>
        <v>0</v>
      </c>
      <c r="CE106" s="113">
        <f t="shared" si="707"/>
        <v>0</v>
      </c>
      <c r="CF106" s="114">
        <f t="shared" si="642"/>
        <v>0</v>
      </c>
      <c r="CG106" s="114">
        <f t="shared" si="643"/>
        <v>0</v>
      </c>
      <c r="CH106" s="114">
        <f t="shared" si="644"/>
        <v>0</v>
      </c>
      <c r="CI106" s="113"/>
    </row>
    <row r="107" s="104" customFormat="1" customHeight="1" spans="1:87">
      <c r="A107" s="126"/>
      <c r="B107" s="127"/>
      <c r="C107" s="126"/>
      <c r="D107" s="127"/>
      <c r="E107" s="127"/>
      <c r="F107" s="114">
        <f t="shared" si="620"/>
        <v>0</v>
      </c>
      <c r="G107" s="113"/>
      <c r="H107" s="124"/>
      <c r="I107" s="113">
        <f t="shared" si="621"/>
        <v>0</v>
      </c>
      <c r="J107" s="114">
        <f t="shared" si="622"/>
        <v>0</v>
      </c>
      <c r="K107" s="113">
        <f t="shared" si="623"/>
        <v>0</v>
      </c>
      <c r="L107" s="114"/>
      <c r="M107" s="114">
        <f t="shared" ref="M107:S107" si="708">E107</f>
        <v>0</v>
      </c>
      <c r="N107" s="114">
        <f t="shared" si="625"/>
        <v>0</v>
      </c>
      <c r="O107" s="113"/>
      <c r="P107" s="124"/>
      <c r="Q107" s="113">
        <f t="shared" si="708"/>
        <v>0</v>
      </c>
      <c r="R107" s="114">
        <f t="shared" si="708"/>
        <v>0</v>
      </c>
      <c r="S107" s="113">
        <f t="shared" si="708"/>
        <v>0</v>
      </c>
      <c r="T107" s="114"/>
      <c r="U107" s="114">
        <f t="shared" ref="U107:AA107" si="709">M107</f>
        <v>0</v>
      </c>
      <c r="V107" s="114">
        <f t="shared" si="627"/>
        <v>0</v>
      </c>
      <c r="W107" s="113"/>
      <c r="X107" s="124"/>
      <c r="Y107" s="113">
        <f t="shared" si="709"/>
        <v>0</v>
      </c>
      <c r="Z107" s="114">
        <f t="shared" si="709"/>
        <v>0</v>
      </c>
      <c r="AA107" s="113">
        <f t="shared" si="709"/>
        <v>0</v>
      </c>
      <c r="AB107" s="114"/>
      <c r="AC107" s="114">
        <f t="shared" ref="AC107:AI107" si="710">U107</f>
        <v>0</v>
      </c>
      <c r="AD107" s="114">
        <f t="shared" si="629"/>
        <v>0</v>
      </c>
      <c r="AE107" s="113"/>
      <c r="AF107" s="124"/>
      <c r="AG107" s="113">
        <f t="shared" si="710"/>
        <v>0</v>
      </c>
      <c r="AH107" s="114">
        <f t="shared" si="710"/>
        <v>0</v>
      </c>
      <c r="AI107" s="113">
        <f t="shared" si="710"/>
        <v>0</v>
      </c>
      <c r="AJ107" s="114"/>
      <c r="AK107" s="114">
        <f t="shared" ref="AK107:AQ107" si="711">AC107</f>
        <v>0</v>
      </c>
      <c r="AL107" s="114">
        <f t="shared" si="631"/>
        <v>0</v>
      </c>
      <c r="AM107" s="113"/>
      <c r="AN107" s="124"/>
      <c r="AO107" s="113">
        <f t="shared" si="711"/>
        <v>0</v>
      </c>
      <c r="AP107" s="114">
        <f t="shared" si="711"/>
        <v>0</v>
      </c>
      <c r="AQ107" s="113">
        <f t="shared" si="711"/>
        <v>0</v>
      </c>
      <c r="AR107" s="114"/>
      <c r="AS107" s="114">
        <f t="shared" ref="AS107:AY107" si="712">AK107</f>
        <v>0</v>
      </c>
      <c r="AT107" s="114">
        <f t="shared" si="633"/>
        <v>0</v>
      </c>
      <c r="AU107" s="113"/>
      <c r="AV107" s="124"/>
      <c r="AW107" s="113">
        <f t="shared" si="712"/>
        <v>0</v>
      </c>
      <c r="AX107" s="114">
        <f t="shared" si="712"/>
        <v>0</v>
      </c>
      <c r="AY107" s="113">
        <f t="shared" si="712"/>
        <v>0</v>
      </c>
      <c r="AZ107" s="114"/>
      <c r="BA107" s="114">
        <f t="shared" ref="BA107:BG107" si="713">AS107</f>
        <v>0</v>
      </c>
      <c r="BB107" s="114">
        <f t="shared" si="635"/>
        <v>0</v>
      </c>
      <c r="BC107" s="113"/>
      <c r="BD107" s="124"/>
      <c r="BE107" s="113">
        <f t="shared" si="713"/>
        <v>0</v>
      </c>
      <c r="BF107" s="114">
        <f t="shared" si="713"/>
        <v>0</v>
      </c>
      <c r="BG107" s="113">
        <f t="shared" si="713"/>
        <v>0</v>
      </c>
      <c r="BH107" s="114"/>
      <c r="BI107" s="114">
        <f t="shared" ref="BI107:BO107" si="714">BA107</f>
        <v>0</v>
      </c>
      <c r="BJ107" s="114">
        <f t="shared" si="637"/>
        <v>0</v>
      </c>
      <c r="BK107" s="113"/>
      <c r="BL107" s="124"/>
      <c r="BM107" s="113">
        <f t="shared" si="714"/>
        <v>0</v>
      </c>
      <c r="BN107" s="114">
        <f t="shared" si="714"/>
        <v>0</v>
      </c>
      <c r="BO107" s="113">
        <f t="shared" si="714"/>
        <v>0</v>
      </c>
      <c r="BP107" s="114"/>
      <c r="BQ107" s="114">
        <f t="shared" ref="BQ107:BW107" si="715">BI107</f>
        <v>0</v>
      </c>
      <c r="BR107" s="114">
        <f t="shared" si="639"/>
        <v>0</v>
      </c>
      <c r="BS107" s="113"/>
      <c r="BT107" s="124"/>
      <c r="BU107" s="113">
        <f t="shared" si="715"/>
        <v>0</v>
      </c>
      <c r="BV107" s="114">
        <f t="shared" si="715"/>
        <v>0</v>
      </c>
      <c r="BW107" s="113">
        <f t="shared" si="715"/>
        <v>0</v>
      </c>
      <c r="BX107" s="114"/>
      <c r="BY107" s="114">
        <f t="shared" ref="BY107:CE107" si="716">BQ107</f>
        <v>0</v>
      </c>
      <c r="BZ107" s="114">
        <f t="shared" si="641"/>
        <v>0</v>
      </c>
      <c r="CA107" s="113"/>
      <c r="CB107" s="124"/>
      <c r="CC107" s="113">
        <f t="shared" si="716"/>
        <v>0</v>
      </c>
      <c r="CD107" s="114">
        <f t="shared" si="716"/>
        <v>0</v>
      </c>
      <c r="CE107" s="113">
        <f t="shared" si="716"/>
        <v>0</v>
      </c>
      <c r="CF107" s="114">
        <f t="shared" si="642"/>
        <v>0</v>
      </c>
      <c r="CG107" s="114">
        <f t="shared" si="643"/>
        <v>0</v>
      </c>
      <c r="CH107" s="114">
        <f t="shared" si="644"/>
        <v>0</v>
      </c>
      <c r="CI107" s="113"/>
    </row>
    <row r="108" s="104" customFormat="1" customHeight="1" spans="1:87">
      <c r="A108" s="126"/>
      <c r="B108" s="127"/>
      <c r="C108" s="126"/>
      <c r="D108" s="127"/>
      <c r="E108" s="127"/>
      <c r="F108" s="114">
        <f t="shared" si="620"/>
        <v>0</v>
      </c>
      <c r="G108" s="113"/>
      <c r="H108" s="124"/>
      <c r="I108" s="113">
        <f t="shared" si="621"/>
        <v>0</v>
      </c>
      <c r="J108" s="114">
        <f t="shared" si="622"/>
        <v>0</v>
      </c>
      <c r="K108" s="113">
        <f t="shared" si="623"/>
        <v>0</v>
      </c>
      <c r="L108" s="114"/>
      <c r="M108" s="114">
        <f t="shared" ref="M108:S108" si="717">E108</f>
        <v>0</v>
      </c>
      <c r="N108" s="114">
        <f t="shared" si="625"/>
        <v>0</v>
      </c>
      <c r="O108" s="113"/>
      <c r="P108" s="124"/>
      <c r="Q108" s="113">
        <f t="shared" si="717"/>
        <v>0</v>
      </c>
      <c r="R108" s="114">
        <f t="shared" si="717"/>
        <v>0</v>
      </c>
      <c r="S108" s="113">
        <f t="shared" si="717"/>
        <v>0</v>
      </c>
      <c r="T108" s="114"/>
      <c r="U108" s="114">
        <f t="shared" ref="U108:AA108" si="718">M108</f>
        <v>0</v>
      </c>
      <c r="V108" s="114">
        <f t="shared" si="627"/>
        <v>0</v>
      </c>
      <c r="W108" s="113"/>
      <c r="X108" s="124"/>
      <c r="Y108" s="113">
        <f t="shared" si="718"/>
        <v>0</v>
      </c>
      <c r="Z108" s="114">
        <f t="shared" si="718"/>
        <v>0</v>
      </c>
      <c r="AA108" s="113">
        <f t="shared" si="718"/>
        <v>0</v>
      </c>
      <c r="AB108" s="114"/>
      <c r="AC108" s="114">
        <f t="shared" ref="AC108:AI108" si="719">U108</f>
        <v>0</v>
      </c>
      <c r="AD108" s="114">
        <f t="shared" si="629"/>
        <v>0</v>
      </c>
      <c r="AE108" s="113"/>
      <c r="AF108" s="124"/>
      <c r="AG108" s="113">
        <f t="shared" si="719"/>
        <v>0</v>
      </c>
      <c r="AH108" s="114">
        <f t="shared" si="719"/>
        <v>0</v>
      </c>
      <c r="AI108" s="113">
        <f t="shared" si="719"/>
        <v>0</v>
      </c>
      <c r="AJ108" s="114"/>
      <c r="AK108" s="114">
        <f t="shared" ref="AK108:AQ108" si="720">AC108</f>
        <v>0</v>
      </c>
      <c r="AL108" s="114">
        <f t="shared" si="631"/>
        <v>0</v>
      </c>
      <c r="AM108" s="113"/>
      <c r="AN108" s="124"/>
      <c r="AO108" s="113">
        <f t="shared" si="720"/>
        <v>0</v>
      </c>
      <c r="AP108" s="114">
        <f t="shared" si="720"/>
        <v>0</v>
      </c>
      <c r="AQ108" s="113">
        <f t="shared" si="720"/>
        <v>0</v>
      </c>
      <c r="AR108" s="114"/>
      <c r="AS108" s="114">
        <f t="shared" ref="AS108:AY108" si="721">AK108</f>
        <v>0</v>
      </c>
      <c r="AT108" s="114">
        <f t="shared" si="633"/>
        <v>0</v>
      </c>
      <c r="AU108" s="113"/>
      <c r="AV108" s="124"/>
      <c r="AW108" s="113">
        <f t="shared" si="721"/>
        <v>0</v>
      </c>
      <c r="AX108" s="114">
        <f t="shared" si="721"/>
        <v>0</v>
      </c>
      <c r="AY108" s="113">
        <f t="shared" si="721"/>
        <v>0</v>
      </c>
      <c r="AZ108" s="114"/>
      <c r="BA108" s="114">
        <f t="shared" ref="BA108:BG108" si="722">AS108</f>
        <v>0</v>
      </c>
      <c r="BB108" s="114">
        <f t="shared" si="635"/>
        <v>0</v>
      </c>
      <c r="BC108" s="113"/>
      <c r="BD108" s="124"/>
      <c r="BE108" s="113">
        <f t="shared" si="722"/>
        <v>0</v>
      </c>
      <c r="BF108" s="114">
        <f t="shared" si="722"/>
        <v>0</v>
      </c>
      <c r="BG108" s="113">
        <f t="shared" si="722"/>
        <v>0</v>
      </c>
      <c r="BH108" s="114"/>
      <c r="BI108" s="114">
        <f t="shared" ref="BI108:BO108" si="723">BA108</f>
        <v>0</v>
      </c>
      <c r="BJ108" s="114">
        <f t="shared" si="637"/>
        <v>0</v>
      </c>
      <c r="BK108" s="113"/>
      <c r="BL108" s="124"/>
      <c r="BM108" s="113">
        <f t="shared" si="723"/>
        <v>0</v>
      </c>
      <c r="BN108" s="114">
        <f t="shared" si="723"/>
        <v>0</v>
      </c>
      <c r="BO108" s="113">
        <f t="shared" si="723"/>
        <v>0</v>
      </c>
      <c r="BP108" s="114"/>
      <c r="BQ108" s="114">
        <f t="shared" ref="BQ108:BW108" si="724">BI108</f>
        <v>0</v>
      </c>
      <c r="BR108" s="114">
        <f t="shared" si="639"/>
        <v>0</v>
      </c>
      <c r="BS108" s="113"/>
      <c r="BT108" s="124"/>
      <c r="BU108" s="113">
        <f t="shared" si="724"/>
        <v>0</v>
      </c>
      <c r="BV108" s="114">
        <f t="shared" si="724"/>
        <v>0</v>
      </c>
      <c r="BW108" s="113">
        <f t="shared" si="724"/>
        <v>0</v>
      </c>
      <c r="BX108" s="114"/>
      <c r="BY108" s="114">
        <f t="shared" ref="BY108:CE108" si="725">BQ108</f>
        <v>0</v>
      </c>
      <c r="BZ108" s="114">
        <f t="shared" si="641"/>
        <v>0</v>
      </c>
      <c r="CA108" s="113"/>
      <c r="CB108" s="124"/>
      <c r="CC108" s="113">
        <f t="shared" si="725"/>
        <v>0</v>
      </c>
      <c r="CD108" s="114">
        <f t="shared" si="725"/>
        <v>0</v>
      </c>
      <c r="CE108" s="113">
        <f t="shared" si="725"/>
        <v>0</v>
      </c>
      <c r="CF108" s="114">
        <f t="shared" si="642"/>
        <v>0</v>
      </c>
      <c r="CG108" s="114">
        <f t="shared" si="643"/>
        <v>0</v>
      </c>
      <c r="CH108" s="114">
        <f t="shared" si="644"/>
        <v>0</v>
      </c>
      <c r="CI108" s="113"/>
    </row>
    <row r="109" s="104" customFormat="1" customHeight="1" spans="1:87">
      <c r="A109" s="126"/>
      <c r="B109" s="127"/>
      <c r="C109" s="126"/>
      <c r="D109" s="127"/>
      <c r="E109" s="127"/>
      <c r="F109" s="114">
        <f t="shared" si="620"/>
        <v>0</v>
      </c>
      <c r="G109" s="113"/>
      <c r="H109" s="124"/>
      <c r="I109" s="113">
        <f t="shared" si="621"/>
        <v>0</v>
      </c>
      <c r="J109" s="114">
        <f t="shared" si="622"/>
        <v>0</v>
      </c>
      <c r="K109" s="113">
        <f t="shared" si="623"/>
        <v>0</v>
      </c>
      <c r="L109" s="114"/>
      <c r="M109" s="114">
        <f t="shared" ref="M109:S109" si="726">E109</f>
        <v>0</v>
      </c>
      <c r="N109" s="114">
        <f t="shared" si="625"/>
        <v>0</v>
      </c>
      <c r="O109" s="113"/>
      <c r="P109" s="124"/>
      <c r="Q109" s="113">
        <f t="shared" si="726"/>
        <v>0</v>
      </c>
      <c r="R109" s="114">
        <f t="shared" si="726"/>
        <v>0</v>
      </c>
      <c r="S109" s="113">
        <f t="shared" si="726"/>
        <v>0</v>
      </c>
      <c r="T109" s="114"/>
      <c r="U109" s="114">
        <f t="shared" ref="U109:AA109" si="727">M109</f>
        <v>0</v>
      </c>
      <c r="V109" s="114">
        <f t="shared" si="627"/>
        <v>0</v>
      </c>
      <c r="W109" s="113"/>
      <c r="X109" s="124"/>
      <c r="Y109" s="113">
        <f t="shared" si="727"/>
        <v>0</v>
      </c>
      <c r="Z109" s="114">
        <f t="shared" si="727"/>
        <v>0</v>
      </c>
      <c r="AA109" s="113">
        <f t="shared" si="727"/>
        <v>0</v>
      </c>
      <c r="AB109" s="114"/>
      <c r="AC109" s="114">
        <f t="shared" ref="AC109:AI109" si="728">U109</f>
        <v>0</v>
      </c>
      <c r="AD109" s="114">
        <f t="shared" si="629"/>
        <v>0</v>
      </c>
      <c r="AE109" s="113"/>
      <c r="AF109" s="124"/>
      <c r="AG109" s="113">
        <f t="shared" si="728"/>
        <v>0</v>
      </c>
      <c r="AH109" s="114">
        <f t="shared" si="728"/>
        <v>0</v>
      </c>
      <c r="AI109" s="113">
        <f t="shared" si="728"/>
        <v>0</v>
      </c>
      <c r="AJ109" s="114"/>
      <c r="AK109" s="114">
        <f t="shared" ref="AK109:AQ109" si="729">AC109</f>
        <v>0</v>
      </c>
      <c r="AL109" s="114">
        <f t="shared" si="631"/>
        <v>0</v>
      </c>
      <c r="AM109" s="113"/>
      <c r="AN109" s="124"/>
      <c r="AO109" s="113">
        <f t="shared" si="729"/>
        <v>0</v>
      </c>
      <c r="AP109" s="114">
        <f t="shared" si="729"/>
        <v>0</v>
      </c>
      <c r="AQ109" s="113">
        <f t="shared" si="729"/>
        <v>0</v>
      </c>
      <c r="AR109" s="114"/>
      <c r="AS109" s="114">
        <f t="shared" ref="AS109:AY109" si="730">AK109</f>
        <v>0</v>
      </c>
      <c r="AT109" s="114">
        <f t="shared" si="633"/>
        <v>0</v>
      </c>
      <c r="AU109" s="113"/>
      <c r="AV109" s="124"/>
      <c r="AW109" s="113">
        <f t="shared" si="730"/>
        <v>0</v>
      </c>
      <c r="AX109" s="114">
        <f t="shared" si="730"/>
        <v>0</v>
      </c>
      <c r="AY109" s="113">
        <f t="shared" si="730"/>
        <v>0</v>
      </c>
      <c r="AZ109" s="114"/>
      <c r="BA109" s="114">
        <f t="shared" ref="BA109:BG109" si="731">AS109</f>
        <v>0</v>
      </c>
      <c r="BB109" s="114">
        <f t="shared" si="635"/>
        <v>0</v>
      </c>
      <c r="BC109" s="113"/>
      <c r="BD109" s="124"/>
      <c r="BE109" s="113">
        <f t="shared" si="731"/>
        <v>0</v>
      </c>
      <c r="BF109" s="114">
        <f t="shared" si="731"/>
        <v>0</v>
      </c>
      <c r="BG109" s="113">
        <f t="shared" si="731"/>
        <v>0</v>
      </c>
      <c r="BH109" s="114"/>
      <c r="BI109" s="114">
        <f t="shared" ref="BI109:BO109" si="732">BA109</f>
        <v>0</v>
      </c>
      <c r="BJ109" s="114">
        <f t="shared" si="637"/>
        <v>0</v>
      </c>
      <c r="BK109" s="113"/>
      <c r="BL109" s="124"/>
      <c r="BM109" s="113">
        <f t="shared" si="732"/>
        <v>0</v>
      </c>
      <c r="BN109" s="114">
        <f t="shared" si="732"/>
        <v>0</v>
      </c>
      <c r="BO109" s="113">
        <f t="shared" si="732"/>
        <v>0</v>
      </c>
      <c r="BP109" s="114"/>
      <c r="BQ109" s="114">
        <f t="shared" ref="BQ109:BW109" si="733">BI109</f>
        <v>0</v>
      </c>
      <c r="BR109" s="114">
        <f t="shared" si="639"/>
        <v>0</v>
      </c>
      <c r="BS109" s="113"/>
      <c r="BT109" s="124"/>
      <c r="BU109" s="113">
        <f t="shared" si="733"/>
        <v>0</v>
      </c>
      <c r="BV109" s="114">
        <f t="shared" si="733"/>
        <v>0</v>
      </c>
      <c r="BW109" s="113">
        <f t="shared" si="733"/>
        <v>0</v>
      </c>
      <c r="BX109" s="114"/>
      <c r="BY109" s="114">
        <f t="shared" ref="BY109:CE109" si="734">BQ109</f>
        <v>0</v>
      </c>
      <c r="BZ109" s="114">
        <f t="shared" si="641"/>
        <v>0</v>
      </c>
      <c r="CA109" s="113"/>
      <c r="CB109" s="124"/>
      <c r="CC109" s="113">
        <f t="shared" si="734"/>
        <v>0</v>
      </c>
      <c r="CD109" s="114">
        <f t="shared" si="734"/>
        <v>0</v>
      </c>
      <c r="CE109" s="113">
        <f t="shared" si="734"/>
        <v>0</v>
      </c>
      <c r="CF109" s="114">
        <f t="shared" si="642"/>
        <v>0</v>
      </c>
      <c r="CG109" s="114">
        <f t="shared" si="643"/>
        <v>0</v>
      </c>
      <c r="CH109" s="114">
        <f t="shared" si="644"/>
        <v>0</v>
      </c>
      <c r="CI109" s="113"/>
    </row>
    <row r="110" s="104" customFormat="1" customHeight="1" spans="1:87">
      <c r="A110" s="126"/>
      <c r="B110" s="127"/>
      <c r="C110" s="126"/>
      <c r="D110" s="127"/>
      <c r="E110" s="127"/>
      <c r="F110" s="114">
        <f t="shared" si="620"/>
        <v>0</v>
      </c>
      <c r="G110" s="113"/>
      <c r="H110" s="124"/>
      <c r="I110" s="113">
        <f t="shared" si="621"/>
        <v>0</v>
      </c>
      <c r="J110" s="114">
        <f t="shared" si="622"/>
        <v>0</v>
      </c>
      <c r="K110" s="113">
        <f t="shared" si="623"/>
        <v>0</v>
      </c>
      <c r="L110" s="114"/>
      <c r="M110" s="114">
        <f t="shared" ref="M110:S110" si="735">E110</f>
        <v>0</v>
      </c>
      <c r="N110" s="114">
        <f t="shared" si="625"/>
        <v>0</v>
      </c>
      <c r="O110" s="113"/>
      <c r="P110" s="124"/>
      <c r="Q110" s="113">
        <f t="shared" si="735"/>
        <v>0</v>
      </c>
      <c r="R110" s="114">
        <f t="shared" si="735"/>
        <v>0</v>
      </c>
      <c r="S110" s="113">
        <f t="shared" si="735"/>
        <v>0</v>
      </c>
      <c r="T110" s="114"/>
      <c r="U110" s="114">
        <f t="shared" ref="U110:AA110" si="736">M110</f>
        <v>0</v>
      </c>
      <c r="V110" s="114">
        <f t="shared" si="627"/>
        <v>0</v>
      </c>
      <c r="W110" s="113"/>
      <c r="X110" s="124"/>
      <c r="Y110" s="113">
        <f t="shared" si="736"/>
        <v>0</v>
      </c>
      <c r="Z110" s="114">
        <f t="shared" si="736"/>
        <v>0</v>
      </c>
      <c r="AA110" s="113">
        <f t="shared" si="736"/>
        <v>0</v>
      </c>
      <c r="AB110" s="114"/>
      <c r="AC110" s="114">
        <f t="shared" ref="AC110:AI110" si="737">U110</f>
        <v>0</v>
      </c>
      <c r="AD110" s="114">
        <f t="shared" si="629"/>
        <v>0</v>
      </c>
      <c r="AE110" s="113"/>
      <c r="AF110" s="124"/>
      <c r="AG110" s="113">
        <f t="shared" si="737"/>
        <v>0</v>
      </c>
      <c r="AH110" s="114">
        <f t="shared" si="737"/>
        <v>0</v>
      </c>
      <c r="AI110" s="113">
        <f t="shared" si="737"/>
        <v>0</v>
      </c>
      <c r="AJ110" s="114"/>
      <c r="AK110" s="114">
        <f t="shared" ref="AK110:AQ110" si="738">AC110</f>
        <v>0</v>
      </c>
      <c r="AL110" s="114">
        <f t="shared" si="631"/>
        <v>0</v>
      </c>
      <c r="AM110" s="113"/>
      <c r="AN110" s="124"/>
      <c r="AO110" s="113">
        <f t="shared" si="738"/>
        <v>0</v>
      </c>
      <c r="AP110" s="114">
        <f t="shared" si="738"/>
        <v>0</v>
      </c>
      <c r="AQ110" s="113">
        <f t="shared" si="738"/>
        <v>0</v>
      </c>
      <c r="AR110" s="114"/>
      <c r="AS110" s="114">
        <f t="shared" ref="AS110:AY110" si="739">AK110</f>
        <v>0</v>
      </c>
      <c r="AT110" s="114">
        <f t="shared" si="633"/>
        <v>0</v>
      </c>
      <c r="AU110" s="113"/>
      <c r="AV110" s="124"/>
      <c r="AW110" s="113">
        <f t="shared" si="739"/>
        <v>0</v>
      </c>
      <c r="AX110" s="114">
        <f t="shared" si="739"/>
        <v>0</v>
      </c>
      <c r="AY110" s="113">
        <f t="shared" si="739"/>
        <v>0</v>
      </c>
      <c r="AZ110" s="114"/>
      <c r="BA110" s="114">
        <f t="shared" ref="BA110:BG110" si="740">AS110</f>
        <v>0</v>
      </c>
      <c r="BB110" s="114">
        <f t="shared" si="635"/>
        <v>0</v>
      </c>
      <c r="BC110" s="113"/>
      <c r="BD110" s="124"/>
      <c r="BE110" s="113">
        <f t="shared" si="740"/>
        <v>0</v>
      </c>
      <c r="BF110" s="114">
        <f t="shared" si="740"/>
        <v>0</v>
      </c>
      <c r="BG110" s="113">
        <f t="shared" si="740"/>
        <v>0</v>
      </c>
      <c r="BH110" s="114"/>
      <c r="BI110" s="114">
        <f t="shared" ref="BI110:BO110" si="741">BA110</f>
        <v>0</v>
      </c>
      <c r="BJ110" s="114">
        <f t="shared" si="637"/>
        <v>0</v>
      </c>
      <c r="BK110" s="113"/>
      <c r="BL110" s="124"/>
      <c r="BM110" s="113">
        <f t="shared" si="741"/>
        <v>0</v>
      </c>
      <c r="BN110" s="114">
        <f t="shared" si="741"/>
        <v>0</v>
      </c>
      <c r="BO110" s="113">
        <f t="shared" si="741"/>
        <v>0</v>
      </c>
      <c r="BP110" s="114"/>
      <c r="BQ110" s="114">
        <f t="shared" ref="BQ110:BW110" si="742">BI110</f>
        <v>0</v>
      </c>
      <c r="BR110" s="114">
        <f t="shared" si="639"/>
        <v>0</v>
      </c>
      <c r="BS110" s="113"/>
      <c r="BT110" s="124"/>
      <c r="BU110" s="113">
        <f t="shared" si="742"/>
        <v>0</v>
      </c>
      <c r="BV110" s="114">
        <f t="shared" si="742"/>
        <v>0</v>
      </c>
      <c r="BW110" s="113">
        <f t="shared" si="742"/>
        <v>0</v>
      </c>
      <c r="BX110" s="114"/>
      <c r="BY110" s="114">
        <f t="shared" ref="BY110:CE110" si="743">BQ110</f>
        <v>0</v>
      </c>
      <c r="BZ110" s="114">
        <f t="shared" si="641"/>
        <v>0</v>
      </c>
      <c r="CA110" s="113"/>
      <c r="CB110" s="124"/>
      <c r="CC110" s="113">
        <f t="shared" si="743"/>
        <v>0</v>
      </c>
      <c r="CD110" s="114">
        <f t="shared" si="743"/>
        <v>0</v>
      </c>
      <c r="CE110" s="113">
        <f t="shared" si="743"/>
        <v>0</v>
      </c>
      <c r="CF110" s="114">
        <f t="shared" si="642"/>
        <v>0</v>
      </c>
      <c r="CG110" s="114">
        <f t="shared" si="643"/>
        <v>0</v>
      </c>
      <c r="CH110" s="114">
        <f t="shared" si="644"/>
        <v>0</v>
      </c>
      <c r="CI110" s="113"/>
    </row>
    <row r="111" s="104" customFormat="1" customHeight="1" spans="1:87">
      <c r="A111" s="115" t="s">
        <v>340</v>
      </c>
      <c r="B111" s="116"/>
      <c r="C111" s="116"/>
      <c r="D111" s="116"/>
      <c r="E111" s="117"/>
      <c r="F111" s="118">
        <f>SUM(F99:F110)</f>
        <v>0</v>
      </c>
      <c r="G111" s="114"/>
      <c r="H111" s="124"/>
      <c r="I111" s="115" t="s">
        <v>340</v>
      </c>
      <c r="J111" s="116"/>
      <c r="K111" s="116"/>
      <c r="L111" s="116"/>
      <c r="M111" s="117"/>
      <c r="N111" s="118">
        <f>SUM(N99:N110)</f>
        <v>0</v>
      </c>
      <c r="O111" s="114"/>
      <c r="P111" s="124"/>
      <c r="Q111" s="115" t="s">
        <v>340</v>
      </c>
      <c r="R111" s="116"/>
      <c r="S111" s="116"/>
      <c r="T111" s="116"/>
      <c r="U111" s="117"/>
      <c r="V111" s="118">
        <f>SUM(V99:V110)</f>
        <v>0</v>
      </c>
      <c r="W111" s="114"/>
      <c r="X111" s="124"/>
      <c r="Y111" s="115" t="s">
        <v>340</v>
      </c>
      <c r="Z111" s="116"/>
      <c r="AA111" s="116"/>
      <c r="AB111" s="116"/>
      <c r="AC111" s="117"/>
      <c r="AD111" s="118">
        <f>SUM(AD99:AD110)</f>
        <v>0</v>
      </c>
      <c r="AE111" s="114"/>
      <c r="AF111" s="124"/>
      <c r="AG111" s="115" t="s">
        <v>340</v>
      </c>
      <c r="AH111" s="116"/>
      <c r="AI111" s="116"/>
      <c r="AJ111" s="116"/>
      <c r="AK111" s="117"/>
      <c r="AL111" s="118">
        <f>SUM(AL99:AL110)</f>
        <v>0</v>
      </c>
      <c r="AM111" s="114"/>
      <c r="AN111" s="124"/>
      <c r="AO111" s="115" t="s">
        <v>340</v>
      </c>
      <c r="AP111" s="116"/>
      <c r="AQ111" s="116"/>
      <c r="AR111" s="116"/>
      <c r="AS111" s="117"/>
      <c r="AT111" s="118">
        <f>SUM(AT99:AT110)</f>
        <v>0</v>
      </c>
      <c r="AU111" s="114"/>
      <c r="AV111" s="124"/>
      <c r="AW111" s="115" t="s">
        <v>340</v>
      </c>
      <c r="AX111" s="116"/>
      <c r="AY111" s="116"/>
      <c r="AZ111" s="116"/>
      <c r="BA111" s="117"/>
      <c r="BB111" s="118">
        <f>SUM(BB99:BB110)</f>
        <v>0</v>
      </c>
      <c r="BC111" s="114"/>
      <c r="BD111" s="124"/>
      <c r="BE111" s="115" t="s">
        <v>340</v>
      </c>
      <c r="BF111" s="116"/>
      <c r="BG111" s="116"/>
      <c r="BH111" s="116"/>
      <c r="BI111" s="117"/>
      <c r="BJ111" s="118">
        <f>SUM(BJ99:BJ110)</f>
        <v>0</v>
      </c>
      <c r="BK111" s="114"/>
      <c r="BL111" s="124"/>
      <c r="BM111" s="115" t="s">
        <v>340</v>
      </c>
      <c r="BN111" s="116"/>
      <c r="BO111" s="116"/>
      <c r="BP111" s="116"/>
      <c r="BQ111" s="117"/>
      <c r="BR111" s="118">
        <f>SUM(BR99:BR110)</f>
        <v>0</v>
      </c>
      <c r="BS111" s="114"/>
      <c r="BT111" s="124"/>
      <c r="BU111" s="115" t="s">
        <v>340</v>
      </c>
      <c r="BV111" s="116"/>
      <c r="BW111" s="116"/>
      <c r="BX111" s="116"/>
      <c r="BY111" s="117"/>
      <c r="BZ111" s="118">
        <f>SUM(BZ99:BZ110)</f>
        <v>0</v>
      </c>
      <c r="CA111" s="114"/>
      <c r="CB111" s="124"/>
      <c r="CC111" s="115" t="s">
        <v>340</v>
      </c>
      <c r="CD111" s="116"/>
      <c r="CE111" s="116"/>
      <c r="CF111" s="116"/>
      <c r="CG111" s="117"/>
      <c r="CH111" s="118">
        <f>SUM(CH99:CH110)</f>
        <v>0</v>
      </c>
      <c r="CI111" s="114"/>
    </row>
    <row r="112" s="104" customFormat="1" customHeight="1" spans="1:87">
      <c r="A112" s="119" t="s">
        <v>341</v>
      </c>
      <c r="B112" s="119"/>
      <c r="C112" s="120"/>
      <c r="D112" s="119"/>
      <c r="E112" s="119"/>
      <c r="F112" s="119"/>
      <c r="G112" s="119"/>
      <c r="H112" s="124"/>
      <c r="I112" s="119" t="s">
        <v>341</v>
      </c>
      <c r="J112" s="119"/>
      <c r="K112" s="120"/>
      <c r="L112" s="119"/>
      <c r="M112" s="119"/>
      <c r="N112" s="119"/>
      <c r="O112" s="119"/>
      <c r="P112" s="124"/>
      <c r="Q112" s="119" t="s">
        <v>341</v>
      </c>
      <c r="R112" s="119"/>
      <c r="S112" s="120"/>
      <c r="T112" s="119"/>
      <c r="U112" s="119"/>
      <c r="V112" s="119"/>
      <c r="W112" s="119"/>
      <c r="X112" s="124"/>
      <c r="Y112" s="119" t="s">
        <v>341</v>
      </c>
      <c r="Z112" s="119"/>
      <c r="AA112" s="120"/>
      <c r="AB112" s="119"/>
      <c r="AC112" s="119"/>
      <c r="AD112" s="119"/>
      <c r="AE112" s="119"/>
      <c r="AF112" s="124"/>
      <c r="AG112" s="119" t="s">
        <v>341</v>
      </c>
      <c r="AH112" s="119"/>
      <c r="AI112" s="120"/>
      <c r="AJ112" s="119"/>
      <c r="AK112" s="119"/>
      <c r="AL112" s="119"/>
      <c r="AM112" s="119"/>
      <c r="AN112" s="124"/>
      <c r="AO112" s="119" t="s">
        <v>341</v>
      </c>
      <c r="AP112" s="119"/>
      <c r="AQ112" s="120"/>
      <c r="AR112" s="119"/>
      <c r="AS112" s="119"/>
      <c r="AT112" s="119"/>
      <c r="AU112" s="119"/>
      <c r="AV112" s="124"/>
      <c r="AW112" s="119" t="s">
        <v>341</v>
      </c>
      <c r="AX112" s="119"/>
      <c r="AY112" s="120"/>
      <c r="AZ112" s="119"/>
      <c r="BA112" s="119"/>
      <c r="BB112" s="119"/>
      <c r="BC112" s="119"/>
      <c r="BD112" s="124"/>
      <c r="BE112" s="119" t="s">
        <v>341</v>
      </c>
      <c r="BF112" s="119"/>
      <c r="BG112" s="120"/>
      <c r="BH112" s="119"/>
      <c r="BI112" s="119"/>
      <c r="BJ112" s="119"/>
      <c r="BK112" s="119"/>
      <c r="BL112" s="124"/>
      <c r="BM112" s="119" t="s">
        <v>341</v>
      </c>
      <c r="BN112" s="119"/>
      <c r="BO112" s="120"/>
      <c r="BP112" s="119"/>
      <c r="BQ112" s="119"/>
      <c r="BR112" s="119"/>
      <c r="BS112" s="119"/>
      <c r="BT112" s="124"/>
      <c r="BU112" s="119" t="s">
        <v>341</v>
      </c>
      <c r="BV112" s="119"/>
      <c r="BW112" s="120"/>
      <c r="BX112" s="119"/>
      <c r="BY112" s="119"/>
      <c r="BZ112" s="119"/>
      <c r="CA112" s="119"/>
      <c r="CB112" s="124"/>
      <c r="CC112" s="119" t="s">
        <v>341</v>
      </c>
      <c r="CD112" s="119"/>
      <c r="CE112" s="120"/>
      <c r="CF112" s="119"/>
      <c r="CG112" s="119"/>
      <c r="CH112" s="119"/>
      <c r="CI112" s="119"/>
    </row>
    <row r="115" s="104" customFormat="1" customHeight="1" spans="1:87">
      <c r="A115" s="105"/>
      <c r="B115" s="106"/>
      <c r="C115" s="107" t="s">
        <v>330</v>
      </c>
      <c r="D115" s="107"/>
      <c r="E115" s="107"/>
      <c r="F115" s="105"/>
      <c r="G115" s="105"/>
      <c r="H115" s="124" t="str">
        <f>H96</f>
        <v>RD01</v>
      </c>
      <c r="I115" s="105"/>
      <c r="J115" s="106"/>
      <c r="K115" s="107" t="s">
        <v>330</v>
      </c>
      <c r="L115" s="107"/>
      <c r="M115" s="107"/>
      <c r="N115" s="105"/>
      <c r="O115" s="105"/>
      <c r="P115" s="124" t="str">
        <f>P96</f>
        <v>RD02</v>
      </c>
      <c r="Q115" s="105"/>
      <c r="R115" s="106"/>
      <c r="S115" s="107" t="s">
        <v>330</v>
      </c>
      <c r="T115" s="107"/>
      <c r="U115" s="107"/>
      <c r="V115" s="105"/>
      <c r="W115" s="105"/>
      <c r="X115" s="124" t="str">
        <f>X96</f>
        <v>RD03</v>
      </c>
      <c r="Y115" s="105"/>
      <c r="Z115" s="106"/>
      <c r="AA115" s="107" t="s">
        <v>330</v>
      </c>
      <c r="AB115" s="107"/>
      <c r="AC115" s="107"/>
      <c r="AD115" s="105"/>
      <c r="AE115" s="105"/>
      <c r="AF115" s="124" t="str">
        <f>AF96</f>
        <v>RD04</v>
      </c>
      <c r="AG115" s="105"/>
      <c r="AH115" s="106"/>
      <c r="AI115" s="107" t="s">
        <v>330</v>
      </c>
      <c r="AJ115" s="107"/>
      <c r="AK115" s="107"/>
      <c r="AL115" s="105"/>
      <c r="AM115" s="105"/>
      <c r="AN115" s="124" t="str">
        <f>AN96</f>
        <v>RD05</v>
      </c>
      <c r="AO115" s="105"/>
      <c r="AP115" s="106"/>
      <c r="AQ115" s="107" t="s">
        <v>330</v>
      </c>
      <c r="AR115" s="107"/>
      <c r="AS115" s="107"/>
      <c r="AT115" s="105"/>
      <c r="AU115" s="105"/>
      <c r="AV115" s="124" t="str">
        <f>AV96</f>
        <v>RD06</v>
      </c>
      <c r="AW115" s="105"/>
      <c r="AX115" s="106"/>
      <c r="AY115" s="107" t="s">
        <v>330</v>
      </c>
      <c r="AZ115" s="107"/>
      <c r="BA115" s="107"/>
      <c r="BB115" s="105"/>
      <c r="BC115" s="105"/>
      <c r="BD115" s="124" t="str">
        <f>BD96</f>
        <v>RD07</v>
      </c>
      <c r="BE115" s="105"/>
      <c r="BF115" s="106"/>
      <c r="BG115" s="107" t="s">
        <v>330</v>
      </c>
      <c r="BH115" s="107"/>
      <c r="BI115" s="107"/>
      <c r="BJ115" s="105"/>
      <c r="BK115" s="105"/>
      <c r="BL115" s="124" t="str">
        <f>BL96</f>
        <v>RD08</v>
      </c>
      <c r="BM115" s="105"/>
      <c r="BN115" s="106"/>
      <c r="BO115" s="107" t="s">
        <v>330</v>
      </c>
      <c r="BP115" s="107"/>
      <c r="BQ115" s="107"/>
      <c r="BR115" s="105"/>
      <c r="BS115" s="105"/>
      <c r="BT115" s="124" t="str">
        <f>BT96</f>
        <v>RD09</v>
      </c>
      <c r="BU115" s="105"/>
      <c r="BV115" s="106"/>
      <c r="BW115" s="107" t="s">
        <v>330</v>
      </c>
      <c r="BX115" s="107"/>
      <c r="BY115" s="107"/>
      <c r="BZ115" s="105"/>
      <c r="CA115" s="105"/>
      <c r="CB115" s="124" t="str">
        <f>CB96</f>
        <v>RD10</v>
      </c>
      <c r="CC115" s="105"/>
      <c r="CD115" s="106"/>
      <c r="CE115" s="107" t="s">
        <v>330</v>
      </c>
      <c r="CF115" s="107"/>
      <c r="CG115" s="107"/>
      <c r="CH115" s="105"/>
      <c r="CI115" s="105"/>
    </row>
    <row r="116" s="122" customFormat="1" customHeight="1" spans="1:87">
      <c r="A116" s="108" t="s">
        <v>331</v>
      </c>
      <c r="B116" s="109"/>
      <c r="C116" s="110">
        <v>45869</v>
      </c>
      <c r="D116" s="110"/>
      <c r="E116" s="110"/>
      <c r="F116" s="111"/>
      <c r="G116" s="112"/>
      <c r="H116" s="125"/>
      <c r="I116" s="108" t="s">
        <v>331</v>
      </c>
      <c r="J116" s="109"/>
      <c r="K116" s="110">
        <v>45869</v>
      </c>
      <c r="L116" s="110"/>
      <c r="M116" s="110"/>
      <c r="N116" s="111" t="s">
        <v>332</v>
      </c>
      <c r="O116" s="112" t="str">
        <f>立项!$A$3</f>
        <v>RD01</v>
      </c>
      <c r="P116" s="125"/>
      <c r="Q116" s="108" t="s">
        <v>331</v>
      </c>
      <c r="R116" s="109"/>
      <c r="S116" s="110">
        <v>45869</v>
      </c>
      <c r="T116" s="110"/>
      <c r="U116" s="110"/>
      <c r="V116" s="111" t="s">
        <v>332</v>
      </c>
      <c r="W116" s="112" t="str">
        <f>立项!$A$4</f>
        <v>RD02</v>
      </c>
      <c r="X116" s="125"/>
      <c r="Y116" s="108" t="s">
        <v>331</v>
      </c>
      <c r="Z116" s="109"/>
      <c r="AA116" s="110">
        <v>45869</v>
      </c>
      <c r="AB116" s="110"/>
      <c r="AC116" s="110"/>
      <c r="AD116" s="111" t="s">
        <v>332</v>
      </c>
      <c r="AE116" s="112" t="str">
        <f>立项!$A$5</f>
        <v>RD03</v>
      </c>
      <c r="AF116" s="125"/>
      <c r="AG116" s="108" t="s">
        <v>331</v>
      </c>
      <c r="AH116" s="109"/>
      <c r="AI116" s="110">
        <v>45869</v>
      </c>
      <c r="AJ116" s="110"/>
      <c r="AK116" s="110"/>
      <c r="AL116" s="111" t="s">
        <v>332</v>
      </c>
      <c r="AM116" s="112" t="str">
        <f>立项!$A$6</f>
        <v>RD04</v>
      </c>
      <c r="AN116" s="125"/>
      <c r="AO116" s="108" t="s">
        <v>331</v>
      </c>
      <c r="AP116" s="109"/>
      <c r="AQ116" s="110">
        <v>45869</v>
      </c>
      <c r="AR116" s="110"/>
      <c r="AS116" s="110"/>
      <c r="AT116" s="111" t="s">
        <v>332</v>
      </c>
      <c r="AU116" s="112" t="str">
        <f>立项!$A$7</f>
        <v>RD05</v>
      </c>
      <c r="AV116" s="125"/>
      <c r="AW116" s="108" t="s">
        <v>331</v>
      </c>
      <c r="AX116" s="109"/>
      <c r="AY116" s="110">
        <v>45869</v>
      </c>
      <c r="AZ116" s="110"/>
      <c r="BA116" s="110"/>
      <c r="BB116" s="111" t="s">
        <v>332</v>
      </c>
      <c r="BC116" s="112" t="str">
        <f>立项!$A$8</f>
        <v>RD06</v>
      </c>
      <c r="BD116" s="125"/>
      <c r="BE116" s="108" t="s">
        <v>331</v>
      </c>
      <c r="BF116" s="109"/>
      <c r="BG116" s="110">
        <v>45869</v>
      </c>
      <c r="BH116" s="110"/>
      <c r="BI116" s="110"/>
      <c r="BJ116" s="111" t="s">
        <v>332</v>
      </c>
      <c r="BK116" s="112" t="str">
        <f>立项!$A$9</f>
        <v>RD07</v>
      </c>
      <c r="BL116" s="125"/>
      <c r="BM116" s="108" t="s">
        <v>331</v>
      </c>
      <c r="BN116" s="109"/>
      <c r="BO116" s="110">
        <v>45869</v>
      </c>
      <c r="BP116" s="110"/>
      <c r="BQ116" s="110"/>
      <c r="BR116" s="111" t="s">
        <v>332</v>
      </c>
      <c r="BS116" s="112" t="str">
        <f>立项!$A$10</f>
        <v>RD08</v>
      </c>
      <c r="BT116" s="125"/>
      <c r="BU116" s="108" t="s">
        <v>331</v>
      </c>
      <c r="BV116" s="109"/>
      <c r="BW116" s="110">
        <v>45869</v>
      </c>
      <c r="BX116" s="110"/>
      <c r="BY116" s="110"/>
      <c r="BZ116" s="111" t="s">
        <v>332</v>
      </c>
      <c r="CA116" s="112" t="str">
        <f>立项!$A$11</f>
        <v>RD09</v>
      </c>
      <c r="CB116" s="125"/>
      <c r="CC116" s="108" t="s">
        <v>331</v>
      </c>
      <c r="CD116" s="109"/>
      <c r="CE116" s="110">
        <v>45869</v>
      </c>
      <c r="CF116" s="110"/>
      <c r="CG116" s="110"/>
      <c r="CH116" s="111" t="s">
        <v>332</v>
      </c>
      <c r="CI116" s="112" t="str">
        <f>立项!$A$12</f>
        <v>RD10</v>
      </c>
    </row>
    <row r="117" s="104" customFormat="1" customHeight="1" spans="1:87">
      <c r="A117" s="113" t="s">
        <v>333</v>
      </c>
      <c r="B117" s="113" t="s">
        <v>334</v>
      </c>
      <c r="C117" s="113" t="s">
        <v>335</v>
      </c>
      <c r="D117" s="113" t="s">
        <v>336</v>
      </c>
      <c r="E117" s="113" t="s">
        <v>337</v>
      </c>
      <c r="F117" s="113" t="s">
        <v>338</v>
      </c>
      <c r="G117" s="113" t="s">
        <v>339</v>
      </c>
      <c r="H117" s="124"/>
      <c r="I117" s="113" t="s">
        <v>333</v>
      </c>
      <c r="J117" s="113" t="s">
        <v>334</v>
      </c>
      <c r="K117" s="113" t="s">
        <v>335</v>
      </c>
      <c r="L117" s="113" t="s">
        <v>336</v>
      </c>
      <c r="M117" s="113" t="s">
        <v>337</v>
      </c>
      <c r="N117" s="113" t="s">
        <v>338</v>
      </c>
      <c r="O117" s="113" t="s">
        <v>339</v>
      </c>
      <c r="P117" s="124"/>
      <c r="Q117" s="113" t="s">
        <v>333</v>
      </c>
      <c r="R117" s="113" t="s">
        <v>334</v>
      </c>
      <c r="S117" s="113" t="s">
        <v>335</v>
      </c>
      <c r="T117" s="113" t="s">
        <v>336</v>
      </c>
      <c r="U117" s="113" t="s">
        <v>337</v>
      </c>
      <c r="V117" s="113" t="s">
        <v>338</v>
      </c>
      <c r="W117" s="113" t="s">
        <v>339</v>
      </c>
      <c r="X117" s="124"/>
      <c r="Y117" s="113" t="s">
        <v>333</v>
      </c>
      <c r="Z117" s="113" t="s">
        <v>334</v>
      </c>
      <c r="AA117" s="113" t="s">
        <v>335</v>
      </c>
      <c r="AB117" s="113" t="s">
        <v>336</v>
      </c>
      <c r="AC117" s="113" t="s">
        <v>337</v>
      </c>
      <c r="AD117" s="113" t="s">
        <v>338</v>
      </c>
      <c r="AE117" s="113" t="s">
        <v>339</v>
      </c>
      <c r="AF117" s="124"/>
      <c r="AG117" s="113" t="s">
        <v>333</v>
      </c>
      <c r="AH117" s="113" t="s">
        <v>334</v>
      </c>
      <c r="AI117" s="113" t="s">
        <v>335</v>
      </c>
      <c r="AJ117" s="113" t="s">
        <v>336</v>
      </c>
      <c r="AK117" s="113" t="s">
        <v>337</v>
      </c>
      <c r="AL117" s="113" t="s">
        <v>338</v>
      </c>
      <c r="AM117" s="113" t="s">
        <v>339</v>
      </c>
      <c r="AN117" s="124"/>
      <c r="AO117" s="113" t="s">
        <v>333</v>
      </c>
      <c r="AP117" s="113" t="s">
        <v>334</v>
      </c>
      <c r="AQ117" s="113" t="s">
        <v>335</v>
      </c>
      <c r="AR117" s="113" t="s">
        <v>336</v>
      </c>
      <c r="AS117" s="113" t="s">
        <v>337</v>
      </c>
      <c r="AT117" s="113" t="s">
        <v>338</v>
      </c>
      <c r="AU117" s="113" t="s">
        <v>339</v>
      </c>
      <c r="AV117" s="124"/>
      <c r="AW117" s="113" t="s">
        <v>333</v>
      </c>
      <c r="AX117" s="113" t="s">
        <v>334</v>
      </c>
      <c r="AY117" s="113" t="s">
        <v>335</v>
      </c>
      <c r="AZ117" s="113" t="s">
        <v>336</v>
      </c>
      <c r="BA117" s="113" t="s">
        <v>337</v>
      </c>
      <c r="BB117" s="113" t="s">
        <v>338</v>
      </c>
      <c r="BC117" s="113" t="s">
        <v>339</v>
      </c>
      <c r="BD117" s="124"/>
      <c r="BE117" s="113" t="s">
        <v>333</v>
      </c>
      <c r="BF117" s="113" t="s">
        <v>334</v>
      </c>
      <c r="BG117" s="113" t="s">
        <v>335</v>
      </c>
      <c r="BH117" s="113" t="s">
        <v>336</v>
      </c>
      <c r="BI117" s="113" t="s">
        <v>337</v>
      </c>
      <c r="BJ117" s="113" t="s">
        <v>338</v>
      </c>
      <c r="BK117" s="113" t="s">
        <v>339</v>
      </c>
      <c r="BL117" s="124"/>
      <c r="BM117" s="113" t="s">
        <v>333</v>
      </c>
      <c r="BN117" s="113" t="s">
        <v>334</v>
      </c>
      <c r="BO117" s="113" t="s">
        <v>335</v>
      </c>
      <c r="BP117" s="113" t="s">
        <v>336</v>
      </c>
      <c r="BQ117" s="113" t="s">
        <v>337</v>
      </c>
      <c r="BR117" s="113" t="s">
        <v>338</v>
      </c>
      <c r="BS117" s="113" t="s">
        <v>339</v>
      </c>
      <c r="BT117" s="124"/>
      <c r="BU117" s="113" t="s">
        <v>333</v>
      </c>
      <c r="BV117" s="113" t="s">
        <v>334</v>
      </c>
      <c r="BW117" s="113" t="s">
        <v>335</v>
      </c>
      <c r="BX117" s="113" t="s">
        <v>336</v>
      </c>
      <c r="BY117" s="113" t="s">
        <v>337</v>
      </c>
      <c r="BZ117" s="113" t="s">
        <v>338</v>
      </c>
      <c r="CA117" s="113" t="s">
        <v>339</v>
      </c>
      <c r="CB117" s="124"/>
      <c r="CC117" s="113" t="s">
        <v>333</v>
      </c>
      <c r="CD117" s="113" t="s">
        <v>334</v>
      </c>
      <c r="CE117" s="113" t="s">
        <v>335</v>
      </c>
      <c r="CF117" s="113" t="s">
        <v>336</v>
      </c>
      <c r="CG117" s="113" t="s">
        <v>337</v>
      </c>
      <c r="CH117" s="113" t="s">
        <v>338</v>
      </c>
      <c r="CI117" s="113" t="s">
        <v>339</v>
      </c>
    </row>
    <row r="118" s="104" customFormat="1" customHeight="1" spans="1:87">
      <c r="A118" s="113"/>
      <c r="B118" s="114"/>
      <c r="C118" s="113"/>
      <c r="D118" s="114"/>
      <c r="E118" s="114"/>
      <c r="F118" s="114">
        <f t="shared" ref="F118:F129" si="744">ROUND(D118*E118,2)</f>
        <v>0</v>
      </c>
      <c r="G118" s="113"/>
      <c r="H118" s="124"/>
      <c r="I118" s="113">
        <f t="shared" ref="I118:I129" si="745">A118</f>
        <v>0</v>
      </c>
      <c r="J118" s="114">
        <f t="shared" ref="J118:J129" si="746">B118</f>
        <v>0</v>
      </c>
      <c r="K118" s="113">
        <f t="shared" ref="K118:K129" si="747">C118</f>
        <v>0</v>
      </c>
      <c r="L118" s="114"/>
      <c r="M118" s="114">
        <f t="shared" ref="M118:S118" si="748">E118</f>
        <v>0</v>
      </c>
      <c r="N118" s="114">
        <f t="shared" ref="N118:N129" si="749">ROUND(L118*M118,2)</f>
        <v>0</v>
      </c>
      <c r="O118" s="113"/>
      <c r="P118" s="124"/>
      <c r="Q118" s="113">
        <f t="shared" si="748"/>
        <v>0</v>
      </c>
      <c r="R118" s="114">
        <f t="shared" si="748"/>
        <v>0</v>
      </c>
      <c r="S118" s="113">
        <f t="shared" si="748"/>
        <v>0</v>
      </c>
      <c r="T118" s="114"/>
      <c r="U118" s="114">
        <f t="shared" ref="U118:AA118" si="750">M118</f>
        <v>0</v>
      </c>
      <c r="V118" s="114">
        <f t="shared" ref="V118:V129" si="751">ROUND(T118*U118,2)</f>
        <v>0</v>
      </c>
      <c r="W118" s="113"/>
      <c r="X118" s="124"/>
      <c r="Y118" s="113">
        <f t="shared" si="750"/>
        <v>0</v>
      </c>
      <c r="Z118" s="114">
        <f t="shared" si="750"/>
        <v>0</v>
      </c>
      <c r="AA118" s="113">
        <f t="shared" si="750"/>
        <v>0</v>
      </c>
      <c r="AB118" s="114"/>
      <c r="AC118" s="114">
        <f t="shared" ref="AC118:AI118" si="752">U118</f>
        <v>0</v>
      </c>
      <c r="AD118" s="114">
        <f t="shared" ref="AD118:AD129" si="753">ROUND(AB118*AC118,2)</f>
        <v>0</v>
      </c>
      <c r="AE118" s="113"/>
      <c r="AF118" s="124"/>
      <c r="AG118" s="113">
        <f t="shared" si="752"/>
        <v>0</v>
      </c>
      <c r="AH118" s="114">
        <f t="shared" si="752"/>
        <v>0</v>
      </c>
      <c r="AI118" s="113">
        <f t="shared" si="752"/>
        <v>0</v>
      </c>
      <c r="AJ118" s="114"/>
      <c r="AK118" s="114">
        <f t="shared" ref="AK118:AQ118" si="754">AC118</f>
        <v>0</v>
      </c>
      <c r="AL118" s="114">
        <f t="shared" ref="AL118:AL129" si="755">ROUND(AJ118*AK118,2)</f>
        <v>0</v>
      </c>
      <c r="AM118" s="113"/>
      <c r="AN118" s="124"/>
      <c r="AO118" s="113">
        <f t="shared" si="754"/>
        <v>0</v>
      </c>
      <c r="AP118" s="114">
        <f t="shared" si="754"/>
        <v>0</v>
      </c>
      <c r="AQ118" s="113">
        <f t="shared" si="754"/>
        <v>0</v>
      </c>
      <c r="AR118" s="114"/>
      <c r="AS118" s="114">
        <f t="shared" ref="AS118:AY118" si="756">AK118</f>
        <v>0</v>
      </c>
      <c r="AT118" s="114">
        <f t="shared" ref="AT118:AT129" si="757">ROUND(AR118*AS118,2)</f>
        <v>0</v>
      </c>
      <c r="AU118" s="113"/>
      <c r="AV118" s="124"/>
      <c r="AW118" s="113">
        <f t="shared" si="756"/>
        <v>0</v>
      </c>
      <c r="AX118" s="114">
        <f t="shared" si="756"/>
        <v>0</v>
      </c>
      <c r="AY118" s="113">
        <f t="shared" si="756"/>
        <v>0</v>
      </c>
      <c r="AZ118" s="114"/>
      <c r="BA118" s="114">
        <f t="shared" ref="BA118:BG118" si="758">AS118</f>
        <v>0</v>
      </c>
      <c r="BB118" s="114">
        <f t="shared" ref="BB118:BB129" si="759">ROUND(AZ118*BA118,2)</f>
        <v>0</v>
      </c>
      <c r="BC118" s="113"/>
      <c r="BD118" s="124"/>
      <c r="BE118" s="113">
        <f t="shared" si="758"/>
        <v>0</v>
      </c>
      <c r="BF118" s="114">
        <f t="shared" si="758"/>
        <v>0</v>
      </c>
      <c r="BG118" s="113">
        <f t="shared" si="758"/>
        <v>0</v>
      </c>
      <c r="BH118" s="114"/>
      <c r="BI118" s="114">
        <f t="shared" ref="BI118:BO118" si="760">BA118</f>
        <v>0</v>
      </c>
      <c r="BJ118" s="114">
        <f t="shared" ref="BJ118:BJ129" si="761">ROUND(BH118*BI118,2)</f>
        <v>0</v>
      </c>
      <c r="BK118" s="113"/>
      <c r="BL118" s="124"/>
      <c r="BM118" s="113">
        <f t="shared" si="760"/>
        <v>0</v>
      </c>
      <c r="BN118" s="114">
        <f t="shared" si="760"/>
        <v>0</v>
      </c>
      <c r="BO118" s="113">
        <f t="shared" si="760"/>
        <v>0</v>
      </c>
      <c r="BP118" s="114"/>
      <c r="BQ118" s="114">
        <f t="shared" ref="BQ118:BW118" si="762">BI118</f>
        <v>0</v>
      </c>
      <c r="BR118" s="114">
        <f t="shared" ref="BR118:BR129" si="763">ROUND(BP118*BQ118,2)</f>
        <v>0</v>
      </c>
      <c r="BS118" s="113"/>
      <c r="BT118" s="124"/>
      <c r="BU118" s="113">
        <f t="shared" si="762"/>
        <v>0</v>
      </c>
      <c r="BV118" s="114">
        <f t="shared" si="762"/>
        <v>0</v>
      </c>
      <c r="BW118" s="113">
        <f t="shared" si="762"/>
        <v>0</v>
      </c>
      <c r="BX118" s="114"/>
      <c r="BY118" s="114">
        <f t="shared" ref="BY118:CE118" si="764">BQ118</f>
        <v>0</v>
      </c>
      <c r="BZ118" s="114">
        <f t="shared" ref="BZ118:BZ129" si="765">ROUND(BX118*BY118,2)</f>
        <v>0</v>
      </c>
      <c r="CA118" s="113"/>
      <c r="CB118" s="124"/>
      <c r="CC118" s="113">
        <f t="shared" si="764"/>
        <v>0</v>
      </c>
      <c r="CD118" s="114">
        <f t="shared" si="764"/>
        <v>0</v>
      </c>
      <c r="CE118" s="113">
        <f t="shared" si="764"/>
        <v>0</v>
      </c>
      <c r="CF118" s="114">
        <f t="shared" ref="CF118:CF129" si="766">D118-L118-T118-AB118-AJ118-AR118-AZ118-BH118-BP118-BX118</f>
        <v>0</v>
      </c>
      <c r="CG118" s="114">
        <f t="shared" ref="CG118:CG129" si="767">BY118</f>
        <v>0</v>
      </c>
      <c r="CH118" s="114">
        <f t="shared" ref="CH118:CH129" si="768">F118-N118-V118-AD118-AL118-AT118-BB118-BJ118-BR118-BZ118</f>
        <v>0</v>
      </c>
      <c r="CI118" s="113"/>
    </row>
    <row r="119" customHeight="1" spans="1:87">
      <c r="A119" s="113"/>
      <c r="B119" s="114"/>
      <c r="C119" s="113"/>
      <c r="D119" s="114"/>
      <c r="E119" s="114"/>
      <c r="F119" s="114">
        <f t="shared" si="744"/>
        <v>0</v>
      </c>
      <c r="G119" s="113"/>
      <c r="I119" s="113">
        <f t="shared" si="745"/>
        <v>0</v>
      </c>
      <c r="J119" s="114">
        <f t="shared" si="746"/>
        <v>0</v>
      </c>
      <c r="K119" s="113">
        <f t="shared" si="747"/>
        <v>0</v>
      </c>
      <c r="L119" s="114"/>
      <c r="M119" s="114">
        <f t="shared" ref="M119:S119" si="769">E119</f>
        <v>0</v>
      </c>
      <c r="N119" s="114">
        <f t="shared" si="749"/>
        <v>0</v>
      </c>
      <c r="O119" s="113"/>
      <c r="Q119" s="113">
        <f t="shared" si="769"/>
        <v>0</v>
      </c>
      <c r="R119" s="114">
        <f t="shared" si="769"/>
        <v>0</v>
      </c>
      <c r="S119" s="113">
        <f t="shared" si="769"/>
        <v>0</v>
      </c>
      <c r="T119" s="114"/>
      <c r="U119" s="114">
        <f t="shared" ref="U119:AA119" si="770">M119</f>
        <v>0</v>
      </c>
      <c r="V119" s="114">
        <f t="shared" si="751"/>
        <v>0</v>
      </c>
      <c r="W119" s="113"/>
      <c r="Y119" s="113">
        <f t="shared" si="770"/>
        <v>0</v>
      </c>
      <c r="Z119" s="114">
        <f t="shared" si="770"/>
        <v>0</v>
      </c>
      <c r="AA119" s="113">
        <f t="shared" si="770"/>
        <v>0</v>
      </c>
      <c r="AB119" s="114"/>
      <c r="AC119" s="114">
        <f t="shared" ref="AC119:AI119" si="771">U119</f>
        <v>0</v>
      </c>
      <c r="AD119" s="114">
        <f t="shared" si="753"/>
        <v>0</v>
      </c>
      <c r="AE119" s="113"/>
      <c r="AG119" s="113">
        <f t="shared" si="771"/>
        <v>0</v>
      </c>
      <c r="AH119" s="114">
        <f t="shared" si="771"/>
        <v>0</v>
      </c>
      <c r="AI119" s="113">
        <f t="shared" si="771"/>
        <v>0</v>
      </c>
      <c r="AJ119" s="114"/>
      <c r="AK119" s="114">
        <f t="shared" ref="AK119:AQ119" si="772">AC119</f>
        <v>0</v>
      </c>
      <c r="AL119" s="114">
        <f t="shared" si="755"/>
        <v>0</v>
      </c>
      <c r="AM119" s="113"/>
      <c r="AO119" s="113">
        <f t="shared" si="772"/>
        <v>0</v>
      </c>
      <c r="AP119" s="114">
        <f t="shared" si="772"/>
        <v>0</v>
      </c>
      <c r="AQ119" s="113">
        <f t="shared" si="772"/>
        <v>0</v>
      </c>
      <c r="AR119" s="114"/>
      <c r="AS119" s="114">
        <f t="shared" ref="AS119:AY119" si="773">AK119</f>
        <v>0</v>
      </c>
      <c r="AT119" s="114">
        <f t="shared" si="757"/>
        <v>0</v>
      </c>
      <c r="AU119" s="113"/>
      <c r="AW119" s="113">
        <f t="shared" si="773"/>
        <v>0</v>
      </c>
      <c r="AX119" s="114">
        <f t="shared" si="773"/>
        <v>0</v>
      </c>
      <c r="AY119" s="113">
        <f t="shared" si="773"/>
        <v>0</v>
      </c>
      <c r="AZ119" s="114"/>
      <c r="BA119" s="114">
        <f t="shared" ref="BA119:BG119" si="774">AS119</f>
        <v>0</v>
      </c>
      <c r="BB119" s="114">
        <f t="shared" si="759"/>
        <v>0</v>
      </c>
      <c r="BC119" s="113"/>
      <c r="BE119" s="113">
        <f t="shared" si="774"/>
        <v>0</v>
      </c>
      <c r="BF119" s="114">
        <f t="shared" si="774"/>
        <v>0</v>
      </c>
      <c r="BG119" s="113">
        <f t="shared" si="774"/>
        <v>0</v>
      </c>
      <c r="BH119" s="114"/>
      <c r="BI119" s="114">
        <f t="shared" ref="BI119:BO119" si="775">BA119</f>
        <v>0</v>
      </c>
      <c r="BJ119" s="114">
        <f t="shared" si="761"/>
        <v>0</v>
      </c>
      <c r="BK119" s="113"/>
      <c r="BM119" s="113">
        <f t="shared" si="775"/>
        <v>0</v>
      </c>
      <c r="BN119" s="114">
        <f t="shared" si="775"/>
        <v>0</v>
      </c>
      <c r="BO119" s="113">
        <f t="shared" si="775"/>
        <v>0</v>
      </c>
      <c r="BP119" s="114"/>
      <c r="BQ119" s="114">
        <f t="shared" ref="BQ119:BW119" si="776">BI119</f>
        <v>0</v>
      </c>
      <c r="BR119" s="114">
        <f t="shared" si="763"/>
        <v>0</v>
      </c>
      <c r="BS119" s="113"/>
      <c r="BU119" s="113">
        <f t="shared" si="776"/>
        <v>0</v>
      </c>
      <c r="BV119" s="114">
        <f t="shared" si="776"/>
        <v>0</v>
      </c>
      <c r="BW119" s="113">
        <f t="shared" si="776"/>
        <v>0</v>
      </c>
      <c r="BX119" s="114"/>
      <c r="BY119" s="114">
        <f t="shared" ref="BY119:CE119" si="777">BQ119</f>
        <v>0</v>
      </c>
      <c r="BZ119" s="114">
        <f t="shared" si="765"/>
        <v>0</v>
      </c>
      <c r="CA119" s="113"/>
      <c r="CC119" s="113">
        <f t="shared" si="777"/>
        <v>0</v>
      </c>
      <c r="CD119" s="114">
        <f t="shared" si="777"/>
        <v>0</v>
      </c>
      <c r="CE119" s="113">
        <f t="shared" si="777"/>
        <v>0</v>
      </c>
      <c r="CF119" s="114">
        <f t="shared" si="766"/>
        <v>0</v>
      </c>
      <c r="CG119" s="114">
        <f t="shared" si="767"/>
        <v>0</v>
      </c>
      <c r="CH119" s="114">
        <f t="shared" si="768"/>
        <v>0</v>
      </c>
      <c r="CI119" s="113"/>
    </row>
    <row r="120" customHeight="1" spans="1:87">
      <c r="A120" s="113"/>
      <c r="B120" s="114"/>
      <c r="C120" s="113"/>
      <c r="D120" s="114"/>
      <c r="E120" s="114"/>
      <c r="F120" s="114">
        <f t="shared" si="744"/>
        <v>0</v>
      </c>
      <c r="G120" s="113"/>
      <c r="I120" s="113">
        <f t="shared" si="745"/>
        <v>0</v>
      </c>
      <c r="J120" s="114">
        <f t="shared" si="746"/>
        <v>0</v>
      </c>
      <c r="K120" s="113">
        <f t="shared" si="747"/>
        <v>0</v>
      </c>
      <c r="L120" s="114"/>
      <c r="M120" s="114">
        <f t="shared" ref="M120:S120" si="778">E120</f>
        <v>0</v>
      </c>
      <c r="N120" s="114">
        <f t="shared" si="749"/>
        <v>0</v>
      </c>
      <c r="O120" s="113"/>
      <c r="Q120" s="113">
        <f t="shared" si="778"/>
        <v>0</v>
      </c>
      <c r="R120" s="114">
        <f t="shared" si="778"/>
        <v>0</v>
      </c>
      <c r="S120" s="113">
        <f t="shared" si="778"/>
        <v>0</v>
      </c>
      <c r="T120" s="114"/>
      <c r="U120" s="114">
        <f t="shared" ref="U120:AA120" si="779">M120</f>
        <v>0</v>
      </c>
      <c r="V120" s="114">
        <f t="shared" si="751"/>
        <v>0</v>
      </c>
      <c r="W120" s="113"/>
      <c r="Y120" s="113">
        <f t="shared" si="779"/>
        <v>0</v>
      </c>
      <c r="Z120" s="114">
        <f t="shared" si="779"/>
        <v>0</v>
      </c>
      <c r="AA120" s="113">
        <f t="shared" si="779"/>
        <v>0</v>
      </c>
      <c r="AB120" s="114"/>
      <c r="AC120" s="114">
        <f t="shared" ref="AC120:AI120" si="780">U120</f>
        <v>0</v>
      </c>
      <c r="AD120" s="114">
        <f t="shared" si="753"/>
        <v>0</v>
      </c>
      <c r="AE120" s="113"/>
      <c r="AG120" s="113">
        <f t="shared" si="780"/>
        <v>0</v>
      </c>
      <c r="AH120" s="114">
        <f t="shared" si="780"/>
        <v>0</v>
      </c>
      <c r="AI120" s="113">
        <f t="shared" si="780"/>
        <v>0</v>
      </c>
      <c r="AJ120" s="114"/>
      <c r="AK120" s="114">
        <f t="shared" ref="AK120:AQ120" si="781">AC120</f>
        <v>0</v>
      </c>
      <c r="AL120" s="114">
        <f t="shared" si="755"/>
        <v>0</v>
      </c>
      <c r="AM120" s="113"/>
      <c r="AO120" s="113">
        <f t="shared" si="781"/>
        <v>0</v>
      </c>
      <c r="AP120" s="114">
        <f t="shared" si="781"/>
        <v>0</v>
      </c>
      <c r="AQ120" s="113">
        <f t="shared" si="781"/>
        <v>0</v>
      </c>
      <c r="AR120" s="114"/>
      <c r="AS120" s="114">
        <f t="shared" ref="AS120:AY120" si="782">AK120</f>
        <v>0</v>
      </c>
      <c r="AT120" s="114">
        <f t="shared" si="757"/>
        <v>0</v>
      </c>
      <c r="AU120" s="113"/>
      <c r="AW120" s="113">
        <f t="shared" si="782"/>
        <v>0</v>
      </c>
      <c r="AX120" s="114">
        <f t="shared" si="782"/>
        <v>0</v>
      </c>
      <c r="AY120" s="113">
        <f t="shared" si="782"/>
        <v>0</v>
      </c>
      <c r="AZ120" s="114"/>
      <c r="BA120" s="114">
        <f t="shared" ref="BA120:BG120" si="783">AS120</f>
        <v>0</v>
      </c>
      <c r="BB120" s="114">
        <f t="shared" si="759"/>
        <v>0</v>
      </c>
      <c r="BC120" s="113"/>
      <c r="BE120" s="113">
        <f t="shared" si="783"/>
        <v>0</v>
      </c>
      <c r="BF120" s="114">
        <f t="shared" si="783"/>
        <v>0</v>
      </c>
      <c r="BG120" s="113">
        <f t="shared" si="783"/>
        <v>0</v>
      </c>
      <c r="BH120" s="114"/>
      <c r="BI120" s="114">
        <f t="shared" ref="BI120:BO120" si="784">BA120</f>
        <v>0</v>
      </c>
      <c r="BJ120" s="114">
        <f t="shared" si="761"/>
        <v>0</v>
      </c>
      <c r="BK120" s="113"/>
      <c r="BM120" s="113">
        <f t="shared" si="784"/>
        <v>0</v>
      </c>
      <c r="BN120" s="114">
        <f t="shared" si="784"/>
        <v>0</v>
      </c>
      <c r="BO120" s="113">
        <f t="shared" si="784"/>
        <v>0</v>
      </c>
      <c r="BP120" s="114"/>
      <c r="BQ120" s="114">
        <f t="shared" ref="BQ120:BW120" si="785">BI120</f>
        <v>0</v>
      </c>
      <c r="BR120" s="114">
        <f t="shared" si="763"/>
        <v>0</v>
      </c>
      <c r="BS120" s="113"/>
      <c r="BU120" s="113">
        <f t="shared" si="785"/>
        <v>0</v>
      </c>
      <c r="BV120" s="114">
        <f t="shared" si="785"/>
        <v>0</v>
      </c>
      <c r="BW120" s="113">
        <f t="shared" si="785"/>
        <v>0</v>
      </c>
      <c r="BX120" s="114"/>
      <c r="BY120" s="114">
        <f t="shared" ref="BY120:CE120" si="786">BQ120</f>
        <v>0</v>
      </c>
      <c r="BZ120" s="114">
        <f t="shared" si="765"/>
        <v>0</v>
      </c>
      <c r="CA120" s="113"/>
      <c r="CC120" s="113">
        <f t="shared" si="786"/>
        <v>0</v>
      </c>
      <c r="CD120" s="114">
        <f t="shared" si="786"/>
        <v>0</v>
      </c>
      <c r="CE120" s="113">
        <f t="shared" si="786"/>
        <v>0</v>
      </c>
      <c r="CF120" s="114">
        <f t="shared" si="766"/>
        <v>0</v>
      </c>
      <c r="CG120" s="114">
        <f t="shared" si="767"/>
        <v>0</v>
      </c>
      <c r="CH120" s="114">
        <f t="shared" si="768"/>
        <v>0</v>
      </c>
      <c r="CI120" s="113"/>
    </row>
    <row r="121" s="104" customFormat="1" customHeight="1" spans="1:87">
      <c r="A121" s="126"/>
      <c r="B121" s="114"/>
      <c r="C121" s="113"/>
      <c r="D121" s="114"/>
      <c r="E121" s="114"/>
      <c r="F121" s="114">
        <f t="shared" si="744"/>
        <v>0</v>
      </c>
      <c r="G121" s="113"/>
      <c r="H121" s="124"/>
      <c r="I121" s="113">
        <f t="shared" si="745"/>
        <v>0</v>
      </c>
      <c r="J121" s="114">
        <f t="shared" si="746"/>
        <v>0</v>
      </c>
      <c r="K121" s="113">
        <f t="shared" si="747"/>
        <v>0</v>
      </c>
      <c r="L121" s="114"/>
      <c r="M121" s="114">
        <f t="shared" ref="M121:S121" si="787">E121</f>
        <v>0</v>
      </c>
      <c r="N121" s="114">
        <f t="shared" si="749"/>
        <v>0</v>
      </c>
      <c r="O121" s="113"/>
      <c r="P121" s="124"/>
      <c r="Q121" s="113">
        <f t="shared" si="787"/>
        <v>0</v>
      </c>
      <c r="R121" s="114">
        <f t="shared" si="787"/>
        <v>0</v>
      </c>
      <c r="S121" s="113">
        <f t="shared" si="787"/>
        <v>0</v>
      </c>
      <c r="T121" s="114"/>
      <c r="U121" s="114">
        <f t="shared" ref="U121:AA121" si="788">M121</f>
        <v>0</v>
      </c>
      <c r="V121" s="114">
        <f t="shared" si="751"/>
        <v>0</v>
      </c>
      <c r="W121" s="113"/>
      <c r="X121" s="124"/>
      <c r="Y121" s="113">
        <f t="shared" si="788"/>
        <v>0</v>
      </c>
      <c r="Z121" s="114">
        <f t="shared" si="788"/>
        <v>0</v>
      </c>
      <c r="AA121" s="113">
        <f t="shared" si="788"/>
        <v>0</v>
      </c>
      <c r="AB121" s="114"/>
      <c r="AC121" s="114">
        <f t="shared" ref="AC121:AI121" si="789">U121</f>
        <v>0</v>
      </c>
      <c r="AD121" s="114">
        <f t="shared" si="753"/>
        <v>0</v>
      </c>
      <c r="AE121" s="113"/>
      <c r="AF121" s="124"/>
      <c r="AG121" s="113">
        <f t="shared" si="789"/>
        <v>0</v>
      </c>
      <c r="AH121" s="114">
        <f t="shared" si="789"/>
        <v>0</v>
      </c>
      <c r="AI121" s="113">
        <f t="shared" si="789"/>
        <v>0</v>
      </c>
      <c r="AJ121" s="114"/>
      <c r="AK121" s="114">
        <f t="shared" ref="AK121:AQ121" si="790">AC121</f>
        <v>0</v>
      </c>
      <c r="AL121" s="114">
        <f t="shared" si="755"/>
        <v>0</v>
      </c>
      <c r="AM121" s="113"/>
      <c r="AN121" s="124"/>
      <c r="AO121" s="113">
        <f t="shared" si="790"/>
        <v>0</v>
      </c>
      <c r="AP121" s="114">
        <f t="shared" si="790"/>
        <v>0</v>
      </c>
      <c r="AQ121" s="113">
        <f t="shared" si="790"/>
        <v>0</v>
      </c>
      <c r="AR121" s="114"/>
      <c r="AS121" s="114">
        <f t="shared" ref="AS121:AY121" si="791">AK121</f>
        <v>0</v>
      </c>
      <c r="AT121" s="114">
        <f t="shared" si="757"/>
        <v>0</v>
      </c>
      <c r="AU121" s="113"/>
      <c r="AV121" s="124"/>
      <c r="AW121" s="113">
        <f t="shared" si="791"/>
        <v>0</v>
      </c>
      <c r="AX121" s="114">
        <f t="shared" si="791"/>
        <v>0</v>
      </c>
      <c r="AY121" s="113">
        <f t="shared" si="791"/>
        <v>0</v>
      </c>
      <c r="AZ121" s="114"/>
      <c r="BA121" s="114">
        <f t="shared" ref="BA121:BG121" si="792">AS121</f>
        <v>0</v>
      </c>
      <c r="BB121" s="114">
        <f t="shared" si="759"/>
        <v>0</v>
      </c>
      <c r="BC121" s="113"/>
      <c r="BD121" s="124"/>
      <c r="BE121" s="113">
        <f t="shared" si="792"/>
        <v>0</v>
      </c>
      <c r="BF121" s="114">
        <f t="shared" si="792"/>
        <v>0</v>
      </c>
      <c r="BG121" s="113">
        <f t="shared" si="792"/>
        <v>0</v>
      </c>
      <c r="BH121" s="114"/>
      <c r="BI121" s="114">
        <f t="shared" ref="BI121:BO121" si="793">BA121</f>
        <v>0</v>
      </c>
      <c r="BJ121" s="114">
        <f t="shared" si="761"/>
        <v>0</v>
      </c>
      <c r="BK121" s="113"/>
      <c r="BL121" s="124"/>
      <c r="BM121" s="113">
        <f t="shared" si="793"/>
        <v>0</v>
      </c>
      <c r="BN121" s="114">
        <f t="shared" si="793"/>
        <v>0</v>
      </c>
      <c r="BO121" s="113">
        <f t="shared" si="793"/>
        <v>0</v>
      </c>
      <c r="BP121" s="114"/>
      <c r="BQ121" s="114">
        <f t="shared" ref="BQ121:BW121" si="794">BI121</f>
        <v>0</v>
      </c>
      <c r="BR121" s="114">
        <f t="shared" si="763"/>
        <v>0</v>
      </c>
      <c r="BS121" s="113"/>
      <c r="BT121" s="124"/>
      <c r="BU121" s="113">
        <f t="shared" si="794"/>
        <v>0</v>
      </c>
      <c r="BV121" s="114">
        <f t="shared" si="794"/>
        <v>0</v>
      </c>
      <c r="BW121" s="113">
        <f t="shared" si="794"/>
        <v>0</v>
      </c>
      <c r="BX121" s="114"/>
      <c r="BY121" s="114">
        <f t="shared" ref="BY121:CE121" si="795">BQ121</f>
        <v>0</v>
      </c>
      <c r="BZ121" s="114">
        <f t="shared" si="765"/>
        <v>0</v>
      </c>
      <c r="CA121" s="113"/>
      <c r="CB121" s="124"/>
      <c r="CC121" s="113">
        <f t="shared" si="795"/>
        <v>0</v>
      </c>
      <c r="CD121" s="114">
        <f t="shared" si="795"/>
        <v>0</v>
      </c>
      <c r="CE121" s="113">
        <f t="shared" si="795"/>
        <v>0</v>
      </c>
      <c r="CF121" s="114">
        <f t="shared" si="766"/>
        <v>0</v>
      </c>
      <c r="CG121" s="114">
        <f t="shared" si="767"/>
        <v>0</v>
      </c>
      <c r="CH121" s="114">
        <f t="shared" si="768"/>
        <v>0</v>
      </c>
      <c r="CI121" s="113"/>
    </row>
    <row r="122" s="104" customFormat="1" customHeight="1" spans="1:87">
      <c r="A122" s="113"/>
      <c r="B122" s="114"/>
      <c r="C122" s="113"/>
      <c r="D122" s="114"/>
      <c r="E122" s="119"/>
      <c r="F122" s="114">
        <f t="shared" si="744"/>
        <v>0</v>
      </c>
      <c r="G122" s="113"/>
      <c r="H122" s="124"/>
      <c r="I122" s="113">
        <f t="shared" si="745"/>
        <v>0</v>
      </c>
      <c r="J122" s="114">
        <f t="shared" si="746"/>
        <v>0</v>
      </c>
      <c r="K122" s="113">
        <f t="shared" si="747"/>
        <v>0</v>
      </c>
      <c r="L122" s="114"/>
      <c r="M122" s="114">
        <f t="shared" ref="M122:S122" si="796">E122</f>
        <v>0</v>
      </c>
      <c r="N122" s="114">
        <f t="shared" si="749"/>
        <v>0</v>
      </c>
      <c r="O122" s="113"/>
      <c r="P122" s="124"/>
      <c r="Q122" s="113">
        <f t="shared" si="796"/>
        <v>0</v>
      </c>
      <c r="R122" s="114">
        <f t="shared" si="796"/>
        <v>0</v>
      </c>
      <c r="S122" s="113">
        <f t="shared" si="796"/>
        <v>0</v>
      </c>
      <c r="T122" s="114"/>
      <c r="U122" s="114">
        <f t="shared" ref="U122:AA122" si="797">M122</f>
        <v>0</v>
      </c>
      <c r="V122" s="114">
        <f t="shared" si="751"/>
        <v>0</v>
      </c>
      <c r="W122" s="113"/>
      <c r="X122" s="124"/>
      <c r="Y122" s="113">
        <f t="shared" si="797"/>
        <v>0</v>
      </c>
      <c r="Z122" s="114">
        <f t="shared" si="797"/>
        <v>0</v>
      </c>
      <c r="AA122" s="113">
        <f t="shared" si="797"/>
        <v>0</v>
      </c>
      <c r="AB122" s="114"/>
      <c r="AC122" s="114">
        <f t="shared" ref="AC122:AI122" si="798">U122</f>
        <v>0</v>
      </c>
      <c r="AD122" s="114">
        <f t="shared" si="753"/>
        <v>0</v>
      </c>
      <c r="AE122" s="113"/>
      <c r="AF122" s="124"/>
      <c r="AG122" s="113">
        <f t="shared" si="798"/>
        <v>0</v>
      </c>
      <c r="AH122" s="114">
        <f t="shared" si="798"/>
        <v>0</v>
      </c>
      <c r="AI122" s="113">
        <f t="shared" si="798"/>
        <v>0</v>
      </c>
      <c r="AJ122" s="114"/>
      <c r="AK122" s="114">
        <f t="shared" ref="AK122:AQ122" si="799">AC122</f>
        <v>0</v>
      </c>
      <c r="AL122" s="114">
        <f t="shared" si="755"/>
        <v>0</v>
      </c>
      <c r="AM122" s="113"/>
      <c r="AN122" s="124"/>
      <c r="AO122" s="113">
        <f t="shared" si="799"/>
        <v>0</v>
      </c>
      <c r="AP122" s="114">
        <f t="shared" si="799"/>
        <v>0</v>
      </c>
      <c r="AQ122" s="113">
        <f t="shared" si="799"/>
        <v>0</v>
      </c>
      <c r="AR122" s="114"/>
      <c r="AS122" s="114">
        <f t="shared" ref="AS122:AY122" si="800">AK122</f>
        <v>0</v>
      </c>
      <c r="AT122" s="114">
        <f t="shared" si="757"/>
        <v>0</v>
      </c>
      <c r="AU122" s="113"/>
      <c r="AV122" s="124"/>
      <c r="AW122" s="113">
        <f t="shared" si="800"/>
        <v>0</v>
      </c>
      <c r="AX122" s="114">
        <f t="shared" si="800"/>
        <v>0</v>
      </c>
      <c r="AY122" s="113">
        <f t="shared" si="800"/>
        <v>0</v>
      </c>
      <c r="AZ122" s="114"/>
      <c r="BA122" s="114">
        <f t="shared" ref="BA122:BG122" si="801">AS122</f>
        <v>0</v>
      </c>
      <c r="BB122" s="114">
        <f t="shared" si="759"/>
        <v>0</v>
      </c>
      <c r="BC122" s="113"/>
      <c r="BD122" s="124"/>
      <c r="BE122" s="113">
        <f t="shared" si="801"/>
        <v>0</v>
      </c>
      <c r="BF122" s="114">
        <f t="shared" si="801"/>
        <v>0</v>
      </c>
      <c r="BG122" s="113">
        <f t="shared" si="801"/>
        <v>0</v>
      </c>
      <c r="BH122" s="114"/>
      <c r="BI122" s="114">
        <f t="shared" ref="BI122:BO122" si="802">BA122</f>
        <v>0</v>
      </c>
      <c r="BJ122" s="114">
        <f t="shared" si="761"/>
        <v>0</v>
      </c>
      <c r="BK122" s="113"/>
      <c r="BL122" s="124"/>
      <c r="BM122" s="113">
        <f t="shared" si="802"/>
        <v>0</v>
      </c>
      <c r="BN122" s="114">
        <f t="shared" si="802"/>
        <v>0</v>
      </c>
      <c r="BO122" s="113">
        <f t="shared" si="802"/>
        <v>0</v>
      </c>
      <c r="BP122" s="114"/>
      <c r="BQ122" s="114">
        <f t="shared" ref="BQ122:BW122" si="803">BI122</f>
        <v>0</v>
      </c>
      <c r="BR122" s="114">
        <f t="shared" si="763"/>
        <v>0</v>
      </c>
      <c r="BS122" s="113"/>
      <c r="BT122" s="124"/>
      <c r="BU122" s="113">
        <f t="shared" si="803"/>
        <v>0</v>
      </c>
      <c r="BV122" s="114">
        <f t="shared" si="803"/>
        <v>0</v>
      </c>
      <c r="BW122" s="113">
        <f t="shared" si="803"/>
        <v>0</v>
      </c>
      <c r="BX122" s="114"/>
      <c r="BY122" s="114">
        <f t="shared" ref="BY122:CE122" si="804">BQ122</f>
        <v>0</v>
      </c>
      <c r="BZ122" s="114">
        <f t="shared" si="765"/>
        <v>0</v>
      </c>
      <c r="CA122" s="113"/>
      <c r="CB122" s="124"/>
      <c r="CC122" s="113">
        <f t="shared" si="804"/>
        <v>0</v>
      </c>
      <c r="CD122" s="114">
        <f t="shared" si="804"/>
        <v>0</v>
      </c>
      <c r="CE122" s="113">
        <f t="shared" si="804"/>
        <v>0</v>
      </c>
      <c r="CF122" s="114">
        <f t="shared" si="766"/>
        <v>0</v>
      </c>
      <c r="CG122" s="114">
        <f t="shared" si="767"/>
        <v>0</v>
      </c>
      <c r="CH122" s="114">
        <f t="shared" si="768"/>
        <v>0</v>
      </c>
      <c r="CI122" s="113"/>
    </row>
    <row r="123" s="104" customFormat="1" customHeight="1" spans="1:87">
      <c r="A123" s="126"/>
      <c r="B123" s="127"/>
      <c r="C123" s="126"/>
      <c r="D123" s="127"/>
      <c r="E123" s="127"/>
      <c r="F123" s="114">
        <f t="shared" si="744"/>
        <v>0</v>
      </c>
      <c r="G123" s="113"/>
      <c r="H123" s="124"/>
      <c r="I123" s="113">
        <f t="shared" si="745"/>
        <v>0</v>
      </c>
      <c r="J123" s="114">
        <f t="shared" si="746"/>
        <v>0</v>
      </c>
      <c r="K123" s="113">
        <f t="shared" si="747"/>
        <v>0</v>
      </c>
      <c r="L123" s="114"/>
      <c r="M123" s="114">
        <f t="shared" ref="M123:S123" si="805">E123</f>
        <v>0</v>
      </c>
      <c r="N123" s="114">
        <f t="shared" si="749"/>
        <v>0</v>
      </c>
      <c r="O123" s="113"/>
      <c r="P123" s="124"/>
      <c r="Q123" s="113">
        <f t="shared" si="805"/>
        <v>0</v>
      </c>
      <c r="R123" s="114">
        <f t="shared" si="805"/>
        <v>0</v>
      </c>
      <c r="S123" s="113">
        <f t="shared" si="805"/>
        <v>0</v>
      </c>
      <c r="T123" s="114"/>
      <c r="U123" s="114">
        <f t="shared" ref="U123:AA123" si="806">M123</f>
        <v>0</v>
      </c>
      <c r="V123" s="114">
        <f t="shared" si="751"/>
        <v>0</v>
      </c>
      <c r="W123" s="113"/>
      <c r="X123" s="124"/>
      <c r="Y123" s="113">
        <f t="shared" si="806"/>
        <v>0</v>
      </c>
      <c r="Z123" s="114">
        <f t="shared" si="806"/>
        <v>0</v>
      </c>
      <c r="AA123" s="113">
        <f t="shared" si="806"/>
        <v>0</v>
      </c>
      <c r="AB123" s="114"/>
      <c r="AC123" s="114">
        <f t="shared" ref="AC123:AI123" si="807">U123</f>
        <v>0</v>
      </c>
      <c r="AD123" s="114">
        <f t="shared" si="753"/>
        <v>0</v>
      </c>
      <c r="AE123" s="113"/>
      <c r="AF123" s="124"/>
      <c r="AG123" s="113">
        <f t="shared" si="807"/>
        <v>0</v>
      </c>
      <c r="AH123" s="114">
        <f t="shared" si="807"/>
        <v>0</v>
      </c>
      <c r="AI123" s="113">
        <f t="shared" si="807"/>
        <v>0</v>
      </c>
      <c r="AJ123" s="114"/>
      <c r="AK123" s="114">
        <f t="shared" ref="AK123:AQ123" si="808">AC123</f>
        <v>0</v>
      </c>
      <c r="AL123" s="114">
        <f t="shared" si="755"/>
        <v>0</v>
      </c>
      <c r="AM123" s="113"/>
      <c r="AN123" s="124"/>
      <c r="AO123" s="113">
        <f t="shared" si="808"/>
        <v>0</v>
      </c>
      <c r="AP123" s="114">
        <f t="shared" si="808"/>
        <v>0</v>
      </c>
      <c r="AQ123" s="113">
        <f t="shared" si="808"/>
        <v>0</v>
      </c>
      <c r="AR123" s="114"/>
      <c r="AS123" s="114">
        <f t="shared" ref="AS123:AY123" si="809">AK123</f>
        <v>0</v>
      </c>
      <c r="AT123" s="114">
        <f t="shared" si="757"/>
        <v>0</v>
      </c>
      <c r="AU123" s="113"/>
      <c r="AV123" s="124"/>
      <c r="AW123" s="113">
        <f t="shared" si="809"/>
        <v>0</v>
      </c>
      <c r="AX123" s="114">
        <f t="shared" si="809"/>
        <v>0</v>
      </c>
      <c r="AY123" s="113">
        <f t="shared" si="809"/>
        <v>0</v>
      </c>
      <c r="AZ123" s="114"/>
      <c r="BA123" s="114">
        <f t="shared" ref="BA123:BG123" si="810">AS123</f>
        <v>0</v>
      </c>
      <c r="BB123" s="114">
        <f t="shared" si="759"/>
        <v>0</v>
      </c>
      <c r="BC123" s="113"/>
      <c r="BD123" s="124"/>
      <c r="BE123" s="113">
        <f t="shared" si="810"/>
        <v>0</v>
      </c>
      <c r="BF123" s="114">
        <f t="shared" si="810"/>
        <v>0</v>
      </c>
      <c r="BG123" s="113">
        <f t="shared" si="810"/>
        <v>0</v>
      </c>
      <c r="BH123" s="114"/>
      <c r="BI123" s="114">
        <f t="shared" ref="BI123:BO123" si="811">BA123</f>
        <v>0</v>
      </c>
      <c r="BJ123" s="114">
        <f t="shared" si="761"/>
        <v>0</v>
      </c>
      <c r="BK123" s="113"/>
      <c r="BL123" s="124"/>
      <c r="BM123" s="113">
        <f t="shared" si="811"/>
        <v>0</v>
      </c>
      <c r="BN123" s="114">
        <f t="shared" si="811"/>
        <v>0</v>
      </c>
      <c r="BO123" s="113">
        <f t="shared" si="811"/>
        <v>0</v>
      </c>
      <c r="BP123" s="114"/>
      <c r="BQ123" s="114">
        <f t="shared" ref="BQ123:BW123" si="812">BI123</f>
        <v>0</v>
      </c>
      <c r="BR123" s="114">
        <f t="shared" si="763"/>
        <v>0</v>
      </c>
      <c r="BS123" s="113"/>
      <c r="BT123" s="124"/>
      <c r="BU123" s="113">
        <f t="shared" si="812"/>
        <v>0</v>
      </c>
      <c r="BV123" s="114">
        <f t="shared" si="812"/>
        <v>0</v>
      </c>
      <c r="BW123" s="113">
        <f t="shared" si="812"/>
        <v>0</v>
      </c>
      <c r="BX123" s="114"/>
      <c r="BY123" s="114">
        <f t="shared" ref="BY123:CE123" si="813">BQ123</f>
        <v>0</v>
      </c>
      <c r="BZ123" s="114">
        <f t="shared" si="765"/>
        <v>0</v>
      </c>
      <c r="CA123" s="113"/>
      <c r="CB123" s="124"/>
      <c r="CC123" s="113">
        <f t="shared" si="813"/>
        <v>0</v>
      </c>
      <c r="CD123" s="114">
        <f t="shared" si="813"/>
        <v>0</v>
      </c>
      <c r="CE123" s="113">
        <f t="shared" si="813"/>
        <v>0</v>
      </c>
      <c r="CF123" s="114">
        <f t="shared" si="766"/>
        <v>0</v>
      </c>
      <c r="CG123" s="114">
        <f t="shared" si="767"/>
        <v>0</v>
      </c>
      <c r="CH123" s="114">
        <f t="shared" si="768"/>
        <v>0</v>
      </c>
      <c r="CI123" s="113"/>
    </row>
    <row r="124" s="104" customFormat="1" customHeight="1" spans="1:87">
      <c r="A124" s="126"/>
      <c r="B124" s="127"/>
      <c r="C124" s="126"/>
      <c r="D124" s="127"/>
      <c r="E124" s="127"/>
      <c r="F124" s="114">
        <f t="shared" si="744"/>
        <v>0</v>
      </c>
      <c r="G124" s="113"/>
      <c r="H124" s="124"/>
      <c r="I124" s="113">
        <f t="shared" si="745"/>
        <v>0</v>
      </c>
      <c r="J124" s="114">
        <f t="shared" si="746"/>
        <v>0</v>
      </c>
      <c r="K124" s="113">
        <f t="shared" si="747"/>
        <v>0</v>
      </c>
      <c r="L124" s="114"/>
      <c r="M124" s="114">
        <f>E124</f>
        <v>0</v>
      </c>
      <c r="N124" s="114">
        <f t="shared" si="749"/>
        <v>0</v>
      </c>
      <c r="O124" s="113"/>
      <c r="P124" s="124"/>
      <c r="Q124" s="113">
        <f>I124</f>
        <v>0</v>
      </c>
      <c r="R124" s="114">
        <f>J124</f>
        <v>0</v>
      </c>
      <c r="S124" s="113">
        <f>K124</f>
        <v>0</v>
      </c>
      <c r="T124" s="114"/>
      <c r="U124" s="114">
        <f>M124</f>
        <v>0</v>
      </c>
      <c r="V124" s="114">
        <f t="shared" si="751"/>
        <v>0</v>
      </c>
      <c r="W124" s="113"/>
      <c r="X124" s="124"/>
      <c r="Y124" s="113">
        <f>Q124</f>
        <v>0</v>
      </c>
      <c r="Z124" s="114">
        <f>R124</f>
        <v>0</v>
      </c>
      <c r="AA124" s="113">
        <f>S124</f>
        <v>0</v>
      </c>
      <c r="AB124" s="114"/>
      <c r="AC124" s="114">
        <f>U124</f>
        <v>0</v>
      </c>
      <c r="AD124" s="114">
        <f t="shared" si="753"/>
        <v>0</v>
      </c>
      <c r="AE124" s="113"/>
      <c r="AF124" s="124"/>
      <c r="AG124" s="113">
        <f>Y124</f>
        <v>0</v>
      </c>
      <c r="AH124" s="114">
        <f>Z124</f>
        <v>0</v>
      </c>
      <c r="AI124" s="113">
        <f>AA124</f>
        <v>0</v>
      </c>
      <c r="AJ124" s="114"/>
      <c r="AK124" s="114">
        <f>AC124</f>
        <v>0</v>
      </c>
      <c r="AL124" s="114">
        <f t="shared" si="755"/>
        <v>0</v>
      </c>
      <c r="AM124" s="113"/>
      <c r="AN124" s="124"/>
      <c r="AO124" s="113">
        <f>AG124</f>
        <v>0</v>
      </c>
      <c r="AP124" s="114">
        <f>AH124</f>
        <v>0</v>
      </c>
      <c r="AQ124" s="113">
        <f>AI124</f>
        <v>0</v>
      </c>
      <c r="AR124" s="114"/>
      <c r="AS124" s="114">
        <f>AK124</f>
        <v>0</v>
      </c>
      <c r="AT124" s="114">
        <f t="shared" si="757"/>
        <v>0</v>
      </c>
      <c r="AU124" s="113"/>
      <c r="AV124" s="124"/>
      <c r="AW124" s="113">
        <f>AO124</f>
        <v>0</v>
      </c>
      <c r="AX124" s="114">
        <f>AP124</f>
        <v>0</v>
      </c>
      <c r="AY124" s="113">
        <f>AQ124</f>
        <v>0</v>
      </c>
      <c r="AZ124" s="114"/>
      <c r="BA124" s="114">
        <f>AS124</f>
        <v>0</v>
      </c>
      <c r="BB124" s="114">
        <f t="shared" si="759"/>
        <v>0</v>
      </c>
      <c r="BC124" s="113"/>
      <c r="BD124" s="124"/>
      <c r="BE124" s="113">
        <f>AW124</f>
        <v>0</v>
      </c>
      <c r="BF124" s="114">
        <f>AX124</f>
        <v>0</v>
      </c>
      <c r="BG124" s="113">
        <f>AY124</f>
        <v>0</v>
      </c>
      <c r="BH124" s="114"/>
      <c r="BI124" s="114">
        <f>BA124</f>
        <v>0</v>
      </c>
      <c r="BJ124" s="114">
        <f t="shared" si="761"/>
        <v>0</v>
      </c>
      <c r="BK124" s="113"/>
      <c r="BL124" s="124"/>
      <c r="BM124" s="113">
        <f>BE124</f>
        <v>0</v>
      </c>
      <c r="BN124" s="114">
        <f>BF124</f>
        <v>0</v>
      </c>
      <c r="BO124" s="113">
        <f>BG124</f>
        <v>0</v>
      </c>
      <c r="BP124" s="114"/>
      <c r="BQ124" s="114">
        <f>BI124</f>
        <v>0</v>
      </c>
      <c r="BR124" s="114">
        <f t="shared" si="763"/>
        <v>0</v>
      </c>
      <c r="BS124" s="113"/>
      <c r="BT124" s="124"/>
      <c r="BU124" s="113">
        <f>BM124</f>
        <v>0</v>
      </c>
      <c r="BV124" s="114">
        <f>BN124</f>
        <v>0</v>
      </c>
      <c r="BW124" s="113">
        <f>BO124</f>
        <v>0</v>
      </c>
      <c r="BX124" s="114"/>
      <c r="BY124" s="114">
        <f>BQ124</f>
        <v>0</v>
      </c>
      <c r="BZ124" s="114">
        <f t="shared" si="765"/>
        <v>0</v>
      </c>
      <c r="CA124" s="113"/>
      <c r="CB124" s="124"/>
      <c r="CC124" s="113">
        <f>BU124</f>
        <v>0</v>
      </c>
      <c r="CD124" s="114">
        <f>BV124</f>
        <v>0</v>
      </c>
      <c r="CE124" s="113">
        <f>BW124</f>
        <v>0</v>
      </c>
      <c r="CF124" s="114">
        <f t="shared" si="766"/>
        <v>0</v>
      </c>
      <c r="CG124" s="114">
        <f t="shared" si="767"/>
        <v>0</v>
      </c>
      <c r="CH124" s="114">
        <f t="shared" si="768"/>
        <v>0</v>
      </c>
      <c r="CI124" s="113"/>
    </row>
    <row r="125" s="104" customFormat="1" customHeight="1" spans="1:87">
      <c r="A125" s="126"/>
      <c r="B125" s="127"/>
      <c r="C125" s="126"/>
      <c r="D125" s="127"/>
      <c r="E125" s="127"/>
      <c r="F125" s="114">
        <f t="shared" si="744"/>
        <v>0</v>
      </c>
      <c r="G125" s="113"/>
      <c r="H125" s="124"/>
      <c r="I125" s="113">
        <f t="shared" si="745"/>
        <v>0</v>
      </c>
      <c r="J125" s="114">
        <f t="shared" si="746"/>
        <v>0</v>
      </c>
      <c r="K125" s="113">
        <f t="shared" si="747"/>
        <v>0</v>
      </c>
      <c r="L125" s="114"/>
      <c r="M125" s="114">
        <f t="shared" ref="M125:S125" si="814">E125</f>
        <v>0</v>
      </c>
      <c r="N125" s="114">
        <f t="shared" si="749"/>
        <v>0</v>
      </c>
      <c r="O125" s="113"/>
      <c r="P125" s="124"/>
      <c r="Q125" s="113">
        <f t="shared" si="814"/>
        <v>0</v>
      </c>
      <c r="R125" s="114">
        <f t="shared" si="814"/>
        <v>0</v>
      </c>
      <c r="S125" s="113">
        <f t="shared" si="814"/>
        <v>0</v>
      </c>
      <c r="T125" s="114"/>
      <c r="U125" s="114">
        <f t="shared" ref="U125:AA125" si="815">M125</f>
        <v>0</v>
      </c>
      <c r="V125" s="114">
        <f t="shared" si="751"/>
        <v>0</v>
      </c>
      <c r="W125" s="113"/>
      <c r="X125" s="124"/>
      <c r="Y125" s="113">
        <f t="shared" si="815"/>
        <v>0</v>
      </c>
      <c r="Z125" s="114">
        <f t="shared" si="815"/>
        <v>0</v>
      </c>
      <c r="AA125" s="113">
        <f t="shared" si="815"/>
        <v>0</v>
      </c>
      <c r="AB125" s="114"/>
      <c r="AC125" s="114">
        <f t="shared" ref="AC125:AI125" si="816">U125</f>
        <v>0</v>
      </c>
      <c r="AD125" s="114">
        <f t="shared" si="753"/>
        <v>0</v>
      </c>
      <c r="AE125" s="113"/>
      <c r="AF125" s="124"/>
      <c r="AG125" s="113">
        <f t="shared" si="816"/>
        <v>0</v>
      </c>
      <c r="AH125" s="114">
        <f t="shared" si="816"/>
        <v>0</v>
      </c>
      <c r="AI125" s="113">
        <f t="shared" si="816"/>
        <v>0</v>
      </c>
      <c r="AJ125" s="114"/>
      <c r="AK125" s="114">
        <f t="shared" ref="AK125:AQ125" si="817">AC125</f>
        <v>0</v>
      </c>
      <c r="AL125" s="114">
        <f t="shared" si="755"/>
        <v>0</v>
      </c>
      <c r="AM125" s="113"/>
      <c r="AN125" s="124"/>
      <c r="AO125" s="113">
        <f t="shared" si="817"/>
        <v>0</v>
      </c>
      <c r="AP125" s="114">
        <f t="shared" si="817"/>
        <v>0</v>
      </c>
      <c r="AQ125" s="113">
        <f t="shared" si="817"/>
        <v>0</v>
      </c>
      <c r="AR125" s="114"/>
      <c r="AS125" s="114">
        <f t="shared" ref="AS125:AY125" si="818">AK125</f>
        <v>0</v>
      </c>
      <c r="AT125" s="114">
        <f t="shared" si="757"/>
        <v>0</v>
      </c>
      <c r="AU125" s="113"/>
      <c r="AV125" s="124"/>
      <c r="AW125" s="113">
        <f t="shared" si="818"/>
        <v>0</v>
      </c>
      <c r="AX125" s="114">
        <f t="shared" si="818"/>
        <v>0</v>
      </c>
      <c r="AY125" s="113">
        <f t="shared" si="818"/>
        <v>0</v>
      </c>
      <c r="AZ125" s="114"/>
      <c r="BA125" s="114">
        <f t="shared" ref="BA125:BG125" si="819">AS125</f>
        <v>0</v>
      </c>
      <c r="BB125" s="114">
        <f t="shared" si="759"/>
        <v>0</v>
      </c>
      <c r="BC125" s="113"/>
      <c r="BD125" s="124"/>
      <c r="BE125" s="113">
        <f t="shared" si="819"/>
        <v>0</v>
      </c>
      <c r="BF125" s="114">
        <f t="shared" si="819"/>
        <v>0</v>
      </c>
      <c r="BG125" s="113">
        <f t="shared" si="819"/>
        <v>0</v>
      </c>
      <c r="BH125" s="114"/>
      <c r="BI125" s="114">
        <f t="shared" ref="BI125:BO125" si="820">BA125</f>
        <v>0</v>
      </c>
      <c r="BJ125" s="114">
        <f t="shared" si="761"/>
        <v>0</v>
      </c>
      <c r="BK125" s="113"/>
      <c r="BL125" s="124"/>
      <c r="BM125" s="113">
        <f t="shared" si="820"/>
        <v>0</v>
      </c>
      <c r="BN125" s="114">
        <f t="shared" si="820"/>
        <v>0</v>
      </c>
      <c r="BO125" s="113">
        <f t="shared" si="820"/>
        <v>0</v>
      </c>
      <c r="BP125" s="114"/>
      <c r="BQ125" s="114">
        <f t="shared" ref="BQ125:BW125" si="821">BI125</f>
        <v>0</v>
      </c>
      <c r="BR125" s="114">
        <f t="shared" si="763"/>
        <v>0</v>
      </c>
      <c r="BS125" s="113"/>
      <c r="BT125" s="124"/>
      <c r="BU125" s="113">
        <f t="shared" si="821"/>
        <v>0</v>
      </c>
      <c r="BV125" s="114">
        <f t="shared" si="821"/>
        <v>0</v>
      </c>
      <c r="BW125" s="113">
        <f t="shared" si="821"/>
        <v>0</v>
      </c>
      <c r="BX125" s="114"/>
      <c r="BY125" s="114">
        <f t="shared" ref="BY125:CE125" si="822">BQ125</f>
        <v>0</v>
      </c>
      <c r="BZ125" s="114">
        <f t="shared" si="765"/>
        <v>0</v>
      </c>
      <c r="CA125" s="113"/>
      <c r="CB125" s="124"/>
      <c r="CC125" s="113">
        <f t="shared" si="822"/>
        <v>0</v>
      </c>
      <c r="CD125" s="114">
        <f t="shared" si="822"/>
        <v>0</v>
      </c>
      <c r="CE125" s="113">
        <f t="shared" si="822"/>
        <v>0</v>
      </c>
      <c r="CF125" s="114">
        <f t="shared" si="766"/>
        <v>0</v>
      </c>
      <c r="CG125" s="114">
        <f t="shared" si="767"/>
        <v>0</v>
      </c>
      <c r="CH125" s="114">
        <f t="shared" si="768"/>
        <v>0</v>
      </c>
      <c r="CI125" s="113"/>
    </row>
    <row r="126" s="104" customFormat="1" customHeight="1" spans="1:87">
      <c r="A126" s="126"/>
      <c r="B126" s="127"/>
      <c r="C126" s="126"/>
      <c r="D126" s="127"/>
      <c r="E126" s="127"/>
      <c r="F126" s="114">
        <f t="shared" si="744"/>
        <v>0</v>
      </c>
      <c r="G126" s="113"/>
      <c r="H126" s="124"/>
      <c r="I126" s="113">
        <f t="shared" si="745"/>
        <v>0</v>
      </c>
      <c r="J126" s="114">
        <f t="shared" si="746"/>
        <v>0</v>
      </c>
      <c r="K126" s="113">
        <f t="shared" si="747"/>
        <v>0</v>
      </c>
      <c r="L126" s="114"/>
      <c r="M126" s="114">
        <f t="shared" ref="M126:S126" si="823">E126</f>
        <v>0</v>
      </c>
      <c r="N126" s="114">
        <f t="shared" si="749"/>
        <v>0</v>
      </c>
      <c r="O126" s="113"/>
      <c r="P126" s="124"/>
      <c r="Q126" s="113">
        <f t="shared" si="823"/>
        <v>0</v>
      </c>
      <c r="R126" s="114">
        <f t="shared" si="823"/>
        <v>0</v>
      </c>
      <c r="S126" s="113">
        <f t="shared" si="823"/>
        <v>0</v>
      </c>
      <c r="T126" s="114"/>
      <c r="U126" s="114">
        <f t="shared" ref="U126:AA126" si="824">M126</f>
        <v>0</v>
      </c>
      <c r="V126" s="114">
        <f t="shared" si="751"/>
        <v>0</v>
      </c>
      <c r="W126" s="113"/>
      <c r="X126" s="124"/>
      <c r="Y126" s="113">
        <f t="shared" si="824"/>
        <v>0</v>
      </c>
      <c r="Z126" s="114">
        <f t="shared" si="824"/>
        <v>0</v>
      </c>
      <c r="AA126" s="113">
        <f t="shared" si="824"/>
        <v>0</v>
      </c>
      <c r="AB126" s="114"/>
      <c r="AC126" s="114">
        <f t="shared" ref="AC126:AI126" si="825">U126</f>
        <v>0</v>
      </c>
      <c r="AD126" s="114">
        <f t="shared" si="753"/>
        <v>0</v>
      </c>
      <c r="AE126" s="113"/>
      <c r="AF126" s="124"/>
      <c r="AG126" s="113">
        <f t="shared" si="825"/>
        <v>0</v>
      </c>
      <c r="AH126" s="114">
        <f t="shared" si="825"/>
        <v>0</v>
      </c>
      <c r="AI126" s="113">
        <f t="shared" si="825"/>
        <v>0</v>
      </c>
      <c r="AJ126" s="114"/>
      <c r="AK126" s="114">
        <f t="shared" ref="AK126:AQ126" si="826">AC126</f>
        <v>0</v>
      </c>
      <c r="AL126" s="114">
        <f t="shared" si="755"/>
        <v>0</v>
      </c>
      <c r="AM126" s="113"/>
      <c r="AN126" s="124"/>
      <c r="AO126" s="113">
        <f t="shared" si="826"/>
        <v>0</v>
      </c>
      <c r="AP126" s="114">
        <f t="shared" si="826"/>
        <v>0</v>
      </c>
      <c r="AQ126" s="113">
        <f t="shared" si="826"/>
        <v>0</v>
      </c>
      <c r="AR126" s="114"/>
      <c r="AS126" s="114">
        <f t="shared" ref="AS126:AY126" si="827">AK126</f>
        <v>0</v>
      </c>
      <c r="AT126" s="114">
        <f t="shared" si="757"/>
        <v>0</v>
      </c>
      <c r="AU126" s="113"/>
      <c r="AV126" s="124"/>
      <c r="AW126" s="113">
        <f t="shared" si="827"/>
        <v>0</v>
      </c>
      <c r="AX126" s="114">
        <f t="shared" si="827"/>
        <v>0</v>
      </c>
      <c r="AY126" s="113">
        <f t="shared" si="827"/>
        <v>0</v>
      </c>
      <c r="AZ126" s="114"/>
      <c r="BA126" s="114">
        <f t="shared" ref="BA126:BG126" si="828">AS126</f>
        <v>0</v>
      </c>
      <c r="BB126" s="114">
        <f t="shared" si="759"/>
        <v>0</v>
      </c>
      <c r="BC126" s="113"/>
      <c r="BD126" s="124"/>
      <c r="BE126" s="113">
        <f t="shared" si="828"/>
        <v>0</v>
      </c>
      <c r="BF126" s="114">
        <f t="shared" si="828"/>
        <v>0</v>
      </c>
      <c r="BG126" s="113">
        <f t="shared" si="828"/>
        <v>0</v>
      </c>
      <c r="BH126" s="114"/>
      <c r="BI126" s="114">
        <f t="shared" ref="BI126:BO126" si="829">BA126</f>
        <v>0</v>
      </c>
      <c r="BJ126" s="114">
        <f t="shared" si="761"/>
        <v>0</v>
      </c>
      <c r="BK126" s="113"/>
      <c r="BL126" s="124"/>
      <c r="BM126" s="113">
        <f t="shared" si="829"/>
        <v>0</v>
      </c>
      <c r="BN126" s="114">
        <f t="shared" si="829"/>
        <v>0</v>
      </c>
      <c r="BO126" s="113">
        <f t="shared" si="829"/>
        <v>0</v>
      </c>
      <c r="BP126" s="114"/>
      <c r="BQ126" s="114">
        <f t="shared" ref="BQ126:BW126" si="830">BI126</f>
        <v>0</v>
      </c>
      <c r="BR126" s="114">
        <f t="shared" si="763"/>
        <v>0</v>
      </c>
      <c r="BS126" s="113"/>
      <c r="BT126" s="124"/>
      <c r="BU126" s="113">
        <f t="shared" si="830"/>
        <v>0</v>
      </c>
      <c r="BV126" s="114">
        <f t="shared" si="830"/>
        <v>0</v>
      </c>
      <c r="BW126" s="113">
        <f t="shared" si="830"/>
        <v>0</v>
      </c>
      <c r="BX126" s="114"/>
      <c r="BY126" s="114">
        <f t="shared" ref="BY126:CE126" si="831">BQ126</f>
        <v>0</v>
      </c>
      <c r="BZ126" s="114">
        <f t="shared" si="765"/>
        <v>0</v>
      </c>
      <c r="CA126" s="113"/>
      <c r="CB126" s="124"/>
      <c r="CC126" s="113">
        <f t="shared" si="831"/>
        <v>0</v>
      </c>
      <c r="CD126" s="114">
        <f t="shared" si="831"/>
        <v>0</v>
      </c>
      <c r="CE126" s="113">
        <f t="shared" si="831"/>
        <v>0</v>
      </c>
      <c r="CF126" s="114">
        <f t="shared" si="766"/>
        <v>0</v>
      </c>
      <c r="CG126" s="114">
        <f t="shared" si="767"/>
        <v>0</v>
      </c>
      <c r="CH126" s="114">
        <f t="shared" si="768"/>
        <v>0</v>
      </c>
      <c r="CI126" s="113"/>
    </row>
    <row r="127" s="104" customFormat="1" customHeight="1" spans="1:87">
      <c r="A127" s="126"/>
      <c r="B127" s="127"/>
      <c r="C127" s="126"/>
      <c r="D127" s="127"/>
      <c r="E127" s="127"/>
      <c r="F127" s="114">
        <f t="shared" si="744"/>
        <v>0</v>
      </c>
      <c r="G127" s="113"/>
      <c r="H127" s="124"/>
      <c r="I127" s="113">
        <f t="shared" si="745"/>
        <v>0</v>
      </c>
      <c r="J127" s="114">
        <f t="shared" si="746"/>
        <v>0</v>
      </c>
      <c r="K127" s="113">
        <f t="shared" si="747"/>
        <v>0</v>
      </c>
      <c r="L127" s="114"/>
      <c r="M127" s="114">
        <f t="shared" ref="M127:S127" si="832">E127</f>
        <v>0</v>
      </c>
      <c r="N127" s="114">
        <f t="shared" si="749"/>
        <v>0</v>
      </c>
      <c r="O127" s="113"/>
      <c r="P127" s="124"/>
      <c r="Q127" s="113">
        <f t="shared" si="832"/>
        <v>0</v>
      </c>
      <c r="R127" s="114">
        <f t="shared" si="832"/>
        <v>0</v>
      </c>
      <c r="S127" s="113">
        <f t="shared" si="832"/>
        <v>0</v>
      </c>
      <c r="T127" s="114"/>
      <c r="U127" s="114">
        <f t="shared" ref="U127:AA127" si="833">M127</f>
        <v>0</v>
      </c>
      <c r="V127" s="114">
        <f t="shared" si="751"/>
        <v>0</v>
      </c>
      <c r="W127" s="113"/>
      <c r="X127" s="124"/>
      <c r="Y127" s="113">
        <f t="shared" si="833"/>
        <v>0</v>
      </c>
      <c r="Z127" s="114">
        <f t="shared" si="833"/>
        <v>0</v>
      </c>
      <c r="AA127" s="113">
        <f t="shared" si="833"/>
        <v>0</v>
      </c>
      <c r="AB127" s="114"/>
      <c r="AC127" s="114">
        <f t="shared" ref="AC127:AI127" si="834">U127</f>
        <v>0</v>
      </c>
      <c r="AD127" s="114">
        <f t="shared" si="753"/>
        <v>0</v>
      </c>
      <c r="AE127" s="113"/>
      <c r="AF127" s="124"/>
      <c r="AG127" s="113">
        <f t="shared" si="834"/>
        <v>0</v>
      </c>
      <c r="AH127" s="114">
        <f t="shared" si="834"/>
        <v>0</v>
      </c>
      <c r="AI127" s="113">
        <f t="shared" si="834"/>
        <v>0</v>
      </c>
      <c r="AJ127" s="114"/>
      <c r="AK127" s="114">
        <f t="shared" ref="AK127:AQ127" si="835">AC127</f>
        <v>0</v>
      </c>
      <c r="AL127" s="114">
        <f t="shared" si="755"/>
        <v>0</v>
      </c>
      <c r="AM127" s="113"/>
      <c r="AN127" s="124"/>
      <c r="AO127" s="113">
        <f t="shared" si="835"/>
        <v>0</v>
      </c>
      <c r="AP127" s="114">
        <f t="shared" si="835"/>
        <v>0</v>
      </c>
      <c r="AQ127" s="113">
        <f t="shared" si="835"/>
        <v>0</v>
      </c>
      <c r="AR127" s="114"/>
      <c r="AS127" s="114">
        <f t="shared" ref="AS127:AY127" si="836">AK127</f>
        <v>0</v>
      </c>
      <c r="AT127" s="114">
        <f t="shared" si="757"/>
        <v>0</v>
      </c>
      <c r="AU127" s="113"/>
      <c r="AV127" s="124"/>
      <c r="AW127" s="113">
        <f t="shared" si="836"/>
        <v>0</v>
      </c>
      <c r="AX127" s="114">
        <f t="shared" si="836"/>
        <v>0</v>
      </c>
      <c r="AY127" s="113">
        <f t="shared" si="836"/>
        <v>0</v>
      </c>
      <c r="AZ127" s="114"/>
      <c r="BA127" s="114">
        <f t="shared" ref="BA127:BG127" si="837">AS127</f>
        <v>0</v>
      </c>
      <c r="BB127" s="114">
        <f t="shared" si="759"/>
        <v>0</v>
      </c>
      <c r="BC127" s="113"/>
      <c r="BD127" s="124"/>
      <c r="BE127" s="113">
        <f t="shared" si="837"/>
        <v>0</v>
      </c>
      <c r="BF127" s="114">
        <f t="shared" si="837"/>
        <v>0</v>
      </c>
      <c r="BG127" s="113">
        <f t="shared" si="837"/>
        <v>0</v>
      </c>
      <c r="BH127" s="114"/>
      <c r="BI127" s="114">
        <f t="shared" ref="BI127:BO127" si="838">BA127</f>
        <v>0</v>
      </c>
      <c r="BJ127" s="114">
        <f t="shared" si="761"/>
        <v>0</v>
      </c>
      <c r="BK127" s="113"/>
      <c r="BL127" s="124"/>
      <c r="BM127" s="113">
        <f t="shared" si="838"/>
        <v>0</v>
      </c>
      <c r="BN127" s="114">
        <f t="shared" si="838"/>
        <v>0</v>
      </c>
      <c r="BO127" s="113">
        <f t="shared" si="838"/>
        <v>0</v>
      </c>
      <c r="BP127" s="114"/>
      <c r="BQ127" s="114">
        <f t="shared" ref="BQ127:BW127" si="839">BI127</f>
        <v>0</v>
      </c>
      <c r="BR127" s="114">
        <f t="shared" si="763"/>
        <v>0</v>
      </c>
      <c r="BS127" s="113"/>
      <c r="BT127" s="124"/>
      <c r="BU127" s="113">
        <f t="shared" si="839"/>
        <v>0</v>
      </c>
      <c r="BV127" s="114">
        <f t="shared" si="839"/>
        <v>0</v>
      </c>
      <c r="BW127" s="113">
        <f t="shared" si="839"/>
        <v>0</v>
      </c>
      <c r="BX127" s="114"/>
      <c r="BY127" s="114">
        <f t="shared" ref="BY127:CE127" si="840">BQ127</f>
        <v>0</v>
      </c>
      <c r="BZ127" s="114">
        <f t="shared" si="765"/>
        <v>0</v>
      </c>
      <c r="CA127" s="113"/>
      <c r="CB127" s="124"/>
      <c r="CC127" s="113">
        <f t="shared" si="840"/>
        <v>0</v>
      </c>
      <c r="CD127" s="114">
        <f t="shared" si="840"/>
        <v>0</v>
      </c>
      <c r="CE127" s="113">
        <f t="shared" si="840"/>
        <v>0</v>
      </c>
      <c r="CF127" s="114">
        <f t="shared" si="766"/>
        <v>0</v>
      </c>
      <c r="CG127" s="114">
        <f t="shared" si="767"/>
        <v>0</v>
      </c>
      <c r="CH127" s="114">
        <f t="shared" si="768"/>
        <v>0</v>
      </c>
      <c r="CI127" s="113"/>
    </row>
    <row r="128" s="104" customFormat="1" customHeight="1" spans="1:87">
      <c r="A128" s="126"/>
      <c r="B128" s="127"/>
      <c r="C128" s="126"/>
      <c r="D128" s="127"/>
      <c r="E128" s="127"/>
      <c r="F128" s="114">
        <f t="shared" si="744"/>
        <v>0</v>
      </c>
      <c r="G128" s="113"/>
      <c r="H128" s="124"/>
      <c r="I128" s="113">
        <f t="shared" si="745"/>
        <v>0</v>
      </c>
      <c r="J128" s="114">
        <f t="shared" si="746"/>
        <v>0</v>
      </c>
      <c r="K128" s="113">
        <f t="shared" si="747"/>
        <v>0</v>
      </c>
      <c r="L128" s="114"/>
      <c r="M128" s="114">
        <f t="shared" ref="M128:S128" si="841">E128</f>
        <v>0</v>
      </c>
      <c r="N128" s="114">
        <f t="shared" si="749"/>
        <v>0</v>
      </c>
      <c r="O128" s="113"/>
      <c r="P128" s="124"/>
      <c r="Q128" s="113">
        <f t="shared" si="841"/>
        <v>0</v>
      </c>
      <c r="R128" s="114">
        <f t="shared" si="841"/>
        <v>0</v>
      </c>
      <c r="S128" s="113">
        <f t="shared" si="841"/>
        <v>0</v>
      </c>
      <c r="T128" s="114"/>
      <c r="U128" s="114">
        <f t="shared" ref="U128:AA128" si="842">M128</f>
        <v>0</v>
      </c>
      <c r="V128" s="114">
        <f t="shared" si="751"/>
        <v>0</v>
      </c>
      <c r="W128" s="113"/>
      <c r="X128" s="124"/>
      <c r="Y128" s="113">
        <f t="shared" si="842"/>
        <v>0</v>
      </c>
      <c r="Z128" s="114">
        <f t="shared" si="842"/>
        <v>0</v>
      </c>
      <c r="AA128" s="113">
        <f t="shared" si="842"/>
        <v>0</v>
      </c>
      <c r="AB128" s="114"/>
      <c r="AC128" s="114">
        <f t="shared" ref="AC128:AI128" si="843">U128</f>
        <v>0</v>
      </c>
      <c r="AD128" s="114">
        <f t="shared" si="753"/>
        <v>0</v>
      </c>
      <c r="AE128" s="113"/>
      <c r="AF128" s="124"/>
      <c r="AG128" s="113">
        <f t="shared" si="843"/>
        <v>0</v>
      </c>
      <c r="AH128" s="114">
        <f t="shared" si="843"/>
        <v>0</v>
      </c>
      <c r="AI128" s="113">
        <f t="shared" si="843"/>
        <v>0</v>
      </c>
      <c r="AJ128" s="114"/>
      <c r="AK128" s="114">
        <f t="shared" ref="AK128:AQ128" si="844">AC128</f>
        <v>0</v>
      </c>
      <c r="AL128" s="114">
        <f t="shared" si="755"/>
        <v>0</v>
      </c>
      <c r="AM128" s="113"/>
      <c r="AN128" s="124"/>
      <c r="AO128" s="113">
        <f t="shared" si="844"/>
        <v>0</v>
      </c>
      <c r="AP128" s="114">
        <f t="shared" si="844"/>
        <v>0</v>
      </c>
      <c r="AQ128" s="113">
        <f t="shared" si="844"/>
        <v>0</v>
      </c>
      <c r="AR128" s="114"/>
      <c r="AS128" s="114">
        <f t="shared" ref="AS128:AY128" si="845">AK128</f>
        <v>0</v>
      </c>
      <c r="AT128" s="114">
        <f t="shared" si="757"/>
        <v>0</v>
      </c>
      <c r="AU128" s="113"/>
      <c r="AV128" s="124"/>
      <c r="AW128" s="113">
        <f t="shared" si="845"/>
        <v>0</v>
      </c>
      <c r="AX128" s="114">
        <f t="shared" si="845"/>
        <v>0</v>
      </c>
      <c r="AY128" s="113">
        <f t="shared" si="845"/>
        <v>0</v>
      </c>
      <c r="AZ128" s="114"/>
      <c r="BA128" s="114">
        <f t="shared" ref="BA128:BG128" si="846">AS128</f>
        <v>0</v>
      </c>
      <c r="BB128" s="114">
        <f t="shared" si="759"/>
        <v>0</v>
      </c>
      <c r="BC128" s="113"/>
      <c r="BD128" s="124"/>
      <c r="BE128" s="113">
        <f t="shared" si="846"/>
        <v>0</v>
      </c>
      <c r="BF128" s="114">
        <f t="shared" si="846"/>
        <v>0</v>
      </c>
      <c r="BG128" s="113">
        <f t="shared" si="846"/>
        <v>0</v>
      </c>
      <c r="BH128" s="114"/>
      <c r="BI128" s="114">
        <f t="shared" ref="BI128:BO128" si="847">BA128</f>
        <v>0</v>
      </c>
      <c r="BJ128" s="114">
        <f t="shared" si="761"/>
        <v>0</v>
      </c>
      <c r="BK128" s="113"/>
      <c r="BL128" s="124"/>
      <c r="BM128" s="113">
        <f t="shared" si="847"/>
        <v>0</v>
      </c>
      <c r="BN128" s="114">
        <f t="shared" si="847"/>
        <v>0</v>
      </c>
      <c r="BO128" s="113">
        <f t="shared" si="847"/>
        <v>0</v>
      </c>
      <c r="BP128" s="114"/>
      <c r="BQ128" s="114">
        <f t="shared" ref="BQ128:BW128" si="848">BI128</f>
        <v>0</v>
      </c>
      <c r="BR128" s="114">
        <f t="shared" si="763"/>
        <v>0</v>
      </c>
      <c r="BS128" s="113"/>
      <c r="BT128" s="124"/>
      <c r="BU128" s="113">
        <f t="shared" si="848"/>
        <v>0</v>
      </c>
      <c r="BV128" s="114">
        <f t="shared" si="848"/>
        <v>0</v>
      </c>
      <c r="BW128" s="113">
        <f t="shared" si="848"/>
        <v>0</v>
      </c>
      <c r="BX128" s="114"/>
      <c r="BY128" s="114">
        <f t="shared" ref="BY128:CE128" si="849">BQ128</f>
        <v>0</v>
      </c>
      <c r="BZ128" s="114">
        <f t="shared" si="765"/>
        <v>0</v>
      </c>
      <c r="CA128" s="113"/>
      <c r="CB128" s="124"/>
      <c r="CC128" s="113">
        <f t="shared" si="849"/>
        <v>0</v>
      </c>
      <c r="CD128" s="114">
        <f t="shared" si="849"/>
        <v>0</v>
      </c>
      <c r="CE128" s="113">
        <f t="shared" si="849"/>
        <v>0</v>
      </c>
      <c r="CF128" s="114">
        <f t="shared" si="766"/>
        <v>0</v>
      </c>
      <c r="CG128" s="114">
        <f t="shared" si="767"/>
        <v>0</v>
      </c>
      <c r="CH128" s="114">
        <f t="shared" si="768"/>
        <v>0</v>
      </c>
      <c r="CI128" s="113"/>
    </row>
    <row r="129" s="104" customFormat="1" customHeight="1" spans="1:87">
      <c r="A129" s="113"/>
      <c r="B129" s="114"/>
      <c r="C129" s="113"/>
      <c r="D129" s="114"/>
      <c r="E129" s="114"/>
      <c r="F129" s="114">
        <f t="shared" si="744"/>
        <v>0</v>
      </c>
      <c r="G129" s="113"/>
      <c r="H129" s="124"/>
      <c r="I129" s="113">
        <f t="shared" si="745"/>
        <v>0</v>
      </c>
      <c r="J129" s="114">
        <f t="shared" si="746"/>
        <v>0</v>
      </c>
      <c r="K129" s="113">
        <f t="shared" si="747"/>
        <v>0</v>
      </c>
      <c r="L129" s="114"/>
      <c r="M129" s="114">
        <f t="shared" ref="M129:S129" si="850">E129</f>
        <v>0</v>
      </c>
      <c r="N129" s="114">
        <f t="shared" si="749"/>
        <v>0</v>
      </c>
      <c r="O129" s="113"/>
      <c r="P129" s="124"/>
      <c r="Q129" s="113">
        <f t="shared" si="850"/>
        <v>0</v>
      </c>
      <c r="R129" s="114">
        <f t="shared" si="850"/>
        <v>0</v>
      </c>
      <c r="S129" s="113">
        <f t="shared" si="850"/>
        <v>0</v>
      </c>
      <c r="T129" s="114"/>
      <c r="U129" s="114">
        <f t="shared" ref="U129:AA129" si="851">M129</f>
        <v>0</v>
      </c>
      <c r="V129" s="114">
        <f t="shared" si="751"/>
        <v>0</v>
      </c>
      <c r="W129" s="113"/>
      <c r="X129" s="124"/>
      <c r="Y129" s="113">
        <f t="shared" si="851"/>
        <v>0</v>
      </c>
      <c r="Z129" s="114">
        <f t="shared" si="851"/>
        <v>0</v>
      </c>
      <c r="AA129" s="113">
        <f t="shared" si="851"/>
        <v>0</v>
      </c>
      <c r="AB129" s="114"/>
      <c r="AC129" s="114">
        <f t="shared" ref="AC129:AI129" si="852">U129</f>
        <v>0</v>
      </c>
      <c r="AD129" s="114">
        <f t="shared" si="753"/>
        <v>0</v>
      </c>
      <c r="AE129" s="113"/>
      <c r="AF129" s="124"/>
      <c r="AG129" s="113">
        <f t="shared" si="852"/>
        <v>0</v>
      </c>
      <c r="AH129" s="114">
        <f t="shared" si="852"/>
        <v>0</v>
      </c>
      <c r="AI129" s="113">
        <f t="shared" si="852"/>
        <v>0</v>
      </c>
      <c r="AJ129" s="114"/>
      <c r="AK129" s="114">
        <f t="shared" ref="AK129:AQ129" si="853">AC129</f>
        <v>0</v>
      </c>
      <c r="AL129" s="114">
        <f t="shared" si="755"/>
        <v>0</v>
      </c>
      <c r="AM129" s="113"/>
      <c r="AN129" s="124"/>
      <c r="AO129" s="113">
        <f t="shared" si="853"/>
        <v>0</v>
      </c>
      <c r="AP129" s="114">
        <f t="shared" si="853"/>
        <v>0</v>
      </c>
      <c r="AQ129" s="113">
        <f t="shared" si="853"/>
        <v>0</v>
      </c>
      <c r="AR129" s="114"/>
      <c r="AS129" s="114">
        <f t="shared" ref="AS129:AY129" si="854">AK129</f>
        <v>0</v>
      </c>
      <c r="AT129" s="114">
        <f t="shared" si="757"/>
        <v>0</v>
      </c>
      <c r="AU129" s="113"/>
      <c r="AV129" s="124"/>
      <c r="AW129" s="113">
        <f t="shared" si="854"/>
        <v>0</v>
      </c>
      <c r="AX129" s="114">
        <f t="shared" si="854"/>
        <v>0</v>
      </c>
      <c r="AY129" s="113">
        <f t="shared" si="854"/>
        <v>0</v>
      </c>
      <c r="AZ129" s="114"/>
      <c r="BA129" s="114">
        <f t="shared" ref="BA129:BG129" si="855">AS129</f>
        <v>0</v>
      </c>
      <c r="BB129" s="114">
        <f t="shared" si="759"/>
        <v>0</v>
      </c>
      <c r="BC129" s="113"/>
      <c r="BD129" s="124"/>
      <c r="BE129" s="113">
        <f t="shared" si="855"/>
        <v>0</v>
      </c>
      <c r="BF129" s="114">
        <f t="shared" si="855"/>
        <v>0</v>
      </c>
      <c r="BG129" s="113">
        <f t="shared" si="855"/>
        <v>0</v>
      </c>
      <c r="BH129" s="114"/>
      <c r="BI129" s="114">
        <f t="shared" ref="BI129:BO129" si="856">BA129</f>
        <v>0</v>
      </c>
      <c r="BJ129" s="114">
        <f t="shared" si="761"/>
        <v>0</v>
      </c>
      <c r="BK129" s="113"/>
      <c r="BL129" s="124"/>
      <c r="BM129" s="113">
        <f t="shared" si="856"/>
        <v>0</v>
      </c>
      <c r="BN129" s="114">
        <f t="shared" si="856"/>
        <v>0</v>
      </c>
      <c r="BO129" s="113">
        <f t="shared" si="856"/>
        <v>0</v>
      </c>
      <c r="BP129" s="114"/>
      <c r="BQ129" s="114">
        <f t="shared" ref="BQ129:BW129" si="857">BI129</f>
        <v>0</v>
      </c>
      <c r="BR129" s="114">
        <f t="shared" si="763"/>
        <v>0</v>
      </c>
      <c r="BS129" s="113"/>
      <c r="BT129" s="124"/>
      <c r="BU129" s="113">
        <f t="shared" si="857"/>
        <v>0</v>
      </c>
      <c r="BV129" s="114">
        <f t="shared" si="857"/>
        <v>0</v>
      </c>
      <c r="BW129" s="113">
        <f t="shared" si="857"/>
        <v>0</v>
      </c>
      <c r="BX129" s="114"/>
      <c r="BY129" s="114">
        <f t="shared" ref="BY129:CE129" si="858">BQ129</f>
        <v>0</v>
      </c>
      <c r="BZ129" s="114">
        <f t="shared" si="765"/>
        <v>0</v>
      </c>
      <c r="CA129" s="113"/>
      <c r="CB129" s="124"/>
      <c r="CC129" s="113">
        <f t="shared" si="858"/>
        <v>0</v>
      </c>
      <c r="CD129" s="114">
        <f t="shared" si="858"/>
        <v>0</v>
      </c>
      <c r="CE129" s="113">
        <f t="shared" si="858"/>
        <v>0</v>
      </c>
      <c r="CF129" s="114">
        <f t="shared" si="766"/>
        <v>0</v>
      </c>
      <c r="CG129" s="114">
        <f t="shared" si="767"/>
        <v>0</v>
      </c>
      <c r="CH129" s="114">
        <f t="shared" si="768"/>
        <v>0</v>
      </c>
      <c r="CI129" s="113"/>
    </row>
    <row r="130" s="104" customFormat="1" customHeight="1" spans="1:87">
      <c r="A130" s="115" t="s">
        <v>340</v>
      </c>
      <c r="B130" s="116"/>
      <c r="C130" s="116"/>
      <c r="D130" s="116"/>
      <c r="E130" s="117"/>
      <c r="F130" s="118">
        <f>SUM(F118:F129)</f>
        <v>0</v>
      </c>
      <c r="G130" s="114"/>
      <c r="H130" s="124"/>
      <c r="I130" s="115" t="s">
        <v>340</v>
      </c>
      <c r="J130" s="116"/>
      <c r="K130" s="116"/>
      <c r="L130" s="116"/>
      <c r="M130" s="117"/>
      <c r="N130" s="118">
        <f>SUM(N118:N129)</f>
        <v>0</v>
      </c>
      <c r="O130" s="114"/>
      <c r="P130" s="124"/>
      <c r="Q130" s="115" t="s">
        <v>340</v>
      </c>
      <c r="R130" s="116"/>
      <c r="S130" s="116"/>
      <c r="T130" s="116"/>
      <c r="U130" s="117"/>
      <c r="V130" s="118">
        <f>SUM(V118:V129)</f>
        <v>0</v>
      </c>
      <c r="W130" s="114"/>
      <c r="X130" s="124"/>
      <c r="Y130" s="115" t="s">
        <v>340</v>
      </c>
      <c r="Z130" s="116"/>
      <c r="AA130" s="116"/>
      <c r="AB130" s="116"/>
      <c r="AC130" s="117"/>
      <c r="AD130" s="118">
        <f>SUM(AD118:AD129)</f>
        <v>0</v>
      </c>
      <c r="AE130" s="114"/>
      <c r="AF130" s="124"/>
      <c r="AG130" s="115" t="s">
        <v>340</v>
      </c>
      <c r="AH130" s="116"/>
      <c r="AI130" s="116"/>
      <c r="AJ130" s="116"/>
      <c r="AK130" s="117"/>
      <c r="AL130" s="118">
        <f>SUM(AL118:AL129)</f>
        <v>0</v>
      </c>
      <c r="AM130" s="114"/>
      <c r="AN130" s="124"/>
      <c r="AO130" s="115" t="s">
        <v>340</v>
      </c>
      <c r="AP130" s="116"/>
      <c r="AQ130" s="116"/>
      <c r="AR130" s="116"/>
      <c r="AS130" s="117"/>
      <c r="AT130" s="118">
        <f>SUM(AT118:AT129)</f>
        <v>0</v>
      </c>
      <c r="AU130" s="114"/>
      <c r="AV130" s="124"/>
      <c r="AW130" s="115" t="s">
        <v>340</v>
      </c>
      <c r="AX130" s="116"/>
      <c r="AY130" s="116"/>
      <c r="AZ130" s="116"/>
      <c r="BA130" s="117"/>
      <c r="BB130" s="118">
        <f>SUM(BB118:BB129)</f>
        <v>0</v>
      </c>
      <c r="BC130" s="114"/>
      <c r="BD130" s="124"/>
      <c r="BE130" s="115" t="s">
        <v>340</v>
      </c>
      <c r="BF130" s="116"/>
      <c r="BG130" s="116"/>
      <c r="BH130" s="116"/>
      <c r="BI130" s="117"/>
      <c r="BJ130" s="118">
        <f>SUM(BJ118:BJ129)</f>
        <v>0</v>
      </c>
      <c r="BK130" s="114"/>
      <c r="BL130" s="124"/>
      <c r="BM130" s="115" t="s">
        <v>340</v>
      </c>
      <c r="BN130" s="116"/>
      <c r="BO130" s="116"/>
      <c r="BP130" s="116"/>
      <c r="BQ130" s="117"/>
      <c r="BR130" s="118">
        <f>SUM(BR118:BR129)</f>
        <v>0</v>
      </c>
      <c r="BS130" s="114"/>
      <c r="BT130" s="124"/>
      <c r="BU130" s="115" t="s">
        <v>340</v>
      </c>
      <c r="BV130" s="116"/>
      <c r="BW130" s="116"/>
      <c r="BX130" s="116"/>
      <c r="BY130" s="117"/>
      <c r="BZ130" s="118">
        <f>SUM(BZ118:BZ129)</f>
        <v>0</v>
      </c>
      <c r="CA130" s="114"/>
      <c r="CB130" s="124"/>
      <c r="CC130" s="115" t="s">
        <v>340</v>
      </c>
      <c r="CD130" s="116"/>
      <c r="CE130" s="116"/>
      <c r="CF130" s="116"/>
      <c r="CG130" s="117"/>
      <c r="CH130" s="118">
        <f>SUM(CH118:CH129)</f>
        <v>0</v>
      </c>
      <c r="CI130" s="114"/>
    </row>
    <row r="131" s="104" customFormat="1" customHeight="1" spans="1:87">
      <c r="A131" s="119" t="s">
        <v>341</v>
      </c>
      <c r="B131" s="119"/>
      <c r="C131" s="120"/>
      <c r="D131" s="119"/>
      <c r="E131" s="119"/>
      <c r="F131" s="119"/>
      <c r="G131" s="119"/>
      <c r="H131" s="124"/>
      <c r="I131" s="119" t="s">
        <v>341</v>
      </c>
      <c r="J131" s="119"/>
      <c r="K131" s="120"/>
      <c r="L131" s="119"/>
      <c r="M131" s="119"/>
      <c r="N131" s="119"/>
      <c r="O131" s="119"/>
      <c r="P131" s="124"/>
      <c r="Q131" s="119" t="s">
        <v>341</v>
      </c>
      <c r="R131" s="119"/>
      <c r="S131" s="120"/>
      <c r="T131" s="119"/>
      <c r="U131" s="119"/>
      <c r="V131" s="119"/>
      <c r="W131" s="119"/>
      <c r="X131" s="124"/>
      <c r="Y131" s="119" t="s">
        <v>341</v>
      </c>
      <c r="Z131" s="119"/>
      <c r="AA131" s="120"/>
      <c r="AB131" s="119"/>
      <c r="AC131" s="119"/>
      <c r="AD131" s="119"/>
      <c r="AE131" s="119"/>
      <c r="AF131" s="124"/>
      <c r="AG131" s="119" t="s">
        <v>341</v>
      </c>
      <c r="AH131" s="119"/>
      <c r="AI131" s="120"/>
      <c r="AJ131" s="119"/>
      <c r="AK131" s="119"/>
      <c r="AL131" s="119"/>
      <c r="AM131" s="119"/>
      <c r="AN131" s="124"/>
      <c r="AO131" s="119" t="s">
        <v>341</v>
      </c>
      <c r="AP131" s="119"/>
      <c r="AQ131" s="120"/>
      <c r="AR131" s="119"/>
      <c r="AS131" s="119"/>
      <c r="AT131" s="119"/>
      <c r="AU131" s="119"/>
      <c r="AV131" s="124"/>
      <c r="AW131" s="119" t="s">
        <v>341</v>
      </c>
      <c r="AX131" s="119"/>
      <c r="AY131" s="120"/>
      <c r="AZ131" s="119"/>
      <c r="BA131" s="119"/>
      <c r="BB131" s="119"/>
      <c r="BC131" s="119"/>
      <c r="BD131" s="124"/>
      <c r="BE131" s="119" t="s">
        <v>341</v>
      </c>
      <c r="BF131" s="119"/>
      <c r="BG131" s="120"/>
      <c r="BH131" s="119"/>
      <c r="BI131" s="119"/>
      <c r="BJ131" s="119"/>
      <c r="BK131" s="119"/>
      <c r="BL131" s="124"/>
      <c r="BM131" s="119" t="s">
        <v>341</v>
      </c>
      <c r="BN131" s="119"/>
      <c r="BO131" s="120"/>
      <c r="BP131" s="119"/>
      <c r="BQ131" s="119"/>
      <c r="BR131" s="119"/>
      <c r="BS131" s="119"/>
      <c r="BT131" s="124"/>
      <c r="BU131" s="119" t="s">
        <v>341</v>
      </c>
      <c r="BV131" s="119"/>
      <c r="BW131" s="120"/>
      <c r="BX131" s="119"/>
      <c r="BY131" s="119"/>
      <c r="BZ131" s="119"/>
      <c r="CA131" s="119"/>
      <c r="CB131" s="124"/>
      <c r="CC131" s="119" t="s">
        <v>341</v>
      </c>
      <c r="CD131" s="119"/>
      <c r="CE131" s="120"/>
      <c r="CF131" s="119"/>
      <c r="CG131" s="119"/>
      <c r="CH131" s="119"/>
      <c r="CI131" s="119"/>
    </row>
    <row r="134" s="104" customFormat="1" customHeight="1" spans="1:87">
      <c r="A134" s="105"/>
      <c r="B134" s="106"/>
      <c r="C134" s="107" t="s">
        <v>330</v>
      </c>
      <c r="D134" s="107"/>
      <c r="E134" s="107"/>
      <c r="F134" s="105"/>
      <c r="G134" s="105"/>
      <c r="H134" s="124" t="str">
        <f>H115</f>
        <v>RD01</v>
      </c>
      <c r="I134" s="105"/>
      <c r="J134" s="106"/>
      <c r="K134" s="107" t="s">
        <v>330</v>
      </c>
      <c r="L134" s="107"/>
      <c r="M134" s="107"/>
      <c r="N134" s="105"/>
      <c r="O134" s="105"/>
      <c r="P134" s="124" t="str">
        <f>P115</f>
        <v>RD02</v>
      </c>
      <c r="Q134" s="105"/>
      <c r="R134" s="106"/>
      <c r="S134" s="107" t="s">
        <v>330</v>
      </c>
      <c r="T134" s="107"/>
      <c r="U134" s="107"/>
      <c r="V134" s="105"/>
      <c r="W134" s="105"/>
      <c r="X134" s="124" t="str">
        <f>X115</f>
        <v>RD03</v>
      </c>
      <c r="Y134" s="105"/>
      <c r="Z134" s="106"/>
      <c r="AA134" s="107" t="s">
        <v>330</v>
      </c>
      <c r="AB134" s="107"/>
      <c r="AC134" s="107"/>
      <c r="AD134" s="105"/>
      <c r="AE134" s="105"/>
      <c r="AF134" s="124" t="str">
        <f>AF115</f>
        <v>RD04</v>
      </c>
      <c r="AG134" s="105"/>
      <c r="AH134" s="106"/>
      <c r="AI134" s="107" t="s">
        <v>330</v>
      </c>
      <c r="AJ134" s="107"/>
      <c r="AK134" s="107"/>
      <c r="AL134" s="105"/>
      <c r="AM134" s="105"/>
      <c r="AN134" s="124" t="str">
        <f>AN115</f>
        <v>RD05</v>
      </c>
      <c r="AO134" s="105"/>
      <c r="AP134" s="106"/>
      <c r="AQ134" s="107" t="s">
        <v>330</v>
      </c>
      <c r="AR134" s="107"/>
      <c r="AS134" s="107"/>
      <c r="AT134" s="105"/>
      <c r="AU134" s="105"/>
      <c r="AV134" s="124" t="str">
        <f>AV115</f>
        <v>RD06</v>
      </c>
      <c r="AW134" s="105"/>
      <c r="AX134" s="106"/>
      <c r="AY134" s="107" t="s">
        <v>330</v>
      </c>
      <c r="AZ134" s="107"/>
      <c r="BA134" s="107"/>
      <c r="BB134" s="105"/>
      <c r="BC134" s="105"/>
      <c r="BD134" s="124" t="str">
        <f>BD115</f>
        <v>RD07</v>
      </c>
      <c r="BE134" s="105"/>
      <c r="BF134" s="106"/>
      <c r="BG134" s="107" t="s">
        <v>330</v>
      </c>
      <c r="BH134" s="107"/>
      <c r="BI134" s="107"/>
      <c r="BJ134" s="105"/>
      <c r="BK134" s="105"/>
      <c r="BL134" s="124" t="str">
        <f>BL115</f>
        <v>RD08</v>
      </c>
      <c r="BM134" s="105"/>
      <c r="BN134" s="106"/>
      <c r="BO134" s="107" t="s">
        <v>330</v>
      </c>
      <c r="BP134" s="107"/>
      <c r="BQ134" s="107"/>
      <c r="BR134" s="105"/>
      <c r="BS134" s="105"/>
      <c r="BT134" s="124" t="str">
        <f>BT115</f>
        <v>RD09</v>
      </c>
      <c r="BU134" s="105"/>
      <c r="BV134" s="106"/>
      <c r="BW134" s="107" t="s">
        <v>330</v>
      </c>
      <c r="BX134" s="107"/>
      <c r="BY134" s="107"/>
      <c r="BZ134" s="105"/>
      <c r="CA134" s="105"/>
      <c r="CB134" s="124" t="str">
        <f>CB115</f>
        <v>RD10</v>
      </c>
      <c r="CC134" s="105"/>
      <c r="CD134" s="106"/>
      <c r="CE134" s="107" t="s">
        <v>330</v>
      </c>
      <c r="CF134" s="107"/>
      <c r="CG134" s="107"/>
      <c r="CH134" s="105"/>
      <c r="CI134" s="105"/>
    </row>
    <row r="135" s="122" customFormat="1" customHeight="1" spans="1:87">
      <c r="A135" s="108" t="s">
        <v>331</v>
      </c>
      <c r="B135" s="109"/>
      <c r="C135" s="110">
        <v>45900</v>
      </c>
      <c r="D135" s="110"/>
      <c r="E135" s="110"/>
      <c r="F135" s="111"/>
      <c r="G135" s="112"/>
      <c r="H135" s="125"/>
      <c r="I135" s="108" t="s">
        <v>331</v>
      </c>
      <c r="J135" s="109"/>
      <c r="K135" s="110">
        <v>45900</v>
      </c>
      <c r="L135" s="110"/>
      <c r="M135" s="110"/>
      <c r="N135" s="111" t="s">
        <v>332</v>
      </c>
      <c r="O135" s="112" t="str">
        <f>立项!$A$3</f>
        <v>RD01</v>
      </c>
      <c r="P135" s="125"/>
      <c r="Q135" s="108" t="s">
        <v>331</v>
      </c>
      <c r="R135" s="109"/>
      <c r="S135" s="110">
        <v>45900</v>
      </c>
      <c r="T135" s="110"/>
      <c r="U135" s="110"/>
      <c r="V135" s="111" t="s">
        <v>332</v>
      </c>
      <c r="W135" s="112" t="str">
        <f>立项!$A$4</f>
        <v>RD02</v>
      </c>
      <c r="X135" s="125"/>
      <c r="Y135" s="108" t="s">
        <v>331</v>
      </c>
      <c r="Z135" s="109"/>
      <c r="AA135" s="110">
        <v>45900</v>
      </c>
      <c r="AB135" s="110"/>
      <c r="AC135" s="110"/>
      <c r="AD135" s="111" t="s">
        <v>332</v>
      </c>
      <c r="AE135" s="112" t="str">
        <f>立项!$A$5</f>
        <v>RD03</v>
      </c>
      <c r="AF135" s="125"/>
      <c r="AG135" s="108" t="s">
        <v>331</v>
      </c>
      <c r="AH135" s="109"/>
      <c r="AI135" s="110">
        <v>45900</v>
      </c>
      <c r="AJ135" s="110"/>
      <c r="AK135" s="110"/>
      <c r="AL135" s="111" t="s">
        <v>332</v>
      </c>
      <c r="AM135" s="112" t="str">
        <f>立项!$A$6</f>
        <v>RD04</v>
      </c>
      <c r="AN135" s="125"/>
      <c r="AO135" s="108" t="s">
        <v>331</v>
      </c>
      <c r="AP135" s="109"/>
      <c r="AQ135" s="110">
        <v>45900</v>
      </c>
      <c r="AR135" s="110"/>
      <c r="AS135" s="110"/>
      <c r="AT135" s="111" t="s">
        <v>332</v>
      </c>
      <c r="AU135" s="112" t="str">
        <f>立项!$A$7</f>
        <v>RD05</v>
      </c>
      <c r="AV135" s="125"/>
      <c r="AW135" s="108" t="s">
        <v>331</v>
      </c>
      <c r="AX135" s="109"/>
      <c r="AY135" s="110">
        <v>45900</v>
      </c>
      <c r="AZ135" s="110"/>
      <c r="BA135" s="110"/>
      <c r="BB135" s="111" t="s">
        <v>332</v>
      </c>
      <c r="BC135" s="112" t="str">
        <f>立项!$A$8</f>
        <v>RD06</v>
      </c>
      <c r="BD135" s="125"/>
      <c r="BE135" s="108" t="s">
        <v>331</v>
      </c>
      <c r="BF135" s="109"/>
      <c r="BG135" s="110">
        <v>45900</v>
      </c>
      <c r="BH135" s="110"/>
      <c r="BI135" s="110"/>
      <c r="BJ135" s="111" t="s">
        <v>332</v>
      </c>
      <c r="BK135" s="112" t="str">
        <f>立项!$A$9</f>
        <v>RD07</v>
      </c>
      <c r="BL135" s="125"/>
      <c r="BM135" s="108" t="s">
        <v>331</v>
      </c>
      <c r="BN135" s="109"/>
      <c r="BO135" s="110">
        <v>45900</v>
      </c>
      <c r="BP135" s="110"/>
      <c r="BQ135" s="110"/>
      <c r="BR135" s="111" t="s">
        <v>332</v>
      </c>
      <c r="BS135" s="112" t="str">
        <f>立项!$A$10</f>
        <v>RD08</v>
      </c>
      <c r="BT135" s="125"/>
      <c r="BU135" s="108" t="s">
        <v>331</v>
      </c>
      <c r="BV135" s="109"/>
      <c r="BW135" s="110">
        <v>45900</v>
      </c>
      <c r="BX135" s="110"/>
      <c r="BY135" s="110"/>
      <c r="BZ135" s="111" t="s">
        <v>332</v>
      </c>
      <c r="CA135" s="112" t="str">
        <f>立项!$A$11</f>
        <v>RD09</v>
      </c>
      <c r="CB135" s="125"/>
      <c r="CC135" s="108" t="s">
        <v>331</v>
      </c>
      <c r="CD135" s="109"/>
      <c r="CE135" s="110">
        <v>45900</v>
      </c>
      <c r="CF135" s="110"/>
      <c r="CG135" s="110"/>
      <c r="CH135" s="111" t="s">
        <v>332</v>
      </c>
      <c r="CI135" s="112" t="str">
        <f>立项!$A$12</f>
        <v>RD10</v>
      </c>
    </row>
    <row r="136" s="104" customFormat="1" customHeight="1" spans="1:87">
      <c r="A136" s="113" t="s">
        <v>333</v>
      </c>
      <c r="B136" s="113" t="s">
        <v>334</v>
      </c>
      <c r="C136" s="113" t="s">
        <v>335</v>
      </c>
      <c r="D136" s="113" t="s">
        <v>336</v>
      </c>
      <c r="E136" s="113" t="s">
        <v>337</v>
      </c>
      <c r="F136" s="113" t="s">
        <v>338</v>
      </c>
      <c r="G136" s="113" t="s">
        <v>339</v>
      </c>
      <c r="H136" s="124"/>
      <c r="I136" s="113" t="s">
        <v>333</v>
      </c>
      <c r="J136" s="113" t="s">
        <v>334</v>
      </c>
      <c r="K136" s="113" t="s">
        <v>335</v>
      </c>
      <c r="L136" s="113" t="s">
        <v>336</v>
      </c>
      <c r="M136" s="113" t="s">
        <v>337</v>
      </c>
      <c r="N136" s="113" t="s">
        <v>338</v>
      </c>
      <c r="O136" s="113" t="s">
        <v>339</v>
      </c>
      <c r="P136" s="124"/>
      <c r="Q136" s="113" t="s">
        <v>333</v>
      </c>
      <c r="R136" s="113" t="s">
        <v>334</v>
      </c>
      <c r="S136" s="113" t="s">
        <v>335</v>
      </c>
      <c r="T136" s="113" t="s">
        <v>336</v>
      </c>
      <c r="U136" s="113" t="s">
        <v>337</v>
      </c>
      <c r="V136" s="113" t="s">
        <v>338</v>
      </c>
      <c r="W136" s="113" t="s">
        <v>339</v>
      </c>
      <c r="X136" s="124"/>
      <c r="Y136" s="113" t="s">
        <v>333</v>
      </c>
      <c r="Z136" s="113" t="s">
        <v>334</v>
      </c>
      <c r="AA136" s="113" t="s">
        <v>335</v>
      </c>
      <c r="AB136" s="113" t="s">
        <v>336</v>
      </c>
      <c r="AC136" s="113" t="s">
        <v>337</v>
      </c>
      <c r="AD136" s="113" t="s">
        <v>338</v>
      </c>
      <c r="AE136" s="113" t="s">
        <v>339</v>
      </c>
      <c r="AF136" s="124"/>
      <c r="AG136" s="113" t="s">
        <v>333</v>
      </c>
      <c r="AH136" s="113" t="s">
        <v>334</v>
      </c>
      <c r="AI136" s="113" t="s">
        <v>335</v>
      </c>
      <c r="AJ136" s="113" t="s">
        <v>336</v>
      </c>
      <c r="AK136" s="113" t="s">
        <v>337</v>
      </c>
      <c r="AL136" s="113" t="s">
        <v>338</v>
      </c>
      <c r="AM136" s="113" t="s">
        <v>339</v>
      </c>
      <c r="AN136" s="124"/>
      <c r="AO136" s="113" t="s">
        <v>333</v>
      </c>
      <c r="AP136" s="113" t="s">
        <v>334</v>
      </c>
      <c r="AQ136" s="113" t="s">
        <v>335</v>
      </c>
      <c r="AR136" s="113" t="s">
        <v>336</v>
      </c>
      <c r="AS136" s="113" t="s">
        <v>337</v>
      </c>
      <c r="AT136" s="113" t="s">
        <v>338</v>
      </c>
      <c r="AU136" s="113" t="s">
        <v>339</v>
      </c>
      <c r="AV136" s="124"/>
      <c r="AW136" s="113" t="s">
        <v>333</v>
      </c>
      <c r="AX136" s="113" t="s">
        <v>334</v>
      </c>
      <c r="AY136" s="113" t="s">
        <v>335</v>
      </c>
      <c r="AZ136" s="113" t="s">
        <v>336</v>
      </c>
      <c r="BA136" s="113" t="s">
        <v>337</v>
      </c>
      <c r="BB136" s="113" t="s">
        <v>338</v>
      </c>
      <c r="BC136" s="113" t="s">
        <v>339</v>
      </c>
      <c r="BD136" s="124"/>
      <c r="BE136" s="113" t="s">
        <v>333</v>
      </c>
      <c r="BF136" s="113" t="s">
        <v>334</v>
      </c>
      <c r="BG136" s="113" t="s">
        <v>335</v>
      </c>
      <c r="BH136" s="113" t="s">
        <v>336</v>
      </c>
      <c r="BI136" s="113" t="s">
        <v>337</v>
      </c>
      <c r="BJ136" s="113" t="s">
        <v>338</v>
      </c>
      <c r="BK136" s="113" t="s">
        <v>339</v>
      </c>
      <c r="BL136" s="124"/>
      <c r="BM136" s="113" t="s">
        <v>333</v>
      </c>
      <c r="BN136" s="113" t="s">
        <v>334</v>
      </c>
      <c r="BO136" s="113" t="s">
        <v>335</v>
      </c>
      <c r="BP136" s="113" t="s">
        <v>336</v>
      </c>
      <c r="BQ136" s="113" t="s">
        <v>337</v>
      </c>
      <c r="BR136" s="113" t="s">
        <v>338</v>
      </c>
      <c r="BS136" s="113" t="s">
        <v>339</v>
      </c>
      <c r="BT136" s="124"/>
      <c r="BU136" s="113" t="s">
        <v>333</v>
      </c>
      <c r="BV136" s="113" t="s">
        <v>334</v>
      </c>
      <c r="BW136" s="113" t="s">
        <v>335</v>
      </c>
      <c r="BX136" s="113" t="s">
        <v>336</v>
      </c>
      <c r="BY136" s="113" t="s">
        <v>337</v>
      </c>
      <c r="BZ136" s="113" t="s">
        <v>338</v>
      </c>
      <c r="CA136" s="113" t="s">
        <v>339</v>
      </c>
      <c r="CB136" s="124"/>
      <c r="CC136" s="113" t="s">
        <v>333</v>
      </c>
      <c r="CD136" s="113" t="s">
        <v>334</v>
      </c>
      <c r="CE136" s="113" t="s">
        <v>335</v>
      </c>
      <c r="CF136" s="113" t="s">
        <v>336</v>
      </c>
      <c r="CG136" s="113" t="s">
        <v>337</v>
      </c>
      <c r="CH136" s="113" t="s">
        <v>338</v>
      </c>
      <c r="CI136" s="113" t="s">
        <v>339</v>
      </c>
    </row>
    <row r="137" s="104" customFormat="1" customHeight="1" spans="1:87">
      <c r="A137" s="113"/>
      <c r="B137" s="114"/>
      <c r="C137" s="113"/>
      <c r="D137" s="114"/>
      <c r="E137" s="114"/>
      <c r="F137" s="114">
        <f t="shared" ref="F137:F148" si="859">ROUND(D137*E137,2)</f>
        <v>0</v>
      </c>
      <c r="G137" s="113"/>
      <c r="H137" s="124"/>
      <c r="I137" s="113">
        <f t="shared" ref="I137:I148" si="860">A137</f>
        <v>0</v>
      </c>
      <c r="J137" s="114">
        <f t="shared" ref="J137:J148" si="861">B137</f>
        <v>0</v>
      </c>
      <c r="K137" s="113">
        <f t="shared" ref="K137:K148" si="862">C137</f>
        <v>0</v>
      </c>
      <c r="L137" s="114"/>
      <c r="M137" s="114">
        <f t="shared" ref="M137:S137" si="863">E137</f>
        <v>0</v>
      </c>
      <c r="N137" s="114">
        <f t="shared" ref="N137:N148" si="864">ROUND(L137*M137,2)</f>
        <v>0</v>
      </c>
      <c r="O137" s="113"/>
      <c r="P137" s="124"/>
      <c r="Q137" s="113">
        <f t="shared" si="863"/>
        <v>0</v>
      </c>
      <c r="R137" s="114">
        <f t="shared" si="863"/>
        <v>0</v>
      </c>
      <c r="S137" s="113">
        <f t="shared" si="863"/>
        <v>0</v>
      </c>
      <c r="T137" s="114"/>
      <c r="U137" s="114">
        <f t="shared" ref="U137:AA137" si="865">M137</f>
        <v>0</v>
      </c>
      <c r="V137" s="114">
        <f t="shared" ref="V137:V148" si="866">ROUND(T137*U137,2)</f>
        <v>0</v>
      </c>
      <c r="W137" s="113"/>
      <c r="X137" s="124"/>
      <c r="Y137" s="113">
        <f t="shared" si="865"/>
        <v>0</v>
      </c>
      <c r="Z137" s="114">
        <f t="shared" si="865"/>
        <v>0</v>
      </c>
      <c r="AA137" s="113">
        <f t="shared" si="865"/>
        <v>0</v>
      </c>
      <c r="AB137" s="114"/>
      <c r="AC137" s="114">
        <f t="shared" ref="AC137:AI137" si="867">U137</f>
        <v>0</v>
      </c>
      <c r="AD137" s="114">
        <f t="shared" ref="AD137:AD148" si="868">ROUND(AB137*AC137,2)</f>
        <v>0</v>
      </c>
      <c r="AE137" s="113"/>
      <c r="AF137" s="124"/>
      <c r="AG137" s="113">
        <f t="shared" si="867"/>
        <v>0</v>
      </c>
      <c r="AH137" s="114">
        <f t="shared" si="867"/>
        <v>0</v>
      </c>
      <c r="AI137" s="113">
        <f t="shared" si="867"/>
        <v>0</v>
      </c>
      <c r="AJ137" s="114"/>
      <c r="AK137" s="114">
        <f t="shared" ref="AK137:AQ137" si="869">AC137</f>
        <v>0</v>
      </c>
      <c r="AL137" s="114">
        <f t="shared" ref="AL137:AL148" si="870">ROUND(AJ137*AK137,2)</f>
        <v>0</v>
      </c>
      <c r="AM137" s="113"/>
      <c r="AN137" s="124"/>
      <c r="AO137" s="113">
        <f t="shared" si="869"/>
        <v>0</v>
      </c>
      <c r="AP137" s="114">
        <f t="shared" si="869"/>
        <v>0</v>
      </c>
      <c r="AQ137" s="113">
        <f t="shared" si="869"/>
        <v>0</v>
      </c>
      <c r="AR137" s="114"/>
      <c r="AS137" s="114">
        <f t="shared" ref="AS137:AY137" si="871">AK137</f>
        <v>0</v>
      </c>
      <c r="AT137" s="114">
        <f t="shared" ref="AT137:AT148" si="872">ROUND(AR137*AS137,2)</f>
        <v>0</v>
      </c>
      <c r="AU137" s="113"/>
      <c r="AV137" s="124"/>
      <c r="AW137" s="113">
        <f t="shared" si="871"/>
        <v>0</v>
      </c>
      <c r="AX137" s="114">
        <f t="shared" si="871"/>
        <v>0</v>
      </c>
      <c r="AY137" s="113">
        <f t="shared" si="871"/>
        <v>0</v>
      </c>
      <c r="AZ137" s="114"/>
      <c r="BA137" s="114">
        <f t="shared" ref="BA137:BG137" si="873">AS137</f>
        <v>0</v>
      </c>
      <c r="BB137" s="114">
        <f t="shared" ref="BB137:BB148" si="874">ROUND(AZ137*BA137,2)</f>
        <v>0</v>
      </c>
      <c r="BC137" s="113"/>
      <c r="BD137" s="124"/>
      <c r="BE137" s="113">
        <f t="shared" si="873"/>
        <v>0</v>
      </c>
      <c r="BF137" s="114">
        <f t="shared" si="873"/>
        <v>0</v>
      </c>
      <c r="BG137" s="113">
        <f t="shared" si="873"/>
        <v>0</v>
      </c>
      <c r="BH137" s="114"/>
      <c r="BI137" s="114">
        <f t="shared" ref="BI137:BO137" si="875">BA137</f>
        <v>0</v>
      </c>
      <c r="BJ137" s="114">
        <f t="shared" ref="BJ137:BJ148" si="876">ROUND(BH137*BI137,2)</f>
        <v>0</v>
      </c>
      <c r="BK137" s="113"/>
      <c r="BL137" s="124"/>
      <c r="BM137" s="113">
        <f t="shared" si="875"/>
        <v>0</v>
      </c>
      <c r="BN137" s="114">
        <f t="shared" si="875"/>
        <v>0</v>
      </c>
      <c r="BO137" s="113">
        <f t="shared" si="875"/>
        <v>0</v>
      </c>
      <c r="BP137" s="114"/>
      <c r="BQ137" s="114">
        <f t="shared" ref="BQ137:BW137" si="877">BI137</f>
        <v>0</v>
      </c>
      <c r="BR137" s="114">
        <f t="shared" ref="BR137:BR148" si="878">ROUND(BP137*BQ137,2)</f>
        <v>0</v>
      </c>
      <c r="BS137" s="113"/>
      <c r="BT137" s="124"/>
      <c r="BU137" s="113">
        <f t="shared" si="877"/>
        <v>0</v>
      </c>
      <c r="BV137" s="114">
        <f t="shared" si="877"/>
        <v>0</v>
      </c>
      <c r="BW137" s="113">
        <f t="shared" si="877"/>
        <v>0</v>
      </c>
      <c r="BX137" s="114"/>
      <c r="BY137" s="114">
        <f t="shared" ref="BY137:CE137" si="879">BQ137</f>
        <v>0</v>
      </c>
      <c r="BZ137" s="114">
        <f t="shared" ref="BZ137:BZ148" si="880">ROUND(BX137*BY137,2)</f>
        <v>0</v>
      </c>
      <c r="CA137" s="113"/>
      <c r="CB137" s="124"/>
      <c r="CC137" s="113">
        <f t="shared" si="879"/>
        <v>0</v>
      </c>
      <c r="CD137" s="114">
        <f t="shared" si="879"/>
        <v>0</v>
      </c>
      <c r="CE137" s="113">
        <f t="shared" si="879"/>
        <v>0</v>
      </c>
      <c r="CF137" s="114">
        <f t="shared" ref="CF137:CF148" si="881">D137-L137-T137-AB137-AJ137-AR137-AZ137-BH137-BP137-BX137</f>
        <v>0</v>
      </c>
      <c r="CG137" s="114">
        <f t="shared" ref="CG137:CG148" si="882">BY137</f>
        <v>0</v>
      </c>
      <c r="CH137" s="114">
        <f t="shared" ref="CH137:CH148" si="883">F137-N137-V137-AD137-AL137-AT137-BB137-BJ137-BR137-BZ137</f>
        <v>0</v>
      </c>
      <c r="CI137" s="113"/>
    </row>
    <row r="138" s="104" customFormat="1" customHeight="1" spans="1:87">
      <c r="A138" s="113"/>
      <c r="B138" s="114"/>
      <c r="C138" s="113"/>
      <c r="D138" s="114"/>
      <c r="E138" s="114"/>
      <c r="F138" s="114">
        <f t="shared" si="859"/>
        <v>0</v>
      </c>
      <c r="G138" s="113"/>
      <c r="H138" s="124"/>
      <c r="I138" s="113">
        <f t="shared" si="860"/>
        <v>0</v>
      </c>
      <c r="J138" s="114">
        <f t="shared" si="861"/>
        <v>0</v>
      </c>
      <c r="K138" s="113">
        <f t="shared" si="862"/>
        <v>0</v>
      </c>
      <c r="L138" s="114"/>
      <c r="M138" s="114">
        <f t="shared" ref="M138:S138" si="884">E138</f>
        <v>0</v>
      </c>
      <c r="N138" s="114">
        <f t="shared" si="864"/>
        <v>0</v>
      </c>
      <c r="O138" s="113"/>
      <c r="P138" s="124"/>
      <c r="Q138" s="113">
        <f t="shared" si="884"/>
        <v>0</v>
      </c>
      <c r="R138" s="114">
        <f t="shared" si="884"/>
        <v>0</v>
      </c>
      <c r="S138" s="113">
        <f t="shared" si="884"/>
        <v>0</v>
      </c>
      <c r="T138" s="114"/>
      <c r="U138" s="114">
        <f t="shared" ref="U138:AA138" si="885">M138</f>
        <v>0</v>
      </c>
      <c r="V138" s="114">
        <f t="shared" si="866"/>
        <v>0</v>
      </c>
      <c r="W138" s="113"/>
      <c r="X138" s="124"/>
      <c r="Y138" s="113">
        <f t="shared" si="885"/>
        <v>0</v>
      </c>
      <c r="Z138" s="114">
        <f t="shared" si="885"/>
        <v>0</v>
      </c>
      <c r="AA138" s="113">
        <f t="shared" si="885"/>
        <v>0</v>
      </c>
      <c r="AB138" s="114"/>
      <c r="AC138" s="114">
        <f t="shared" ref="AC138:AI138" si="886">U138</f>
        <v>0</v>
      </c>
      <c r="AD138" s="114">
        <f t="shared" si="868"/>
        <v>0</v>
      </c>
      <c r="AE138" s="113"/>
      <c r="AF138" s="124"/>
      <c r="AG138" s="113">
        <f t="shared" si="886"/>
        <v>0</v>
      </c>
      <c r="AH138" s="114">
        <f t="shared" si="886"/>
        <v>0</v>
      </c>
      <c r="AI138" s="113">
        <f t="shared" si="886"/>
        <v>0</v>
      </c>
      <c r="AJ138" s="114"/>
      <c r="AK138" s="114">
        <f t="shared" ref="AK138:AQ138" si="887">AC138</f>
        <v>0</v>
      </c>
      <c r="AL138" s="114">
        <f t="shared" si="870"/>
        <v>0</v>
      </c>
      <c r="AM138" s="113"/>
      <c r="AN138" s="124"/>
      <c r="AO138" s="113">
        <f t="shared" si="887"/>
        <v>0</v>
      </c>
      <c r="AP138" s="114">
        <f t="shared" si="887"/>
        <v>0</v>
      </c>
      <c r="AQ138" s="113">
        <f t="shared" si="887"/>
        <v>0</v>
      </c>
      <c r="AR138" s="114"/>
      <c r="AS138" s="114">
        <f t="shared" ref="AS138:AY138" si="888">AK138</f>
        <v>0</v>
      </c>
      <c r="AT138" s="114">
        <f t="shared" si="872"/>
        <v>0</v>
      </c>
      <c r="AU138" s="113"/>
      <c r="AV138" s="124"/>
      <c r="AW138" s="113">
        <f t="shared" si="888"/>
        <v>0</v>
      </c>
      <c r="AX138" s="114">
        <f t="shared" si="888"/>
        <v>0</v>
      </c>
      <c r="AY138" s="113">
        <f t="shared" si="888"/>
        <v>0</v>
      </c>
      <c r="AZ138" s="114"/>
      <c r="BA138" s="114">
        <f t="shared" ref="BA138:BG138" si="889">AS138</f>
        <v>0</v>
      </c>
      <c r="BB138" s="114">
        <f t="shared" si="874"/>
        <v>0</v>
      </c>
      <c r="BC138" s="113"/>
      <c r="BD138" s="124"/>
      <c r="BE138" s="113">
        <f t="shared" si="889"/>
        <v>0</v>
      </c>
      <c r="BF138" s="114">
        <f t="shared" si="889"/>
        <v>0</v>
      </c>
      <c r="BG138" s="113">
        <f t="shared" si="889"/>
        <v>0</v>
      </c>
      <c r="BH138" s="114"/>
      <c r="BI138" s="114">
        <f t="shared" ref="BI138:BO138" si="890">BA138</f>
        <v>0</v>
      </c>
      <c r="BJ138" s="114">
        <f t="shared" si="876"/>
        <v>0</v>
      </c>
      <c r="BK138" s="113"/>
      <c r="BL138" s="124"/>
      <c r="BM138" s="113">
        <f t="shared" si="890"/>
        <v>0</v>
      </c>
      <c r="BN138" s="114">
        <f t="shared" si="890"/>
        <v>0</v>
      </c>
      <c r="BO138" s="113">
        <f t="shared" si="890"/>
        <v>0</v>
      </c>
      <c r="BP138" s="114"/>
      <c r="BQ138" s="114">
        <f t="shared" ref="BQ138:BW138" si="891">BI138</f>
        <v>0</v>
      </c>
      <c r="BR138" s="114">
        <f t="shared" si="878"/>
        <v>0</v>
      </c>
      <c r="BS138" s="113"/>
      <c r="BT138" s="124"/>
      <c r="BU138" s="113">
        <f t="shared" si="891"/>
        <v>0</v>
      </c>
      <c r="BV138" s="114">
        <f t="shared" si="891"/>
        <v>0</v>
      </c>
      <c r="BW138" s="113">
        <f t="shared" si="891"/>
        <v>0</v>
      </c>
      <c r="BX138" s="114"/>
      <c r="BY138" s="114">
        <f t="shared" ref="BY138:CE138" si="892">BQ138</f>
        <v>0</v>
      </c>
      <c r="BZ138" s="114">
        <f t="shared" si="880"/>
        <v>0</v>
      </c>
      <c r="CA138" s="113"/>
      <c r="CB138" s="124"/>
      <c r="CC138" s="113">
        <f t="shared" si="892"/>
        <v>0</v>
      </c>
      <c r="CD138" s="114">
        <f t="shared" si="892"/>
        <v>0</v>
      </c>
      <c r="CE138" s="113">
        <f t="shared" si="892"/>
        <v>0</v>
      </c>
      <c r="CF138" s="114">
        <f t="shared" si="881"/>
        <v>0</v>
      </c>
      <c r="CG138" s="114">
        <f t="shared" si="882"/>
        <v>0</v>
      </c>
      <c r="CH138" s="114">
        <f t="shared" si="883"/>
        <v>0</v>
      </c>
      <c r="CI138" s="113"/>
    </row>
    <row r="139" s="104" customFormat="1" customHeight="1" spans="1:87">
      <c r="A139" s="113"/>
      <c r="B139" s="114"/>
      <c r="C139" s="113"/>
      <c r="D139" s="114"/>
      <c r="E139" s="114"/>
      <c r="F139" s="114">
        <f t="shared" si="859"/>
        <v>0</v>
      </c>
      <c r="G139" s="113"/>
      <c r="H139" s="124"/>
      <c r="I139" s="113">
        <f t="shared" si="860"/>
        <v>0</v>
      </c>
      <c r="J139" s="114">
        <f t="shared" si="861"/>
        <v>0</v>
      </c>
      <c r="K139" s="113">
        <f t="shared" si="862"/>
        <v>0</v>
      </c>
      <c r="L139" s="114"/>
      <c r="M139" s="114">
        <f t="shared" ref="M139:S139" si="893">E139</f>
        <v>0</v>
      </c>
      <c r="N139" s="114">
        <f t="shared" si="864"/>
        <v>0</v>
      </c>
      <c r="O139" s="113"/>
      <c r="P139" s="124"/>
      <c r="Q139" s="113">
        <f t="shared" si="893"/>
        <v>0</v>
      </c>
      <c r="R139" s="114">
        <f t="shared" si="893"/>
        <v>0</v>
      </c>
      <c r="S139" s="113">
        <f t="shared" si="893"/>
        <v>0</v>
      </c>
      <c r="T139" s="114"/>
      <c r="U139" s="114">
        <f t="shared" ref="U139:AA139" si="894">M139</f>
        <v>0</v>
      </c>
      <c r="V139" s="114">
        <f t="shared" si="866"/>
        <v>0</v>
      </c>
      <c r="W139" s="113"/>
      <c r="X139" s="124"/>
      <c r="Y139" s="113">
        <f t="shared" si="894"/>
        <v>0</v>
      </c>
      <c r="Z139" s="114">
        <f t="shared" si="894"/>
        <v>0</v>
      </c>
      <c r="AA139" s="113">
        <f t="shared" si="894"/>
        <v>0</v>
      </c>
      <c r="AB139" s="114"/>
      <c r="AC139" s="114">
        <f t="shared" ref="AC139:AI139" si="895">U139</f>
        <v>0</v>
      </c>
      <c r="AD139" s="114">
        <f t="shared" si="868"/>
        <v>0</v>
      </c>
      <c r="AE139" s="113"/>
      <c r="AF139" s="124"/>
      <c r="AG139" s="113">
        <f t="shared" si="895"/>
        <v>0</v>
      </c>
      <c r="AH139" s="114">
        <f t="shared" si="895"/>
        <v>0</v>
      </c>
      <c r="AI139" s="113">
        <f t="shared" si="895"/>
        <v>0</v>
      </c>
      <c r="AJ139" s="114"/>
      <c r="AK139" s="114">
        <f t="shared" ref="AK139:AQ139" si="896">AC139</f>
        <v>0</v>
      </c>
      <c r="AL139" s="114">
        <f t="shared" si="870"/>
        <v>0</v>
      </c>
      <c r="AM139" s="113"/>
      <c r="AN139" s="124"/>
      <c r="AO139" s="113">
        <f t="shared" si="896"/>
        <v>0</v>
      </c>
      <c r="AP139" s="114">
        <f t="shared" si="896"/>
        <v>0</v>
      </c>
      <c r="AQ139" s="113">
        <f t="shared" si="896"/>
        <v>0</v>
      </c>
      <c r="AR139" s="114"/>
      <c r="AS139" s="114">
        <f t="shared" ref="AS139:AY139" si="897">AK139</f>
        <v>0</v>
      </c>
      <c r="AT139" s="114">
        <f t="shared" si="872"/>
        <v>0</v>
      </c>
      <c r="AU139" s="113"/>
      <c r="AV139" s="124"/>
      <c r="AW139" s="113">
        <f t="shared" si="897"/>
        <v>0</v>
      </c>
      <c r="AX139" s="114">
        <f t="shared" si="897"/>
        <v>0</v>
      </c>
      <c r="AY139" s="113">
        <f t="shared" si="897"/>
        <v>0</v>
      </c>
      <c r="AZ139" s="114"/>
      <c r="BA139" s="114">
        <f t="shared" ref="BA139:BG139" si="898">AS139</f>
        <v>0</v>
      </c>
      <c r="BB139" s="114">
        <f t="shared" si="874"/>
        <v>0</v>
      </c>
      <c r="BC139" s="113"/>
      <c r="BD139" s="124"/>
      <c r="BE139" s="113">
        <f t="shared" si="898"/>
        <v>0</v>
      </c>
      <c r="BF139" s="114">
        <f t="shared" si="898"/>
        <v>0</v>
      </c>
      <c r="BG139" s="113">
        <f t="shared" si="898"/>
        <v>0</v>
      </c>
      <c r="BH139" s="114"/>
      <c r="BI139" s="114">
        <f t="shared" ref="BI139:BO139" si="899">BA139</f>
        <v>0</v>
      </c>
      <c r="BJ139" s="114">
        <f t="shared" si="876"/>
        <v>0</v>
      </c>
      <c r="BK139" s="113"/>
      <c r="BL139" s="124"/>
      <c r="BM139" s="113">
        <f t="shared" si="899"/>
        <v>0</v>
      </c>
      <c r="BN139" s="114">
        <f t="shared" si="899"/>
        <v>0</v>
      </c>
      <c r="BO139" s="113">
        <f t="shared" si="899"/>
        <v>0</v>
      </c>
      <c r="BP139" s="114"/>
      <c r="BQ139" s="114">
        <f t="shared" ref="BQ139:BW139" si="900">BI139</f>
        <v>0</v>
      </c>
      <c r="BR139" s="114">
        <f t="shared" si="878"/>
        <v>0</v>
      </c>
      <c r="BS139" s="113"/>
      <c r="BT139" s="124"/>
      <c r="BU139" s="113">
        <f t="shared" si="900"/>
        <v>0</v>
      </c>
      <c r="BV139" s="114">
        <f t="shared" si="900"/>
        <v>0</v>
      </c>
      <c r="BW139" s="113">
        <f t="shared" si="900"/>
        <v>0</v>
      </c>
      <c r="BX139" s="114"/>
      <c r="BY139" s="114">
        <f t="shared" ref="BY139:CE139" si="901">BQ139</f>
        <v>0</v>
      </c>
      <c r="BZ139" s="114">
        <f t="shared" si="880"/>
        <v>0</v>
      </c>
      <c r="CA139" s="113"/>
      <c r="CB139" s="124"/>
      <c r="CC139" s="113">
        <f t="shared" si="901"/>
        <v>0</v>
      </c>
      <c r="CD139" s="114">
        <f t="shared" si="901"/>
        <v>0</v>
      </c>
      <c r="CE139" s="113">
        <f t="shared" si="901"/>
        <v>0</v>
      </c>
      <c r="CF139" s="114">
        <f t="shared" si="881"/>
        <v>0</v>
      </c>
      <c r="CG139" s="114">
        <f t="shared" si="882"/>
        <v>0</v>
      </c>
      <c r="CH139" s="114">
        <f t="shared" si="883"/>
        <v>0</v>
      </c>
      <c r="CI139" s="113"/>
    </row>
    <row r="140" customHeight="1" spans="1:87">
      <c r="A140" s="126"/>
      <c r="B140" s="127"/>
      <c r="C140" s="126"/>
      <c r="D140" s="127"/>
      <c r="E140" s="127"/>
      <c r="F140" s="114">
        <f t="shared" si="859"/>
        <v>0</v>
      </c>
      <c r="G140" s="113"/>
      <c r="I140" s="113">
        <f t="shared" si="860"/>
        <v>0</v>
      </c>
      <c r="J140" s="114">
        <f t="shared" si="861"/>
        <v>0</v>
      </c>
      <c r="K140" s="113">
        <f t="shared" si="862"/>
        <v>0</v>
      </c>
      <c r="L140" s="114"/>
      <c r="M140" s="114">
        <f t="shared" ref="M140:S140" si="902">E140</f>
        <v>0</v>
      </c>
      <c r="N140" s="114">
        <f t="shared" si="864"/>
        <v>0</v>
      </c>
      <c r="O140" s="113"/>
      <c r="Q140" s="113">
        <f t="shared" si="902"/>
        <v>0</v>
      </c>
      <c r="R140" s="114">
        <f t="shared" si="902"/>
        <v>0</v>
      </c>
      <c r="S140" s="113">
        <f t="shared" si="902"/>
        <v>0</v>
      </c>
      <c r="T140" s="114"/>
      <c r="U140" s="114">
        <f t="shared" ref="U140:AA140" si="903">M140</f>
        <v>0</v>
      </c>
      <c r="V140" s="114">
        <f t="shared" si="866"/>
        <v>0</v>
      </c>
      <c r="W140" s="113"/>
      <c r="Y140" s="113">
        <f t="shared" si="903"/>
        <v>0</v>
      </c>
      <c r="Z140" s="114">
        <f t="shared" si="903"/>
        <v>0</v>
      </c>
      <c r="AA140" s="113">
        <f t="shared" si="903"/>
        <v>0</v>
      </c>
      <c r="AB140" s="114"/>
      <c r="AC140" s="114">
        <f t="shared" ref="AC140:AI140" si="904">U140</f>
        <v>0</v>
      </c>
      <c r="AD140" s="114">
        <f t="shared" si="868"/>
        <v>0</v>
      </c>
      <c r="AE140" s="113"/>
      <c r="AG140" s="113">
        <f t="shared" si="904"/>
        <v>0</v>
      </c>
      <c r="AH140" s="114">
        <f t="shared" si="904"/>
        <v>0</v>
      </c>
      <c r="AI140" s="113">
        <f t="shared" si="904"/>
        <v>0</v>
      </c>
      <c r="AJ140" s="114"/>
      <c r="AK140" s="114">
        <f t="shared" ref="AK140:AQ140" si="905">AC140</f>
        <v>0</v>
      </c>
      <c r="AL140" s="114">
        <f t="shared" si="870"/>
        <v>0</v>
      </c>
      <c r="AM140" s="113"/>
      <c r="AO140" s="113">
        <f t="shared" si="905"/>
        <v>0</v>
      </c>
      <c r="AP140" s="114">
        <f t="shared" si="905"/>
        <v>0</v>
      </c>
      <c r="AQ140" s="113">
        <f t="shared" si="905"/>
        <v>0</v>
      </c>
      <c r="AR140" s="114"/>
      <c r="AS140" s="114">
        <f t="shared" ref="AS140:AY140" si="906">AK140</f>
        <v>0</v>
      </c>
      <c r="AT140" s="114">
        <f t="shared" si="872"/>
        <v>0</v>
      </c>
      <c r="AU140" s="113"/>
      <c r="AW140" s="113">
        <f t="shared" si="906"/>
        <v>0</v>
      </c>
      <c r="AX140" s="114">
        <f t="shared" si="906"/>
        <v>0</v>
      </c>
      <c r="AY140" s="113">
        <f t="shared" si="906"/>
        <v>0</v>
      </c>
      <c r="AZ140" s="114"/>
      <c r="BA140" s="114">
        <f t="shared" ref="BA140:BG140" si="907">AS140</f>
        <v>0</v>
      </c>
      <c r="BB140" s="114">
        <f t="shared" si="874"/>
        <v>0</v>
      </c>
      <c r="BC140" s="113"/>
      <c r="BE140" s="113">
        <f t="shared" si="907"/>
        <v>0</v>
      </c>
      <c r="BF140" s="114">
        <f t="shared" si="907"/>
        <v>0</v>
      </c>
      <c r="BG140" s="113">
        <f t="shared" si="907"/>
        <v>0</v>
      </c>
      <c r="BH140" s="114"/>
      <c r="BI140" s="114">
        <f t="shared" ref="BI140:BO140" si="908">BA140</f>
        <v>0</v>
      </c>
      <c r="BJ140" s="114">
        <f t="shared" si="876"/>
        <v>0</v>
      </c>
      <c r="BK140" s="113"/>
      <c r="BM140" s="113">
        <f t="shared" si="908"/>
        <v>0</v>
      </c>
      <c r="BN140" s="114">
        <f t="shared" si="908"/>
        <v>0</v>
      </c>
      <c r="BO140" s="113">
        <f t="shared" si="908"/>
        <v>0</v>
      </c>
      <c r="BP140" s="114"/>
      <c r="BQ140" s="114">
        <f t="shared" ref="BQ140:BW140" si="909">BI140</f>
        <v>0</v>
      </c>
      <c r="BR140" s="114">
        <f t="shared" si="878"/>
        <v>0</v>
      </c>
      <c r="BS140" s="113"/>
      <c r="BU140" s="113">
        <f t="shared" si="909"/>
        <v>0</v>
      </c>
      <c r="BV140" s="114">
        <f t="shared" si="909"/>
        <v>0</v>
      </c>
      <c r="BW140" s="113">
        <f t="shared" si="909"/>
        <v>0</v>
      </c>
      <c r="BX140" s="114"/>
      <c r="BY140" s="114">
        <f t="shared" ref="BY140:CE140" si="910">BQ140</f>
        <v>0</v>
      </c>
      <c r="BZ140" s="114">
        <f t="shared" si="880"/>
        <v>0</v>
      </c>
      <c r="CA140" s="113"/>
      <c r="CC140" s="113">
        <f t="shared" si="910"/>
        <v>0</v>
      </c>
      <c r="CD140" s="114">
        <f t="shared" si="910"/>
        <v>0</v>
      </c>
      <c r="CE140" s="113">
        <f t="shared" si="910"/>
        <v>0</v>
      </c>
      <c r="CF140" s="114">
        <f t="shared" si="881"/>
        <v>0</v>
      </c>
      <c r="CG140" s="114">
        <f t="shared" si="882"/>
        <v>0</v>
      </c>
      <c r="CH140" s="114">
        <f t="shared" si="883"/>
        <v>0</v>
      </c>
      <c r="CI140" s="113"/>
    </row>
    <row r="141" customHeight="1" spans="1:87">
      <c r="A141" s="126"/>
      <c r="B141" s="127"/>
      <c r="C141" s="126"/>
      <c r="D141" s="127"/>
      <c r="E141" s="127"/>
      <c r="F141" s="114">
        <f t="shared" si="859"/>
        <v>0</v>
      </c>
      <c r="G141" s="113"/>
      <c r="I141" s="113">
        <f t="shared" si="860"/>
        <v>0</v>
      </c>
      <c r="J141" s="114">
        <f t="shared" si="861"/>
        <v>0</v>
      </c>
      <c r="K141" s="113">
        <f t="shared" si="862"/>
        <v>0</v>
      </c>
      <c r="L141" s="114"/>
      <c r="M141" s="114">
        <f t="shared" ref="M141:S141" si="911">E141</f>
        <v>0</v>
      </c>
      <c r="N141" s="114">
        <f t="shared" si="864"/>
        <v>0</v>
      </c>
      <c r="O141" s="113"/>
      <c r="Q141" s="113">
        <f t="shared" si="911"/>
        <v>0</v>
      </c>
      <c r="R141" s="114">
        <f t="shared" si="911"/>
        <v>0</v>
      </c>
      <c r="S141" s="113">
        <f t="shared" si="911"/>
        <v>0</v>
      </c>
      <c r="T141" s="114"/>
      <c r="U141" s="114">
        <f t="shared" ref="U141:AA141" si="912">M141</f>
        <v>0</v>
      </c>
      <c r="V141" s="114">
        <f t="shared" si="866"/>
        <v>0</v>
      </c>
      <c r="W141" s="113"/>
      <c r="Y141" s="113">
        <f t="shared" si="912"/>
        <v>0</v>
      </c>
      <c r="Z141" s="114">
        <f t="shared" si="912"/>
        <v>0</v>
      </c>
      <c r="AA141" s="113">
        <f t="shared" si="912"/>
        <v>0</v>
      </c>
      <c r="AB141" s="114"/>
      <c r="AC141" s="114">
        <f t="shared" ref="AC141:AI141" si="913">U141</f>
        <v>0</v>
      </c>
      <c r="AD141" s="114">
        <f t="shared" si="868"/>
        <v>0</v>
      </c>
      <c r="AE141" s="113"/>
      <c r="AG141" s="113">
        <f t="shared" si="913"/>
        <v>0</v>
      </c>
      <c r="AH141" s="114">
        <f t="shared" si="913"/>
        <v>0</v>
      </c>
      <c r="AI141" s="113">
        <f t="shared" si="913"/>
        <v>0</v>
      </c>
      <c r="AJ141" s="114"/>
      <c r="AK141" s="114">
        <f t="shared" ref="AK141:AQ141" si="914">AC141</f>
        <v>0</v>
      </c>
      <c r="AL141" s="114">
        <f t="shared" si="870"/>
        <v>0</v>
      </c>
      <c r="AM141" s="113"/>
      <c r="AO141" s="113">
        <f t="shared" si="914"/>
        <v>0</v>
      </c>
      <c r="AP141" s="114">
        <f t="shared" si="914"/>
        <v>0</v>
      </c>
      <c r="AQ141" s="113">
        <f t="shared" si="914"/>
        <v>0</v>
      </c>
      <c r="AR141" s="114"/>
      <c r="AS141" s="114">
        <f t="shared" ref="AS141:AY141" si="915">AK141</f>
        <v>0</v>
      </c>
      <c r="AT141" s="114">
        <f t="shared" si="872"/>
        <v>0</v>
      </c>
      <c r="AU141" s="113"/>
      <c r="AW141" s="113">
        <f t="shared" si="915"/>
        <v>0</v>
      </c>
      <c r="AX141" s="114">
        <f t="shared" si="915"/>
        <v>0</v>
      </c>
      <c r="AY141" s="113">
        <f t="shared" si="915"/>
        <v>0</v>
      </c>
      <c r="AZ141" s="114"/>
      <c r="BA141" s="114">
        <f t="shared" ref="BA141:BG141" si="916">AS141</f>
        <v>0</v>
      </c>
      <c r="BB141" s="114">
        <f t="shared" si="874"/>
        <v>0</v>
      </c>
      <c r="BC141" s="113"/>
      <c r="BE141" s="113">
        <f t="shared" si="916"/>
        <v>0</v>
      </c>
      <c r="BF141" s="114">
        <f t="shared" si="916"/>
        <v>0</v>
      </c>
      <c r="BG141" s="113">
        <f t="shared" si="916"/>
        <v>0</v>
      </c>
      <c r="BH141" s="114"/>
      <c r="BI141" s="114">
        <f t="shared" ref="BI141:BO141" si="917">BA141</f>
        <v>0</v>
      </c>
      <c r="BJ141" s="114">
        <f t="shared" si="876"/>
        <v>0</v>
      </c>
      <c r="BK141" s="113"/>
      <c r="BM141" s="113">
        <f t="shared" si="917"/>
        <v>0</v>
      </c>
      <c r="BN141" s="114">
        <f t="shared" si="917"/>
        <v>0</v>
      </c>
      <c r="BO141" s="113">
        <f t="shared" si="917"/>
        <v>0</v>
      </c>
      <c r="BP141" s="114"/>
      <c r="BQ141" s="114">
        <f t="shared" ref="BQ141:BW141" si="918">BI141</f>
        <v>0</v>
      </c>
      <c r="BR141" s="114">
        <f t="shared" si="878"/>
        <v>0</v>
      </c>
      <c r="BS141" s="113"/>
      <c r="BU141" s="113">
        <f t="shared" si="918"/>
        <v>0</v>
      </c>
      <c r="BV141" s="114">
        <f t="shared" si="918"/>
        <v>0</v>
      </c>
      <c r="BW141" s="113">
        <f t="shared" si="918"/>
        <v>0</v>
      </c>
      <c r="BX141" s="114"/>
      <c r="BY141" s="114">
        <f t="shared" ref="BY141:CE141" si="919">BQ141</f>
        <v>0</v>
      </c>
      <c r="BZ141" s="114">
        <f t="shared" si="880"/>
        <v>0</v>
      </c>
      <c r="CA141" s="113"/>
      <c r="CC141" s="113">
        <f t="shared" si="919"/>
        <v>0</v>
      </c>
      <c r="CD141" s="114">
        <f t="shared" si="919"/>
        <v>0</v>
      </c>
      <c r="CE141" s="113">
        <f t="shared" si="919"/>
        <v>0</v>
      </c>
      <c r="CF141" s="114">
        <f t="shared" si="881"/>
        <v>0</v>
      </c>
      <c r="CG141" s="114">
        <f t="shared" si="882"/>
        <v>0</v>
      </c>
      <c r="CH141" s="114">
        <f t="shared" si="883"/>
        <v>0</v>
      </c>
      <c r="CI141" s="113"/>
    </row>
    <row r="142" s="104" customFormat="1" customHeight="1" spans="1:87">
      <c r="A142" s="126"/>
      <c r="B142" s="127"/>
      <c r="C142" s="126"/>
      <c r="D142" s="127"/>
      <c r="E142" s="127"/>
      <c r="F142" s="114">
        <f t="shared" si="859"/>
        <v>0</v>
      </c>
      <c r="G142" s="113"/>
      <c r="H142" s="124"/>
      <c r="I142" s="113">
        <f t="shared" si="860"/>
        <v>0</v>
      </c>
      <c r="J142" s="114">
        <f t="shared" si="861"/>
        <v>0</v>
      </c>
      <c r="K142" s="113">
        <f t="shared" si="862"/>
        <v>0</v>
      </c>
      <c r="L142" s="114"/>
      <c r="M142" s="114">
        <f t="shared" ref="M142:S142" si="920">E142</f>
        <v>0</v>
      </c>
      <c r="N142" s="114">
        <f t="shared" si="864"/>
        <v>0</v>
      </c>
      <c r="O142" s="113"/>
      <c r="P142" s="124"/>
      <c r="Q142" s="113">
        <f t="shared" si="920"/>
        <v>0</v>
      </c>
      <c r="R142" s="114">
        <f t="shared" si="920"/>
        <v>0</v>
      </c>
      <c r="S142" s="113">
        <f t="shared" si="920"/>
        <v>0</v>
      </c>
      <c r="T142" s="114"/>
      <c r="U142" s="114">
        <f t="shared" ref="U142:AA142" si="921">M142</f>
        <v>0</v>
      </c>
      <c r="V142" s="114">
        <f t="shared" si="866"/>
        <v>0</v>
      </c>
      <c r="W142" s="113"/>
      <c r="X142" s="124"/>
      <c r="Y142" s="113">
        <f t="shared" si="921"/>
        <v>0</v>
      </c>
      <c r="Z142" s="114">
        <f t="shared" si="921"/>
        <v>0</v>
      </c>
      <c r="AA142" s="113">
        <f t="shared" si="921"/>
        <v>0</v>
      </c>
      <c r="AB142" s="114"/>
      <c r="AC142" s="114">
        <f t="shared" ref="AC142:AI142" si="922">U142</f>
        <v>0</v>
      </c>
      <c r="AD142" s="114">
        <f t="shared" si="868"/>
        <v>0</v>
      </c>
      <c r="AE142" s="113"/>
      <c r="AF142" s="124"/>
      <c r="AG142" s="113">
        <f t="shared" si="922"/>
        <v>0</v>
      </c>
      <c r="AH142" s="114">
        <f t="shared" si="922"/>
        <v>0</v>
      </c>
      <c r="AI142" s="113">
        <f t="shared" si="922"/>
        <v>0</v>
      </c>
      <c r="AJ142" s="114"/>
      <c r="AK142" s="114">
        <f t="shared" ref="AK142:AQ142" si="923">AC142</f>
        <v>0</v>
      </c>
      <c r="AL142" s="114">
        <f t="shared" si="870"/>
        <v>0</v>
      </c>
      <c r="AM142" s="113"/>
      <c r="AN142" s="124"/>
      <c r="AO142" s="113">
        <f t="shared" si="923"/>
        <v>0</v>
      </c>
      <c r="AP142" s="114">
        <f t="shared" si="923"/>
        <v>0</v>
      </c>
      <c r="AQ142" s="113">
        <f t="shared" si="923"/>
        <v>0</v>
      </c>
      <c r="AR142" s="114"/>
      <c r="AS142" s="114">
        <f t="shared" ref="AS142:AY142" si="924">AK142</f>
        <v>0</v>
      </c>
      <c r="AT142" s="114">
        <f t="shared" si="872"/>
        <v>0</v>
      </c>
      <c r="AU142" s="113"/>
      <c r="AV142" s="124"/>
      <c r="AW142" s="113">
        <f t="shared" si="924"/>
        <v>0</v>
      </c>
      <c r="AX142" s="114">
        <f t="shared" si="924"/>
        <v>0</v>
      </c>
      <c r="AY142" s="113">
        <f t="shared" si="924"/>
        <v>0</v>
      </c>
      <c r="AZ142" s="114"/>
      <c r="BA142" s="114">
        <f t="shared" ref="BA142:BG142" si="925">AS142</f>
        <v>0</v>
      </c>
      <c r="BB142" s="114">
        <f t="shared" si="874"/>
        <v>0</v>
      </c>
      <c r="BC142" s="113"/>
      <c r="BD142" s="124"/>
      <c r="BE142" s="113">
        <f t="shared" si="925"/>
        <v>0</v>
      </c>
      <c r="BF142" s="114">
        <f t="shared" si="925"/>
        <v>0</v>
      </c>
      <c r="BG142" s="113">
        <f t="shared" si="925"/>
        <v>0</v>
      </c>
      <c r="BH142" s="114"/>
      <c r="BI142" s="114">
        <f t="shared" ref="BI142:BO142" si="926">BA142</f>
        <v>0</v>
      </c>
      <c r="BJ142" s="114">
        <f t="shared" si="876"/>
        <v>0</v>
      </c>
      <c r="BK142" s="113"/>
      <c r="BL142" s="124"/>
      <c r="BM142" s="113">
        <f t="shared" si="926"/>
        <v>0</v>
      </c>
      <c r="BN142" s="114">
        <f t="shared" si="926"/>
        <v>0</v>
      </c>
      <c r="BO142" s="113">
        <f t="shared" si="926"/>
        <v>0</v>
      </c>
      <c r="BP142" s="114"/>
      <c r="BQ142" s="114">
        <f t="shared" ref="BQ142:BW142" si="927">BI142</f>
        <v>0</v>
      </c>
      <c r="BR142" s="114">
        <f t="shared" si="878"/>
        <v>0</v>
      </c>
      <c r="BS142" s="113"/>
      <c r="BT142" s="124"/>
      <c r="BU142" s="113">
        <f t="shared" si="927"/>
        <v>0</v>
      </c>
      <c r="BV142" s="114">
        <f t="shared" si="927"/>
        <v>0</v>
      </c>
      <c r="BW142" s="113">
        <f t="shared" si="927"/>
        <v>0</v>
      </c>
      <c r="BX142" s="114"/>
      <c r="BY142" s="114">
        <f t="shared" ref="BY142:CE142" si="928">BQ142</f>
        <v>0</v>
      </c>
      <c r="BZ142" s="114">
        <f t="shared" si="880"/>
        <v>0</v>
      </c>
      <c r="CA142" s="113"/>
      <c r="CB142" s="124"/>
      <c r="CC142" s="113">
        <f t="shared" si="928"/>
        <v>0</v>
      </c>
      <c r="CD142" s="114">
        <f t="shared" si="928"/>
        <v>0</v>
      </c>
      <c r="CE142" s="113">
        <f t="shared" si="928"/>
        <v>0</v>
      </c>
      <c r="CF142" s="114">
        <f t="shared" si="881"/>
        <v>0</v>
      </c>
      <c r="CG142" s="114">
        <f t="shared" si="882"/>
        <v>0</v>
      </c>
      <c r="CH142" s="114">
        <f t="shared" si="883"/>
        <v>0</v>
      </c>
      <c r="CI142" s="113"/>
    </row>
    <row r="143" s="104" customFormat="1" customHeight="1" spans="1:87">
      <c r="A143" s="126"/>
      <c r="B143" s="127"/>
      <c r="C143" s="126"/>
      <c r="D143" s="127"/>
      <c r="E143" s="127"/>
      <c r="F143" s="114">
        <f t="shared" si="859"/>
        <v>0</v>
      </c>
      <c r="G143" s="113"/>
      <c r="H143" s="124"/>
      <c r="I143" s="113">
        <f t="shared" si="860"/>
        <v>0</v>
      </c>
      <c r="J143" s="114">
        <f t="shared" si="861"/>
        <v>0</v>
      </c>
      <c r="K143" s="113">
        <f t="shared" si="862"/>
        <v>0</v>
      </c>
      <c r="L143" s="114"/>
      <c r="M143" s="114">
        <f t="shared" ref="M143:S143" si="929">E143</f>
        <v>0</v>
      </c>
      <c r="N143" s="114">
        <f t="shared" si="864"/>
        <v>0</v>
      </c>
      <c r="O143" s="113"/>
      <c r="P143" s="124"/>
      <c r="Q143" s="113">
        <f t="shared" si="929"/>
        <v>0</v>
      </c>
      <c r="R143" s="114">
        <f t="shared" si="929"/>
        <v>0</v>
      </c>
      <c r="S143" s="113">
        <f t="shared" si="929"/>
        <v>0</v>
      </c>
      <c r="T143" s="114"/>
      <c r="U143" s="114">
        <f t="shared" ref="U143:AA143" si="930">M143</f>
        <v>0</v>
      </c>
      <c r="V143" s="114">
        <f t="shared" si="866"/>
        <v>0</v>
      </c>
      <c r="W143" s="113"/>
      <c r="X143" s="124"/>
      <c r="Y143" s="113">
        <f t="shared" si="930"/>
        <v>0</v>
      </c>
      <c r="Z143" s="114">
        <f t="shared" si="930"/>
        <v>0</v>
      </c>
      <c r="AA143" s="113">
        <f t="shared" si="930"/>
        <v>0</v>
      </c>
      <c r="AB143" s="114"/>
      <c r="AC143" s="114">
        <f t="shared" ref="AC143:AI143" si="931">U143</f>
        <v>0</v>
      </c>
      <c r="AD143" s="114">
        <f t="shared" si="868"/>
        <v>0</v>
      </c>
      <c r="AE143" s="113"/>
      <c r="AF143" s="124"/>
      <c r="AG143" s="113">
        <f t="shared" si="931"/>
        <v>0</v>
      </c>
      <c r="AH143" s="114">
        <f t="shared" si="931"/>
        <v>0</v>
      </c>
      <c r="AI143" s="113">
        <f t="shared" si="931"/>
        <v>0</v>
      </c>
      <c r="AJ143" s="114"/>
      <c r="AK143" s="114">
        <f t="shared" ref="AK143:AQ143" si="932">AC143</f>
        <v>0</v>
      </c>
      <c r="AL143" s="114">
        <f t="shared" si="870"/>
        <v>0</v>
      </c>
      <c r="AM143" s="113"/>
      <c r="AN143" s="124"/>
      <c r="AO143" s="113">
        <f t="shared" si="932"/>
        <v>0</v>
      </c>
      <c r="AP143" s="114">
        <f t="shared" si="932"/>
        <v>0</v>
      </c>
      <c r="AQ143" s="113">
        <f t="shared" si="932"/>
        <v>0</v>
      </c>
      <c r="AR143" s="114"/>
      <c r="AS143" s="114">
        <f t="shared" ref="AS143:AY143" si="933">AK143</f>
        <v>0</v>
      </c>
      <c r="AT143" s="114">
        <f t="shared" si="872"/>
        <v>0</v>
      </c>
      <c r="AU143" s="113"/>
      <c r="AV143" s="124"/>
      <c r="AW143" s="113">
        <f t="shared" si="933"/>
        <v>0</v>
      </c>
      <c r="AX143" s="114">
        <f t="shared" si="933"/>
        <v>0</v>
      </c>
      <c r="AY143" s="113">
        <f t="shared" si="933"/>
        <v>0</v>
      </c>
      <c r="AZ143" s="114"/>
      <c r="BA143" s="114">
        <f t="shared" ref="BA143:BG143" si="934">AS143</f>
        <v>0</v>
      </c>
      <c r="BB143" s="114">
        <f t="shared" si="874"/>
        <v>0</v>
      </c>
      <c r="BC143" s="113"/>
      <c r="BD143" s="124"/>
      <c r="BE143" s="113">
        <f t="shared" si="934"/>
        <v>0</v>
      </c>
      <c r="BF143" s="114">
        <f t="shared" si="934"/>
        <v>0</v>
      </c>
      <c r="BG143" s="113">
        <f t="shared" si="934"/>
        <v>0</v>
      </c>
      <c r="BH143" s="114"/>
      <c r="BI143" s="114">
        <f t="shared" ref="BI143:BO143" si="935">BA143</f>
        <v>0</v>
      </c>
      <c r="BJ143" s="114">
        <f t="shared" si="876"/>
        <v>0</v>
      </c>
      <c r="BK143" s="113"/>
      <c r="BL143" s="124"/>
      <c r="BM143" s="113">
        <f t="shared" si="935"/>
        <v>0</v>
      </c>
      <c r="BN143" s="114">
        <f t="shared" si="935"/>
        <v>0</v>
      </c>
      <c r="BO143" s="113">
        <f t="shared" si="935"/>
        <v>0</v>
      </c>
      <c r="BP143" s="114"/>
      <c r="BQ143" s="114">
        <f t="shared" ref="BQ143:BW143" si="936">BI143</f>
        <v>0</v>
      </c>
      <c r="BR143" s="114">
        <f t="shared" si="878"/>
        <v>0</v>
      </c>
      <c r="BS143" s="113"/>
      <c r="BT143" s="124"/>
      <c r="BU143" s="113">
        <f t="shared" si="936"/>
        <v>0</v>
      </c>
      <c r="BV143" s="114">
        <f t="shared" si="936"/>
        <v>0</v>
      </c>
      <c r="BW143" s="113">
        <f t="shared" si="936"/>
        <v>0</v>
      </c>
      <c r="BX143" s="114"/>
      <c r="BY143" s="114">
        <f t="shared" ref="BY143:CE143" si="937">BQ143</f>
        <v>0</v>
      </c>
      <c r="BZ143" s="114">
        <f t="shared" si="880"/>
        <v>0</v>
      </c>
      <c r="CA143" s="113"/>
      <c r="CB143" s="124"/>
      <c r="CC143" s="113">
        <f t="shared" si="937"/>
        <v>0</v>
      </c>
      <c r="CD143" s="114">
        <f t="shared" si="937"/>
        <v>0</v>
      </c>
      <c r="CE143" s="113">
        <f t="shared" si="937"/>
        <v>0</v>
      </c>
      <c r="CF143" s="114">
        <f t="shared" si="881"/>
        <v>0</v>
      </c>
      <c r="CG143" s="114">
        <f t="shared" si="882"/>
        <v>0</v>
      </c>
      <c r="CH143" s="114">
        <f t="shared" si="883"/>
        <v>0</v>
      </c>
      <c r="CI143" s="113"/>
    </row>
    <row r="144" s="104" customFormat="1" customHeight="1" spans="1:87">
      <c r="A144" s="113"/>
      <c r="B144" s="114"/>
      <c r="C144" s="113"/>
      <c r="D144" s="114"/>
      <c r="E144" s="114"/>
      <c r="F144" s="114">
        <f t="shared" si="859"/>
        <v>0</v>
      </c>
      <c r="G144" s="113"/>
      <c r="H144" s="124"/>
      <c r="I144" s="113">
        <f t="shared" si="860"/>
        <v>0</v>
      </c>
      <c r="J144" s="114">
        <f t="shared" si="861"/>
        <v>0</v>
      </c>
      <c r="K144" s="113">
        <f t="shared" si="862"/>
        <v>0</v>
      </c>
      <c r="L144" s="114"/>
      <c r="M144" s="114">
        <f t="shared" ref="M144:S144" si="938">E144</f>
        <v>0</v>
      </c>
      <c r="N144" s="114">
        <f t="shared" si="864"/>
        <v>0</v>
      </c>
      <c r="O144" s="113"/>
      <c r="P144" s="124"/>
      <c r="Q144" s="113">
        <f t="shared" si="938"/>
        <v>0</v>
      </c>
      <c r="R144" s="114">
        <f t="shared" si="938"/>
        <v>0</v>
      </c>
      <c r="S144" s="113">
        <f t="shared" si="938"/>
        <v>0</v>
      </c>
      <c r="T144" s="114"/>
      <c r="U144" s="114">
        <f t="shared" ref="U144:AA144" si="939">M144</f>
        <v>0</v>
      </c>
      <c r="V144" s="114">
        <f t="shared" si="866"/>
        <v>0</v>
      </c>
      <c r="W144" s="113"/>
      <c r="X144" s="124"/>
      <c r="Y144" s="113">
        <f t="shared" si="939"/>
        <v>0</v>
      </c>
      <c r="Z144" s="114">
        <f t="shared" si="939"/>
        <v>0</v>
      </c>
      <c r="AA144" s="113">
        <f t="shared" si="939"/>
        <v>0</v>
      </c>
      <c r="AB144" s="114"/>
      <c r="AC144" s="114">
        <f t="shared" ref="AC144:AI144" si="940">U144</f>
        <v>0</v>
      </c>
      <c r="AD144" s="114">
        <f t="shared" si="868"/>
        <v>0</v>
      </c>
      <c r="AE144" s="113"/>
      <c r="AF144" s="124"/>
      <c r="AG144" s="113">
        <f t="shared" si="940"/>
        <v>0</v>
      </c>
      <c r="AH144" s="114">
        <f t="shared" si="940"/>
        <v>0</v>
      </c>
      <c r="AI144" s="113">
        <f t="shared" si="940"/>
        <v>0</v>
      </c>
      <c r="AJ144" s="114"/>
      <c r="AK144" s="114">
        <f t="shared" ref="AK144:AQ144" si="941">AC144</f>
        <v>0</v>
      </c>
      <c r="AL144" s="114">
        <f t="shared" si="870"/>
        <v>0</v>
      </c>
      <c r="AM144" s="113"/>
      <c r="AN144" s="124"/>
      <c r="AO144" s="113">
        <f t="shared" si="941"/>
        <v>0</v>
      </c>
      <c r="AP144" s="114">
        <f t="shared" si="941"/>
        <v>0</v>
      </c>
      <c r="AQ144" s="113">
        <f t="shared" si="941"/>
        <v>0</v>
      </c>
      <c r="AR144" s="114"/>
      <c r="AS144" s="114">
        <f t="shared" ref="AS144:AY144" si="942">AK144</f>
        <v>0</v>
      </c>
      <c r="AT144" s="114">
        <f t="shared" si="872"/>
        <v>0</v>
      </c>
      <c r="AU144" s="113"/>
      <c r="AV144" s="124"/>
      <c r="AW144" s="113">
        <f t="shared" si="942"/>
        <v>0</v>
      </c>
      <c r="AX144" s="114">
        <f t="shared" si="942"/>
        <v>0</v>
      </c>
      <c r="AY144" s="113">
        <f t="shared" si="942"/>
        <v>0</v>
      </c>
      <c r="AZ144" s="114"/>
      <c r="BA144" s="114">
        <f t="shared" ref="BA144:BG144" si="943">AS144</f>
        <v>0</v>
      </c>
      <c r="BB144" s="114">
        <f t="shared" si="874"/>
        <v>0</v>
      </c>
      <c r="BC144" s="113"/>
      <c r="BD144" s="124"/>
      <c r="BE144" s="113">
        <f t="shared" si="943"/>
        <v>0</v>
      </c>
      <c r="BF144" s="114">
        <f t="shared" si="943"/>
        <v>0</v>
      </c>
      <c r="BG144" s="113">
        <f t="shared" si="943"/>
        <v>0</v>
      </c>
      <c r="BH144" s="114"/>
      <c r="BI144" s="114">
        <f t="shared" ref="BI144:BO144" si="944">BA144</f>
        <v>0</v>
      </c>
      <c r="BJ144" s="114">
        <f t="shared" si="876"/>
        <v>0</v>
      </c>
      <c r="BK144" s="113"/>
      <c r="BL144" s="124"/>
      <c r="BM144" s="113">
        <f t="shared" si="944"/>
        <v>0</v>
      </c>
      <c r="BN144" s="114">
        <f t="shared" si="944"/>
        <v>0</v>
      </c>
      <c r="BO144" s="113">
        <f t="shared" si="944"/>
        <v>0</v>
      </c>
      <c r="BP144" s="114"/>
      <c r="BQ144" s="114">
        <f t="shared" ref="BQ144:BW144" si="945">BI144</f>
        <v>0</v>
      </c>
      <c r="BR144" s="114">
        <f t="shared" si="878"/>
        <v>0</v>
      </c>
      <c r="BS144" s="113"/>
      <c r="BT144" s="124"/>
      <c r="BU144" s="113">
        <f t="shared" si="945"/>
        <v>0</v>
      </c>
      <c r="BV144" s="114">
        <f t="shared" si="945"/>
        <v>0</v>
      </c>
      <c r="BW144" s="113">
        <f t="shared" si="945"/>
        <v>0</v>
      </c>
      <c r="BX144" s="114"/>
      <c r="BY144" s="114">
        <f t="shared" ref="BY144:CE144" si="946">BQ144</f>
        <v>0</v>
      </c>
      <c r="BZ144" s="114">
        <f t="shared" si="880"/>
        <v>0</v>
      </c>
      <c r="CA144" s="113"/>
      <c r="CB144" s="124"/>
      <c r="CC144" s="113">
        <f t="shared" si="946"/>
        <v>0</v>
      </c>
      <c r="CD144" s="114">
        <f t="shared" si="946"/>
        <v>0</v>
      </c>
      <c r="CE144" s="113">
        <f t="shared" si="946"/>
        <v>0</v>
      </c>
      <c r="CF144" s="114">
        <f t="shared" si="881"/>
        <v>0</v>
      </c>
      <c r="CG144" s="114">
        <f t="shared" si="882"/>
        <v>0</v>
      </c>
      <c r="CH144" s="114">
        <f t="shared" si="883"/>
        <v>0</v>
      </c>
      <c r="CI144" s="113"/>
    </row>
    <row r="145" s="104" customFormat="1" customHeight="1" spans="1:87">
      <c r="A145" s="113"/>
      <c r="B145" s="114"/>
      <c r="C145" s="113"/>
      <c r="D145" s="114"/>
      <c r="E145" s="114"/>
      <c r="F145" s="114">
        <f t="shared" si="859"/>
        <v>0</v>
      </c>
      <c r="G145" s="113"/>
      <c r="H145" s="124"/>
      <c r="I145" s="113">
        <f t="shared" si="860"/>
        <v>0</v>
      </c>
      <c r="J145" s="114">
        <f t="shared" si="861"/>
        <v>0</v>
      </c>
      <c r="K145" s="113">
        <f t="shared" si="862"/>
        <v>0</v>
      </c>
      <c r="L145" s="114"/>
      <c r="M145" s="114">
        <f t="shared" ref="M145:S145" si="947">E145</f>
        <v>0</v>
      </c>
      <c r="N145" s="114">
        <f t="shared" si="864"/>
        <v>0</v>
      </c>
      <c r="O145" s="113"/>
      <c r="P145" s="124"/>
      <c r="Q145" s="113">
        <f t="shared" si="947"/>
        <v>0</v>
      </c>
      <c r="R145" s="114">
        <f t="shared" si="947"/>
        <v>0</v>
      </c>
      <c r="S145" s="113">
        <f t="shared" si="947"/>
        <v>0</v>
      </c>
      <c r="T145" s="114"/>
      <c r="U145" s="114">
        <f t="shared" ref="U145:AA145" si="948">M145</f>
        <v>0</v>
      </c>
      <c r="V145" s="114">
        <f t="shared" si="866"/>
        <v>0</v>
      </c>
      <c r="W145" s="113"/>
      <c r="X145" s="124"/>
      <c r="Y145" s="113">
        <f t="shared" si="948"/>
        <v>0</v>
      </c>
      <c r="Z145" s="114">
        <f t="shared" si="948"/>
        <v>0</v>
      </c>
      <c r="AA145" s="113">
        <f t="shared" si="948"/>
        <v>0</v>
      </c>
      <c r="AB145" s="114"/>
      <c r="AC145" s="114">
        <f t="shared" ref="AC145:AI145" si="949">U145</f>
        <v>0</v>
      </c>
      <c r="AD145" s="114">
        <f t="shared" si="868"/>
        <v>0</v>
      </c>
      <c r="AE145" s="113"/>
      <c r="AF145" s="124"/>
      <c r="AG145" s="113">
        <f t="shared" si="949"/>
        <v>0</v>
      </c>
      <c r="AH145" s="114">
        <f t="shared" si="949"/>
        <v>0</v>
      </c>
      <c r="AI145" s="113">
        <f t="shared" si="949"/>
        <v>0</v>
      </c>
      <c r="AJ145" s="114"/>
      <c r="AK145" s="114">
        <f t="shared" ref="AK145:AQ145" si="950">AC145</f>
        <v>0</v>
      </c>
      <c r="AL145" s="114">
        <f t="shared" si="870"/>
        <v>0</v>
      </c>
      <c r="AM145" s="113"/>
      <c r="AN145" s="124"/>
      <c r="AO145" s="113">
        <f t="shared" si="950"/>
        <v>0</v>
      </c>
      <c r="AP145" s="114">
        <f t="shared" si="950"/>
        <v>0</v>
      </c>
      <c r="AQ145" s="113">
        <f t="shared" si="950"/>
        <v>0</v>
      </c>
      <c r="AR145" s="114"/>
      <c r="AS145" s="114">
        <f t="shared" ref="AS145:AY145" si="951">AK145</f>
        <v>0</v>
      </c>
      <c r="AT145" s="114">
        <f t="shared" si="872"/>
        <v>0</v>
      </c>
      <c r="AU145" s="113"/>
      <c r="AV145" s="124"/>
      <c r="AW145" s="113">
        <f t="shared" si="951"/>
        <v>0</v>
      </c>
      <c r="AX145" s="114">
        <f t="shared" si="951"/>
        <v>0</v>
      </c>
      <c r="AY145" s="113">
        <f t="shared" si="951"/>
        <v>0</v>
      </c>
      <c r="AZ145" s="114"/>
      <c r="BA145" s="114">
        <f t="shared" ref="BA145:BG145" si="952">AS145</f>
        <v>0</v>
      </c>
      <c r="BB145" s="114">
        <f t="shared" si="874"/>
        <v>0</v>
      </c>
      <c r="BC145" s="113"/>
      <c r="BD145" s="124"/>
      <c r="BE145" s="113">
        <f t="shared" si="952"/>
        <v>0</v>
      </c>
      <c r="BF145" s="114">
        <f t="shared" si="952"/>
        <v>0</v>
      </c>
      <c r="BG145" s="113">
        <f t="shared" si="952"/>
        <v>0</v>
      </c>
      <c r="BH145" s="114"/>
      <c r="BI145" s="114">
        <f t="shared" ref="BI145:BO145" si="953">BA145</f>
        <v>0</v>
      </c>
      <c r="BJ145" s="114">
        <f t="shared" si="876"/>
        <v>0</v>
      </c>
      <c r="BK145" s="113"/>
      <c r="BL145" s="124"/>
      <c r="BM145" s="113">
        <f t="shared" si="953"/>
        <v>0</v>
      </c>
      <c r="BN145" s="114">
        <f t="shared" si="953"/>
        <v>0</v>
      </c>
      <c r="BO145" s="113">
        <f t="shared" si="953"/>
        <v>0</v>
      </c>
      <c r="BP145" s="114"/>
      <c r="BQ145" s="114">
        <f t="shared" ref="BQ145:BW145" si="954">BI145</f>
        <v>0</v>
      </c>
      <c r="BR145" s="114">
        <f t="shared" si="878"/>
        <v>0</v>
      </c>
      <c r="BS145" s="113"/>
      <c r="BT145" s="124"/>
      <c r="BU145" s="113">
        <f t="shared" si="954"/>
        <v>0</v>
      </c>
      <c r="BV145" s="114">
        <f t="shared" si="954"/>
        <v>0</v>
      </c>
      <c r="BW145" s="113">
        <f t="shared" si="954"/>
        <v>0</v>
      </c>
      <c r="BX145" s="114"/>
      <c r="BY145" s="114">
        <f t="shared" ref="BY145:CE145" si="955">BQ145</f>
        <v>0</v>
      </c>
      <c r="BZ145" s="114">
        <f t="shared" si="880"/>
        <v>0</v>
      </c>
      <c r="CA145" s="113"/>
      <c r="CB145" s="124"/>
      <c r="CC145" s="113">
        <f t="shared" si="955"/>
        <v>0</v>
      </c>
      <c r="CD145" s="114">
        <f t="shared" si="955"/>
        <v>0</v>
      </c>
      <c r="CE145" s="113">
        <f t="shared" si="955"/>
        <v>0</v>
      </c>
      <c r="CF145" s="114">
        <f t="shared" si="881"/>
        <v>0</v>
      </c>
      <c r="CG145" s="114">
        <f t="shared" si="882"/>
        <v>0</v>
      </c>
      <c r="CH145" s="114">
        <f t="shared" si="883"/>
        <v>0</v>
      </c>
      <c r="CI145" s="113"/>
    </row>
    <row r="146" s="104" customFormat="1" customHeight="1" spans="1:87">
      <c r="A146" s="113"/>
      <c r="B146" s="114"/>
      <c r="C146" s="113"/>
      <c r="D146" s="114"/>
      <c r="E146" s="114"/>
      <c r="F146" s="114">
        <f t="shared" si="859"/>
        <v>0</v>
      </c>
      <c r="G146" s="113"/>
      <c r="H146" s="124"/>
      <c r="I146" s="113">
        <f t="shared" si="860"/>
        <v>0</v>
      </c>
      <c r="J146" s="114">
        <f t="shared" si="861"/>
        <v>0</v>
      </c>
      <c r="K146" s="113">
        <f t="shared" si="862"/>
        <v>0</v>
      </c>
      <c r="L146" s="114"/>
      <c r="M146" s="114">
        <f t="shared" ref="M146:S146" si="956">E146</f>
        <v>0</v>
      </c>
      <c r="N146" s="114">
        <f t="shared" si="864"/>
        <v>0</v>
      </c>
      <c r="O146" s="113"/>
      <c r="P146" s="124"/>
      <c r="Q146" s="113">
        <f t="shared" si="956"/>
        <v>0</v>
      </c>
      <c r="R146" s="114">
        <f t="shared" si="956"/>
        <v>0</v>
      </c>
      <c r="S146" s="113">
        <f t="shared" si="956"/>
        <v>0</v>
      </c>
      <c r="T146" s="114"/>
      <c r="U146" s="114">
        <f t="shared" ref="U146:AA146" si="957">M146</f>
        <v>0</v>
      </c>
      <c r="V146" s="114">
        <f t="shared" si="866"/>
        <v>0</v>
      </c>
      <c r="W146" s="113"/>
      <c r="X146" s="124"/>
      <c r="Y146" s="113">
        <f t="shared" si="957"/>
        <v>0</v>
      </c>
      <c r="Z146" s="114">
        <f t="shared" si="957"/>
        <v>0</v>
      </c>
      <c r="AA146" s="113">
        <f t="shared" si="957"/>
        <v>0</v>
      </c>
      <c r="AB146" s="114"/>
      <c r="AC146" s="114">
        <f t="shared" ref="AC146:AI146" si="958">U146</f>
        <v>0</v>
      </c>
      <c r="AD146" s="114">
        <f t="shared" si="868"/>
        <v>0</v>
      </c>
      <c r="AE146" s="113"/>
      <c r="AF146" s="124"/>
      <c r="AG146" s="113">
        <f t="shared" si="958"/>
        <v>0</v>
      </c>
      <c r="AH146" s="114">
        <f t="shared" si="958"/>
        <v>0</v>
      </c>
      <c r="AI146" s="113">
        <f t="shared" si="958"/>
        <v>0</v>
      </c>
      <c r="AJ146" s="114"/>
      <c r="AK146" s="114">
        <f t="shared" ref="AK146:AQ146" si="959">AC146</f>
        <v>0</v>
      </c>
      <c r="AL146" s="114">
        <f t="shared" si="870"/>
        <v>0</v>
      </c>
      <c r="AM146" s="113"/>
      <c r="AN146" s="124"/>
      <c r="AO146" s="113">
        <f t="shared" si="959"/>
        <v>0</v>
      </c>
      <c r="AP146" s="114">
        <f t="shared" si="959"/>
        <v>0</v>
      </c>
      <c r="AQ146" s="113">
        <f t="shared" si="959"/>
        <v>0</v>
      </c>
      <c r="AR146" s="114"/>
      <c r="AS146" s="114">
        <f t="shared" ref="AS146:AY146" si="960">AK146</f>
        <v>0</v>
      </c>
      <c r="AT146" s="114">
        <f t="shared" si="872"/>
        <v>0</v>
      </c>
      <c r="AU146" s="113"/>
      <c r="AV146" s="124"/>
      <c r="AW146" s="113">
        <f t="shared" si="960"/>
        <v>0</v>
      </c>
      <c r="AX146" s="114">
        <f t="shared" si="960"/>
        <v>0</v>
      </c>
      <c r="AY146" s="113">
        <f t="shared" si="960"/>
        <v>0</v>
      </c>
      <c r="AZ146" s="114"/>
      <c r="BA146" s="114">
        <f t="shared" ref="BA146:BG146" si="961">AS146</f>
        <v>0</v>
      </c>
      <c r="BB146" s="114">
        <f t="shared" si="874"/>
        <v>0</v>
      </c>
      <c r="BC146" s="113"/>
      <c r="BD146" s="124"/>
      <c r="BE146" s="113">
        <f t="shared" si="961"/>
        <v>0</v>
      </c>
      <c r="BF146" s="114">
        <f t="shared" si="961"/>
        <v>0</v>
      </c>
      <c r="BG146" s="113">
        <f t="shared" si="961"/>
        <v>0</v>
      </c>
      <c r="BH146" s="114"/>
      <c r="BI146" s="114">
        <f t="shared" ref="BI146:BO146" si="962">BA146</f>
        <v>0</v>
      </c>
      <c r="BJ146" s="114">
        <f t="shared" si="876"/>
        <v>0</v>
      </c>
      <c r="BK146" s="113"/>
      <c r="BL146" s="124"/>
      <c r="BM146" s="113">
        <f t="shared" si="962"/>
        <v>0</v>
      </c>
      <c r="BN146" s="114">
        <f t="shared" si="962"/>
        <v>0</v>
      </c>
      <c r="BO146" s="113">
        <f t="shared" si="962"/>
        <v>0</v>
      </c>
      <c r="BP146" s="114"/>
      <c r="BQ146" s="114">
        <f t="shared" ref="BQ146:BW146" si="963">BI146</f>
        <v>0</v>
      </c>
      <c r="BR146" s="114">
        <f t="shared" si="878"/>
        <v>0</v>
      </c>
      <c r="BS146" s="113"/>
      <c r="BT146" s="124"/>
      <c r="BU146" s="113">
        <f t="shared" si="963"/>
        <v>0</v>
      </c>
      <c r="BV146" s="114">
        <f t="shared" si="963"/>
        <v>0</v>
      </c>
      <c r="BW146" s="113">
        <f t="shared" si="963"/>
        <v>0</v>
      </c>
      <c r="BX146" s="114"/>
      <c r="BY146" s="114">
        <f t="shared" ref="BY146:CE146" si="964">BQ146</f>
        <v>0</v>
      </c>
      <c r="BZ146" s="114">
        <f t="shared" si="880"/>
        <v>0</v>
      </c>
      <c r="CA146" s="113"/>
      <c r="CB146" s="124"/>
      <c r="CC146" s="113">
        <f t="shared" si="964"/>
        <v>0</v>
      </c>
      <c r="CD146" s="114">
        <f t="shared" si="964"/>
        <v>0</v>
      </c>
      <c r="CE146" s="113">
        <f t="shared" si="964"/>
        <v>0</v>
      </c>
      <c r="CF146" s="114">
        <f t="shared" si="881"/>
        <v>0</v>
      </c>
      <c r="CG146" s="114">
        <f t="shared" si="882"/>
        <v>0</v>
      </c>
      <c r="CH146" s="114">
        <f t="shared" si="883"/>
        <v>0</v>
      </c>
      <c r="CI146" s="113"/>
    </row>
    <row r="147" s="104" customFormat="1" customHeight="1" spans="1:87">
      <c r="A147" s="113"/>
      <c r="B147" s="114"/>
      <c r="C147" s="113"/>
      <c r="D147" s="114"/>
      <c r="E147" s="114"/>
      <c r="F147" s="114">
        <f t="shared" si="859"/>
        <v>0</v>
      </c>
      <c r="G147" s="113"/>
      <c r="H147" s="124"/>
      <c r="I147" s="113">
        <f t="shared" si="860"/>
        <v>0</v>
      </c>
      <c r="J147" s="114">
        <f t="shared" si="861"/>
        <v>0</v>
      </c>
      <c r="K147" s="113">
        <f t="shared" si="862"/>
        <v>0</v>
      </c>
      <c r="L147" s="114"/>
      <c r="M147" s="114">
        <f t="shared" ref="M147:S147" si="965">E147</f>
        <v>0</v>
      </c>
      <c r="N147" s="114">
        <f t="shared" si="864"/>
        <v>0</v>
      </c>
      <c r="O147" s="113"/>
      <c r="P147" s="124"/>
      <c r="Q147" s="113">
        <f t="shared" si="965"/>
        <v>0</v>
      </c>
      <c r="R147" s="114">
        <f t="shared" si="965"/>
        <v>0</v>
      </c>
      <c r="S147" s="113">
        <f t="shared" si="965"/>
        <v>0</v>
      </c>
      <c r="T147" s="114"/>
      <c r="U147" s="114">
        <f t="shared" ref="U147:AA147" si="966">M147</f>
        <v>0</v>
      </c>
      <c r="V147" s="114">
        <f t="shared" si="866"/>
        <v>0</v>
      </c>
      <c r="W147" s="113"/>
      <c r="X147" s="124"/>
      <c r="Y147" s="113">
        <f t="shared" si="966"/>
        <v>0</v>
      </c>
      <c r="Z147" s="114">
        <f t="shared" si="966"/>
        <v>0</v>
      </c>
      <c r="AA147" s="113">
        <f t="shared" si="966"/>
        <v>0</v>
      </c>
      <c r="AB147" s="114"/>
      <c r="AC147" s="114">
        <f t="shared" ref="AC147:AI147" si="967">U147</f>
        <v>0</v>
      </c>
      <c r="AD147" s="114">
        <f t="shared" si="868"/>
        <v>0</v>
      </c>
      <c r="AE147" s="113"/>
      <c r="AF147" s="124"/>
      <c r="AG147" s="113">
        <f t="shared" si="967"/>
        <v>0</v>
      </c>
      <c r="AH147" s="114">
        <f t="shared" si="967"/>
        <v>0</v>
      </c>
      <c r="AI147" s="113">
        <f t="shared" si="967"/>
        <v>0</v>
      </c>
      <c r="AJ147" s="114"/>
      <c r="AK147" s="114">
        <f t="shared" ref="AK147:AQ147" si="968">AC147</f>
        <v>0</v>
      </c>
      <c r="AL147" s="114">
        <f t="shared" si="870"/>
        <v>0</v>
      </c>
      <c r="AM147" s="113"/>
      <c r="AN147" s="124"/>
      <c r="AO147" s="113">
        <f t="shared" si="968"/>
        <v>0</v>
      </c>
      <c r="AP147" s="114">
        <f t="shared" si="968"/>
        <v>0</v>
      </c>
      <c r="AQ147" s="113">
        <f t="shared" si="968"/>
        <v>0</v>
      </c>
      <c r="AR147" s="114"/>
      <c r="AS147" s="114">
        <f t="shared" ref="AS147:AY147" si="969">AK147</f>
        <v>0</v>
      </c>
      <c r="AT147" s="114">
        <f t="shared" si="872"/>
        <v>0</v>
      </c>
      <c r="AU147" s="113"/>
      <c r="AV147" s="124"/>
      <c r="AW147" s="113">
        <f t="shared" si="969"/>
        <v>0</v>
      </c>
      <c r="AX147" s="114">
        <f t="shared" si="969"/>
        <v>0</v>
      </c>
      <c r="AY147" s="113">
        <f t="shared" si="969"/>
        <v>0</v>
      </c>
      <c r="AZ147" s="114"/>
      <c r="BA147" s="114">
        <f t="shared" ref="BA147:BG147" si="970">AS147</f>
        <v>0</v>
      </c>
      <c r="BB147" s="114">
        <f t="shared" si="874"/>
        <v>0</v>
      </c>
      <c r="BC147" s="113"/>
      <c r="BD147" s="124"/>
      <c r="BE147" s="113">
        <f t="shared" si="970"/>
        <v>0</v>
      </c>
      <c r="BF147" s="114">
        <f t="shared" si="970"/>
        <v>0</v>
      </c>
      <c r="BG147" s="113">
        <f t="shared" si="970"/>
        <v>0</v>
      </c>
      <c r="BH147" s="114"/>
      <c r="BI147" s="114">
        <f t="shared" ref="BI147:BO147" si="971">BA147</f>
        <v>0</v>
      </c>
      <c r="BJ147" s="114">
        <f t="shared" si="876"/>
        <v>0</v>
      </c>
      <c r="BK147" s="113"/>
      <c r="BL147" s="124"/>
      <c r="BM147" s="113">
        <f t="shared" si="971"/>
        <v>0</v>
      </c>
      <c r="BN147" s="114">
        <f t="shared" si="971"/>
        <v>0</v>
      </c>
      <c r="BO147" s="113">
        <f t="shared" si="971"/>
        <v>0</v>
      </c>
      <c r="BP147" s="114"/>
      <c r="BQ147" s="114">
        <f t="shared" ref="BQ147:BW147" si="972">BI147</f>
        <v>0</v>
      </c>
      <c r="BR147" s="114">
        <f t="shared" si="878"/>
        <v>0</v>
      </c>
      <c r="BS147" s="113"/>
      <c r="BT147" s="124"/>
      <c r="BU147" s="113">
        <f t="shared" si="972"/>
        <v>0</v>
      </c>
      <c r="BV147" s="114">
        <f t="shared" si="972"/>
        <v>0</v>
      </c>
      <c r="BW147" s="113">
        <f t="shared" si="972"/>
        <v>0</v>
      </c>
      <c r="BX147" s="114"/>
      <c r="BY147" s="114">
        <f t="shared" ref="BY147:CE147" si="973">BQ147</f>
        <v>0</v>
      </c>
      <c r="BZ147" s="114">
        <f t="shared" si="880"/>
        <v>0</v>
      </c>
      <c r="CA147" s="113"/>
      <c r="CB147" s="124"/>
      <c r="CC147" s="113">
        <f t="shared" si="973"/>
        <v>0</v>
      </c>
      <c r="CD147" s="114">
        <f t="shared" si="973"/>
        <v>0</v>
      </c>
      <c r="CE147" s="113">
        <f t="shared" si="973"/>
        <v>0</v>
      </c>
      <c r="CF147" s="114">
        <f t="shared" si="881"/>
        <v>0</v>
      </c>
      <c r="CG147" s="114">
        <f t="shared" si="882"/>
        <v>0</v>
      </c>
      <c r="CH147" s="114">
        <f t="shared" si="883"/>
        <v>0</v>
      </c>
      <c r="CI147" s="113"/>
    </row>
    <row r="148" s="104" customFormat="1" customHeight="1" spans="1:87">
      <c r="A148" s="113"/>
      <c r="B148" s="114"/>
      <c r="C148" s="113"/>
      <c r="D148" s="114"/>
      <c r="E148" s="114"/>
      <c r="F148" s="114">
        <f t="shared" si="859"/>
        <v>0</v>
      </c>
      <c r="G148" s="113"/>
      <c r="H148" s="124"/>
      <c r="I148" s="113">
        <f t="shared" si="860"/>
        <v>0</v>
      </c>
      <c r="J148" s="114">
        <f t="shared" si="861"/>
        <v>0</v>
      </c>
      <c r="K148" s="113">
        <f t="shared" si="862"/>
        <v>0</v>
      </c>
      <c r="L148" s="114"/>
      <c r="M148" s="114">
        <f t="shared" ref="M148:S148" si="974">E148</f>
        <v>0</v>
      </c>
      <c r="N148" s="114">
        <f t="shared" si="864"/>
        <v>0</v>
      </c>
      <c r="O148" s="113"/>
      <c r="P148" s="124"/>
      <c r="Q148" s="113">
        <f t="shared" si="974"/>
        <v>0</v>
      </c>
      <c r="R148" s="114">
        <f t="shared" si="974"/>
        <v>0</v>
      </c>
      <c r="S148" s="113">
        <f t="shared" si="974"/>
        <v>0</v>
      </c>
      <c r="T148" s="114"/>
      <c r="U148" s="114">
        <f t="shared" ref="U148:AA148" si="975">M148</f>
        <v>0</v>
      </c>
      <c r="V148" s="114">
        <f t="shared" si="866"/>
        <v>0</v>
      </c>
      <c r="W148" s="113"/>
      <c r="X148" s="124"/>
      <c r="Y148" s="113">
        <f t="shared" si="975"/>
        <v>0</v>
      </c>
      <c r="Z148" s="114">
        <f t="shared" si="975"/>
        <v>0</v>
      </c>
      <c r="AA148" s="113">
        <f t="shared" si="975"/>
        <v>0</v>
      </c>
      <c r="AB148" s="114"/>
      <c r="AC148" s="114">
        <f t="shared" ref="AC148:AI148" si="976">U148</f>
        <v>0</v>
      </c>
      <c r="AD148" s="114">
        <f t="shared" si="868"/>
        <v>0</v>
      </c>
      <c r="AE148" s="113"/>
      <c r="AF148" s="124"/>
      <c r="AG148" s="113">
        <f t="shared" si="976"/>
        <v>0</v>
      </c>
      <c r="AH148" s="114">
        <f t="shared" si="976"/>
        <v>0</v>
      </c>
      <c r="AI148" s="113">
        <f t="shared" si="976"/>
        <v>0</v>
      </c>
      <c r="AJ148" s="114"/>
      <c r="AK148" s="114">
        <f t="shared" ref="AK148:AQ148" si="977">AC148</f>
        <v>0</v>
      </c>
      <c r="AL148" s="114">
        <f t="shared" si="870"/>
        <v>0</v>
      </c>
      <c r="AM148" s="113"/>
      <c r="AN148" s="124"/>
      <c r="AO148" s="113">
        <f t="shared" si="977"/>
        <v>0</v>
      </c>
      <c r="AP148" s="114">
        <f t="shared" si="977"/>
        <v>0</v>
      </c>
      <c r="AQ148" s="113">
        <f t="shared" si="977"/>
        <v>0</v>
      </c>
      <c r="AR148" s="114"/>
      <c r="AS148" s="114">
        <f t="shared" ref="AS148:AY148" si="978">AK148</f>
        <v>0</v>
      </c>
      <c r="AT148" s="114">
        <f t="shared" si="872"/>
        <v>0</v>
      </c>
      <c r="AU148" s="113"/>
      <c r="AV148" s="124"/>
      <c r="AW148" s="113">
        <f t="shared" si="978"/>
        <v>0</v>
      </c>
      <c r="AX148" s="114">
        <f t="shared" si="978"/>
        <v>0</v>
      </c>
      <c r="AY148" s="113">
        <f t="shared" si="978"/>
        <v>0</v>
      </c>
      <c r="AZ148" s="114"/>
      <c r="BA148" s="114">
        <f t="shared" ref="BA148:BG148" si="979">AS148</f>
        <v>0</v>
      </c>
      <c r="BB148" s="114">
        <f t="shared" si="874"/>
        <v>0</v>
      </c>
      <c r="BC148" s="113"/>
      <c r="BD148" s="124"/>
      <c r="BE148" s="113">
        <f t="shared" si="979"/>
        <v>0</v>
      </c>
      <c r="BF148" s="114">
        <f t="shared" si="979"/>
        <v>0</v>
      </c>
      <c r="BG148" s="113">
        <f t="shared" si="979"/>
        <v>0</v>
      </c>
      <c r="BH148" s="114"/>
      <c r="BI148" s="114">
        <f t="shared" ref="BI148:BO148" si="980">BA148</f>
        <v>0</v>
      </c>
      <c r="BJ148" s="114">
        <f t="shared" si="876"/>
        <v>0</v>
      </c>
      <c r="BK148" s="113"/>
      <c r="BL148" s="124"/>
      <c r="BM148" s="113">
        <f t="shared" si="980"/>
        <v>0</v>
      </c>
      <c r="BN148" s="114">
        <f t="shared" si="980"/>
        <v>0</v>
      </c>
      <c r="BO148" s="113">
        <f t="shared" si="980"/>
        <v>0</v>
      </c>
      <c r="BP148" s="114"/>
      <c r="BQ148" s="114">
        <f t="shared" ref="BQ148:BW148" si="981">BI148</f>
        <v>0</v>
      </c>
      <c r="BR148" s="114">
        <f t="shared" si="878"/>
        <v>0</v>
      </c>
      <c r="BS148" s="113"/>
      <c r="BT148" s="124"/>
      <c r="BU148" s="113">
        <f t="shared" si="981"/>
        <v>0</v>
      </c>
      <c r="BV148" s="114">
        <f t="shared" si="981"/>
        <v>0</v>
      </c>
      <c r="BW148" s="113">
        <f t="shared" si="981"/>
        <v>0</v>
      </c>
      <c r="BX148" s="114"/>
      <c r="BY148" s="114">
        <f t="shared" ref="BY148:CE148" si="982">BQ148</f>
        <v>0</v>
      </c>
      <c r="BZ148" s="114">
        <f t="shared" si="880"/>
        <v>0</v>
      </c>
      <c r="CA148" s="113"/>
      <c r="CB148" s="124"/>
      <c r="CC148" s="113">
        <f t="shared" si="982"/>
        <v>0</v>
      </c>
      <c r="CD148" s="114">
        <f t="shared" si="982"/>
        <v>0</v>
      </c>
      <c r="CE148" s="113">
        <f t="shared" si="982"/>
        <v>0</v>
      </c>
      <c r="CF148" s="114">
        <f t="shared" si="881"/>
        <v>0</v>
      </c>
      <c r="CG148" s="114">
        <f t="shared" si="882"/>
        <v>0</v>
      </c>
      <c r="CH148" s="114">
        <f t="shared" si="883"/>
        <v>0</v>
      </c>
      <c r="CI148" s="113"/>
    </row>
    <row r="149" s="104" customFormat="1" customHeight="1" spans="1:87">
      <c r="A149" s="115" t="s">
        <v>340</v>
      </c>
      <c r="B149" s="116"/>
      <c r="C149" s="116"/>
      <c r="D149" s="116"/>
      <c r="E149" s="117"/>
      <c r="F149" s="118">
        <f>SUM(F137:F148)</f>
        <v>0</v>
      </c>
      <c r="G149" s="114"/>
      <c r="H149" s="124"/>
      <c r="I149" s="115" t="s">
        <v>340</v>
      </c>
      <c r="J149" s="116"/>
      <c r="K149" s="116"/>
      <c r="L149" s="116"/>
      <c r="M149" s="117"/>
      <c r="N149" s="118">
        <f>SUM(N137:N148)</f>
        <v>0</v>
      </c>
      <c r="O149" s="114"/>
      <c r="P149" s="124"/>
      <c r="Q149" s="115" t="s">
        <v>340</v>
      </c>
      <c r="R149" s="116"/>
      <c r="S149" s="116"/>
      <c r="T149" s="116"/>
      <c r="U149" s="117"/>
      <c r="V149" s="118">
        <f>SUM(V137:V148)</f>
        <v>0</v>
      </c>
      <c r="W149" s="114"/>
      <c r="X149" s="124"/>
      <c r="Y149" s="115" t="s">
        <v>340</v>
      </c>
      <c r="Z149" s="116"/>
      <c r="AA149" s="116"/>
      <c r="AB149" s="116"/>
      <c r="AC149" s="117"/>
      <c r="AD149" s="118">
        <f>SUM(AD137:AD148)</f>
        <v>0</v>
      </c>
      <c r="AE149" s="114"/>
      <c r="AF149" s="124"/>
      <c r="AG149" s="115" t="s">
        <v>340</v>
      </c>
      <c r="AH149" s="116"/>
      <c r="AI149" s="116"/>
      <c r="AJ149" s="116"/>
      <c r="AK149" s="117"/>
      <c r="AL149" s="118">
        <f>SUM(AL137:AL148)</f>
        <v>0</v>
      </c>
      <c r="AM149" s="114"/>
      <c r="AN149" s="124"/>
      <c r="AO149" s="115" t="s">
        <v>340</v>
      </c>
      <c r="AP149" s="116"/>
      <c r="AQ149" s="116"/>
      <c r="AR149" s="116"/>
      <c r="AS149" s="117"/>
      <c r="AT149" s="118">
        <f>SUM(AT137:AT148)</f>
        <v>0</v>
      </c>
      <c r="AU149" s="114"/>
      <c r="AV149" s="124"/>
      <c r="AW149" s="115" t="s">
        <v>340</v>
      </c>
      <c r="AX149" s="116"/>
      <c r="AY149" s="116"/>
      <c r="AZ149" s="116"/>
      <c r="BA149" s="117"/>
      <c r="BB149" s="118">
        <f>SUM(BB137:BB148)</f>
        <v>0</v>
      </c>
      <c r="BC149" s="114"/>
      <c r="BD149" s="124"/>
      <c r="BE149" s="115" t="s">
        <v>340</v>
      </c>
      <c r="BF149" s="116"/>
      <c r="BG149" s="116"/>
      <c r="BH149" s="116"/>
      <c r="BI149" s="117"/>
      <c r="BJ149" s="118">
        <f>SUM(BJ137:BJ148)</f>
        <v>0</v>
      </c>
      <c r="BK149" s="114"/>
      <c r="BL149" s="124"/>
      <c r="BM149" s="115" t="s">
        <v>340</v>
      </c>
      <c r="BN149" s="116"/>
      <c r="BO149" s="116"/>
      <c r="BP149" s="116"/>
      <c r="BQ149" s="117"/>
      <c r="BR149" s="118">
        <f>SUM(BR137:BR148)</f>
        <v>0</v>
      </c>
      <c r="BS149" s="114"/>
      <c r="BT149" s="124"/>
      <c r="BU149" s="115" t="s">
        <v>340</v>
      </c>
      <c r="BV149" s="116"/>
      <c r="BW149" s="116"/>
      <c r="BX149" s="116"/>
      <c r="BY149" s="117"/>
      <c r="BZ149" s="118">
        <f>SUM(BZ137:BZ148)</f>
        <v>0</v>
      </c>
      <c r="CA149" s="114"/>
      <c r="CB149" s="124"/>
      <c r="CC149" s="115" t="s">
        <v>340</v>
      </c>
      <c r="CD149" s="116"/>
      <c r="CE149" s="116"/>
      <c r="CF149" s="116"/>
      <c r="CG149" s="117"/>
      <c r="CH149" s="118">
        <f>SUM(CH137:CH148)</f>
        <v>0</v>
      </c>
      <c r="CI149" s="114"/>
    </row>
    <row r="150" s="104" customFormat="1" customHeight="1" spans="1:87">
      <c r="A150" s="119" t="s">
        <v>341</v>
      </c>
      <c r="B150" s="119"/>
      <c r="C150" s="120"/>
      <c r="D150" s="119"/>
      <c r="E150" s="119"/>
      <c r="F150" s="119"/>
      <c r="G150" s="119"/>
      <c r="H150" s="124"/>
      <c r="I150" s="119" t="s">
        <v>341</v>
      </c>
      <c r="J150" s="119"/>
      <c r="K150" s="120"/>
      <c r="L150" s="119"/>
      <c r="M150" s="119"/>
      <c r="N150" s="119"/>
      <c r="O150" s="119"/>
      <c r="P150" s="124"/>
      <c r="Q150" s="119" t="s">
        <v>341</v>
      </c>
      <c r="R150" s="119"/>
      <c r="S150" s="120"/>
      <c r="T150" s="119"/>
      <c r="U150" s="119"/>
      <c r="V150" s="119"/>
      <c r="W150" s="119"/>
      <c r="X150" s="124"/>
      <c r="Y150" s="119" t="s">
        <v>341</v>
      </c>
      <c r="Z150" s="119"/>
      <c r="AA150" s="120"/>
      <c r="AB150" s="119"/>
      <c r="AC150" s="119"/>
      <c r="AD150" s="119"/>
      <c r="AE150" s="119"/>
      <c r="AF150" s="124"/>
      <c r="AG150" s="119" t="s">
        <v>341</v>
      </c>
      <c r="AH150" s="119"/>
      <c r="AI150" s="120"/>
      <c r="AJ150" s="119"/>
      <c r="AK150" s="119"/>
      <c r="AL150" s="119"/>
      <c r="AM150" s="119"/>
      <c r="AN150" s="124"/>
      <c r="AO150" s="119" t="s">
        <v>341</v>
      </c>
      <c r="AP150" s="119"/>
      <c r="AQ150" s="120"/>
      <c r="AR150" s="119"/>
      <c r="AS150" s="119"/>
      <c r="AT150" s="119"/>
      <c r="AU150" s="119"/>
      <c r="AV150" s="124"/>
      <c r="AW150" s="119" t="s">
        <v>341</v>
      </c>
      <c r="AX150" s="119"/>
      <c r="AY150" s="120"/>
      <c r="AZ150" s="119"/>
      <c r="BA150" s="119"/>
      <c r="BB150" s="119"/>
      <c r="BC150" s="119"/>
      <c r="BD150" s="124"/>
      <c r="BE150" s="119" t="s">
        <v>341</v>
      </c>
      <c r="BF150" s="119"/>
      <c r="BG150" s="120"/>
      <c r="BH150" s="119"/>
      <c r="BI150" s="119"/>
      <c r="BJ150" s="119"/>
      <c r="BK150" s="119"/>
      <c r="BL150" s="124"/>
      <c r="BM150" s="119" t="s">
        <v>341</v>
      </c>
      <c r="BN150" s="119"/>
      <c r="BO150" s="120"/>
      <c r="BP150" s="119"/>
      <c r="BQ150" s="119"/>
      <c r="BR150" s="119"/>
      <c r="BS150" s="119"/>
      <c r="BT150" s="124"/>
      <c r="BU150" s="119" t="s">
        <v>341</v>
      </c>
      <c r="BV150" s="119"/>
      <c r="BW150" s="120"/>
      <c r="BX150" s="119"/>
      <c r="BY150" s="119"/>
      <c r="BZ150" s="119"/>
      <c r="CA150" s="119"/>
      <c r="CB150" s="124"/>
      <c r="CC150" s="119" t="s">
        <v>341</v>
      </c>
      <c r="CD150" s="119"/>
      <c r="CE150" s="120"/>
      <c r="CF150" s="119"/>
      <c r="CG150" s="119"/>
      <c r="CH150" s="119"/>
      <c r="CI150" s="119"/>
    </row>
    <row r="153" s="104" customFormat="1" customHeight="1" spans="1:87">
      <c r="A153" s="105"/>
      <c r="B153" s="106"/>
      <c r="C153" s="107" t="s">
        <v>330</v>
      </c>
      <c r="D153" s="107"/>
      <c r="E153" s="107"/>
      <c r="F153" s="105"/>
      <c r="G153" s="105"/>
      <c r="H153" s="124" t="str">
        <f>H134</f>
        <v>RD01</v>
      </c>
      <c r="I153" s="105"/>
      <c r="J153" s="106"/>
      <c r="K153" s="107" t="s">
        <v>330</v>
      </c>
      <c r="L153" s="107"/>
      <c r="M153" s="107"/>
      <c r="N153" s="105"/>
      <c r="O153" s="105"/>
      <c r="P153" s="124" t="str">
        <f>P134</f>
        <v>RD02</v>
      </c>
      <c r="Q153" s="105"/>
      <c r="R153" s="106"/>
      <c r="S153" s="107" t="s">
        <v>330</v>
      </c>
      <c r="T153" s="107"/>
      <c r="U153" s="107"/>
      <c r="V153" s="105"/>
      <c r="W153" s="105"/>
      <c r="X153" s="124" t="str">
        <f>X134</f>
        <v>RD03</v>
      </c>
      <c r="Y153" s="105"/>
      <c r="Z153" s="106"/>
      <c r="AA153" s="107" t="s">
        <v>330</v>
      </c>
      <c r="AB153" s="107"/>
      <c r="AC153" s="107"/>
      <c r="AD153" s="105"/>
      <c r="AE153" s="105"/>
      <c r="AF153" s="124" t="str">
        <f>AF134</f>
        <v>RD04</v>
      </c>
      <c r="AG153" s="105"/>
      <c r="AH153" s="106"/>
      <c r="AI153" s="107" t="s">
        <v>330</v>
      </c>
      <c r="AJ153" s="107"/>
      <c r="AK153" s="107"/>
      <c r="AL153" s="105"/>
      <c r="AM153" s="105"/>
      <c r="AN153" s="124" t="str">
        <f>AN134</f>
        <v>RD05</v>
      </c>
      <c r="AO153" s="105"/>
      <c r="AP153" s="106"/>
      <c r="AQ153" s="107" t="s">
        <v>330</v>
      </c>
      <c r="AR153" s="107"/>
      <c r="AS153" s="107"/>
      <c r="AT153" s="105"/>
      <c r="AU153" s="105"/>
      <c r="AV153" s="124" t="str">
        <f>AV134</f>
        <v>RD06</v>
      </c>
      <c r="AW153" s="105"/>
      <c r="AX153" s="106"/>
      <c r="AY153" s="107" t="s">
        <v>330</v>
      </c>
      <c r="AZ153" s="107"/>
      <c r="BA153" s="107"/>
      <c r="BB153" s="105"/>
      <c r="BC153" s="105"/>
      <c r="BD153" s="124" t="str">
        <f>BD134</f>
        <v>RD07</v>
      </c>
      <c r="BE153" s="105"/>
      <c r="BF153" s="106"/>
      <c r="BG153" s="107" t="s">
        <v>330</v>
      </c>
      <c r="BH153" s="107"/>
      <c r="BI153" s="107"/>
      <c r="BJ153" s="105"/>
      <c r="BK153" s="105"/>
      <c r="BL153" s="124" t="str">
        <f>BL134</f>
        <v>RD08</v>
      </c>
      <c r="BM153" s="105"/>
      <c r="BN153" s="106"/>
      <c r="BO153" s="107" t="s">
        <v>330</v>
      </c>
      <c r="BP153" s="107"/>
      <c r="BQ153" s="107"/>
      <c r="BR153" s="105"/>
      <c r="BS153" s="105"/>
      <c r="BT153" s="124" t="str">
        <f>BT134</f>
        <v>RD09</v>
      </c>
      <c r="BU153" s="105"/>
      <c r="BV153" s="106"/>
      <c r="BW153" s="107" t="s">
        <v>330</v>
      </c>
      <c r="BX153" s="107"/>
      <c r="BY153" s="107"/>
      <c r="BZ153" s="105"/>
      <c r="CA153" s="105"/>
      <c r="CB153" s="124" t="str">
        <f>CB134</f>
        <v>RD10</v>
      </c>
      <c r="CC153" s="105"/>
      <c r="CD153" s="106"/>
      <c r="CE153" s="107" t="s">
        <v>330</v>
      </c>
      <c r="CF153" s="107"/>
      <c r="CG153" s="107"/>
      <c r="CH153" s="105"/>
      <c r="CI153" s="105"/>
    </row>
    <row r="154" s="122" customFormat="1" customHeight="1" spans="1:87">
      <c r="A154" s="108" t="s">
        <v>331</v>
      </c>
      <c r="B154" s="109"/>
      <c r="C154" s="110">
        <v>45930</v>
      </c>
      <c r="D154" s="110"/>
      <c r="E154" s="110"/>
      <c r="F154" s="111"/>
      <c r="G154" s="112"/>
      <c r="H154" s="125"/>
      <c r="I154" s="108" t="s">
        <v>331</v>
      </c>
      <c r="J154" s="109"/>
      <c r="K154" s="110">
        <v>45930</v>
      </c>
      <c r="L154" s="110"/>
      <c r="M154" s="110"/>
      <c r="N154" s="111" t="s">
        <v>332</v>
      </c>
      <c r="O154" s="112" t="str">
        <f>立项!$A$3</f>
        <v>RD01</v>
      </c>
      <c r="P154" s="125"/>
      <c r="Q154" s="108" t="s">
        <v>331</v>
      </c>
      <c r="R154" s="109"/>
      <c r="S154" s="110">
        <v>45930</v>
      </c>
      <c r="T154" s="110"/>
      <c r="U154" s="110"/>
      <c r="V154" s="111" t="s">
        <v>332</v>
      </c>
      <c r="W154" s="112" t="str">
        <f>立项!$A$4</f>
        <v>RD02</v>
      </c>
      <c r="X154" s="125"/>
      <c r="Y154" s="108" t="s">
        <v>331</v>
      </c>
      <c r="Z154" s="109"/>
      <c r="AA154" s="110">
        <v>45930</v>
      </c>
      <c r="AB154" s="110"/>
      <c r="AC154" s="110"/>
      <c r="AD154" s="111" t="s">
        <v>332</v>
      </c>
      <c r="AE154" s="112" t="str">
        <f>立项!$A$5</f>
        <v>RD03</v>
      </c>
      <c r="AF154" s="125"/>
      <c r="AG154" s="108" t="s">
        <v>331</v>
      </c>
      <c r="AH154" s="109"/>
      <c r="AI154" s="110">
        <v>45930</v>
      </c>
      <c r="AJ154" s="110"/>
      <c r="AK154" s="110"/>
      <c r="AL154" s="111" t="s">
        <v>332</v>
      </c>
      <c r="AM154" s="112" t="str">
        <f>立项!$A$6</f>
        <v>RD04</v>
      </c>
      <c r="AN154" s="125"/>
      <c r="AO154" s="108" t="s">
        <v>331</v>
      </c>
      <c r="AP154" s="109"/>
      <c r="AQ154" s="110">
        <v>45930</v>
      </c>
      <c r="AR154" s="110"/>
      <c r="AS154" s="110"/>
      <c r="AT154" s="111" t="s">
        <v>332</v>
      </c>
      <c r="AU154" s="112" t="str">
        <f>立项!$A$7</f>
        <v>RD05</v>
      </c>
      <c r="AV154" s="125"/>
      <c r="AW154" s="108" t="s">
        <v>331</v>
      </c>
      <c r="AX154" s="109"/>
      <c r="AY154" s="110">
        <v>45930</v>
      </c>
      <c r="AZ154" s="110"/>
      <c r="BA154" s="110"/>
      <c r="BB154" s="111" t="s">
        <v>332</v>
      </c>
      <c r="BC154" s="112" t="str">
        <f>立项!$A$8</f>
        <v>RD06</v>
      </c>
      <c r="BD154" s="125"/>
      <c r="BE154" s="108" t="s">
        <v>331</v>
      </c>
      <c r="BF154" s="109"/>
      <c r="BG154" s="110">
        <v>45930</v>
      </c>
      <c r="BH154" s="110"/>
      <c r="BI154" s="110"/>
      <c r="BJ154" s="111" t="s">
        <v>332</v>
      </c>
      <c r="BK154" s="112" t="str">
        <f>立项!$A$9</f>
        <v>RD07</v>
      </c>
      <c r="BL154" s="125"/>
      <c r="BM154" s="108" t="s">
        <v>331</v>
      </c>
      <c r="BN154" s="109"/>
      <c r="BO154" s="110">
        <v>45930</v>
      </c>
      <c r="BP154" s="110"/>
      <c r="BQ154" s="110"/>
      <c r="BR154" s="111" t="s">
        <v>332</v>
      </c>
      <c r="BS154" s="112" t="str">
        <f>立项!$A$10</f>
        <v>RD08</v>
      </c>
      <c r="BT154" s="125"/>
      <c r="BU154" s="108" t="s">
        <v>331</v>
      </c>
      <c r="BV154" s="109"/>
      <c r="BW154" s="110">
        <v>45930</v>
      </c>
      <c r="BX154" s="110"/>
      <c r="BY154" s="110"/>
      <c r="BZ154" s="111" t="s">
        <v>332</v>
      </c>
      <c r="CA154" s="112" t="str">
        <f>立项!$A$11</f>
        <v>RD09</v>
      </c>
      <c r="CB154" s="125"/>
      <c r="CC154" s="108" t="s">
        <v>331</v>
      </c>
      <c r="CD154" s="109"/>
      <c r="CE154" s="110">
        <v>45930</v>
      </c>
      <c r="CF154" s="110"/>
      <c r="CG154" s="110"/>
      <c r="CH154" s="111" t="s">
        <v>332</v>
      </c>
      <c r="CI154" s="112" t="str">
        <f>立项!$A$12</f>
        <v>RD10</v>
      </c>
    </row>
    <row r="155" s="104" customFormat="1" customHeight="1" spans="1:87">
      <c r="A155" s="113" t="s">
        <v>333</v>
      </c>
      <c r="B155" s="113" t="s">
        <v>334</v>
      </c>
      <c r="C155" s="113" t="s">
        <v>335</v>
      </c>
      <c r="D155" s="113" t="s">
        <v>336</v>
      </c>
      <c r="E155" s="113" t="s">
        <v>337</v>
      </c>
      <c r="F155" s="113" t="s">
        <v>338</v>
      </c>
      <c r="G155" s="113" t="s">
        <v>339</v>
      </c>
      <c r="H155" s="124"/>
      <c r="I155" s="113" t="s">
        <v>333</v>
      </c>
      <c r="J155" s="113" t="s">
        <v>334</v>
      </c>
      <c r="K155" s="113" t="s">
        <v>335</v>
      </c>
      <c r="L155" s="113" t="s">
        <v>336</v>
      </c>
      <c r="M155" s="113" t="s">
        <v>337</v>
      </c>
      <c r="N155" s="113" t="s">
        <v>338</v>
      </c>
      <c r="O155" s="113" t="s">
        <v>339</v>
      </c>
      <c r="P155" s="124"/>
      <c r="Q155" s="113" t="s">
        <v>333</v>
      </c>
      <c r="R155" s="113" t="s">
        <v>334</v>
      </c>
      <c r="S155" s="113" t="s">
        <v>335</v>
      </c>
      <c r="T155" s="113" t="s">
        <v>336</v>
      </c>
      <c r="U155" s="113" t="s">
        <v>337</v>
      </c>
      <c r="V155" s="113" t="s">
        <v>338</v>
      </c>
      <c r="W155" s="113" t="s">
        <v>339</v>
      </c>
      <c r="X155" s="124"/>
      <c r="Y155" s="113" t="s">
        <v>333</v>
      </c>
      <c r="Z155" s="113" t="s">
        <v>334</v>
      </c>
      <c r="AA155" s="113" t="s">
        <v>335</v>
      </c>
      <c r="AB155" s="113" t="s">
        <v>336</v>
      </c>
      <c r="AC155" s="113" t="s">
        <v>337</v>
      </c>
      <c r="AD155" s="113" t="s">
        <v>338</v>
      </c>
      <c r="AE155" s="113" t="s">
        <v>339</v>
      </c>
      <c r="AF155" s="124"/>
      <c r="AG155" s="113" t="s">
        <v>333</v>
      </c>
      <c r="AH155" s="113" t="s">
        <v>334</v>
      </c>
      <c r="AI155" s="113" t="s">
        <v>335</v>
      </c>
      <c r="AJ155" s="113" t="s">
        <v>336</v>
      </c>
      <c r="AK155" s="113" t="s">
        <v>337</v>
      </c>
      <c r="AL155" s="113" t="s">
        <v>338</v>
      </c>
      <c r="AM155" s="113" t="s">
        <v>339</v>
      </c>
      <c r="AN155" s="124"/>
      <c r="AO155" s="113" t="s">
        <v>333</v>
      </c>
      <c r="AP155" s="113" t="s">
        <v>334</v>
      </c>
      <c r="AQ155" s="113" t="s">
        <v>335</v>
      </c>
      <c r="AR155" s="113" t="s">
        <v>336</v>
      </c>
      <c r="AS155" s="113" t="s">
        <v>337</v>
      </c>
      <c r="AT155" s="113" t="s">
        <v>338</v>
      </c>
      <c r="AU155" s="113" t="s">
        <v>339</v>
      </c>
      <c r="AV155" s="124"/>
      <c r="AW155" s="113" t="s">
        <v>333</v>
      </c>
      <c r="AX155" s="113" t="s">
        <v>334</v>
      </c>
      <c r="AY155" s="113" t="s">
        <v>335</v>
      </c>
      <c r="AZ155" s="113" t="s">
        <v>336</v>
      </c>
      <c r="BA155" s="113" t="s">
        <v>337</v>
      </c>
      <c r="BB155" s="113" t="s">
        <v>338</v>
      </c>
      <c r="BC155" s="113" t="s">
        <v>339</v>
      </c>
      <c r="BD155" s="124"/>
      <c r="BE155" s="113" t="s">
        <v>333</v>
      </c>
      <c r="BF155" s="113" t="s">
        <v>334</v>
      </c>
      <c r="BG155" s="113" t="s">
        <v>335</v>
      </c>
      <c r="BH155" s="113" t="s">
        <v>336</v>
      </c>
      <c r="BI155" s="113" t="s">
        <v>337</v>
      </c>
      <c r="BJ155" s="113" t="s">
        <v>338</v>
      </c>
      <c r="BK155" s="113" t="s">
        <v>339</v>
      </c>
      <c r="BL155" s="124"/>
      <c r="BM155" s="113" t="s">
        <v>333</v>
      </c>
      <c r="BN155" s="113" t="s">
        <v>334</v>
      </c>
      <c r="BO155" s="113" t="s">
        <v>335</v>
      </c>
      <c r="BP155" s="113" t="s">
        <v>336</v>
      </c>
      <c r="BQ155" s="113" t="s">
        <v>337</v>
      </c>
      <c r="BR155" s="113" t="s">
        <v>338</v>
      </c>
      <c r="BS155" s="113" t="s">
        <v>339</v>
      </c>
      <c r="BT155" s="124"/>
      <c r="BU155" s="113" t="s">
        <v>333</v>
      </c>
      <c r="BV155" s="113" t="s">
        <v>334</v>
      </c>
      <c r="BW155" s="113" t="s">
        <v>335</v>
      </c>
      <c r="BX155" s="113" t="s">
        <v>336</v>
      </c>
      <c r="BY155" s="113" t="s">
        <v>337</v>
      </c>
      <c r="BZ155" s="113" t="s">
        <v>338</v>
      </c>
      <c r="CA155" s="113" t="s">
        <v>339</v>
      </c>
      <c r="CB155" s="124"/>
      <c r="CC155" s="113" t="s">
        <v>333</v>
      </c>
      <c r="CD155" s="113" t="s">
        <v>334</v>
      </c>
      <c r="CE155" s="113" t="s">
        <v>335</v>
      </c>
      <c r="CF155" s="113" t="s">
        <v>336</v>
      </c>
      <c r="CG155" s="113" t="s">
        <v>337</v>
      </c>
      <c r="CH155" s="113" t="s">
        <v>338</v>
      </c>
      <c r="CI155" s="113" t="s">
        <v>339</v>
      </c>
    </row>
    <row r="156" s="104" customFormat="1" customHeight="1" spans="1:87">
      <c r="A156" s="113"/>
      <c r="B156" s="114"/>
      <c r="C156" s="113"/>
      <c r="D156" s="114"/>
      <c r="E156" s="114"/>
      <c r="F156" s="114">
        <f t="shared" ref="F156:F167" si="983">ROUND(D156*E156,2)</f>
        <v>0</v>
      </c>
      <c r="G156" s="113"/>
      <c r="H156" s="124"/>
      <c r="I156" s="113">
        <f t="shared" ref="I156:I167" si="984">A156</f>
        <v>0</v>
      </c>
      <c r="J156" s="114">
        <f t="shared" ref="J156:J167" si="985">B156</f>
        <v>0</v>
      </c>
      <c r="K156" s="113">
        <f t="shared" ref="K156:K167" si="986">C156</f>
        <v>0</v>
      </c>
      <c r="L156" s="114"/>
      <c r="M156" s="114">
        <f t="shared" ref="M156:S156" si="987">E156</f>
        <v>0</v>
      </c>
      <c r="N156" s="114">
        <f t="shared" ref="N156:N167" si="988">ROUND(L156*M156,2)</f>
        <v>0</v>
      </c>
      <c r="O156" s="113"/>
      <c r="P156" s="124"/>
      <c r="Q156" s="113">
        <f t="shared" si="987"/>
        <v>0</v>
      </c>
      <c r="R156" s="114">
        <f t="shared" si="987"/>
        <v>0</v>
      </c>
      <c r="S156" s="113">
        <f t="shared" si="987"/>
        <v>0</v>
      </c>
      <c r="T156" s="114"/>
      <c r="U156" s="114">
        <f t="shared" ref="U156:AA156" si="989">M156</f>
        <v>0</v>
      </c>
      <c r="V156" s="114">
        <f t="shared" ref="V156:V167" si="990">ROUND(T156*U156,2)</f>
        <v>0</v>
      </c>
      <c r="W156" s="113"/>
      <c r="X156" s="124"/>
      <c r="Y156" s="113">
        <f t="shared" si="989"/>
        <v>0</v>
      </c>
      <c r="Z156" s="114">
        <f t="shared" si="989"/>
        <v>0</v>
      </c>
      <c r="AA156" s="113">
        <f t="shared" si="989"/>
        <v>0</v>
      </c>
      <c r="AB156" s="114"/>
      <c r="AC156" s="114">
        <f t="shared" ref="AC156:AI156" si="991">U156</f>
        <v>0</v>
      </c>
      <c r="AD156" s="114">
        <f t="shared" ref="AD156:AD167" si="992">ROUND(AB156*AC156,2)</f>
        <v>0</v>
      </c>
      <c r="AE156" s="113"/>
      <c r="AF156" s="124"/>
      <c r="AG156" s="113">
        <f t="shared" si="991"/>
        <v>0</v>
      </c>
      <c r="AH156" s="114">
        <f t="shared" si="991"/>
        <v>0</v>
      </c>
      <c r="AI156" s="113">
        <f t="shared" si="991"/>
        <v>0</v>
      </c>
      <c r="AJ156" s="114"/>
      <c r="AK156" s="114">
        <f t="shared" ref="AK156:AQ156" si="993">AC156</f>
        <v>0</v>
      </c>
      <c r="AL156" s="114">
        <f t="shared" ref="AL156:AL167" si="994">ROUND(AJ156*AK156,2)</f>
        <v>0</v>
      </c>
      <c r="AM156" s="113"/>
      <c r="AN156" s="124"/>
      <c r="AO156" s="113">
        <f t="shared" si="993"/>
        <v>0</v>
      </c>
      <c r="AP156" s="114">
        <f t="shared" si="993"/>
        <v>0</v>
      </c>
      <c r="AQ156" s="113">
        <f t="shared" si="993"/>
        <v>0</v>
      </c>
      <c r="AR156" s="114"/>
      <c r="AS156" s="114">
        <f t="shared" ref="AS156:AY156" si="995">AK156</f>
        <v>0</v>
      </c>
      <c r="AT156" s="114">
        <f t="shared" ref="AT156:AT167" si="996">ROUND(AR156*AS156,2)</f>
        <v>0</v>
      </c>
      <c r="AU156" s="113"/>
      <c r="AV156" s="124"/>
      <c r="AW156" s="113">
        <f t="shared" si="995"/>
        <v>0</v>
      </c>
      <c r="AX156" s="114">
        <f t="shared" si="995"/>
        <v>0</v>
      </c>
      <c r="AY156" s="113">
        <f t="shared" si="995"/>
        <v>0</v>
      </c>
      <c r="AZ156" s="114"/>
      <c r="BA156" s="114">
        <f t="shared" ref="BA156:BG156" si="997">AS156</f>
        <v>0</v>
      </c>
      <c r="BB156" s="114">
        <f t="shared" ref="BB156:BB167" si="998">ROUND(AZ156*BA156,2)</f>
        <v>0</v>
      </c>
      <c r="BC156" s="113"/>
      <c r="BD156" s="124"/>
      <c r="BE156" s="113">
        <f t="shared" si="997"/>
        <v>0</v>
      </c>
      <c r="BF156" s="114">
        <f t="shared" si="997"/>
        <v>0</v>
      </c>
      <c r="BG156" s="113">
        <f t="shared" si="997"/>
        <v>0</v>
      </c>
      <c r="BH156" s="114"/>
      <c r="BI156" s="114">
        <f t="shared" ref="BI156:BO156" si="999">BA156</f>
        <v>0</v>
      </c>
      <c r="BJ156" s="114">
        <f t="shared" ref="BJ156:BJ167" si="1000">ROUND(BH156*BI156,2)</f>
        <v>0</v>
      </c>
      <c r="BK156" s="113"/>
      <c r="BL156" s="124"/>
      <c r="BM156" s="113">
        <f t="shared" si="999"/>
        <v>0</v>
      </c>
      <c r="BN156" s="114">
        <f t="shared" si="999"/>
        <v>0</v>
      </c>
      <c r="BO156" s="113">
        <f t="shared" si="999"/>
        <v>0</v>
      </c>
      <c r="BP156" s="114"/>
      <c r="BQ156" s="114">
        <f t="shared" ref="BQ156:BW156" si="1001">BI156</f>
        <v>0</v>
      </c>
      <c r="BR156" s="114">
        <f t="shared" ref="BR156:BR167" si="1002">ROUND(BP156*BQ156,2)</f>
        <v>0</v>
      </c>
      <c r="BS156" s="113"/>
      <c r="BT156" s="124"/>
      <c r="BU156" s="113">
        <f t="shared" si="1001"/>
        <v>0</v>
      </c>
      <c r="BV156" s="114">
        <f t="shared" si="1001"/>
        <v>0</v>
      </c>
      <c r="BW156" s="113">
        <f t="shared" si="1001"/>
        <v>0</v>
      </c>
      <c r="BX156" s="114"/>
      <c r="BY156" s="114">
        <f t="shared" ref="BY156:CE156" si="1003">BQ156</f>
        <v>0</v>
      </c>
      <c r="BZ156" s="114">
        <f t="shared" ref="BZ156:BZ167" si="1004">ROUND(BX156*BY156,2)</f>
        <v>0</v>
      </c>
      <c r="CA156" s="113"/>
      <c r="CB156" s="124"/>
      <c r="CC156" s="113">
        <f t="shared" si="1003"/>
        <v>0</v>
      </c>
      <c r="CD156" s="114">
        <f t="shared" si="1003"/>
        <v>0</v>
      </c>
      <c r="CE156" s="113">
        <f t="shared" si="1003"/>
        <v>0</v>
      </c>
      <c r="CF156" s="114">
        <f t="shared" ref="CF156:CF167" si="1005">D156-L156-T156-AB156-AJ156-AR156-AZ156-BH156-BP156-BX156</f>
        <v>0</v>
      </c>
      <c r="CG156" s="114">
        <f t="shared" ref="CG156:CG167" si="1006">BY156</f>
        <v>0</v>
      </c>
      <c r="CH156" s="114">
        <f t="shared" ref="CH156:CH167" si="1007">F156-N156-V156-AD156-AL156-AT156-BB156-BJ156-BR156-BZ156</f>
        <v>0</v>
      </c>
      <c r="CI156" s="113"/>
    </row>
    <row r="157" customHeight="1" spans="1:87">
      <c r="A157" s="113"/>
      <c r="B157" s="114"/>
      <c r="C157" s="113"/>
      <c r="D157" s="114"/>
      <c r="E157" s="114"/>
      <c r="F157" s="114">
        <f t="shared" si="983"/>
        <v>0</v>
      </c>
      <c r="G157" s="113"/>
      <c r="I157" s="113">
        <f t="shared" si="984"/>
        <v>0</v>
      </c>
      <c r="J157" s="114">
        <f t="shared" si="985"/>
        <v>0</v>
      </c>
      <c r="K157" s="113">
        <f t="shared" si="986"/>
        <v>0</v>
      </c>
      <c r="L157" s="114"/>
      <c r="M157" s="114">
        <f t="shared" ref="M157:S157" si="1008">E157</f>
        <v>0</v>
      </c>
      <c r="N157" s="114">
        <f t="shared" si="988"/>
        <v>0</v>
      </c>
      <c r="O157" s="113"/>
      <c r="Q157" s="113">
        <f t="shared" si="1008"/>
        <v>0</v>
      </c>
      <c r="R157" s="114">
        <f t="shared" si="1008"/>
        <v>0</v>
      </c>
      <c r="S157" s="113">
        <f t="shared" si="1008"/>
        <v>0</v>
      </c>
      <c r="T157" s="114"/>
      <c r="U157" s="114">
        <f t="shared" ref="U157:AA157" si="1009">M157</f>
        <v>0</v>
      </c>
      <c r="V157" s="114">
        <f t="shared" si="990"/>
        <v>0</v>
      </c>
      <c r="W157" s="113"/>
      <c r="Y157" s="113">
        <f t="shared" si="1009"/>
        <v>0</v>
      </c>
      <c r="Z157" s="114">
        <f t="shared" si="1009"/>
        <v>0</v>
      </c>
      <c r="AA157" s="113">
        <f t="shared" si="1009"/>
        <v>0</v>
      </c>
      <c r="AB157" s="114"/>
      <c r="AC157" s="114">
        <f t="shared" ref="AC157:AI157" si="1010">U157</f>
        <v>0</v>
      </c>
      <c r="AD157" s="114">
        <f t="shared" si="992"/>
        <v>0</v>
      </c>
      <c r="AE157" s="113"/>
      <c r="AG157" s="113">
        <f t="shared" si="1010"/>
        <v>0</v>
      </c>
      <c r="AH157" s="114">
        <f t="shared" si="1010"/>
        <v>0</v>
      </c>
      <c r="AI157" s="113">
        <f t="shared" si="1010"/>
        <v>0</v>
      </c>
      <c r="AJ157" s="114"/>
      <c r="AK157" s="114">
        <f t="shared" ref="AK157:AQ157" si="1011">AC157</f>
        <v>0</v>
      </c>
      <c r="AL157" s="114">
        <f t="shared" si="994"/>
        <v>0</v>
      </c>
      <c r="AM157" s="113"/>
      <c r="AO157" s="113">
        <f t="shared" si="1011"/>
        <v>0</v>
      </c>
      <c r="AP157" s="114">
        <f t="shared" si="1011"/>
        <v>0</v>
      </c>
      <c r="AQ157" s="113">
        <f t="shared" si="1011"/>
        <v>0</v>
      </c>
      <c r="AR157" s="114"/>
      <c r="AS157" s="114">
        <f t="shared" ref="AS157:AY157" si="1012">AK157</f>
        <v>0</v>
      </c>
      <c r="AT157" s="114">
        <f t="shared" si="996"/>
        <v>0</v>
      </c>
      <c r="AU157" s="113"/>
      <c r="AW157" s="113">
        <f t="shared" si="1012"/>
        <v>0</v>
      </c>
      <c r="AX157" s="114">
        <f t="shared" si="1012"/>
        <v>0</v>
      </c>
      <c r="AY157" s="113">
        <f t="shared" si="1012"/>
        <v>0</v>
      </c>
      <c r="AZ157" s="114"/>
      <c r="BA157" s="114">
        <f t="shared" ref="BA157:BG157" si="1013">AS157</f>
        <v>0</v>
      </c>
      <c r="BB157" s="114">
        <f t="shared" si="998"/>
        <v>0</v>
      </c>
      <c r="BC157" s="113"/>
      <c r="BE157" s="113">
        <f t="shared" si="1013"/>
        <v>0</v>
      </c>
      <c r="BF157" s="114">
        <f t="shared" si="1013"/>
        <v>0</v>
      </c>
      <c r="BG157" s="113">
        <f t="shared" si="1013"/>
        <v>0</v>
      </c>
      <c r="BH157" s="114"/>
      <c r="BI157" s="114">
        <f t="shared" ref="BI157:BO157" si="1014">BA157</f>
        <v>0</v>
      </c>
      <c r="BJ157" s="114">
        <f t="shared" si="1000"/>
        <v>0</v>
      </c>
      <c r="BK157" s="113"/>
      <c r="BM157" s="113">
        <f t="shared" si="1014"/>
        <v>0</v>
      </c>
      <c r="BN157" s="114">
        <f t="shared" si="1014"/>
        <v>0</v>
      </c>
      <c r="BO157" s="113">
        <f t="shared" si="1014"/>
        <v>0</v>
      </c>
      <c r="BP157" s="114"/>
      <c r="BQ157" s="114">
        <f t="shared" ref="BQ157:BW157" si="1015">BI157</f>
        <v>0</v>
      </c>
      <c r="BR157" s="114">
        <f t="shared" si="1002"/>
        <v>0</v>
      </c>
      <c r="BS157" s="113"/>
      <c r="BU157" s="113">
        <f t="shared" si="1015"/>
        <v>0</v>
      </c>
      <c r="BV157" s="114">
        <f t="shared" si="1015"/>
        <v>0</v>
      </c>
      <c r="BW157" s="113">
        <f t="shared" si="1015"/>
        <v>0</v>
      </c>
      <c r="BX157" s="114"/>
      <c r="BY157" s="114">
        <f t="shared" ref="BY157:CE157" si="1016">BQ157</f>
        <v>0</v>
      </c>
      <c r="BZ157" s="114">
        <f t="shared" si="1004"/>
        <v>0</v>
      </c>
      <c r="CA157" s="113"/>
      <c r="CC157" s="113">
        <f t="shared" si="1016"/>
        <v>0</v>
      </c>
      <c r="CD157" s="114">
        <f t="shared" si="1016"/>
        <v>0</v>
      </c>
      <c r="CE157" s="113">
        <f t="shared" si="1016"/>
        <v>0</v>
      </c>
      <c r="CF157" s="114">
        <f t="shared" si="1005"/>
        <v>0</v>
      </c>
      <c r="CG157" s="114">
        <f t="shared" si="1006"/>
        <v>0</v>
      </c>
      <c r="CH157" s="114">
        <f t="shared" si="1007"/>
        <v>0</v>
      </c>
      <c r="CI157" s="113"/>
    </row>
    <row r="158" customHeight="1" spans="1:87">
      <c r="A158" s="113"/>
      <c r="B158" s="114"/>
      <c r="C158" s="113"/>
      <c r="D158" s="114"/>
      <c r="E158" s="114"/>
      <c r="F158" s="114">
        <f t="shared" si="983"/>
        <v>0</v>
      </c>
      <c r="G158" s="113"/>
      <c r="I158" s="113">
        <f t="shared" si="984"/>
        <v>0</v>
      </c>
      <c r="J158" s="114">
        <f t="shared" si="985"/>
        <v>0</v>
      </c>
      <c r="K158" s="113">
        <f t="shared" si="986"/>
        <v>0</v>
      </c>
      <c r="L158" s="114"/>
      <c r="M158" s="114">
        <f t="shared" ref="M158:S158" si="1017">E158</f>
        <v>0</v>
      </c>
      <c r="N158" s="114">
        <f t="shared" si="988"/>
        <v>0</v>
      </c>
      <c r="O158" s="113"/>
      <c r="Q158" s="113">
        <f t="shared" si="1017"/>
        <v>0</v>
      </c>
      <c r="R158" s="114">
        <f t="shared" si="1017"/>
        <v>0</v>
      </c>
      <c r="S158" s="113">
        <f t="shared" si="1017"/>
        <v>0</v>
      </c>
      <c r="T158" s="114"/>
      <c r="U158" s="114">
        <f t="shared" ref="U158:AA158" si="1018">M158</f>
        <v>0</v>
      </c>
      <c r="V158" s="114">
        <f t="shared" si="990"/>
        <v>0</v>
      </c>
      <c r="W158" s="113"/>
      <c r="Y158" s="113">
        <f t="shared" si="1018"/>
        <v>0</v>
      </c>
      <c r="Z158" s="114">
        <f t="shared" si="1018"/>
        <v>0</v>
      </c>
      <c r="AA158" s="113">
        <f t="shared" si="1018"/>
        <v>0</v>
      </c>
      <c r="AB158" s="114"/>
      <c r="AC158" s="114">
        <f t="shared" ref="AC158:AI158" si="1019">U158</f>
        <v>0</v>
      </c>
      <c r="AD158" s="114">
        <f t="shared" si="992"/>
        <v>0</v>
      </c>
      <c r="AE158" s="113"/>
      <c r="AG158" s="113">
        <f t="shared" si="1019"/>
        <v>0</v>
      </c>
      <c r="AH158" s="114">
        <f t="shared" si="1019"/>
        <v>0</v>
      </c>
      <c r="AI158" s="113">
        <f t="shared" si="1019"/>
        <v>0</v>
      </c>
      <c r="AJ158" s="114"/>
      <c r="AK158" s="114">
        <f t="shared" ref="AK158:AQ158" si="1020">AC158</f>
        <v>0</v>
      </c>
      <c r="AL158" s="114">
        <f t="shared" si="994"/>
        <v>0</v>
      </c>
      <c r="AM158" s="113"/>
      <c r="AO158" s="113">
        <f t="shared" si="1020"/>
        <v>0</v>
      </c>
      <c r="AP158" s="114">
        <f t="shared" si="1020"/>
        <v>0</v>
      </c>
      <c r="AQ158" s="113">
        <f t="shared" si="1020"/>
        <v>0</v>
      </c>
      <c r="AR158" s="114"/>
      <c r="AS158" s="114">
        <f t="shared" ref="AS158:AY158" si="1021">AK158</f>
        <v>0</v>
      </c>
      <c r="AT158" s="114">
        <f t="shared" si="996"/>
        <v>0</v>
      </c>
      <c r="AU158" s="113"/>
      <c r="AW158" s="113">
        <f t="shared" si="1021"/>
        <v>0</v>
      </c>
      <c r="AX158" s="114">
        <f t="shared" si="1021"/>
        <v>0</v>
      </c>
      <c r="AY158" s="113">
        <f t="shared" si="1021"/>
        <v>0</v>
      </c>
      <c r="AZ158" s="114"/>
      <c r="BA158" s="114">
        <f t="shared" ref="BA158:BG158" si="1022">AS158</f>
        <v>0</v>
      </c>
      <c r="BB158" s="114">
        <f t="shared" si="998"/>
        <v>0</v>
      </c>
      <c r="BC158" s="113"/>
      <c r="BE158" s="113">
        <f t="shared" si="1022"/>
        <v>0</v>
      </c>
      <c r="BF158" s="114">
        <f t="shared" si="1022"/>
        <v>0</v>
      </c>
      <c r="BG158" s="113">
        <f t="shared" si="1022"/>
        <v>0</v>
      </c>
      <c r="BH158" s="114"/>
      <c r="BI158" s="114">
        <f t="shared" ref="BI158:BO158" si="1023">BA158</f>
        <v>0</v>
      </c>
      <c r="BJ158" s="114">
        <f t="shared" si="1000"/>
        <v>0</v>
      </c>
      <c r="BK158" s="113"/>
      <c r="BM158" s="113">
        <f t="shared" si="1023"/>
        <v>0</v>
      </c>
      <c r="BN158" s="114">
        <f t="shared" si="1023"/>
        <v>0</v>
      </c>
      <c r="BO158" s="113">
        <f t="shared" si="1023"/>
        <v>0</v>
      </c>
      <c r="BP158" s="114"/>
      <c r="BQ158" s="114">
        <f t="shared" ref="BQ158:BW158" si="1024">BI158</f>
        <v>0</v>
      </c>
      <c r="BR158" s="114">
        <f t="shared" si="1002"/>
        <v>0</v>
      </c>
      <c r="BS158" s="113"/>
      <c r="BU158" s="113">
        <f t="shared" si="1024"/>
        <v>0</v>
      </c>
      <c r="BV158" s="114">
        <f t="shared" si="1024"/>
        <v>0</v>
      </c>
      <c r="BW158" s="113">
        <f t="shared" si="1024"/>
        <v>0</v>
      </c>
      <c r="BX158" s="114"/>
      <c r="BY158" s="114">
        <f t="shared" ref="BY158:CE158" si="1025">BQ158</f>
        <v>0</v>
      </c>
      <c r="BZ158" s="114">
        <f t="shared" si="1004"/>
        <v>0</v>
      </c>
      <c r="CA158" s="113"/>
      <c r="CC158" s="113">
        <f t="shared" si="1025"/>
        <v>0</v>
      </c>
      <c r="CD158" s="114">
        <f t="shared" si="1025"/>
        <v>0</v>
      </c>
      <c r="CE158" s="113">
        <f t="shared" si="1025"/>
        <v>0</v>
      </c>
      <c r="CF158" s="114">
        <f t="shared" si="1005"/>
        <v>0</v>
      </c>
      <c r="CG158" s="114">
        <f t="shared" si="1006"/>
        <v>0</v>
      </c>
      <c r="CH158" s="114">
        <f t="shared" si="1007"/>
        <v>0</v>
      </c>
      <c r="CI158" s="113"/>
    </row>
    <row r="159" s="104" customFormat="1" customHeight="1" spans="1:87">
      <c r="A159" s="126"/>
      <c r="B159" s="127"/>
      <c r="C159" s="126"/>
      <c r="D159" s="127"/>
      <c r="E159" s="127"/>
      <c r="F159" s="114">
        <f t="shared" si="983"/>
        <v>0</v>
      </c>
      <c r="G159" s="113"/>
      <c r="H159" s="124"/>
      <c r="I159" s="113">
        <f t="shared" si="984"/>
        <v>0</v>
      </c>
      <c r="J159" s="114">
        <f t="shared" si="985"/>
        <v>0</v>
      </c>
      <c r="K159" s="113">
        <f t="shared" si="986"/>
        <v>0</v>
      </c>
      <c r="L159" s="114"/>
      <c r="M159" s="114">
        <f t="shared" ref="M159:S159" si="1026">E159</f>
        <v>0</v>
      </c>
      <c r="N159" s="114">
        <f t="shared" si="988"/>
        <v>0</v>
      </c>
      <c r="O159" s="113"/>
      <c r="P159" s="124"/>
      <c r="Q159" s="113">
        <f t="shared" si="1026"/>
        <v>0</v>
      </c>
      <c r="R159" s="114">
        <f t="shared" si="1026"/>
        <v>0</v>
      </c>
      <c r="S159" s="113">
        <f t="shared" si="1026"/>
        <v>0</v>
      </c>
      <c r="T159" s="114"/>
      <c r="U159" s="114">
        <f t="shared" ref="U159:AA159" si="1027">M159</f>
        <v>0</v>
      </c>
      <c r="V159" s="114">
        <f t="shared" si="990"/>
        <v>0</v>
      </c>
      <c r="W159" s="113"/>
      <c r="X159" s="124"/>
      <c r="Y159" s="113">
        <f t="shared" si="1027"/>
        <v>0</v>
      </c>
      <c r="Z159" s="114">
        <f t="shared" si="1027"/>
        <v>0</v>
      </c>
      <c r="AA159" s="113">
        <f t="shared" si="1027"/>
        <v>0</v>
      </c>
      <c r="AB159" s="114"/>
      <c r="AC159" s="114">
        <f t="shared" ref="AC159:AI159" si="1028">U159</f>
        <v>0</v>
      </c>
      <c r="AD159" s="114">
        <f t="shared" si="992"/>
        <v>0</v>
      </c>
      <c r="AE159" s="113"/>
      <c r="AF159" s="124"/>
      <c r="AG159" s="113">
        <f t="shared" si="1028"/>
        <v>0</v>
      </c>
      <c r="AH159" s="114">
        <f t="shared" si="1028"/>
        <v>0</v>
      </c>
      <c r="AI159" s="113">
        <f t="shared" si="1028"/>
        <v>0</v>
      </c>
      <c r="AJ159" s="114"/>
      <c r="AK159" s="114">
        <f t="shared" ref="AK159:AQ159" si="1029">AC159</f>
        <v>0</v>
      </c>
      <c r="AL159" s="114">
        <f t="shared" si="994"/>
        <v>0</v>
      </c>
      <c r="AM159" s="113"/>
      <c r="AN159" s="124"/>
      <c r="AO159" s="113">
        <f t="shared" si="1029"/>
        <v>0</v>
      </c>
      <c r="AP159" s="114">
        <f t="shared" si="1029"/>
        <v>0</v>
      </c>
      <c r="AQ159" s="113">
        <f t="shared" si="1029"/>
        <v>0</v>
      </c>
      <c r="AR159" s="114"/>
      <c r="AS159" s="114">
        <f t="shared" ref="AS159:AY159" si="1030">AK159</f>
        <v>0</v>
      </c>
      <c r="AT159" s="114">
        <f t="shared" si="996"/>
        <v>0</v>
      </c>
      <c r="AU159" s="113"/>
      <c r="AV159" s="124"/>
      <c r="AW159" s="113">
        <f t="shared" si="1030"/>
        <v>0</v>
      </c>
      <c r="AX159" s="114">
        <f t="shared" si="1030"/>
        <v>0</v>
      </c>
      <c r="AY159" s="113">
        <f t="shared" si="1030"/>
        <v>0</v>
      </c>
      <c r="AZ159" s="114"/>
      <c r="BA159" s="114">
        <f t="shared" ref="BA159:BG159" si="1031">AS159</f>
        <v>0</v>
      </c>
      <c r="BB159" s="114">
        <f t="shared" si="998"/>
        <v>0</v>
      </c>
      <c r="BC159" s="113"/>
      <c r="BD159" s="124"/>
      <c r="BE159" s="113">
        <f t="shared" si="1031"/>
        <v>0</v>
      </c>
      <c r="BF159" s="114">
        <f t="shared" si="1031"/>
        <v>0</v>
      </c>
      <c r="BG159" s="113">
        <f t="shared" si="1031"/>
        <v>0</v>
      </c>
      <c r="BH159" s="114"/>
      <c r="BI159" s="114">
        <f t="shared" ref="BI159:BO159" si="1032">BA159</f>
        <v>0</v>
      </c>
      <c r="BJ159" s="114">
        <f t="shared" si="1000"/>
        <v>0</v>
      </c>
      <c r="BK159" s="113"/>
      <c r="BL159" s="124"/>
      <c r="BM159" s="113">
        <f t="shared" si="1032"/>
        <v>0</v>
      </c>
      <c r="BN159" s="114">
        <f t="shared" si="1032"/>
        <v>0</v>
      </c>
      <c r="BO159" s="113">
        <f t="shared" si="1032"/>
        <v>0</v>
      </c>
      <c r="BP159" s="114"/>
      <c r="BQ159" s="114">
        <f t="shared" ref="BQ159:BW159" si="1033">BI159</f>
        <v>0</v>
      </c>
      <c r="BR159" s="114">
        <f t="shared" si="1002"/>
        <v>0</v>
      </c>
      <c r="BS159" s="113"/>
      <c r="BT159" s="124"/>
      <c r="BU159" s="113">
        <f t="shared" si="1033"/>
        <v>0</v>
      </c>
      <c r="BV159" s="114">
        <f t="shared" si="1033"/>
        <v>0</v>
      </c>
      <c r="BW159" s="113">
        <f t="shared" si="1033"/>
        <v>0</v>
      </c>
      <c r="BX159" s="114"/>
      <c r="BY159" s="114">
        <f t="shared" ref="BY159:CE159" si="1034">BQ159</f>
        <v>0</v>
      </c>
      <c r="BZ159" s="114">
        <f t="shared" si="1004"/>
        <v>0</v>
      </c>
      <c r="CA159" s="113"/>
      <c r="CB159" s="124"/>
      <c r="CC159" s="113">
        <f t="shared" si="1034"/>
        <v>0</v>
      </c>
      <c r="CD159" s="114">
        <f t="shared" si="1034"/>
        <v>0</v>
      </c>
      <c r="CE159" s="113">
        <f t="shared" si="1034"/>
        <v>0</v>
      </c>
      <c r="CF159" s="114">
        <f t="shared" si="1005"/>
        <v>0</v>
      </c>
      <c r="CG159" s="114">
        <f t="shared" si="1006"/>
        <v>0</v>
      </c>
      <c r="CH159" s="114">
        <f t="shared" si="1007"/>
        <v>0</v>
      </c>
      <c r="CI159" s="113"/>
    </row>
    <row r="160" s="104" customFormat="1" customHeight="1" spans="1:87">
      <c r="A160" s="126"/>
      <c r="B160" s="127"/>
      <c r="C160" s="126"/>
      <c r="D160" s="127"/>
      <c r="E160" s="127"/>
      <c r="F160" s="114">
        <f t="shared" si="983"/>
        <v>0</v>
      </c>
      <c r="G160" s="113"/>
      <c r="H160" s="124"/>
      <c r="I160" s="113">
        <f t="shared" si="984"/>
        <v>0</v>
      </c>
      <c r="J160" s="114">
        <f t="shared" si="985"/>
        <v>0</v>
      </c>
      <c r="K160" s="113">
        <f t="shared" si="986"/>
        <v>0</v>
      </c>
      <c r="L160" s="114"/>
      <c r="M160" s="114">
        <f t="shared" ref="M160:S160" si="1035">E160</f>
        <v>0</v>
      </c>
      <c r="N160" s="114">
        <f t="shared" si="988"/>
        <v>0</v>
      </c>
      <c r="O160" s="113"/>
      <c r="P160" s="124"/>
      <c r="Q160" s="113">
        <f t="shared" si="1035"/>
        <v>0</v>
      </c>
      <c r="R160" s="114">
        <f t="shared" si="1035"/>
        <v>0</v>
      </c>
      <c r="S160" s="113">
        <f t="shared" si="1035"/>
        <v>0</v>
      </c>
      <c r="T160" s="114"/>
      <c r="U160" s="114">
        <f t="shared" ref="U160:AA160" si="1036">M160</f>
        <v>0</v>
      </c>
      <c r="V160" s="114">
        <f t="shared" si="990"/>
        <v>0</v>
      </c>
      <c r="W160" s="113"/>
      <c r="X160" s="124"/>
      <c r="Y160" s="113">
        <f t="shared" si="1036"/>
        <v>0</v>
      </c>
      <c r="Z160" s="114">
        <f t="shared" si="1036"/>
        <v>0</v>
      </c>
      <c r="AA160" s="113">
        <f t="shared" si="1036"/>
        <v>0</v>
      </c>
      <c r="AB160" s="114"/>
      <c r="AC160" s="114">
        <f t="shared" ref="AC160:AI160" si="1037">U160</f>
        <v>0</v>
      </c>
      <c r="AD160" s="114">
        <f t="shared" si="992"/>
        <v>0</v>
      </c>
      <c r="AE160" s="113"/>
      <c r="AF160" s="124"/>
      <c r="AG160" s="113">
        <f t="shared" si="1037"/>
        <v>0</v>
      </c>
      <c r="AH160" s="114">
        <f t="shared" si="1037"/>
        <v>0</v>
      </c>
      <c r="AI160" s="113">
        <f t="shared" si="1037"/>
        <v>0</v>
      </c>
      <c r="AJ160" s="114"/>
      <c r="AK160" s="114">
        <f t="shared" ref="AK160:AQ160" si="1038">AC160</f>
        <v>0</v>
      </c>
      <c r="AL160" s="114">
        <f t="shared" si="994"/>
        <v>0</v>
      </c>
      <c r="AM160" s="113"/>
      <c r="AN160" s="124"/>
      <c r="AO160" s="113">
        <f t="shared" si="1038"/>
        <v>0</v>
      </c>
      <c r="AP160" s="114">
        <f t="shared" si="1038"/>
        <v>0</v>
      </c>
      <c r="AQ160" s="113">
        <f t="shared" si="1038"/>
        <v>0</v>
      </c>
      <c r="AR160" s="114"/>
      <c r="AS160" s="114">
        <f t="shared" ref="AS160:AY160" si="1039">AK160</f>
        <v>0</v>
      </c>
      <c r="AT160" s="114">
        <f t="shared" si="996"/>
        <v>0</v>
      </c>
      <c r="AU160" s="113"/>
      <c r="AV160" s="124"/>
      <c r="AW160" s="113">
        <f t="shared" si="1039"/>
        <v>0</v>
      </c>
      <c r="AX160" s="114">
        <f t="shared" si="1039"/>
        <v>0</v>
      </c>
      <c r="AY160" s="113">
        <f t="shared" si="1039"/>
        <v>0</v>
      </c>
      <c r="AZ160" s="114"/>
      <c r="BA160" s="114">
        <f t="shared" ref="BA160:BG160" si="1040">AS160</f>
        <v>0</v>
      </c>
      <c r="BB160" s="114">
        <f t="shared" si="998"/>
        <v>0</v>
      </c>
      <c r="BC160" s="113"/>
      <c r="BD160" s="124"/>
      <c r="BE160" s="113">
        <f t="shared" si="1040"/>
        <v>0</v>
      </c>
      <c r="BF160" s="114">
        <f t="shared" si="1040"/>
        <v>0</v>
      </c>
      <c r="BG160" s="113">
        <f t="shared" si="1040"/>
        <v>0</v>
      </c>
      <c r="BH160" s="114"/>
      <c r="BI160" s="114">
        <f t="shared" ref="BI160:BO160" si="1041">BA160</f>
        <v>0</v>
      </c>
      <c r="BJ160" s="114">
        <f t="shared" si="1000"/>
        <v>0</v>
      </c>
      <c r="BK160" s="113"/>
      <c r="BL160" s="124"/>
      <c r="BM160" s="113">
        <f t="shared" si="1041"/>
        <v>0</v>
      </c>
      <c r="BN160" s="114">
        <f t="shared" si="1041"/>
        <v>0</v>
      </c>
      <c r="BO160" s="113">
        <f t="shared" si="1041"/>
        <v>0</v>
      </c>
      <c r="BP160" s="114"/>
      <c r="BQ160" s="114">
        <f t="shared" ref="BQ160:BW160" si="1042">BI160</f>
        <v>0</v>
      </c>
      <c r="BR160" s="114">
        <f t="shared" si="1002"/>
        <v>0</v>
      </c>
      <c r="BS160" s="113"/>
      <c r="BT160" s="124"/>
      <c r="BU160" s="113">
        <f t="shared" si="1042"/>
        <v>0</v>
      </c>
      <c r="BV160" s="114">
        <f t="shared" si="1042"/>
        <v>0</v>
      </c>
      <c r="BW160" s="113">
        <f t="shared" si="1042"/>
        <v>0</v>
      </c>
      <c r="BX160" s="114"/>
      <c r="BY160" s="114">
        <f t="shared" ref="BY160:CE160" si="1043">BQ160</f>
        <v>0</v>
      </c>
      <c r="BZ160" s="114">
        <f t="shared" si="1004"/>
        <v>0</v>
      </c>
      <c r="CA160" s="113"/>
      <c r="CB160" s="124"/>
      <c r="CC160" s="113">
        <f t="shared" si="1043"/>
        <v>0</v>
      </c>
      <c r="CD160" s="114">
        <f t="shared" si="1043"/>
        <v>0</v>
      </c>
      <c r="CE160" s="113">
        <f t="shared" si="1043"/>
        <v>0</v>
      </c>
      <c r="CF160" s="114">
        <f t="shared" si="1005"/>
        <v>0</v>
      </c>
      <c r="CG160" s="114">
        <f t="shared" si="1006"/>
        <v>0</v>
      </c>
      <c r="CH160" s="114">
        <f t="shared" si="1007"/>
        <v>0</v>
      </c>
      <c r="CI160" s="113"/>
    </row>
    <row r="161" s="104" customFormat="1" customHeight="1" spans="1:87">
      <c r="A161" s="126"/>
      <c r="B161" s="127"/>
      <c r="C161" s="126"/>
      <c r="D161" s="127"/>
      <c r="E161" s="127"/>
      <c r="F161" s="114">
        <f t="shared" si="983"/>
        <v>0</v>
      </c>
      <c r="G161" s="113"/>
      <c r="H161" s="124"/>
      <c r="I161" s="113">
        <f t="shared" si="984"/>
        <v>0</v>
      </c>
      <c r="J161" s="114">
        <f t="shared" si="985"/>
        <v>0</v>
      </c>
      <c r="K161" s="113">
        <f t="shared" si="986"/>
        <v>0</v>
      </c>
      <c r="L161" s="114"/>
      <c r="M161" s="114">
        <f t="shared" ref="M161:S161" si="1044">E161</f>
        <v>0</v>
      </c>
      <c r="N161" s="114">
        <f t="shared" si="988"/>
        <v>0</v>
      </c>
      <c r="O161" s="113"/>
      <c r="P161" s="124"/>
      <c r="Q161" s="113">
        <f t="shared" si="1044"/>
        <v>0</v>
      </c>
      <c r="R161" s="114">
        <f t="shared" si="1044"/>
        <v>0</v>
      </c>
      <c r="S161" s="113">
        <f t="shared" si="1044"/>
        <v>0</v>
      </c>
      <c r="T161" s="114"/>
      <c r="U161" s="114">
        <f t="shared" ref="U161:AA161" si="1045">M161</f>
        <v>0</v>
      </c>
      <c r="V161" s="114">
        <f t="shared" si="990"/>
        <v>0</v>
      </c>
      <c r="W161" s="113"/>
      <c r="X161" s="124"/>
      <c r="Y161" s="113">
        <f t="shared" si="1045"/>
        <v>0</v>
      </c>
      <c r="Z161" s="114">
        <f t="shared" si="1045"/>
        <v>0</v>
      </c>
      <c r="AA161" s="113">
        <f t="shared" si="1045"/>
        <v>0</v>
      </c>
      <c r="AB161" s="114"/>
      <c r="AC161" s="114">
        <f t="shared" ref="AC161:AI161" si="1046">U161</f>
        <v>0</v>
      </c>
      <c r="AD161" s="114">
        <f t="shared" si="992"/>
        <v>0</v>
      </c>
      <c r="AE161" s="113"/>
      <c r="AF161" s="124"/>
      <c r="AG161" s="113">
        <f t="shared" si="1046"/>
        <v>0</v>
      </c>
      <c r="AH161" s="114">
        <f t="shared" si="1046"/>
        <v>0</v>
      </c>
      <c r="AI161" s="113">
        <f t="shared" si="1046"/>
        <v>0</v>
      </c>
      <c r="AJ161" s="114"/>
      <c r="AK161" s="114">
        <f t="shared" ref="AK161:AQ161" si="1047">AC161</f>
        <v>0</v>
      </c>
      <c r="AL161" s="114">
        <f t="shared" si="994"/>
        <v>0</v>
      </c>
      <c r="AM161" s="113"/>
      <c r="AN161" s="124"/>
      <c r="AO161" s="113">
        <f t="shared" si="1047"/>
        <v>0</v>
      </c>
      <c r="AP161" s="114">
        <f t="shared" si="1047"/>
        <v>0</v>
      </c>
      <c r="AQ161" s="113">
        <f t="shared" si="1047"/>
        <v>0</v>
      </c>
      <c r="AR161" s="114"/>
      <c r="AS161" s="114">
        <f t="shared" ref="AS161:AY161" si="1048">AK161</f>
        <v>0</v>
      </c>
      <c r="AT161" s="114">
        <f t="shared" si="996"/>
        <v>0</v>
      </c>
      <c r="AU161" s="113"/>
      <c r="AV161" s="124"/>
      <c r="AW161" s="113">
        <f t="shared" si="1048"/>
        <v>0</v>
      </c>
      <c r="AX161" s="114">
        <f t="shared" si="1048"/>
        <v>0</v>
      </c>
      <c r="AY161" s="113">
        <f t="shared" si="1048"/>
        <v>0</v>
      </c>
      <c r="AZ161" s="114"/>
      <c r="BA161" s="114">
        <f t="shared" ref="BA161:BG161" si="1049">AS161</f>
        <v>0</v>
      </c>
      <c r="BB161" s="114">
        <f t="shared" si="998"/>
        <v>0</v>
      </c>
      <c r="BC161" s="113"/>
      <c r="BD161" s="124"/>
      <c r="BE161" s="113">
        <f t="shared" si="1049"/>
        <v>0</v>
      </c>
      <c r="BF161" s="114">
        <f t="shared" si="1049"/>
        <v>0</v>
      </c>
      <c r="BG161" s="113">
        <f t="shared" si="1049"/>
        <v>0</v>
      </c>
      <c r="BH161" s="114"/>
      <c r="BI161" s="114">
        <f t="shared" ref="BI161:BO161" si="1050">BA161</f>
        <v>0</v>
      </c>
      <c r="BJ161" s="114">
        <f t="shared" si="1000"/>
        <v>0</v>
      </c>
      <c r="BK161" s="113"/>
      <c r="BL161" s="124"/>
      <c r="BM161" s="113">
        <f t="shared" si="1050"/>
        <v>0</v>
      </c>
      <c r="BN161" s="114">
        <f t="shared" si="1050"/>
        <v>0</v>
      </c>
      <c r="BO161" s="113">
        <f t="shared" si="1050"/>
        <v>0</v>
      </c>
      <c r="BP161" s="114"/>
      <c r="BQ161" s="114">
        <f t="shared" ref="BQ161:BW161" si="1051">BI161</f>
        <v>0</v>
      </c>
      <c r="BR161" s="114">
        <f t="shared" si="1002"/>
        <v>0</v>
      </c>
      <c r="BS161" s="113"/>
      <c r="BT161" s="124"/>
      <c r="BU161" s="113">
        <f t="shared" si="1051"/>
        <v>0</v>
      </c>
      <c r="BV161" s="114">
        <f t="shared" si="1051"/>
        <v>0</v>
      </c>
      <c r="BW161" s="113">
        <f t="shared" si="1051"/>
        <v>0</v>
      </c>
      <c r="BX161" s="114"/>
      <c r="BY161" s="114">
        <f t="shared" ref="BY161:CE161" si="1052">BQ161</f>
        <v>0</v>
      </c>
      <c r="BZ161" s="114">
        <f t="shared" si="1004"/>
        <v>0</v>
      </c>
      <c r="CA161" s="113"/>
      <c r="CB161" s="124"/>
      <c r="CC161" s="113">
        <f t="shared" si="1052"/>
        <v>0</v>
      </c>
      <c r="CD161" s="114">
        <f t="shared" si="1052"/>
        <v>0</v>
      </c>
      <c r="CE161" s="113">
        <f t="shared" si="1052"/>
        <v>0</v>
      </c>
      <c r="CF161" s="114">
        <f t="shared" si="1005"/>
        <v>0</v>
      </c>
      <c r="CG161" s="114">
        <f t="shared" si="1006"/>
        <v>0</v>
      </c>
      <c r="CH161" s="114">
        <f t="shared" si="1007"/>
        <v>0</v>
      </c>
      <c r="CI161" s="113"/>
    </row>
    <row r="162" s="104" customFormat="1" customHeight="1" spans="1:87">
      <c r="A162" s="126"/>
      <c r="B162" s="127"/>
      <c r="C162" s="126"/>
      <c r="D162" s="127"/>
      <c r="E162" s="127"/>
      <c r="F162" s="114">
        <f t="shared" si="983"/>
        <v>0</v>
      </c>
      <c r="G162" s="113"/>
      <c r="H162" s="124"/>
      <c r="I162" s="113">
        <f t="shared" si="984"/>
        <v>0</v>
      </c>
      <c r="J162" s="114">
        <f t="shared" si="985"/>
        <v>0</v>
      </c>
      <c r="K162" s="113">
        <f t="shared" si="986"/>
        <v>0</v>
      </c>
      <c r="L162" s="114"/>
      <c r="M162" s="114">
        <f t="shared" ref="M162:S162" si="1053">E162</f>
        <v>0</v>
      </c>
      <c r="N162" s="114">
        <f t="shared" si="988"/>
        <v>0</v>
      </c>
      <c r="O162" s="113"/>
      <c r="P162" s="124"/>
      <c r="Q162" s="113">
        <f t="shared" si="1053"/>
        <v>0</v>
      </c>
      <c r="R162" s="114">
        <f t="shared" si="1053"/>
        <v>0</v>
      </c>
      <c r="S162" s="113">
        <f t="shared" si="1053"/>
        <v>0</v>
      </c>
      <c r="T162" s="114"/>
      <c r="U162" s="114">
        <f t="shared" ref="U162:AA162" si="1054">M162</f>
        <v>0</v>
      </c>
      <c r="V162" s="114">
        <f t="shared" si="990"/>
        <v>0</v>
      </c>
      <c r="W162" s="113"/>
      <c r="X162" s="124"/>
      <c r="Y162" s="113">
        <f t="shared" si="1054"/>
        <v>0</v>
      </c>
      <c r="Z162" s="114">
        <f t="shared" si="1054"/>
        <v>0</v>
      </c>
      <c r="AA162" s="113">
        <f t="shared" si="1054"/>
        <v>0</v>
      </c>
      <c r="AB162" s="114"/>
      <c r="AC162" s="114">
        <f t="shared" ref="AC162:AI162" si="1055">U162</f>
        <v>0</v>
      </c>
      <c r="AD162" s="114">
        <f t="shared" si="992"/>
        <v>0</v>
      </c>
      <c r="AE162" s="113"/>
      <c r="AF162" s="124"/>
      <c r="AG162" s="113">
        <f t="shared" si="1055"/>
        <v>0</v>
      </c>
      <c r="AH162" s="114">
        <f t="shared" si="1055"/>
        <v>0</v>
      </c>
      <c r="AI162" s="113">
        <f t="shared" si="1055"/>
        <v>0</v>
      </c>
      <c r="AJ162" s="114"/>
      <c r="AK162" s="114">
        <f t="shared" ref="AK162:AQ162" si="1056">AC162</f>
        <v>0</v>
      </c>
      <c r="AL162" s="114">
        <f t="shared" si="994"/>
        <v>0</v>
      </c>
      <c r="AM162" s="113"/>
      <c r="AN162" s="124"/>
      <c r="AO162" s="113">
        <f t="shared" si="1056"/>
        <v>0</v>
      </c>
      <c r="AP162" s="114">
        <f t="shared" si="1056"/>
        <v>0</v>
      </c>
      <c r="AQ162" s="113">
        <f t="shared" si="1056"/>
        <v>0</v>
      </c>
      <c r="AR162" s="114"/>
      <c r="AS162" s="114">
        <f t="shared" ref="AS162:AY162" si="1057">AK162</f>
        <v>0</v>
      </c>
      <c r="AT162" s="114">
        <f t="shared" si="996"/>
        <v>0</v>
      </c>
      <c r="AU162" s="113"/>
      <c r="AV162" s="124"/>
      <c r="AW162" s="113">
        <f t="shared" si="1057"/>
        <v>0</v>
      </c>
      <c r="AX162" s="114">
        <f t="shared" si="1057"/>
        <v>0</v>
      </c>
      <c r="AY162" s="113">
        <f t="shared" si="1057"/>
        <v>0</v>
      </c>
      <c r="AZ162" s="114"/>
      <c r="BA162" s="114">
        <f t="shared" ref="BA162:BG162" si="1058">AS162</f>
        <v>0</v>
      </c>
      <c r="BB162" s="114">
        <f t="shared" si="998"/>
        <v>0</v>
      </c>
      <c r="BC162" s="113"/>
      <c r="BD162" s="124"/>
      <c r="BE162" s="113">
        <f t="shared" si="1058"/>
        <v>0</v>
      </c>
      <c r="BF162" s="114">
        <f t="shared" si="1058"/>
        <v>0</v>
      </c>
      <c r="BG162" s="113">
        <f t="shared" si="1058"/>
        <v>0</v>
      </c>
      <c r="BH162" s="114"/>
      <c r="BI162" s="114">
        <f t="shared" ref="BI162:BO162" si="1059">BA162</f>
        <v>0</v>
      </c>
      <c r="BJ162" s="114">
        <f t="shared" si="1000"/>
        <v>0</v>
      </c>
      <c r="BK162" s="113"/>
      <c r="BL162" s="124"/>
      <c r="BM162" s="113">
        <f t="shared" si="1059"/>
        <v>0</v>
      </c>
      <c r="BN162" s="114">
        <f t="shared" si="1059"/>
        <v>0</v>
      </c>
      <c r="BO162" s="113">
        <f t="shared" si="1059"/>
        <v>0</v>
      </c>
      <c r="BP162" s="114"/>
      <c r="BQ162" s="114">
        <f t="shared" ref="BQ162:BW162" si="1060">BI162</f>
        <v>0</v>
      </c>
      <c r="BR162" s="114">
        <f t="shared" si="1002"/>
        <v>0</v>
      </c>
      <c r="BS162" s="113"/>
      <c r="BT162" s="124"/>
      <c r="BU162" s="113">
        <f t="shared" si="1060"/>
        <v>0</v>
      </c>
      <c r="BV162" s="114">
        <f t="shared" si="1060"/>
        <v>0</v>
      </c>
      <c r="BW162" s="113">
        <f t="shared" si="1060"/>
        <v>0</v>
      </c>
      <c r="BX162" s="114"/>
      <c r="BY162" s="114">
        <f t="shared" ref="BY162:CE162" si="1061">BQ162</f>
        <v>0</v>
      </c>
      <c r="BZ162" s="114">
        <f t="shared" si="1004"/>
        <v>0</v>
      </c>
      <c r="CA162" s="113"/>
      <c r="CB162" s="124"/>
      <c r="CC162" s="113">
        <f t="shared" si="1061"/>
        <v>0</v>
      </c>
      <c r="CD162" s="114">
        <f t="shared" si="1061"/>
        <v>0</v>
      </c>
      <c r="CE162" s="113">
        <f t="shared" si="1061"/>
        <v>0</v>
      </c>
      <c r="CF162" s="114">
        <f t="shared" si="1005"/>
        <v>0</v>
      </c>
      <c r="CG162" s="114">
        <f t="shared" si="1006"/>
        <v>0</v>
      </c>
      <c r="CH162" s="114">
        <f t="shared" si="1007"/>
        <v>0</v>
      </c>
      <c r="CI162" s="113"/>
    </row>
    <row r="163" s="104" customFormat="1" customHeight="1" spans="1:87">
      <c r="A163" s="126"/>
      <c r="B163" s="127"/>
      <c r="C163" s="126"/>
      <c r="D163" s="127"/>
      <c r="E163" s="127"/>
      <c r="F163" s="114">
        <f t="shared" si="983"/>
        <v>0</v>
      </c>
      <c r="G163" s="113"/>
      <c r="H163" s="124"/>
      <c r="I163" s="113">
        <f t="shared" si="984"/>
        <v>0</v>
      </c>
      <c r="J163" s="114">
        <f t="shared" si="985"/>
        <v>0</v>
      </c>
      <c r="K163" s="113">
        <f t="shared" si="986"/>
        <v>0</v>
      </c>
      <c r="L163" s="114"/>
      <c r="M163" s="114">
        <f t="shared" ref="M163:S163" si="1062">E163</f>
        <v>0</v>
      </c>
      <c r="N163" s="114">
        <f t="shared" si="988"/>
        <v>0</v>
      </c>
      <c r="O163" s="113"/>
      <c r="P163" s="124"/>
      <c r="Q163" s="113">
        <f t="shared" si="1062"/>
        <v>0</v>
      </c>
      <c r="R163" s="114">
        <f t="shared" si="1062"/>
        <v>0</v>
      </c>
      <c r="S163" s="113">
        <f t="shared" si="1062"/>
        <v>0</v>
      </c>
      <c r="T163" s="114"/>
      <c r="U163" s="114">
        <f t="shared" ref="U163:AA163" si="1063">M163</f>
        <v>0</v>
      </c>
      <c r="V163" s="114">
        <f t="shared" si="990"/>
        <v>0</v>
      </c>
      <c r="W163" s="113"/>
      <c r="X163" s="124"/>
      <c r="Y163" s="113">
        <f t="shared" si="1063"/>
        <v>0</v>
      </c>
      <c r="Z163" s="114">
        <f t="shared" si="1063"/>
        <v>0</v>
      </c>
      <c r="AA163" s="113">
        <f t="shared" si="1063"/>
        <v>0</v>
      </c>
      <c r="AB163" s="114"/>
      <c r="AC163" s="114">
        <f t="shared" ref="AC163:AI163" si="1064">U163</f>
        <v>0</v>
      </c>
      <c r="AD163" s="114">
        <f t="shared" si="992"/>
        <v>0</v>
      </c>
      <c r="AE163" s="113"/>
      <c r="AF163" s="124"/>
      <c r="AG163" s="113">
        <f t="shared" si="1064"/>
        <v>0</v>
      </c>
      <c r="AH163" s="114">
        <f t="shared" si="1064"/>
        <v>0</v>
      </c>
      <c r="AI163" s="113">
        <f t="shared" si="1064"/>
        <v>0</v>
      </c>
      <c r="AJ163" s="114"/>
      <c r="AK163" s="114">
        <f t="shared" ref="AK163:AQ163" si="1065">AC163</f>
        <v>0</v>
      </c>
      <c r="AL163" s="114">
        <f t="shared" si="994"/>
        <v>0</v>
      </c>
      <c r="AM163" s="113"/>
      <c r="AN163" s="124"/>
      <c r="AO163" s="113">
        <f t="shared" si="1065"/>
        <v>0</v>
      </c>
      <c r="AP163" s="114">
        <f t="shared" si="1065"/>
        <v>0</v>
      </c>
      <c r="AQ163" s="113">
        <f t="shared" si="1065"/>
        <v>0</v>
      </c>
      <c r="AR163" s="114"/>
      <c r="AS163" s="114">
        <f t="shared" ref="AS163:AY163" si="1066">AK163</f>
        <v>0</v>
      </c>
      <c r="AT163" s="114">
        <f t="shared" si="996"/>
        <v>0</v>
      </c>
      <c r="AU163" s="113"/>
      <c r="AV163" s="124"/>
      <c r="AW163" s="113">
        <f t="shared" si="1066"/>
        <v>0</v>
      </c>
      <c r="AX163" s="114">
        <f t="shared" si="1066"/>
        <v>0</v>
      </c>
      <c r="AY163" s="113">
        <f t="shared" si="1066"/>
        <v>0</v>
      </c>
      <c r="AZ163" s="114"/>
      <c r="BA163" s="114">
        <f t="shared" ref="BA163:BG163" si="1067">AS163</f>
        <v>0</v>
      </c>
      <c r="BB163" s="114">
        <f t="shared" si="998"/>
        <v>0</v>
      </c>
      <c r="BC163" s="113"/>
      <c r="BD163" s="124"/>
      <c r="BE163" s="113">
        <f t="shared" si="1067"/>
        <v>0</v>
      </c>
      <c r="BF163" s="114">
        <f t="shared" si="1067"/>
        <v>0</v>
      </c>
      <c r="BG163" s="113">
        <f t="shared" si="1067"/>
        <v>0</v>
      </c>
      <c r="BH163" s="114"/>
      <c r="BI163" s="114">
        <f t="shared" ref="BI163:BO163" si="1068">BA163</f>
        <v>0</v>
      </c>
      <c r="BJ163" s="114">
        <f t="shared" si="1000"/>
        <v>0</v>
      </c>
      <c r="BK163" s="113"/>
      <c r="BL163" s="124"/>
      <c r="BM163" s="113">
        <f t="shared" si="1068"/>
        <v>0</v>
      </c>
      <c r="BN163" s="114">
        <f t="shared" si="1068"/>
        <v>0</v>
      </c>
      <c r="BO163" s="113">
        <f t="shared" si="1068"/>
        <v>0</v>
      </c>
      <c r="BP163" s="114"/>
      <c r="BQ163" s="114">
        <f t="shared" ref="BQ163:BW163" si="1069">BI163</f>
        <v>0</v>
      </c>
      <c r="BR163" s="114">
        <f t="shared" si="1002"/>
        <v>0</v>
      </c>
      <c r="BS163" s="113"/>
      <c r="BT163" s="124"/>
      <c r="BU163" s="113">
        <f t="shared" si="1069"/>
        <v>0</v>
      </c>
      <c r="BV163" s="114">
        <f t="shared" si="1069"/>
        <v>0</v>
      </c>
      <c r="BW163" s="113">
        <f t="shared" si="1069"/>
        <v>0</v>
      </c>
      <c r="BX163" s="114"/>
      <c r="BY163" s="114">
        <f t="shared" ref="BY163:CE163" si="1070">BQ163</f>
        <v>0</v>
      </c>
      <c r="BZ163" s="114">
        <f t="shared" si="1004"/>
        <v>0</v>
      </c>
      <c r="CA163" s="113"/>
      <c r="CB163" s="124"/>
      <c r="CC163" s="113">
        <f t="shared" si="1070"/>
        <v>0</v>
      </c>
      <c r="CD163" s="114">
        <f t="shared" si="1070"/>
        <v>0</v>
      </c>
      <c r="CE163" s="113">
        <f t="shared" si="1070"/>
        <v>0</v>
      </c>
      <c r="CF163" s="114">
        <f t="shared" si="1005"/>
        <v>0</v>
      </c>
      <c r="CG163" s="114">
        <f t="shared" si="1006"/>
        <v>0</v>
      </c>
      <c r="CH163" s="114">
        <f t="shared" si="1007"/>
        <v>0</v>
      </c>
      <c r="CI163" s="113"/>
    </row>
    <row r="164" s="104" customFormat="1" customHeight="1" spans="1:87">
      <c r="A164" s="113"/>
      <c r="B164" s="114"/>
      <c r="C164" s="113"/>
      <c r="D164" s="114"/>
      <c r="E164" s="114"/>
      <c r="F164" s="114">
        <f t="shared" si="983"/>
        <v>0</v>
      </c>
      <c r="G164" s="113"/>
      <c r="H164" s="124"/>
      <c r="I164" s="113">
        <f t="shared" si="984"/>
        <v>0</v>
      </c>
      <c r="J164" s="114">
        <f t="shared" si="985"/>
        <v>0</v>
      </c>
      <c r="K164" s="113">
        <f t="shared" si="986"/>
        <v>0</v>
      </c>
      <c r="L164" s="114"/>
      <c r="M164" s="114">
        <f t="shared" ref="M164:S164" si="1071">E164</f>
        <v>0</v>
      </c>
      <c r="N164" s="114">
        <f t="shared" si="988"/>
        <v>0</v>
      </c>
      <c r="O164" s="113"/>
      <c r="P164" s="124"/>
      <c r="Q164" s="113">
        <f t="shared" si="1071"/>
        <v>0</v>
      </c>
      <c r="R164" s="114">
        <f t="shared" si="1071"/>
        <v>0</v>
      </c>
      <c r="S164" s="113">
        <f t="shared" si="1071"/>
        <v>0</v>
      </c>
      <c r="T164" s="114"/>
      <c r="U164" s="114">
        <f t="shared" ref="U164:AA164" si="1072">M164</f>
        <v>0</v>
      </c>
      <c r="V164" s="114">
        <f t="shared" si="990"/>
        <v>0</v>
      </c>
      <c r="W164" s="113"/>
      <c r="X164" s="124"/>
      <c r="Y164" s="113">
        <f t="shared" si="1072"/>
        <v>0</v>
      </c>
      <c r="Z164" s="114">
        <f t="shared" si="1072"/>
        <v>0</v>
      </c>
      <c r="AA164" s="113">
        <f t="shared" si="1072"/>
        <v>0</v>
      </c>
      <c r="AB164" s="114"/>
      <c r="AC164" s="114">
        <f t="shared" ref="AC164:AI164" si="1073">U164</f>
        <v>0</v>
      </c>
      <c r="AD164" s="114">
        <f t="shared" si="992"/>
        <v>0</v>
      </c>
      <c r="AE164" s="113"/>
      <c r="AF164" s="124"/>
      <c r="AG164" s="113">
        <f t="shared" si="1073"/>
        <v>0</v>
      </c>
      <c r="AH164" s="114">
        <f t="shared" si="1073"/>
        <v>0</v>
      </c>
      <c r="AI164" s="113">
        <f t="shared" si="1073"/>
        <v>0</v>
      </c>
      <c r="AJ164" s="114"/>
      <c r="AK164" s="114">
        <f t="shared" ref="AK164:AQ164" si="1074">AC164</f>
        <v>0</v>
      </c>
      <c r="AL164" s="114">
        <f t="shared" si="994"/>
        <v>0</v>
      </c>
      <c r="AM164" s="113"/>
      <c r="AN164" s="124"/>
      <c r="AO164" s="113">
        <f t="shared" si="1074"/>
        <v>0</v>
      </c>
      <c r="AP164" s="114">
        <f t="shared" si="1074"/>
        <v>0</v>
      </c>
      <c r="AQ164" s="113">
        <f t="shared" si="1074"/>
        <v>0</v>
      </c>
      <c r="AR164" s="114"/>
      <c r="AS164" s="114">
        <f t="shared" ref="AS164:AY164" si="1075">AK164</f>
        <v>0</v>
      </c>
      <c r="AT164" s="114">
        <f t="shared" si="996"/>
        <v>0</v>
      </c>
      <c r="AU164" s="113"/>
      <c r="AV164" s="124"/>
      <c r="AW164" s="113">
        <f t="shared" si="1075"/>
        <v>0</v>
      </c>
      <c r="AX164" s="114">
        <f t="shared" si="1075"/>
        <v>0</v>
      </c>
      <c r="AY164" s="113">
        <f t="shared" si="1075"/>
        <v>0</v>
      </c>
      <c r="AZ164" s="114"/>
      <c r="BA164" s="114">
        <f t="shared" ref="BA164:BG164" si="1076">AS164</f>
        <v>0</v>
      </c>
      <c r="BB164" s="114">
        <f t="shared" si="998"/>
        <v>0</v>
      </c>
      <c r="BC164" s="113"/>
      <c r="BD164" s="124"/>
      <c r="BE164" s="113">
        <f t="shared" si="1076"/>
        <v>0</v>
      </c>
      <c r="BF164" s="114">
        <f t="shared" si="1076"/>
        <v>0</v>
      </c>
      <c r="BG164" s="113">
        <f t="shared" si="1076"/>
        <v>0</v>
      </c>
      <c r="BH164" s="114"/>
      <c r="BI164" s="114">
        <f t="shared" ref="BI164:BO164" si="1077">BA164</f>
        <v>0</v>
      </c>
      <c r="BJ164" s="114">
        <f t="shared" si="1000"/>
        <v>0</v>
      </c>
      <c r="BK164" s="113"/>
      <c r="BL164" s="124"/>
      <c r="BM164" s="113">
        <f t="shared" si="1077"/>
        <v>0</v>
      </c>
      <c r="BN164" s="114">
        <f t="shared" si="1077"/>
        <v>0</v>
      </c>
      <c r="BO164" s="113">
        <f t="shared" si="1077"/>
        <v>0</v>
      </c>
      <c r="BP164" s="114"/>
      <c r="BQ164" s="114">
        <f t="shared" ref="BQ164:BW164" si="1078">BI164</f>
        <v>0</v>
      </c>
      <c r="BR164" s="114">
        <f t="shared" si="1002"/>
        <v>0</v>
      </c>
      <c r="BS164" s="113"/>
      <c r="BT164" s="124"/>
      <c r="BU164" s="113">
        <f t="shared" si="1078"/>
        <v>0</v>
      </c>
      <c r="BV164" s="114">
        <f t="shared" si="1078"/>
        <v>0</v>
      </c>
      <c r="BW164" s="113">
        <f t="shared" si="1078"/>
        <v>0</v>
      </c>
      <c r="BX164" s="114"/>
      <c r="BY164" s="114">
        <f t="shared" ref="BY164:CE164" si="1079">BQ164</f>
        <v>0</v>
      </c>
      <c r="BZ164" s="114">
        <f t="shared" si="1004"/>
        <v>0</v>
      </c>
      <c r="CA164" s="113"/>
      <c r="CB164" s="124"/>
      <c r="CC164" s="113">
        <f t="shared" si="1079"/>
        <v>0</v>
      </c>
      <c r="CD164" s="114">
        <f t="shared" si="1079"/>
        <v>0</v>
      </c>
      <c r="CE164" s="113">
        <f t="shared" si="1079"/>
        <v>0</v>
      </c>
      <c r="CF164" s="114">
        <f t="shared" si="1005"/>
        <v>0</v>
      </c>
      <c r="CG164" s="114">
        <f t="shared" si="1006"/>
        <v>0</v>
      </c>
      <c r="CH164" s="114">
        <f t="shared" si="1007"/>
        <v>0</v>
      </c>
      <c r="CI164" s="113"/>
    </row>
    <row r="165" s="104" customFormat="1" customHeight="1" spans="1:87">
      <c r="A165" s="113"/>
      <c r="B165" s="114"/>
      <c r="C165" s="113"/>
      <c r="D165" s="114"/>
      <c r="E165" s="114"/>
      <c r="F165" s="114">
        <f t="shared" si="983"/>
        <v>0</v>
      </c>
      <c r="G165" s="113"/>
      <c r="H165" s="124"/>
      <c r="I165" s="113">
        <f t="shared" si="984"/>
        <v>0</v>
      </c>
      <c r="J165" s="114">
        <f t="shared" si="985"/>
        <v>0</v>
      </c>
      <c r="K165" s="113">
        <f t="shared" si="986"/>
        <v>0</v>
      </c>
      <c r="L165" s="114"/>
      <c r="M165" s="114">
        <f t="shared" ref="M165:S165" si="1080">E165</f>
        <v>0</v>
      </c>
      <c r="N165" s="114">
        <f t="shared" si="988"/>
        <v>0</v>
      </c>
      <c r="O165" s="113"/>
      <c r="P165" s="124"/>
      <c r="Q165" s="113">
        <f t="shared" si="1080"/>
        <v>0</v>
      </c>
      <c r="R165" s="114">
        <f t="shared" si="1080"/>
        <v>0</v>
      </c>
      <c r="S165" s="113">
        <f t="shared" si="1080"/>
        <v>0</v>
      </c>
      <c r="T165" s="114"/>
      <c r="U165" s="114">
        <f t="shared" ref="U165:AA165" si="1081">M165</f>
        <v>0</v>
      </c>
      <c r="V165" s="114">
        <f t="shared" si="990"/>
        <v>0</v>
      </c>
      <c r="W165" s="113"/>
      <c r="X165" s="124"/>
      <c r="Y165" s="113">
        <f t="shared" si="1081"/>
        <v>0</v>
      </c>
      <c r="Z165" s="114">
        <f t="shared" si="1081"/>
        <v>0</v>
      </c>
      <c r="AA165" s="113">
        <f t="shared" si="1081"/>
        <v>0</v>
      </c>
      <c r="AB165" s="114"/>
      <c r="AC165" s="114">
        <f t="shared" ref="AC165:AI165" si="1082">U165</f>
        <v>0</v>
      </c>
      <c r="AD165" s="114">
        <f t="shared" si="992"/>
        <v>0</v>
      </c>
      <c r="AE165" s="113"/>
      <c r="AF165" s="124"/>
      <c r="AG165" s="113">
        <f t="shared" si="1082"/>
        <v>0</v>
      </c>
      <c r="AH165" s="114">
        <f t="shared" si="1082"/>
        <v>0</v>
      </c>
      <c r="AI165" s="113">
        <f t="shared" si="1082"/>
        <v>0</v>
      </c>
      <c r="AJ165" s="114"/>
      <c r="AK165" s="114">
        <f t="shared" ref="AK165:AQ165" si="1083">AC165</f>
        <v>0</v>
      </c>
      <c r="AL165" s="114">
        <f t="shared" si="994"/>
        <v>0</v>
      </c>
      <c r="AM165" s="113"/>
      <c r="AN165" s="124"/>
      <c r="AO165" s="113">
        <f t="shared" si="1083"/>
        <v>0</v>
      </c>
      <c r="AP165" s="114">
        <f t="shared" si="1083"/>
        <v>0</v>
      </c>
      <c r="AQ165" s="113">
        <f t="shared" si="1083"/>
        <v>0</v>
      </c>
      <c r="AR165" s="114"/>
      <c r="AS165" s="114">
        <f t="shared" ref="AS165:AY165" si="1084">AK165</f>
        <v>0</v>
      </c>
      <c r="AT165" s="114">
        <f t="shared" si="996"/>
        <v>0</v>
      </c>
      <c r="AU165" s="113"/>
      <c r="AV165" s="124"/>
      <c r="AW165" s="113">
        <f t="shared" si="1084"/>
        <v>0</v>
      </c>
      <c r="AX165" s="114">
        <f t="shared" si="1084"/>
        <v>0</v>
      </c>
      <c r="AY165" s="113">
        <f t="shared" si="1084"/>
        <v>0</v>
      </c>
      <c r="AZ165" s="114"/>
      <c r="BA165" s="114">
        <f t="shared" ref="BA165:BG165" si="1085">AS165</f>
        <v>0</v>
      </c>
      <c r="BB165" s="114">
        <f t="shared" si="998"/>
        <v>0</v>
      </c>
      <c r="BC165" s="113"/>
      <c r="BD165" s="124"/>
      <c r="BE165" s="113">
        <f t="shared" si="1085"/>
        <v>0</v>
      </c>
      <c r="BF165" s="114">
        <f t="shared" si="1085"/>
        <v>0</v>
      </c>
      <c r="BG165" s="113">
        <f t="shared" si="1085"/>
        <v>0</v>
      </c>
      <c r="BH165" s="114"/>
      <c r="BI165" s="114">
        <f t="shared" ref="BI165:BO165" si="1086">BA165</f>
        <v>0</v>
      </c>
      <c r="BJ165" s="114">
        <f t="shared" si="1000"/>
        <v>0</v>
      </c>
      <c r="BK165" s="113"/>
      <c r="BL165" s="124"/>
      <c r="BM165" s="113">
        <f t="shared" si="1086"/>
        <v>0</v>
      </c>
      <c r="BN165" s="114">
        <f t="shared" si="1086"/>
        <v>0</v>
      </c>
      <c r="BO165" s="113">
        <f t="shared" si="1086"/>
        <v>0</v>
      </c>
      <c r="BP165" s="114"/>
      <c r="BQ165" s="114">
        <f t="shared" ref="BQ165:BW165" si="1087">BI165</f>
        <v>0</v>
      </c>
      <c r="BR165" s="114">
        <f t="shared" si="1002"/>
        <v>0</v>
      </c>
      <c r="BS165" s="113"/>
      <c r="BT165" s="124"/>
      <c r="BU165" s="113">
        <f t="shared" si="1087"/>
        <v>0</v>
      </c>
      <c r="BV165" s="114">
        <f t="shared" si="1087"/>
        <v>0</v>
      </c>
      <c r="BW165" s="113">
        <f t="shared" si="1087"/>
        <v>0</v>
      </c>
      <c r="BX165" s="114"/>
      <c r="BY165" s="114">
        <f t="shared" ref="BY165:CE165" si="1088">BQ165</f>
        <v>0</v>
      </c>
      <c r="BZ165" s="114">
        <f t="shared" si="1004"/>
        <v>0</v>
      </c>
      <c r="CA165" s="113"/>
      <c r="CB165" s="124"/>
      <c r="CC165" s="113">
        <f t="shared" si="1088"/>
        <v>0</v>
      </c>
      <c r="CD165" s="114">
        <f t="shared" si="1088"/>
        <v>0</v>
      </c>
      <c r="CE165" s="113">
        <f t="shared" si="1088"/>
        <v>0</v>
      </c>
      <c r="CF165" s="114">
        <f t="shared" si="1005"/>
        <v>0</v>
      </c>
      <c r="CG165" s="114">
        <f t="shared" si="1006"/>
        <v>0</v>
      </c>
      <c r="CH165" s="114">
        <f t="shared" si="1007"/>
        <v>0</v>
      </c>
      <c r="CI165" s="113"/>
    </row>
    <row r="166" s="104" customFormat="1" customHeight="1" spans="1:87">
      <c r="A166" s="113"/>
      <c r="B166" s="114"/>
      <c r="C166" s="113"/>
      <c r="D166" s="114"/>
      <c r="E166" s="114"/>
      <c r="F166" s="114">
        <f t="shared" si="983"/>
        <v>0</v>
      </c>
      <c r="G166" s="113"/>
      <c r="H166" s="124"/>
      <c r="I166" s="113">
        <f t="shared" si="984"/>
        <v>0</v>
      </c>
      <c r="J166" s="114">
        <f t="shared" si="985"/>
        <v>0</v>
      </c>
      <c r="K166" s="113">
        <f t="shared" si="986"/>
        <v>0</v>
      </c>
      <c r="L166" s="114"/>
      <c r="M166" s="114">
        <f t="shared" ref="M166:S166" si="1089">E166</f>
        <v>0</v>
      </c>
      <c r="N166" s="114">
        <f t="shared" si="988"/>
        <v>0</v>
      </c>
      <c r="O166" s="113"/>
      <c r="P166" s="124"/>
      <c r="Q166" s="113">
        <f t="shared" si="1089"/>
        <v>0</v>
      </c>
      <c r="R166" s="114">
        <f t="shared" si="1089"/>
        <v>0</v>
      </c>
      <c r="S166" s="113">
        <f t="shared" si="1089"/>
        <v>0</v>
      </c>
      <c r="T166" s="114"/>
      <c r="U166" s="114">
        <f t="shared" ref="U166:AA166" si="1090">M166</f>
        <v>0</v>
      </c>
      <c r="V166" s="114">
        <f t="shared" si="990"/>
        <v>0</v>
      </c>
      <c r="W166" s="113"/>
      <c r="X166" s="124"/>
      <c r="Y166" s="113">
        <f t="shared" si="1090"/>
        <v>0</v>
      </c>
      <c r="Z166" s="114">
        <f t="shared" si="1090"/>
        <v>0</v>
      </c>
      <c r="AA166" s="113">
        <f t="shared" si="1090"/>
        <v>0</v>
      </c>
      <c r="AB166" s="114"/>
      <c r="AC166" s="114">
        <f t="shared" ref="AC166:AI166" si="1091">U166</f>
        <v>0</v>
      </c>
      <c r="AD166" s="114">
        <f t="shared" si="992"/>
        <v>0</v>
      </c>
      <c r="AE166" s="113"/>
      <c r="AF166" s="124"/>
      <c r="AG166" s="113">
        <f t="shared" si="1091"/>
        <v>0</v>
      </c>
      <c r="AH166" s="114">
        <f t="shared" si="1091"/>
        <v>0</v>
      </c>
      <c r="AI166" s="113">
        <f t="shared" si="1091"/>
        <v>0</v>
      </c>
      <c r="AJ166" s="114"/>
      <c r="AK166" s="114">
        <f t="shared" ref="AK166:AQ166" si="1092">AC166</f>
        <v>0</v>
      </c>
      <c r="AL166" s="114">
        <f t="shared" si="994"/>
        <v>0</v>
      </c>
      <c r="AM166" s="113"/>
      <c r="AN166" s="124"/>
      <c r="AO166" s="113">
        <f t="shared" si="1092"/>
        <v>0</v>
      </c>
      <c r="AP166" s="114">
        <f t="shared" si="1092"/>
        <v>0</v>
      </c>
      <c r="AQ166" s="113">
        <f t="shared" si="1092"/>
        <v>0</v>
      </c>
      <c r="AR166" s="114"/>
      <c r="AS166" s="114">
        <f t="shared" ref="AS166:AY166" si="1093">AK166</f>
        <v>0</v>
      </c>
      <c r="AT166" s="114">
        <f t="shared" si="996"/>
        <v>0</v>
      </c>
      <c r="AU166" s="113"/>
      <c r="AV166" s="124"/>
      <c r="AW166" s="113">
        <f t="shared" si="1093"/>
        <v>0</v>
      </c>
      <c r="AX166" s="114">
        <f t="shared" si="1093"/>
        <v>0</v>
      </c>
      <c r="AY166" s="113">
        <f t="shared" si="1093"/>
        <v>0</v>
      </c>
      <c r="AZ166" s="114"/>
      <c r="BA166" s="114">
        <f t="shared" ref="BA166:BG166" si="1094">AS166</f>
        <v>0</v>
      </c>
      <c r="BB166" s="114">
        <f t="shared" si="998"/>
        <v>0</v>
      </c>
      <c r="BC166" s="113"/>
      <c r="BD166" s="124"/>
      <c r="BE166" s="113">
        <f t="shared" si="1094"/>
        <v>0</v>
      </c>
      <c r="BF166" s="114">
        <f t="shared" si="1094"/>
        <v>0</v>
      </c>
      <c r="BG166" s="113">
        <f t="shared" si="1094"/>
        <v>0</v>
      </c>
      <c r="BH166" s="114"/>
      <c r="BI166" s="114">
        <f t="shared" ref="BI166:BO166" si="1095">BA166</f>
        <v>0</v>
      </c>
      <c r="BJ166" s="114">
        <f t="shared" si="1000"/>
        <v>0</v>
      </c>
      <c r="BK166" s="113"/>
      <c r="BL166" s="124"/>
      <c r="BM166" s="113">
        <f t="shared" si="1095"/>
        <v>0</v>
      </c>
      <c r="BN166" s="114">
        <f t="shared" si="1095"/>
        <v>0</v>
      </c>
      <c r="BO166" s="113">
        <f t="shared" si="1095"/>
        <v>0</v>
      </c>
      <c r="BP166" s="114"/>
      <c r="BQ166" s="114">
        <f t="shared" ref="BQ166:BW166" si="1096">BI166</f>
        <v>0</v>
      </c>
      <c r="BR166" s="114">
        <f t="shared" si="1002"/>
        <v>0</v>
      </c>
      <c r="BS166" s="113"/>
      <c r="BT166" s="124"/>
      <c r="BU166" s="113">
        <f t="shared" si="1096"/>
        <v>0</v>
      </c>
      <c r="BV166" s="114">
        <f t="shared" si="1096"/>
        <v>0</v>
      </c>
      <c r="BW166" s="113">
        <f t="shared" si="1096"/>
        <v>0</v>
      </c>
      <c r="BX166" s="114"/>
      <c r="BY166" s="114">
        <f t="shared" ref="BY166:CE166" si="1097">BQ166</f>
        <v>0</v>
      </c>
      <c r="BZ166" s="114">
        <f t="shared" si="1004"/>
        <v>0</v>
      </c>
      <c r="CA166" s="113"/>
      <c r="CB166" s="124"/>
      <c r="CC166" s="113">
        <f t="shared" si="1097"/>
        <v>0</v>
      </c>
      <c r="CD166" s="114">
        <f t="shared" si="1097"/>
        <v>0</v>
      </c>
      <c r="CE166" s="113">
        <f t="shared" si="1097"/>
        <v>0</v>
      </c>
      <c r="CF166" s="114">
        <f t="shared" si="1005"/>
        <v>0</v>
      </c>
      <c r="CG166" s="114">
        <f t="shared" si="1006"/>
        <v>0</v>
      </c>
      <c r="CH166" s="114">
        <f t="shared" si="1007"/>
        <v>0</v>
      </c>
      <c r="CI166" s="113"/>
    </row>
    <row r="167" s="104" customFormat="1" customHeight="1" spans="1:87">
      <c r="A167" s="113"/>
      <c r="B167" s="114"/>
      <c r="C167" s="113"/>
      <c r="D167" s="114"/>
      <c r="E167" s="114"/>
      <c r="F167" s="114">
        <f t="shared" si="983"/>
        <v>0</v>
      </c>
      <c r="G167" s="113"/>
      <c r="H167" s="124"/>
      <c r="I167" s="113">
        <f t="shared" si="984"/>
        <v>0</v>
      </c>
      <c r="J167" s="114">
        <f t="shared" si="985"/>
        <v>0</v>
      </c>
      <c r="K167" s="113">
        <f t="shared" si="986"/>
        <v>0</v>
      </c>
      <c r="L167" s="114"/>
      <c r="M167" s="114">
        <f t="shared" ref="M167:S167" si="1098">E167</f>
        <v>0</v>
      </c>
      <c r="N167" s="114">
        <f t="shared" si="988"/>
        <v>0</v>
      </c>
      <c r="O167" s="113"/>
      <c r="P167" s="124"/>
      <c r="Q167" s="113">
        <f t="shared" si="1098"/>
        <v>0</v>
      </c>
      <c r="R167" s="114">
        <f t="shared" si="1098"/>
        <v>0</v>
      </c>
      <c r="S167" s="113">
        <f t="shared" si="1098"/>
        <v>0</v>
      </c>
      <c r="T167" s="114"/>
      <c r="U167" s="114">
        <f t="shared" ref="U167:AA167" si="1099">M167</f>
        <v>0</v>
      </c>
      <c r="V167" s="114">
        <f t="shared" si="990"/>
        <v>0</v>
      </c>
      <c r="W167" s="113"/>
      <c r="X167" s="124"/>
      <c r="Y167" s="113">
        <f t="shared" si="1099"/>
        <v>0</v>
      </c>
      <c r="Z167" s="114">
        <f t="shared" si="1099"/>
        <v>0</v>
      </c>
      <c r="AA167" s="113">
        <f t="shared" si="1099"/>
        <v>0</v>
      </c>
      <c r="AB167" s="114"/>
      <c r="AC167" s="114">
        <f t="shared" ref="AC167:AI167" si="1100">U167</f>
        <v>0</v>
      </c>
      <c r="AD167" s="114">
        <f t="shared" si="992"/>
        <v>0</v>
      </c>
      <c r="AE167" s="113"/>
      <c r="AF167" s="124"/>
      <c r="AG167" s="113">
        <f t="shared" si="1100"/>
        <v>0</v>
      </c>
      <c r="AH167" s="114">
        <f t="shared" si="1100"/>
        <v>0</v>
      </c>
      <c r="AI167" s="113">
        <f t="shared" si="1100"/>
        <v>0</v>
      </c>
      <c r="AJ167" s="114"/>
      <c r="AK167" s="114">
        <f t="shared" ref="AK167:AQ167" si="1101">AC167</f>
        <v>0</v>
      </c>
      <c r="AL167" s="114">
        <f t="shared" si="994"/>
        <v>0</v>
      </c>
      <c r="AM167" s="113"/>
      <c r="AN167" s="124"/>
      <c r="AO167" s="113">
        <f t="shared" si="1101"/>
        <v>0</v>
      </c>
      <c r="AP167" s="114">
        <f t="shared" si="1101"/>
        <v>0</v>
      </c>
      <c r="AQ167" s="113">
        <f t="shared" si="1101"/>
        <v>0</v>
      </c>
      <c r="AR167" s="114"/>
      <c r="AS167" s="114">
        <f t="shared" ref="AS167:AY167" si="1102">AK167</f>
        <v>0</v>
      </c>
      <c r="AT167" s="114">
        <f t="shared" si="996"/>
        <v>0</v>
      </c>
      <c r="AU167" s="113"/>
      <c r="AV167" s="124"/>
      <c r="AW167" s="113">
        <f t="shared" si="1102"/>
        <v>0</v>
      </c>
      <c r="AX167" s="114">
        <f t="shared" si="1102"/>
        <v>0</v>
      </c>
      <c r="AY167" s="113">
        <f t="shared" si="1102"/>
        <v>0</v>
      </c>
      <c r="AZ167" s="114"/>
      <c r="BA167" s="114">
        <f t="shared" ref="BA167:BG167" si="1103">AS167</f>
        <v>0</v>
      </c>
      <c r="BB167" s="114">
        <f t="shared" si="998"/>
        <v>0</v>
      </c>
      <c r="BC167" s="113"/>
      <c r="BD167" s="124"/>
      <c r="BE167" s="113">
        <f t="shared" si="1103"/>
        <v>0</v>
      </c>
      <c r="BF167" s="114">
        <f t="shared" si="1103"/>
        <v>0</v>
      </c>
      <c r="BG167" s="113">
        <f t="shared" si="1103"/>
        <v>0</v>
      </c>
      <c r="BH167" s="114"/>
      <c r="BI167" s="114">
        <f t="shared" ref="BI167:BO167" si="1104">BA167</f>
        <v>0</v>
      </c>
      <c r="BJ167" s="114">
        <f t="shared" si="1000"/>
        <v>0</v>
      </c>
      <c r="BK167" s="113"/>
      <c r="BL167" s="124"/>
      <c r="BM167" s="113">
        <f t="shared" si="1104"/>
        <v>0</v>
      </c>
      <c r="BN167" s="114">
        <f t="shared" si="1104"/>
        <v>0</v>
      </c>
      <c r="BO167" s="113">
        <f t="shared" si="1104"/>
        <v>0</v>
      </c>
      <c r="BP167" s="114"/>
      <c r="BQ167" s="114">
        <f t="shared" ref="BQ167:BW167" si="1105">BI167</f>
        <v>0</v>
      </c>
      <c r="BR167" s="114">
        <f t="shared" si="1002"/>
        <v>0</v>
      </c>
      <c r="BS167" s="113"/>
      <c r="BT167" s="124"/>
      <c r="BU167" s="113">
        <f t="shared" si="1105"/>
        <v>0</v>
      </c>
      <c r="BV167" s="114">
        <f t="shared" si="1105"/>
        <v>0</v>
      </c>
      <c r="BW167" s="113">
        <f t="shared" si="1105"/>
        <v>0</v>
      </c>
      <c r="BX167" s="114"/>
      <c r="BY167" s="114">
        <f t="shared" ref="BY167:CE167" si="1106">BQ167</f>
        <v>0</v>
      </c>
      <c r="BZ167" s="114">
        <f t="shared" si="1004"/>
        <v>0</v>
      </c>
      <c r="CA167" s="113"/>
      <c r="CB167" s="124"/>
      <c r="CC167" s="113">
        <f t="shared" si="1106"/>
        <v>0</v>
      </c>
      <c r="CD167" s="114">
        <f t="shared" si="1106"/>
        <v>0</v>
      </c>
      <c r="CE167" s="113">
        <f t="shared" si="1106"/>
        <v>0</v>
      </c>
      <c r="CF167" s="114">
        <f t="shared" si="1005"/>
        <v>0</v>
      </c>
      <c r="CG167" s="114">
        <f t="shared" si="1006"/>
        <v>0</v>
      </c>
      <c r="CH167" s="114">
        <f t="shared" si="1007"/>
        <v>0</v>
      </c>
      <c r="CI167" s="113"/>
    </row>
    <row r="168" s="104" customFormat="1" customHeight="1" spans="1:87">
      <c r="A168" s="115" t="s">
        <v>340</v>
      </c>
      <c r="B168" s="116"/>
      <c r="C168" s="116"/>
      <c r="D168" s="116"/>
      <c r="E168" s="117"/>
      <c r="F168" s="118">
        <f>SUM(F156:F167)</f>
        <v>0</v>
      </c>
      <c r="G168" s="114"/>
      <c r="H168" s="124"/>
      <c r="I168" s="115" t="s">
        <v>340</v>
      </c>
      <c r="J168" s="116"/>
      <c r="K168" s="116"/>
      <c r="L168" s="116"/>
      <c r="M168" s="117"/>
      <c r="N168" s="118">
        <f>SUM(N156:N167)</f>
        <v>0</v>
      </c>
      <c r="O168" s="114"/>
      <c r="P168" s="124"/>
      <c r="Q168" s="115" t="s">
        <v>340</v>
      </c>
      <c r="R168" s="116"/>
      <c r="S168" s="116"/>
      <c r="T168" s="116"/>
      <c r="U168" s="117"/>
      <c r="V168" s="118">
        <f>SUM(V156:V167)</f>
        <v>0</v>
      </c>
      <c r="W168" s="114"/>
      <c r="X168" s="124"/>
      <c r="Y168" s="115" t="s">
        <v>340</v>
      </c>
      <c r="Z168" s="116"/>
      <c r="AA168" s="116"/>
      <c r="AB168" s="116"/>
      <c r="AC168" s="117"/>
      <c r="AD168" s="118">
        <f>SUM(AD156:AD167)</f>
        <v>0</v>
      </c>
      <c r="AE168" s="114"/>
      <c r="AF168" s="124"/>
      <c r="AG168" s="115" t="s">
        <v>340</v>
      </c>
      <c r="AH168" s="116"/>
      <c r="AI168" s="116"/>
      <c r="AJ168" s="116"/>
      <c r="AK168" s="117"/>
      <c r="AL168" s="118">
        <f>SUM(AL156:AL167)</f>
        <v>0</v>
      </c>
      <c r="AM168" s="114"/>
      <c r="AN168" s="124"/>
      <c r="AO168" s="115" t="s">
        <v>340</v>
      </c>
      <c r="AP168" s="116"/>
      <c r="AQ168" s="116"/>
      <c r="AR168" s="116"/>
      <c r="AS168" s="117"/>
      <c r="AT168" s="118">
        <f>SUM(AT156:AT167)</f>
        <v>0</v>
      </c>
      <c r="AU168" s="114"/>
      <c r="AV168" s="124"/>
      <c r="AW168" s="115" t="s">
        <v>340</v>
      </c>
      <c r="AX168" s="116"/>
      <c r="AY168" s="116"/>
      <c r="AZ168" s="116"/>
      <c r="BA168" s="117"/>
      <c r="BB168" s="118">
        <f>SUM(BB156:BB167)</f>
        <v>0</v>
      </c>
      <c r="BC168" s="114"/>
      <c r="BD168" s="124"/>
      <c r="BE168" s="115" t="s">
        <v>340</v>
      </c>
      <c r="BF168" s="116"/>
      <c r="BG168" s="116"/>
      <c r="BH168" s="116"/>
      <c r="BI168" s="117"/>
      <c r="BJ168" s="118">
        <f>SUM(BJ156:BJ167)</f>
        <v>0</v>
      </c>
      <c r="BK168" s="114"/>
      <c r="BL168" s="124"/>
      <c r="BM168" s="115" t="s">
        <v>340</v>
      </c>
      <c r="BN168" s="116"/>
      <c r="BO168" s="116"/>
      <c r="BP168" s="116"/>
      <c r="BQ168" s="117"/>
      <c r="BR168" s="118">
        <f>SUM(BR156:BR167)</f>
        <v>0</v>
      </c>
      <c r="BS168" s="114"/>
      <c r="BT168" s="124"/>
      <c r="BU168" s="115" t="s">
        <v>340</v>
      </c>
      <c r="BV168" s="116"/>
      <c r="BW168" s="116"/>
      <c r="BX168" s="116"/>
      <c r="BY168" s="117"/>
      <c r="BZ168" s="118">
        <f>SUM(BZ156:BZ167)</f>
        <v>0</v>
      </c>
      <c r="CA168" s="114"/>
      <c r="CB168" s="124"/>
      <c r="CC168" s="115" t="s">
        <v>340</v>
      </c>
      <c r="CD168" s="116"/>
      <c r="CE168" s="116"/>
      <c r="CF168" s="116"/>
      <c r="CG168" s="117"/>
      <c r="CH168" s="118">
        <f>SUM(CH156:CH167)</f>
        <v>0</v>
      </c>
      <c r="CI168" s="114"/>
    </row>
    <row r="169" s="104" customFormat="1" customHeight="1" spans="1:87">
      <c r="A169" s="119" t="s">
        <v>341</v>
      </c>
      <c r="B169" s="119"/>
      <c r="C169" s="120"/>
      <c r="D169" s="119"/>
      <c r="E169" s="119"/>
      <c r="F169" s="119"/>
      <c r="G169" s="119"/>
      <c r="H169" s="124"/>
      <c r="I169" s="119" t="s">
        <v>341</v>
      </c>
      <c r="J169" s="119"/>
      <c r="K169" s="120"/>
      <c r="L169" s="119"/>
      <c r="M169" s="119"/>
      <c r="N169" s="119"/>
      <c r="O169" s="119"/>
      <c r="P169" s="124"/>
      <c r="Q169" s="119" t="s">
        <v>341</v>
      </c>
      <c r="R169" s="119"/>
      <c r="S169" s="120"/>
      <c r="T169" s="119"/>
      <c r="U169" s="119"/>
      <c r="V169" s="119"/>
      <c r="W169" s="119"/>
      <c r="X169" s="124"/>
      <c r="Y169" s="119" t="s">
        <v>341</v>
      </c>
      <c r="Z169" s="119"/>
      <c r="AA169" s="120"/>
      <c r="AB169" s="119"/>
      <c r="AC169" s="119"/>
      <c r="AD169" s="119"/>
      <c r="AE169" s="119"/>
      <c r="AF169" s="124"/>
      <c r="AG169" s="119" t="s">
        <v>341</v>
      </c>
      <c r="AH169" s="119"/>
      <c r="AI169" s="120"/>
      <c r="AJ169" s="119"/>
      <c r="AK169" s="119"/>
      <c r="AL169" s="119"/>
      <c r="AM169" s="119"/>
      <c r="AN169" s="124"/>
      <c r="AO169" s="119" t="s">
        <v>341</v>
      </c>
      <c r="AP169" s="119"/>
      <c r="AQ169" s="120"/>
      <c r="AR169" s="119"/>
      <c r="AS169" s="119"/>
      <c r="AT169" s="119"/>
      <c r="AU169" s="119"/>
      <c r="AV169" s="124"/>
      <c r="AW169" s="119" t="s">
        <v>341</v>
      </c>
      <c r="AX169" s="119"/>
      <c r="AY169" s="120"/>
      <c r="AZ169" s="119"/>
      <c r="BA169" s="119"/>
      <c r="BB169" s="119"/>
      <c r="BC169" s="119"/>
      <c r="BD169" s="124"/>
      <c r="BE169" s="119" t="s">
        <v>341</v>
      </c>
      <c r="BF169" s="119"/>
      <c r="BG169" s="120"/>
      <c r="BH169" s="119"/>
      <c r="BI169" s="119"/>
      <c r="BJ169" s="119"/>
      <c r="BK169" s="119"/>
      <c r="BL169" s="124"/>
      <c r="BM169" s="119" t="s">
        <v>341</v>
      </c>
      <c r="BN169" s="119"/>
      <c r="BO169" s="120"/>
      <c r="BP169" s="119"/>
      <c r="BQ169" s="119"/>
      <c r="BR169" s="119"/>
      <c r="BS169" s="119"/>
      <c r="BT169" s="124"/>
      <c r="BU169" s="119" t="s">
        <v>341</v>
      </c>
      <c r="BV169" s="119"/>
      <c r="BW169" s="120"/>
      <c r="BX169" s="119"/>
      <c r="BY169" s="119"/>
      <c r="BZ169" s="119"/>
      <c r="CA169" s="119"/>
      <c r="CB169" s="124"/>
      <c r="CC169" s="119" t="s">
        <v>341</v>
      </c>
      <c r="CD169" s="119"/>
      <c r="CE169" s="120"/>
      <c r="CF169" s="119"/>
      <c r="CG169" s="119"/>
      <c r="CH169" s="119"/>
      <c r="CI169" s="119"/>
    </row>
    <row r="172" s="104" customFormat="1" customHeight="1" spans="1:87">
      <c r="A172" s="105"/>
      <c r="B172" s="106"/>
      <c r="C172" s="107" t="s">
        <v>330</v>
      </c>
      <c r="D172" s="107"/>
      <c r="E172" s="107"/>
      <c r="F172" s="105"/>
      <c r="G172" s="105"/>
      <c r="H172" s="124" t="str">
        <f>H153</f>
        <v>RD01</v>
      </c>
      <c r="I172" s="105"/>
      <c r="J172" s="106"/>
      <c r="K172" s="107" t="s">
        <v>330</v>
      </c>
      <c r="L172" s="107"/>
      <c r="M172" s="107"/>
      <c r="N172" s="105"/>
      <c r="O172" s="105"/>
      <c r="P172" s="124" t="str">
        <f>P153</f>
        <v>RD02</v>
      </c>
      <c r="Q172" s="105"/>
      <c r="R172" s="106"/>
      <c r="S172" s="107" t="s">
        <v>330</v>
      </c>
      <c r="T172" s="107"/>
      <c r="U172" s="107"/>
      <c r="V172" s="105"/>
      <c r="W172" s="105"/>
      <c r="X172" s="124" t="str">
        <f>X153</f>
        <v>RD03</v>
      </c>
      <c r="Y172" s="105"/>
      <c r="Z172" s="106"/>
      <c r="AA172" s="107" t="s">
        <v>330</v>
      </c>
      <c r="AB172" s="107"/>
      <c r="AC172" s="107"/>
      <c r="AD172" s="105"/>
      <c r="AE172" s="105"/>
      <c r="AF172" s="124" t="str">
        <f>AF153</f>
        <v>RD04</v>
      </c>
      <c r="AG172" s="105"/>
      <c r="AH172" s="106"/>
      <c r="AI172" s="107" t="s">
        <v>330</v>
      </c>
      <c r="AJ172" s="107"/>
      <c r="AK172" s="107"/>
      <c r="AL172" s="105"/>
      <c r="AM172" s="105"/>
      <c r="AN172" s="124" t="str">
        <f>AN153</f>
        <v>RD05</v>
      </c>
      <c r="AO172" s="105"/>
      <c r="AP172" s="106"/>
      <c r="AQ172" s="107" t="s">
        <v>330</v>
      </c>
      <c r="AR172" s="107"/>
      <c r="AS172" s="107"/>
      <c r="AT172" s="105"/>
      <c r="AU172" s="105"/>
      <c r="AV172" s="124" t="str">
        <f>AV153</f>
        <v>RD06</v>
      </c>
      <c r="AW172" s="105"/>
      <c r="AX172" s="106"/>
      <c r="AY172" s="107" t="s">
        <v>330</v>
      </c>
      <c r="AZ172" s="107"/>
      <c r="BA172" s="107"/>
      <c r="BB172" s="105"/>
      <c r="BC172" s="105"/>
      <c r="BD172" s="124" t="str">
        <f>BD153</f>
        <v>RD07</v>
      </c>
      <c r="BE172" s="105"/>
      <c r="BF172" s="106"/>
      <c r="BG172" s="107" t="s">
        <v>330</v>
      </c>
      <c r="BH172" s="107"/>
      <c r="BI172" s="107"/>
      <c r="BJ172" s="105"/>
      <c r="BK172" s="105"/>
      <c r="BL172" s="124" t="str">
        <f>BL153</f>
        <v>RD08</v>
      </c>
      <c r="BM172" s="105"/>
      <c r="BN172" s="106"/>
      <c r="BO172" s="107" t="s">
        <v>330</v>
      </c>
      <c r="BP172" s="107"/>
      <c r="BQ172" s="107"/>
      <c r="BR172" s="105"/>
      <c r="BS172" s="105"/>
      <c r="BT172" s="124" t="str">
        <f>BT153</f>
        <v>RD09</v>
      </c>
      <c r="BU172" s="105"/>
      <c r="BV172" s="106"/>
      <c r="BW172" s="107" t="s">
        <v>330</v>
      </c>
      <c r="BX172" s="107"/>
      <c r="BY172" s="107"/>
      <c r="BZ172" s="105"/>
      <c r="CA172" s="105"/>
      <c r="CB172" s="124" t="str">
        <f>CB153</f>
        <v>RD10</v>
      </c>
      <c r="CC172" s="105"/>
      <c r="CD172" s="106"/>
      <c r="CE172" s="107" t="s">
        <v>330</v>
      </c>
      <c r="CF172" s="107"/>
      <c r="CG172" s="107"/>
      <c r="CH172" s="105"/>
      <c r="CI172" s="105"/>
    </row>
    <row r="173" s="122" customFormat="1" customHeight="1" spans="1:87">
      <c r="A173" s="108" t="s">
        <v>331</v>
      </c>
      <c r="B173" s="109"/>
      <c r="C173" s="110">
        <v>45961</v>
      </c>
      <c r="D173" s="110"/>
      <c r="E173" s="110"/>
      <c r="F173" s="111"/>
      <c r="G173" s="112"/>
      <c r="H173" s="125"/>
      <c r="I173" s="108" t="s">
        <v>331</v>
      </c>
      <c r="J173" s="109"/>
      <c r="K173" s="110">
        <v>45961</v>
      </c>
      <c r="L173" s="110"/>
      <c r="M173" s="110"/>
      <c r="N173" s="111" t="s">
        <v>332</v>
      </c>
      <c r="O173" s="112" t="str">
        <f>立项!$A$3</f>
        <v>RD01</v>
      </c>
      <c r="P173" s="125"/>
      <c r="Q173" s="108" t="s">
        <v>331</v>
      </c>
      <c r="R173" s="109"/>
      <c r="S173" s="110">
        <v>45961</v>
      </c>
      <c r="T173" s="110"/>
      <c r="U173" s="110"/>
      <c r="V173" s="111" t="s">
        <v>332</v>
      </c>
      <c r="W173" s="112" t="str">
        <f>立项!$A$4</f>
        <v>RD02</v>
      </c>
      <c r="X173" s="125"/>
      <c r="Y173" s="108" t="s">
        <v>331</v>
      </c>
      <c r="Z173" s="109"/>
      <c r="AA173" s="110">
        <v>45961</v>
      </c>
      <c r="AB173" s="110"/>
      <c r="AC173" s="110"/>
      <c r="AD173" s="111" t="s">
        <v>332</v>
      </c>
      <c r="AE173" s="112" t="str">
        <f>立项!$A$5</f>
        <v>RD03</v>
      </c>
      <c r="AF173" s="125"/>
      <c r="AG173" s="108" t="s">
        <v>331</v>
      </c>
      <c r="AH173" s="109"/>
      <c r="AI173" s="110">
        <v>45961</v>
      </c>
      <c r="AJ173" s="110"/>
      <c r="AK173" s="110"/>
      <c r="AL173" s="111" t="s">
        <v>332</v>
      </c>
      <c r="AM173" s="112" t="str">
        <f>立项!$A$6</f>
        <v>RD04</v>
      </c>
      <c r="AN173" s="125"/>
      <c r="AO173" s="108" t="s">
        <v>331</v>
      </c>
      <c r="AP173" s="109"/>
      <c r="AQ173" s="110">
        <v>45961</v>
      </c>
      <c r="AR173" s="110"/>
      <c r="AS173" s="110"/>
      <c r="AT173" s="111" t="s">
        <v>332</v>
      </c>
      <c r="AU173" s="112" t="str">
        <f>立项!$A$7</f>
        <v>RD05</v>
      </c>
      <c r="AV173" s="125"/>
      <c r="AW173" s="108" t="s">
        <v>331</v>
      </c>
      <c r="AX173" s="109"/>
      <c r="AY173" s="110">
        <v>45961</v>
      </c>
      <c r="AZ173" s="110"/>
      <c r="BA173" s="110"/>
      <c r="BB173" s="111" t="s">
        <v>332</v>
      </c>
      <c r="BC173" s="112" t="str">
        <f>立项!$A$8</f>
        <v>RD06</v>
      </c>
      <c r="BD173" s="125"/>
      <c r="BE173" s="108" t="s">
        <v>331</v>
      </c>
      <c r="BF173" s="109"/>
      <c r="BG173" s="110">
        <v>45961</v>
      </c>
      <c r="BH173" s="110"/>
      <c r="BI173" s="110"/>
      <c r="BJ173" s="111" t="s">
        <v>332</v>
      </c>
      <c r="BK173" s="112" t="str">
        <f>立项!$A$9</f>
        <v>RD07</v>
      </c>
      <c r="BL173" s="125"/>
      <c r="BM173" s="108" t="s">
        <v>331</v>
      </c>
      <c r="BN173" s="109"/>
      <c r="BO173" s="110">
        <v>45961</v>
      </c>
      <c r="BP173" s="110"/>
      <c r="BQ173" s="110"/>
      <c r="BR173" s="111" t="s">
        <v>332</v>
      </c>
      <c r="BS173" s="112" t="str">
        <f>立项!$A$10</f>
        <v>RD08</v>
      </c>
      <c r="BT173" s="125"/>
      <c r="BU173" s="108" t="s">
        <v>331</v>
      </c>
      <c r="BV173" s="109"/>
      <c r="BW173" s="110">
        <v>45961</v>
      </c>
      <c r="BX173" s="110"/>
      <c r="BY173" s="110"/>
      <c r="BZ173" s="111" t="s">
        <v>332</v>
      </c>
      <c r="CA173" s="112" t="str">
        <f>立项!$A$11</f>
        <v>RD09</v>
      </c>
      <c r="CB173" s="125"/>
      <c r="CC173" s="108" t="s">
        <v>331</v>
      </c>
      <c r="CD173" s="109"/>
      <c r="CE173" s="110">
        <v>45961</v>
      </c>
      <c r="CF173" s="110"/>
      <c r="CG173" s="110"/>
      <c r="CH173" s="111" t="s">
        <v>332</v>
      </c>
      <c r="CI173" s="112" t="str">
        <f>立项!$A$12</f>
        <v>RD10</v>
      </c>
    </row>
    <row r="174" s="104" customFormat="1" customHeight="1" spans="1:87">
      <c r="A174" s="113" t="s">
        <v>333</v>
      </c>
      <c r="B174" s="113" t="s">
        <v>334</v>
      </c>
      <c r="C174" s="113" t="s">
        <v>335</v>
      </c>
      <c r="D174" s="113" t="s">
        <v>336</v>
      </c>
      <c r="E174" s="113" t="s">
        <v>337</v>
      </c>
      <c r="F174" s="113" t="s">
        <v>338</v>
      </c>
      <c r="G174" s="113" t="s">
        <v>339</v>
      </c>
      <c r="H174" s="124"/>
      <c r="I174" s="113" t="s">
        <v>333</v>
      </c>
      <c r="J174" s="113" t="s">
        <v>334</v>
      </c>
      <c r="K174" s="113" t="s">
        <v>335</v>
      </c>
      <c r="L174" s="113" t="s">
        <v>336</v>
      </c>
      <c r="M174" s="113" t="s">
        <v>337</v>
      </c>
      <c r="N174" s="113" t="s">
        <v>338</v>
      </c>
      <c r="O174" s="113" t="s">
        <v>339</v>
      </c>
      <c r="P174" s="124"/>
      <c r="Q174" s="113" t="s">
        <v>333</v>
      </c>
      <c r="R174" s="113" t="s">
        <v>334</v>
      </c>
      <c r="S174" s="113" t="s">
        <v>335</v>
      </c>
      <c r="T174" s="113" t="s">
        <v>336</v>
      </c>
      <c r="U174" s="113" t="s">
        <v>337</v>
      </c>
      <c r="V174" s="113" t="s">
        <v>338</v>
      </c>
      <c r="W174" s="113" t="s">
        <v>339</v>
      </c>
      <c r="X174" s="124"/>
      <c r="Y174" s="113" t="s">
        <v>333</v>
      </c>
      <c r="Z174" s="113" t="s">
        <v>334</v>
      </c>
      <c r="AA174" s="113" t="s">
        <v>335</v>
      </c>
      <c r="AB174" s="113" t="s">
        <v>336</v>
      </c>
      <c r="AC174" s="113" t="s">
        <v>337</v>
      </c>
      <c r="AD174" s="113" t="s">
        <v>338</v>
      </c>
      <c r="AE174" s="113" t="s">
        <v>339</v>
      </c>
      <c r="AF174" s="124"/>
      <c r="AG174" s="113" t="s">
        <v>333</v>
      </c>
      <c r="AH174" s="113" t="s">
        <v>334</v>
      </c>
      <c r="AI174" s="113" t="s">
        <v>335</v>
      </c>
      <c r="AJ174" s="113" t="s">
        <v>336</v>
      </c>
      <c r="AK174" s="113" t="s">
        <v>337</v>
      </c>
      <c r="AL174" s="113" t="s">
        <v>338</v>
      </c>
      <c r="AM174" s="113" t="s">
        <v>339</v>
      </c>
      <c r="AN174" s="124"/>
      <c r="AO174" s="113" t="s">
        <v>333</v>
      </c>
      <c r="AP174" s="113" t="s">
        <v>334</v>
      </c>
      <c r="AQ174" s="113" t="s">
        <v>335</v>
      </c>
      <c r="AR174" s="113" t="s">
        <v>336</v>
      </c>
      <c r="AS174" s="113" t="s">
        <v>337</v>
      </c>
      <c r="AT174" s="113" t="s">
        <v>338</v>
      </c>
      <c r="AU174" s="113" t="s">
        <v>339</v>
      </c>
      <c r="AV174" s="124"/>
      <c r="AW174" s="113" t="s">
        <v>333</v>
      </c>
      <c r="AX174" s="113" t="s">
        <v>334</v>
      </c>
      <c r="AY174" s="113" t="s">
        <v>335</v>
      </c>
      <c r="AZ174" s="113" t="s">
        <v>336</v>
      </c>
      <c r="BA174" s="113" t="s">
        <v>337</v>
      </c>
      <c r="BB174" s="113" t="s">
        <v>338</v>
      </c>
      <c r="BC174" s="113" t="s">
        <v>339</v>
      </c>
      <c r="BD174" s="124"/>
      <c r="BE174" s="113" t="s">
        <v>333</v>
      </c>
      <c r="BF174" s="113" t="s">
        <v>334</v>
      </c>
      <c r="BG174" s="113" t="s">
        <v>335</v>
      </c>
      <c r="BH174" s="113" t="s">
        <v>336</v>
      </c>
      <c r="BI174" s="113" t="s">
        <v>337</v>
      </c>
      <c r="BJ174" s="113" t="s">
        <v>338</v>
      </c>
      <c r="BK174" s="113" t="s">
        <v>339</v>
      </c>
      <c r="BL174" s="124"/>
      <c r="BM174" s="113" t="s">
        <v>333</v>
      </c>
      <c r="BN174" s="113" t="s">
        <v>334</v>
      </c>
      <c r="BO174" s="113" t="s">
        <v>335</v>
      </c>
      <c r="BP174" s="113" t="s">
        <v>336</v>
      </c>
      <c r="BQ174" s="113" t="s">
        <v>337</v>
      </c>
      <c r="BR174" s="113" t="s">
        <v>338</v>
      </c>
      <c r="BS174" s="113" t="s">
        <v>339</v>
      </c>
      <c r="BT174" s="124"/>
      <c r="BU174" s="113" t="s">
        <v>333</v>
      </c>
      <c r="BV174" s="113" t="s">
        <v>334</v>
      </c>
      <c r="BW174" s="113" t="s">
        <v>335</v>
      </c>
      <c r="BX174" s="113" t="s">
        <v>336</v>
      </c>
      <c r="BY174" s="113" t="s">
        <v>337</v>
      </c>
      <c r="BZ174" s="113" t="s">
        <v>338</v>
      </c>
      <c r="CA174" s="113" t="s">
        <v>339</v>
      </c>
      <c r="CB174" s="124"/>
      <c r="CC174" s="113" t="s">
        <v>333</v>
      </c>
      <c r="CD174" s="113" t="s">
        <v>334</v>
      </c>
      <c r="CE174" s="113" t="s">
        <v>335</v>
      </c>
      <c r="CF174" s="113" t="s">
        <v>336</v>
      </c>
      <c r="CG174" s="113" t="s">
        <v>337</v>
      </c>
      <c r="CH174" s="113" t="s">
        <v>338</v>
      </c>
      <c r="CI174" s="113" t="s">
        <v>339</v>
      </c>
    </row>
    <row r="175" customHeight="1" spans="1:87">
      <c r="A175" s="113"/>
      <c r="B175" s="114"/>
      <c r="C175" s="113"/>
      <c r="D175" s="114"/>
      <c r="E175" s="114"/>
      <c r="F175" s="114">
        <f t="shared" ref="F175:F186" si="1107">ROUND(D175*E175,2)</f>
        <v>0</v>
      </c>
      <c r="G175" s="113"/>
      <c r="I175" s="113">
        <f t="shared" ref="I175:I186" si="1108">A175</f>
        <v>0</v>
      </c>
      <c r="J175" s="114">
        <f t="shared" ref="J175:J186" si="1109">B175</f>
        <v>0</v>
      </c>
      <c r="K175" s="113">
        <f t="shared" ref="K175:K186" si="1110">C175</f>
        <v>0</v>
      </c>
      <c r="L175" s="114"/>
      <c r="M175" s="114">
        <f t="shared" ref="M175:S175" si="1111">E175</f>
        <v>0</v>
      </c>
      <c r="N175" s="114">
        <f t="shared" ref="N175:N186" si="1112">ROUND(L175*M175,2)</f>
        <v>0</v>
      </c>
      <c r="O175" s="113"/>
      <c r="Q175" s="113">
        <f t="shared" si="1111"/>
        <v>0</v>
      </c>
      <c r="R175" s="114">
        <f t="shared" si="1111"/>
        <v>0</v>
      </c>
      <c r="S175" s="113">
        <f t="shared" si="1111"/>
        <v>0</v>
      </c>
      <c r="T175" s="114"/>
      <c r="U175" s="114">
        <f t="shared" ref="U175:AA175" si="1113">M175</f>
        <v>0</v>
      </c>
      <c r="V175" s="114">
        <f t="shared" ref="V175:V186" si="1114">ROUND(T175*U175,2)</f>
        <v>0</v>
      </c>
      <c r="W175" s="113"/>
      <c r="Y175" s="113">
        <f t="shared" si="1113"/>
        <v>0</v>
      </c>
      <c r="Z175" s="114">
        <f t="shared" si="1113"/>
        <v>0</v>
      </c>
      <c r="AA175" s="113">
        <f t="shared" si="1113"/>
        <v>0</v>
      </c>
      <c r="AB175" s="114"/>
      <c r="AC175" s="114">
        <f t="shared" ref="AC175:AI175" si="1115">U175</f>
        <v>0</v>
      </c>
      <c r="AD175" s="114">
        <f t="shared" ref="AD175:AD186" si="1116">ROUND(AB175*AC175,2)</f>
        <v>0</v>
      </c>
      <c r="AE175" s="113"/>
      <c r="AG175" s="113">
        <f t="shared" si="1115"/>
        <v>0</v>
      </c>
      <c r="AH175" s="114">
        <f t="shared" si="1115"/>
        <v>0</v>
      </c>
      <c r="AI175" s="113">
        <f t="shared" si="1115"/>
        <v>0</v>
      </c>
      <c r="AJ175" s="114"/>
      <c r="AK175" s="114">
        <f t="shared" ref="AK175:AQ175" si="1117">AC175</f>
        <v>0</v>
      </c>
      <c r="AL175" s="114">
        <f t="shared" ref="AL175:AL186" si="1118">ROUND(AJ175*AK175,2)</f>
        <v>0</v>
      </c>
      <c r="AM175" s="113"/>
      <c r="AO175" s="113">
        <f t="shared" si="1117"/>
        <v>0</v>
      </c>
      <c r="AP175" s="114">
        <f t="shared" si="1117"/>
        <v>0</v>
      </c>
      <c r="AQ175" s="113">
        <f t="shared" si="1117"/>
        <v>0</v>
      </c>
      <c r="AR175" s="114"/>
      <c r="AS175" s="114">
        <f t="shared" ref="AS175:AY175" si="1119">AK175</f>
        <v>0</v>
      </c>
      <c r="AT175" s="114">
        <f t="shared" ref="AT175:AT186" si="1120">ROUND(AR175*AS175,2)</f>
        <v>0</v>
      </c>
      <c r="AU175" s="113"/>
      <c r="AW175" s="113">
        <f t="shared" si="1119"/>
        <v>0</v>
      </c>
      <c r="AX175" s="114">
        <f t="shared" si="1119"/>
        <v>0</v>
      </c>
      <c r="AY175" s="113">
        <f t="shared" si="1119"/>
        <v>0</v>
      </c>
      <c r="AZ175" s="114"/>
      <c r="BA175" s="114">
        <f t="shared" ref="BA175:BG175" si="1121">AS175</f>
        <v>0</v>
      </c>
      <c r="BB175" s="114">
        <f t="shared" ref="BB175:BB186" si="1122">ROUND(AZ175*BA175,2)</f>
        <v>0</v>
      </c>
      <c r="BC175" s="113"/>
      <c r="BE175" s="113">
        <f t="shared" si="1121"/>
        <v>0</v>
      </c>
      <c r="BF175" s="114">
        <f t="shared" si="1121"/>
        <v>0</v>
      </c>
      <c r="BG175" s="113">
        <f t="shared" si="1121"/>
        <v>0</v>
      </c>
      <c r="BH175" s="114"/>
      <c r="BI175" s="114">
        <f t="shared" ref="BI175:BO175" si="1123">BA175</f>
        <v>0</v>
      </c>
      <c r="BJ175" s="114">
        <f t="shared" ref="BJ175:BJ186" si="1124">ROUND(BH175*BI175,2)</f>
        <v>0</v>
      </c>
      <c r="BK175" s="113"/>
      <c r="BM175" s="113">
        <f t="shared" si="1123"/>
        <v>0</v>
      </c>
      <c r="BN175" s="114">
        <f t="shared" si="1123"/>
        <v>0</v>
      </c>
      <c r="BO175" s="113">
        <f t="shared" si="1123"/>
        <v>0</v>
      </c>
      <c r="BP175" s="114"/>
      <c r="BQ175" s="114">
        <f t="shared" ref="BQ175:BW175" si="1125">BI175</f>
        <v>0</v>
      </c>
      <c r="BR175" s="114">
        <f t="shared" ref="BR175:BR186" si="1126">ROUND(BP175*BQ175,2)</f>
        <v>0</v>
      </c>
      <c r="BS175" s="113"/>
      <c r="BU175" s="113">
        <f t="shared" si="1125"/>
        <v>0</v>
      </c>
      <c r="BV175" s="114">
        <f t="shared" si="1125"/>
        <v>0</v>
      </c>
      <c r="BW175" s="113">
        <f t="shared" si="1125"/>
        <v>0</v>
      </c>
      <c r="BX175" s="114"/>
      <c r="BY175" s="114">
        <f t="shared" ref="BY175:CE175" si="1127">BQ175</f>
        <v>0</v>
      </c>
      <c r="BZ175" s="114">
        <f t="shared" ref="BZ175:BZ186" si="1128">ROUND(BX175*BY175,2)</f>
        <v>0</v>
      </c>
      <c r="CA175" s="113"/>
      <c r="CC175" s="113">
        <f t="shared" si="1127"/>
        <v>0</v>
      </c>
      <c r="CD175" s="114">
        <f t="shared" si="1127"/>
        <v>0</v>
      </c>
      <c r="CE175" s="113">
        <f t="shared" si="1127"/>
        <v>0</v>
      </c>
      <c r="CF175" s="114">
        <f t="shared" ref="CF175:CF186" si="1129">D175-L175-T175-AB175-AJ175-AR175-AZ175-BH175-BP175-BX175</f>
        <v>0</v>
      </c>
      <c r="CG175" s="114">
        <f t="shared" ref="CG175:CG186" si="1130">BY175</f>
        <v>0</v>
      </c>
      <c r="CH175" s="114">
        <f t="shared" ref="CH175:CH186" si="1131">F175-N175-V175-AD175-AL175-AT175-BB175-BJ175-BR175-BZ175</f>
        <v>0</v>
      </c>
      <c r="CI175" s="113"/>
    </row>
    <row r="176" customHeight="1" spans="1:87">
      <c r="A176" s="113"/>
      <c r="B176" s="114"/>
      <c r="C176" s="113"/>
      <c r="D176" s="114"/>
      <c r="E176" s="114"/>
      <c r="F176" s="114">
        <f t="shared" si="1107"/>
        <v>0</v>
      </c>
      <c r="G176" s="113"/>
      <c r="I176" s="113">
        <f t="shared" si="1108"/>
        <v>0</v>
      </c>
      <c r="J176" s="114">
        <f t="shared" si="1109"/>
        <v>0</v>
      </c>
      <c r="K176" s="113">
        <f t="shared" si="1110"/>
        <v>0</v>
      </c>
      <c r="L176" s="114"/>
      <c r="M176" s="114">
        <f t="shared" ref="M176:S176" si="1132">E176</f>
        <v>0</v>
      </c>
      <c r="N176" s="114">
        <f t="shared" si="1112"/>
        <v>0</v>
      </c>
      <c r="O176" s="113"/>
      <c r="Q176" s="113">
        <f t="shared" si="1132"/>
        <v>0</v>
      </c>
      <c r="R176" s="114">
        <f t="shared" si="1132"/>
        <v>0</v>
      </c>
      <c r="S176" s="113">
        <f t="shared" si="1132"/>
        <v>0</v>
      </c>
      <c r="T176" s="114"/>
      <c r="U176" s="114">
        <f t="shared" ref="U176:AA176" si="1133">M176</f>
        <v>0</v>
      </c>
      <c r="V176" s="114">
        <f t="shared" si="1114"/>
        <v>0</v>
      </c>
      <c r="W176" s="113"/>
      <c r="Y176" s="113">
        <f t="shared" si="1133"/>
        <v>0</v>
      </c>
      <c r="Z176" s="114">
        <f t="shared" si="1133"/>
        <v>0</v>
      </c>
      <c r="AA176" s="113">
        <f t="shared" si="1133"/>
        <v>0</v>
      </c>
      <c r="AB176" s="114"/>
      <c r="AC176" s="114">
        <f t="shared" ref="AC176:AI176" si="1134">U176</f>
        <v>0</v>
      </c>
      <c r="AD176" s="114">
        <f t="shared" si="1116"/>
        <v>0</v>
      </c>
      <c r="AE176" s="113"/>
      <c r="AG176" s="113">
        <f t="shared" si="1134"/>
        <v>0</v>
      </c>
      <c r="AH176" s="114">
        <f t="shared" si="1134"/>
        <v>0</v>
      </c>
      <c r="AI176" s="113">
        <f t="shared" si="1134"/>
        <v>0</v>
      </c>
      <c r="AJ176" s="114"/>
      <c r="AK176" s="114">
        <f t="shared" ref="AK176:AQ176" si="1135">AC176</f>
        <v>0</v>
      </c>
      <c r="AL176" s="114">
        <f t="shared" si="1118"/>
        <v>0</v>
      </c>
      <c r="AM176" s="113"/>
      <c r="AO176" s="113">
        <f t="shared" si="1135"/>
        <v>0</v>
      </c>
      <c r="AP176" s="114">
        <f t="shared" si="1135"/>
        <v>0</v>
      </c>
      <c r="AQ176" s="113">
        <f t="shared" si="1135"/>
        <v>0</v>
      </c>
      <c r="AR176" s="114"/>
      <c r="AS176" s="114">
        <f t="shared" ref="AS176:AY176" si="1136">AK176</f>
        <v>0</v>
      </c>
      <c r="AT176" s="114">
        <f t="shared" si="1120"/>
        <v>0</v>
      </c>
      <c r="AU176" s="113"/>
      <c r="AW176" s="113">
        <f t="shared" si="1136"/>
        <v>0</v>
      </c>
      <c r="AX176" s="114">
        <f t="shared" si="1136"/>
        <v>0</v>
      </c>
      <c r="AY176" s="113">
        <f t="shared" si="1136"/>
        <v>0</v>
      </c>
      <c r="AZ176" s="114"/>
      <c r="BA176" s="114">
        <f t="shared" ref="BA176:BG176" si="1137">AS176</f>
        <v>0</v>
      </c>
      <c r="BB176" s="114">
        <f t="shared" si="1122"/>
        <v>0</v>
      </c>
      <c r="BC176" s="113"/>
      <c r="BE176" s="113">
        <f t="shared" si="1137"/>
        <v>0</v>
      </c>
      <c r="BF176" s="114">
        <f t="shared" si="1137"/>
        <v>0</v>
      </c>
      <c r="BG176" s="113">
        <f t="shared" si="1137"/>
        <v>0</v>
      </c>
      <c r="BH176" s="114"/>
      <c r="BI176" s="114">
        <f t="shared" ref="BI176:BO176" si="1138">BA176</f>
        <v>0</v>
      </c>
      <c r="BJ176" s="114">
        <f t="shared" si="1124"/>
        <v>0</v>
      </c>
      <c r="BK176" s="113"/>
      <c r="BM176" s="113">
        <f t="shared" si="1138"/>
        <v>0</v>
      </c>
      <c r="BN176" s="114">
        <f t="shared" si="1138"/>
        <v>0</v>
      </c>
      <c r="BO176" s="113">
        <f t="shared" si="1138"/>
        <v>0</v>
      </c>
      <c r="BP176" s="114"/>
      <c r="BQ176" s="114">
        <f t="shared" ref="BQ176:BW176" si="1139">BI176</f>
        <v>0</v>
      </c>
      <c r="BR176" s="114">
        <f t="shared" si="1126"/>
        <v>0</v>
      </c>
      <c r="BS176" s="113"/>
      <c r="BU176" s="113">
        <f t="shared" si="1139"/>
        <v>0</v>
      </c>
      <c r="BV176" s="114">
        <f t="shared" si="1139"/>
        <v>0</v>
      </c>
      <c r="BW176" s="113">
        <f t="shared" si="1139"/>
        <v>0</v>
      </c>
      <c r="BX176" s="114"/>
      <c r="BY176" s="114">
        <f t="shared" ref="BY176:CE176" si="1140">BQ176</f>
        <v>0</v>
      </c>
      <c r="BZ176" s="114">
        <f t="shared" si="1128"/>
        <v>0</v>
      </c>
      <c r="CA176" s="113"/>
      <c r="CC176" s="113">
        <f t="shared" si="1140"/>
        <v>0</v>
      </c>
      <c r="CD176" s="114">
        <f t="shared" si="1140"/>
        <v>0</v>
      </c>
      <c r="CE176" s="113">
        <f t="shared" si="1140"/>
        <v>0</v>
      </c>
      <c r="CF176" s="114">
        <f t="shared" si="1129"/>
        <v>0</v>
      </c>
      <c r="CG176" s="114">
        <f t="shared" si="1130"/>
        <v>0</v>
      </c>
      <c r="CH176" s="114">
        <f t="shared" si="1131"/>
        <v>0</v>
      </c>
      <c r="CI176" s="113"/>
    </row>
    <row r="177" s="104" customFormat="1" customHeight="1" spans="1:87">
      <c r="A177" s="113"/>
      <c r="B177" s="114"/>
      <c r="C177" s="113"/>
      <c r="D177" s="114"/>
      <c r="E177" s="114"/>
      <c r="F177" s="114">
        <f t="shared" si="1107"/>
        <v>0</v>
      </c>
      <c r="G177" s="113"/>
      <c r="H177" s="124"/>
      <c r="I177" s="113">
        <f t="shared" si="1108"/>
        <v>0</v>
      </c>
      <c r="J177" s="114">
        <f t="shared" si="1109"/>
        <v>0</v>
      </c>
      <c r="K177" s="113">
        <f t="shared" si="1110"/>
        <v>0</v>
      </c>
      <c r="L177" s="114"/>
      <c r="M177" s="114">
        <f t="shared" ref="M177:S177" si="1141">E177</f>
        <v>0</v>
      </c>
      <c r="N177" s="114">
        <f t="shared" si="1112"/>
        <v>0</v>
      </c>
      <c r="O177" s="113"/>
      <c r="P177" s="124"/>
      <c r="Q177" s="113">
        <f t="shared" si="1141"/>
        <v>0</v>
      </c>
      <c r="R177" s="114">
        <f t="shared" si="1141"/>
        <v>0</v>
      </c>
      <c r="S177" s="113">
        <f t="shared" si="1141"/>
        <v>0</v>
      </c>
      <c r="T177" s="114"/>
      <c r="U177" s="114">
        <f t="shared" ref="U177:AA177" si="1142">M177</f>
        <v>0</v>
      </c>
      <c r="V177" s="114">
        <f t="shared" si="1114"/>
        <v>0</v>
      </c>
      <c r="W177" s="113"/>
      <c r="X177" s="124"/>
      <c r="Y177" s="113">
        <f t="shared" si="1142"/>
        <v>0</v>
      </c>
      <c r="Z177" s="114">
        <f t="shared" si="1142"/>
        <v>0</v>
      </c>
      <c r="AA177" s="113">
        <f t="shared" si="1142"/>
        <v>0</v>
      </c>
      <c r="AB177" s="114"/>
      <c r="AC177" s="114">
        <f t="shared" ref="AC177:AI177" si="1143">U177</f>
        <v>0</v>
      </c>
      <c r="AD177" s="114">
        <f t="shared" si="1116"/>
        <v>0</v>
      </c>
      <c r="AE177" s="113"/>
      <c r="AF177" s="124"/>
      <c r="AG177" s="113">
        <f t="shared" si="1143"/>
        <v>0</v>
      </c>
      <c r="AH177" s="114">
        <f t="shared" si="1143"/>
        <v>0</v>
      </c>
      <c r="AI177" s="113">
        <f t="shared" si="1143"/>
        <v>0</v>
      </c>
      <c r="AJ177" s="114"/>
      <c r="AK177" s="114">
        <f t="shared" ref="AK177:AQ177" si="1144">AC177</f>
        <v>0</v>
      </c>
      <c r="AL177" s="114">
        <f t="shared" si="1118"/>
        <v>0</v>
      </c>
      <c r="AM177" s="113"/>
      <c r="AN177" s="124"/>
      <c r="AO177" s="113">
        <f t="shared" si="1144"/>
        <v>0</v>
      </c>
      <c r="AP177" s="114">
        <f t="shared" si="1144"/>
        <v>0</v>
      </c>
      <c r="AQ177" s="113">
        <f t="shared" si="1144"/>
        <v>0</v>
      </c>
      <c r="AR177" s="114"/>
      <c r="AS177" s="114">
        <f t="shared" ref="AS177:AY177" si="1145">AK177</f>
        <v>0</v>
      </c>
      <c r="AT177" s="114">
        <f t="shared" si="1120"/>
        <v>0</v>
      </c>
      <c r="AU177" s="113"/>
      <c r="AV177" s="124"/>
      <c r="AW177" s="113">
        <f t="shared" si="1145"/>
        <v>0</v>
      </c>
      <c r="AX177" s="114">
        <f t="shared" si="1145"/>
        <v>0</v>
      </c>
      <c r="AY177" s="113">
        <f t="shared" si="1145"/>
        <v>0</v>
      </c>
      <c r="AZ177" s="114"/>
      <c r="BA177" s="114">
        <f t="shared" ref="BA177:BG177" si="1146">AS177</f>
        <v>0</v>
      </c>
      <c r="BB177" s="114">
        <f t="shared" si="1122"/>
        <v>0</v>
      </c>
      <c r="BC177" s="113"/>
      <c r="BD177" s="124"/>
      <c r="BE177" s="113">
        <f t="shared" si="1146"/>
        <v>0</v>
      </c>
      <c r="BF177" s="114">
        <f t="shared" si="1146"/>
        <v>0</v>
      </c>
      <c r="BG177" s="113">
        <f t="shared" si="1146"/>
        <v>0</v>
      </c>
      <c r="BH177" s="114"/>
      <c r="BI177" s="114">
        <f t="shared" ref="BI177:BO177" si="1147">BA177</f>
        <v>0</v>
      </c>
      <c r="BJ177" s="114">
        <f t="shared" si="1124"/>
        <v>0</v>
      </c>
      <c r="BK177" s="113"/>
      <c r="BL177" s="124"/>
      <c r="BM177" s="113">
        <f t="shared" si="1147"/>
        <v>0</v>
      </c>
      <c r="BN177" s="114">
        <f t="shared" si="1147"/>
        <v>0</v>
      </c>
      <c r="BO177" s="113">
        <f t="shared" si="1147"/>
        <v>0</v>
      </c>
      <c r="BP177" s="114"/>
      <c r="BQ177" s="114">
        <f t="shared" ref="BQ177:BW177" si="1148">BI177</f>
        <v>0</v>
      </c>
      <c r="BR177" s="114">
        <f t="shared" si="1126"/>
        <v>0</v>
      </c>
      <c r="BS177" s="113"/>
      <c r="BT177" s="124"/>
      <c r="BU177" s="113">
        <f t="shared" si="1148"/>
        <v>0</v>
      </c>
      <c r="BV177" s="114">
        <f t="shared" si="1148"/>
        <v>0</v>
      </c>
      <c r="BW177" s="113">
        <f t="shared" si="1148"/>
        <v>0</v>
      </c>
      <c r="BX177" s="114"/>
      <c r="BY177" s="114">
        <f t="shared" ref="BY177:CE177" si="1149">BQ177</f>
        <v>0</v>
      </c>
      <c r="BZ177" s="114">
        <f t="shared" si="1128"/>
        <v>0</v>
      </c>
      <c r="CA177" s="113"/>
      <c r="CB177" s="124"/>
      <c r="CC177" s="113">
        <f t="shared" si="1149"/>
        <v>0</v>
      </c>
      <c r="CD177" s="114">
        <f t="shared" si="1149"/>
        <v>0</v>
      </c>
      <c r="CE177" s="113">
        <f t="shared" si="1149"/>
        <v>0</v>
      </c>
      <c r="CF177" s="114">
        <f t="shared" si="1129"/>
        <v>0</v>
      </c>
      <c r="CG177" s="114">
        <f t="shared" si="1130"/>
        <v>0</v>
      </c>
      <c r="CH177" s="114">
        <f t="shared" si="1131"/>
        <v>0</v>
      </c>
      <c r="CI177" s="113"/>
    </row>
    <row r="178" s="104" customFormat="1" customHeight="1" spans="1:87">
      <c r="A178" s="126"/>
      <c r="B178" s="114"/>
      <c r="C178" s="113"/>
      <c r="D178" s="114"/>
      <c r="E178" s="114"/>
      <c r="F178" s="114">
        <f t="shared" si="1107"/>
        <v>0</v>
      </c>
      <c r="G178" s="113"/>
      <c r="H178" s="124"/>
      <c r="I178" s="113">
        <f t="shared" si="1108"/>
        <v>0</v>
      </c>
      <c r="J178" s="114">
        <f t="shared" si="1109"/>
        <v>0</v>
      </c>
      <c r="K178" s="113">
        <f t="shared" si="1110"/>
        <v>0</v>
      </c>
      <c r="L178" s="114"/>
      <c r="M178" s="114">
        <f t="shared" ref="M178:S178" si="1150">E178</f>
        <v>0</v>
      </c>
      <c r="N178" s="114">
        <f t="shared" si="1112"/>
        <v>0</v>
      </c>
      <c r="O178" s="113"/>
      <c r="P178" s="124"/>
      <c r="Q178" s="113">
        <f t="shared" si="1150"/>
        <v>0</v>
      </c>
      <c r="R178" s="114">
        <f t="shared" si="1150"/>
        <v>0</v>
      </c>
      <c r="S178" s="113">
        <f t="shared" si="1150"/>
        <v>0</v>
      </c>
      <c r="T178" s="114"/>
      <c r="U178" s="114">
        <f t="shared" ref="U178:AA178" si="1151">M178</f>
        <v>0</v>
      </c>
      <c r="V178" s="114">
        <f t="shared" si="1114"/>
        <v>0</v>
      </c>
      <c r="W178" s="113"/>
      <c r="X178" s="124"/>
      <c r="Y178" s="113">
        <f t="shared" si="1151"/>
        <v>0</v>
      </c>
      <c r="Z178" s="114">
        <f t="shared" si="1151"/>
        <v>0</v>
      </c>
      <c r="AA178" s="113">
        <f t="shared" si="1151"/>
        <v>0</v>
      </c>
      <c r="AB178" s="114"/>
      <c r="AC178" s="114">
        <f t="shared" ref="AC178:AI178" si="1152">U178</f>
        <v>0</v>
      </c>
      <c r="AD178" s="114">
        <f t="shared" si="1116"/>
        <v>0</v>
      </c>
      <c r="AE178" s="113"/>
      <c r="AF178" s="124"/>
      <c r="AG178" s="113">
        <f t="shared" si="1152"/>
        <v>0</v>
      </c>
      <c r="AH178" s="114">
        <f t="shared" si="1152"/>
        <v>0</v>
      </c>
      <c r="AI178" s="113">
        <f t="shared" si="1152"/>
        <v>0</v>
      </c>
      <c r="AJ178" s="114"/>
      <c r="AK178" s="114">
        <f t="shared" ref="AK178:AQ178" si="1153">AC178</f>
        <v>0</v>
      </c>
      <c r="AL178" s="114">
        <f t="shared" si="1118"/>
        <v>0</v>
      </c>
      <c r="AM178" s="113"/>
      <c r="AN178" s="124"/>
      <c r="AO178" s="113">
        <f t="shared" si="1153"/>
        <v>0</v>
      </c>
      <c r="AP178" s="114">
        <f t="shared" si="1153"/>
        <v>0</v>
      </c>
      <c r="AQ178" s="113">
        <f t="shared" si="1153"/>
        <v>0</v>
      </c>
      <c r="AR178" s="114"/>
      <c r="AS178" s="114">
        <f t="shared" ref="AS178:AY178" si="1154">AK178</f>
        <v>0</v>
      </c>
      <c r="AT178" s="114">
        <f t="shared" si="1120"/>
        <v>0</v>
      </c>
      <c r="AU178" s="113"/>
      <c r="AV178" s="124"/>
      <c r="AW178" s="113">
        <f t="shared" si="1154"/>
        <v>0</v>
      </c>
      <c r="AX178" s="114">
        <f t="shared" si="1154"/>
        <v>0</v>
      </c>
      <c r="AY178" s="113">
        <f t="shared" si="1154"/>
        <v>0</v>
      </c>
      <c r="AZ178" s="114"/>
      <c r="BA178" s="114">
        <f t="shared" ref="BA178:BG178" si="1155">AS178</f>
        <v>0</v>
      </c>
      <c r="BB178" s="114">
        <f t="shared" si="1122"/>
        <v>0</v>
      </c>
      <c r="BC178" s="113"/>
      <c r="BD178" s="124"/>
      <c r="BE178" s="113">
        <f t="shared" si="1155"/>
        <v>0</v>
      </c>
      <c r="BF178" s="114">
        <f t="shared" si="1155"/>
        <v>0</v>
      </c>
      <c r="BG178" s="113">
        <f t="shared" si="1155"/>
        <v>0</v>
      </c>
      <c r="BH178" s="114"/>
      <c r="BI178" s="114">
        <f t="shared" ref="BI178:BO178" si="1156">BA178</f>
        <v>0</v>
      </c>
      <c r="BJ178" s="114">
        <f t="shared" si="1124"/>
        <v>0</v>
      </c>
      <c r="BK178" s="113"/>
      <c r="BL178" s="124"/>
      <c r="BM178" s="113">
        <f t="shared" si="1156"/>
        <v>0</v>
      </c>
      <c r="BN178" s="114">
        <f t="shared" si="1156"/>
        <v>0</v>
      </c>
      <c r="BO178" s="113">
        <f t="shared" si="1156"/>
        <v>0</v>
      </c>
      <c r="BP178" s="114"/>
      <c r="BQ178" s="114">
        <f t="shared" ref="BQ178:BW178" si="1157">BI178</f>
        <v>0</v>
      </c>
      <c r="BR178" s="114">
        <f t="shared" si="1126"/>
        <v>0</v>
      </c>
      <c r="BS178" s="113"/>
      <c r="BT178" s="124"/>
      <c r="BU178" s="113">
        <f t="shared" si="1157"/>
        <v>0</v>
      </c>
      <c r="BV178" s="114">
        <f t="shared" si="1157"/>
        <v>0</v>
      </c>
      <c r="BW178" s="113">
        <f t="shared" si="1157"/>
        <v>0</v>
      </c>
      <c r="BX178" s="114"/>
      <c r="BY178" s="114">
        <f t="shared" ref="BY178:CE178" si="1158">BQ178</f>
        <v>0</v>
      </c>
      <c r="BZ178" s="114">
        <f t="shared" si="1128"/>
        <v>0</v>
      </c>
      <c r="CA178" s="113"/>
      <c r="CB178" s="124"/>
      <c r="CC178" s="113">
        <f t="shared" si="1158"/>
        <v>0</v>
      </c>
      <c r="CD178" s="114">
        <f t="shared" si="1158"/>
        <v>0</v>
      </c>
      <c r="CE178" s="113">
        <f t="shared" si="1158"/>
        <v>0</v>
      </c>
      <c r="CF178" s="114">
        <f t="shared" si="1129"/>
        <v>0</v>
      </c>
      <c r="CG178" s="114">
        <f t="shared" si="1130"/>
        <v>0</v>
      </c>
      <c r="CH178" s="114">
        <f t="shared" si="1131"/>
        <v>0</v>
      </c>
      <c r="CI178" s="113"/>
    </row>
    <row r="179" s="104" customFormat="1" customHeight="1" spans="1:87">
      <c r="A179" s="126"/>
      <c r="B179" s="127"/>
      <c r="C179" s="126"/>
      <c r="D179" s="127"/>
      <c r="E179" s="127"/>
      <c r="F179" s="114">
        <f t="shared" si="1107"/>
        <v>0</v>
      </c>
      <c r="G179" s="113"/>
      <c r="H179" s="124"/>
      <c r="I179" s="113">
        <f t="shared" si="1108"/>
        <v>0</v>
      </c>
      <c r="J179" s="114">
        <f t="shared" si="1109"/>
        <v>0</v>
      </c>
      <c r="K179" s="113">
        <f t="shared" si="1110"/>
        <v>0</v>
      </c>
      <c r="L179" s="114"/>
      <c r="M179" s="114">
        <f t="shared" ref="M179:S179" si="1159">E179</f>
        <v>0</v>
      </c>
      <c r="N179" s="114">
        <f t="shared" si="1112"/>
        <v>0</v>
      </c>
      <c r="O179" s="113"/>
      <c r="P179" s="124"/>
      <c r="Q179" s="113">
        <f t="shared" si="1159"/>
        <v>0</v>
      </c>
      <c r="R179" s="114">
        <f t="shared" si="1159"/>
        <v>0</v>
      </c>
      <c r="S179" s="113">
        <f t="shared" si="1159"/>
        <v>0</v>
      </c>
      <c r="T179" s="114"/>
      <c r="U179" s="114">
        <f t="shared" ref="U179:AA179" si="1160">M179</f>
        <v>0</v>
      </c>
      <c r="V179" s="114">
        <f t="shared" si="1114"/>
        <v>0</v>
      </c>
      <c r="W179" s="113"/>
      <c r="X179" s="124"/>
      <c r="Y179" s="113">
        <f t="shared" si="1160"/>
        <v>0</v>
      </c>
      <c r="Z179" s="114">
        <f t="shared" si="1160"/>
        <v>0</v>
      </c>
      <c r="AA179" s="113">
        <f t="shared" si="1160"/>
        <v>0</v>
      </c>
      <c r="AB179" s="114"/>
      <c r="AC179" s="114">
        <f t="shared" ref="AC179:AI179" si="1161">U179</f>
        <v>0</v>
      </c>
      <c r="AD179" s="114">
        <f t="shared" si="1116"/>
        <v>0</v>
      </c>
      <c r="AE179" s="113"/>
      <c r="AF179" s="124"/>
      <c r="AG179" s="113">
        <f t="shared" si="1161"/>
        <v>0</v>
      </c>
      <c r="AH179" s="114">
        <f t="shared" si="1161"/>
        <v>0</v>
      </c>
      <c r="AI179" s="113">
        <f t="shared" si="1161"/>
        <v>0</v>
      </c>
      <c r="AJ179" s="114"/>
      <c r="AK179" s="114">
        <f t="shared" ref="AK179:AQ179" si="1162">AC179</f>
        <v>0</v>
      </c>
      <c r="AL179" s="114">
        <f t="shared" si="1118"/>
        <v>0</v>
      </c>
      <c r="AM179" s="113"/>
      <c r="AN179" s="124"/>
      <c r="AO179" s="113">
        <f t="shared" si="1162"/>
        <v>0</v>
      </c>
      <c r="AP179" s="114">
        <f t="shared" si="1162"/>
        <v>0</v>
      </c>
      <c r="AQ179" s="113">
        <f t="shared" si="1162"/>
        <v>0</v>
      </c>
      <c r="AR179" s="114"/>
      <c r="AS179" s="114">
        <f t="shared" ref="AS179:AY179" si="1163">AK179</f>
        <v>0</v>
      </c>
      <c r="AT179" s="114">
        <f t="shared" si="1120"/>
        <v>0</v>
      </c>
      <c r="AU179" s="113"/>
      <c r="AV179" s="124"/>
      <c r="AW179" s="113">
        <f t="shared" si="1163"/>
        <v>0</v>
      </c>
      <c r="AX179" s="114">
        <f t="shared" si="1163"/>
        <v>0</v>
      </c>
      <c r="AY179" s="113">
        <f t="shared" si="1163"/>
        <v>0</v>
      </c>
      <c r="AZ179" s="114"/>
      <c r="BA179" s="114">
        <f t="shared" ref="BA179:BG179" si="1164">AS179</f>
        <v>0</v>
      </c>
      <c r="BB179" s="114">
        <f t="shared" si="1122"/>
        <v>0</v>
      </c>
      <c r="BC179" s="113"/>
      <c r="BD179" s="124"/>
      <c r="BE179" s="113">
        <f t="shared" si="1164"/>
        <v>0</v>
      </c>
      <c r="BF179" s="114">
        <f t="shared" si="1164"/>
        <v>0</v>
      </c>
      <c r="BG179" s="113">
        <f t="shared" si="1164"/>
        <v>0</v>
      </c>
      <c r="BH179" s="114"/>
      <c r="BI179" s="114">
        <f t="shared" ref="BI179:BO179" si="1165">BA179</f>
        <v>0</v>
      </c>
      <c r="BJ179" s="114">
        <f t="shared" si="1124"/>
        <v>0</v>
      </c>
      <c r="BK179" s="113"/>
      <c r="BL179" s="124"/>
      <c r="BM179" s="113">
        <f t="shared" si="1165"/>
        <v>0</v>
      </c>
      <c r="BN179" s="114">
        <f t="shared" si="1165"/>
        <v>0</v>
      </c>
      <c r="BO179" s="113">
        <f t="shared" si="1165"/>
        <v>0</v>
      </c>
      <c r="BP179" s="114"/>
      <c r="BQ179" s="114">
        <f t="shared" ref="BQ179:BW179" si="1166">BI179</f>
        <v>0</v>
      </c>
      <c r="BR179" s="114">
        <f t="shared" si="1126"/>
        <v>0</v>
      </c>
      <c r="BS179" s="113"/>
      <c r="BT179" s="124"/>
      <c r="BU179" s="113">
        <f t="shared" si="1166"/>
        <v>0</v>
      </c>
      <c r="BV179" s="114">
        <f t="shared" si="1166"/>
        <v>0</v>
      </c>
      <c r="BW179" s="113">
        <f t="shared" si="1166"/>
        <v>0</v>
      </c>
      <c r="BX179" s="114"/>
      <c r="BY179" s="114">
        <f t="shared" ref="BY179:CE179" si="1167">BQ179</f>
        <v>0</v>
      </c>
      <c r="BZ179" s="114">
        <f t="shared" si="1128"/>
        <v>0</v>
      </c>
      <c r="CA179" s="113"/>
      <c r="CB179" s="124"/>
      <c r="CC179" s="113">
        <f t="shared" si="1167"/>
        <v>0</v>
      </c>
      <c r="CD179" s="114">
        <f t="shared" si="1167"/>
        <v>0</v>
      </c>
      <c r="CE179" s="113">
        <f t="shared" si="1167"/>
        <v>0</v>
      </c>
      <c r="CF179" s="114">
        <f t="shared" si="1129"/>
        <v>0</v>
      </c>
      <c r="CG179" s="114">
        <f t="shared" si="1130"/>
        <v>0</v>
      </c>
      <c r="CH179" s="114">
        <f t="shared" si="1131"/>
        <v>0</v>
      </c>
      <c r="CI179" s="113"/>
    </row>
    <row r="180" s="104" customFormat="1" customHeight="1" spans="1:87">
      <c r="A180" s="126"/>
      <c r="B180" s="127"/>
      <c r="C180" s="126"/>
      <c r="D180" s="127"/>
      <c r="E180" s="127"/>
      <c r="F180" s="114">
        <f t="shared" si="1107"/>
        <v>0</v>
      </c>
      <c r="G180" s="113"/>
      <c r="H180" s="124"/>
      <c r="I180" s="113">
        <f t="shared" si="1108"/>
        <v>0</v>
      </c>
      <c r="J180" s="114">
        <f t="shared" si="1109"/>
        <v>0</v>
      </c>
      <c r="K180" s="113">
        <f t="shared" si="1110"/>
        <v>0</v>
      </c>
      <c r="L180" s="114"/>
      <c r="M180" s="114">
        <f t="shared" ref="M180:S180" si="1168">E180</f>
        <v>0</v>
      </c>
      <c r="N180" s="114">
        <f t="shared" si="1112"/>
        <v>0</v>
      </c>
      <c r="O180" s="113"/>
      <c r="P180" s="124"/>
      <c r="Q180" s="113">
        <f t="shared" si="1168"/>
        <v>0</v>
      </c>
      <c r="R180" s="114">
        <f t="shared" si="1168"/>
        <v>0</v>
      </c>
      <c r="S180" s="113">
        <f t="shared" si="1168"/>
        <v>0</v>
      </c>
      <c r="T180" s="114"/>
      <c r="U180" s="114">
        <f t="shared" ref="U180:AA180" si="1169">M180</f>
        <v>0</v>
      </c>
      <c r="V180" s="114">
        <f t="shared" si="1114"/>
        <v>0</v>
      </c>
      <c r="W180" s="113"/>
      <c r="X180" s="124"/>
      <c r="Y180" s="113">
        <f t="shared" si="1169"/>
        <v>0</v>
      </c>
      <c r="Z180" s="114">
        <f t="shared" si="1169"/>
        <v>0</v>
      </c>
      <c r="AA180" s="113">
        <f t="shared" si="1169"/>
        <v>0</v>
      </c>
      <c r="AB180" s="114"/>
      <c r="AC180" s="114">
        <f t="shared" ref="AC180:AI180" si="1170">U180</f>
        <v>0</v>
      </c>
      <c r="AD180" s="114">
        <f t="shared" si="1116"/>
        <v>0</v>
      </c>
      <c r="AE180" s="113"/>
      <c r="AF180" s="124"/>
      <c r="AG180" s="113">
        <f t="shared" si="1170"/>
        <v>0</v>
      </c>
      <c r="AH180" s="114">
        <f t="shared" si="1170"/>
        <v>0</v>
      </c>
      <c r="AI180" s="113">
        <f t="shared" si="1170"/>
        <v>0</v>
      </c>
      <c r="AJ180" s="114"/>
      <c r="AK180" s="114">
        <f t="shared" ref="AK180:AQ180" si="1171">AC180</f>
        <v>0</v>
      </c>
      <c r="AL180" s="114">
        <f t="shared" si="1118"/>
        <v>0</v>
      </c>
      <c r="AM180" s="113"/>
      <c r="AN180" s="124"/>
      <c r="AO180" s="113">
        <f t="shared" si="1171"/>
        <v>0</v>
      </c>
      <c r="AP180" s="114">
        <f t="shared" si="1171"/>
        <v>0</v>
      </c>
      <c r="AQ180" s="113">
        <f t="shared" si="1171"/>
        <v>0</v>
      </c>
      <c r="AR180" s="114"/>
      <c r="AS180" s="114">
        <f t="shared" ref="AS180:AY180" si="1172">AK180</f>
        <v>0</v>
      </c>
      <c r="AT180" s="114">
        <f t="shared" si="1120"/>
        <v>0</v>
      </c>
      <c r="AU180" s="113"/>
      <c r="AV180" s="124"/>
      <c r="AW180" s="113">
        <f t="shared" si="1172"/>
        <v>0</v>
      </c>
      <c r="AX180" s="114">
        <f t="shared" si="1172"/>
        <v>0</v>
      </c>
      <c r="AY180" s="113">
        <f t="shared" si="1172"/>
        <v>0</v>
      </c>
      <c r="AZ180" s="114"/>
      <c r="BA180" s="114">
        <f t="shared" ref="BA180:BG180" si="1173">AS180</f>
        <v>0</v>
      </c>
      <c r="BB180" s="114">
        <f t="shared" si="1122"/>
        <v>0</v>
      </c>
      <c r="BC180" s="113"/>
      <c r="BD180" s="124"/>
      <c r="BE180" s="113">
        <f t="shared" si="1173"/>
        <v>0</v>
      </c>
      <c r="BF180" s="114">
        <f t="shared" si="1173"/>
        <v>0</v>
      </c>
      <c r="BG180" s="113">
        <f t="shared" si="1173"/>
        <v>0</v>
      </c>
      <c r="BH180" s="114"/>
      <c r="BI180" s="114">
        <f t="shared" ref="BI180:BO180" si="1174">BA180</f>
        <v>0</v>
      </c>
      <c r="BJ180" s="114">
        <f t="shared" si="1124"/>
        <v>0</v>
      </c>
      <c r="BK180" s="113"/>
      <c r="BL180" s="124"/>
      <c r="BM180" s="113">
        <f t="shared" si="1174"/>
        <v>0</v>
      </c>
      <c r="BN180" s="114">
        <f t="shared" si="1174"/>
        <v>0</v>
      </c>
      <c r="BO180" s="113">
        <f t="shared" si="1174"/>
        <v>0</v>
      </c>
      <c r="BP180" s="114"/>
      <c r="BQ180" s="114">
        <f t="shared" ref="BQ180:BW180" si="1175">BI180</f>
        <v>0</v>
      </c>
      <c r="BR180" s="114">
        <f t="shared" si="1126"/>
        <v>0</v>
      </c>
      <c r="BS180" s="113"/>
      <c r="BT180" s="124"/>
      <c r="BU180" s="113">
        <f t="shared" si="1175"/>
        <v>0</v>
      </c>
      <c r="BV180" s="114">
        <f t="shared" si="1175"/>
        <v>0</v>
      </c>
      <c r="BW180" s="113">
        <f t="shared" si="1175"/>
        <v>0</v>
      </c>
      <c r="BX180" s="114"/>
      <c r="BY180" s="114">
        <f t="shared" ref="BY180:CE180" si="1176">BQ180</f>
        <v>0</v>
      </c>
      <c r="BZ180" s="114">
        <f t="shared" si="1128"/>
        <v>0</v>
      </c>
      <c r="CA180" s="113"/>
      <c r="CB180" s="124"/>
      <c r="CC180" s="113">
        <f t="shared" si="1176"/>
        <v>0</v>
      </c>
      <c r="CD180" s="114">
        <f t="shared" si="1176"/>
        <v>0</v>
      </c>
      <c r="CE180" s="113">
        <f t="shared" si="1176"/>
        <v>0</v>
      </c>
      <c r="CF180" s="114">
        <f t="shared" si="1129"/>
        <v>0</v>
      </c>
      <c r="CG180" s="114">
        <f t="shared" si="1130"/>
        <v>0</v>
      </c>
      <c r="CH180" s="114">
        <f t="shared" si="1131"/>
        <v>0</v>
      </c>
      <c r="CI180" s="113"/>
    </row>
    <row r="181" s="104" customFormat="1" customHeight="1" spans="1:87">
      <c r="A181" s="126"/>
      <c r="B181" s="127"/>
      <c r="C181" s="126"/>
      <c r="D181" s="127"/>
      <c r="E181" s="127"/>
      <c r="F181" s="114">
        <f t="shared" si="1107"/>
        <v>0</v>
      </c>
      <c r="G181" s="113"/>
      <c r="H181" s="124"/>
      <c r="I181" s="113">
        <f t="shared" si="1108"/>
        <v>0</v>
      </c>
      <c r="J181" s="114">
        <f t="shared" si="1109"/>
        <v>0</v>
      </c>
      <c r="K181" s="113">
        <f t="shared" si="1110"/>
        <v>0</v>
      </c>
      <c r="L181" s="114"/>
      <c r="M181" s="114">
        <f t="shared" ref="M181:S181" si="1177">E181</f>
        <v>0</v>
      </c>
      <c r="N181" s="114">
        <f t="shared" si="1112"/>
        <v>0</v>
      </c>
      <c r="O181" s="113"/>
      <c r="P181" s="124"/>
      <c r="Q181" s="113">
        <f t="shared" si="1177"/>
        <v>0</v>
      </c>
      <c r="R181" s="114">
        <f t="shared" si="1177"/>
        <v>0</v>
      </c>
      <c r="S181" s="113">
        <f t="shared" si="1177"/>
        <v>0</v>
      </c>
      <c r="T181" s="114"/>
      <c r="U181" s="114">
        <f t="shared" ref="U181:AA181" si="1178">M181</f>
        <v>0</v>
      </c>
      <c r="V181" s="114">
        <f t="shared" si="1114"/>
        <v>0</v>
      </c>
      <c r="W181" s="113"/>
      <c r="X181" s="124"/>
      <c r="Y181" s="113">
        <f t="shared" si="1178"/>
        <v>0</v>
      </c>
      <c r="Z181" s="114">
        <f t="shared" si="1178"/>
        <v>0</v>
      </c>
      <c r="AA181" s="113">
        <f t="shared" si="1178"/>
        <v>0</v>
      </c>
      <c r="AB181" s="114"/>
      <c r="AC181" s="114">
        <f t="shared" ref="AC181:AI181" si="1179">U181</f>
        <v>0</v>
      </c>
      <c r="AD181" s="114">
        <f t="shared" si="1116"/>
        <v>0</v>
      </c>
      <c r="AE181" s="113"/>
      <c r="AF181" s="124"/>
      <c r="AG181" s="113">
        <f t="shared" si="1179"/>
        <v>0</v>
      </c>
      <c r="AH181" s="114">
        <f t="shared" si="1179"/>
        <v>0</v>
      </c>
      <c r="AI181" s="113">
        <f t="shared" si="1179"/>
        <v>0</v>
      </c>
      <c r="AJ181" s="114"/>
      <c r="AK181" s="114">
        <f t="shared" ref="AK181:AQ181" si="1180">AC181</f>
        <v>0</v>
      </c>
      <c r="AL181" s="114">
        <f t="shared" si="1118"/>
        <v>0</v>
      </c>
      <c r="AM181" s="113"/>
      <c r="AN181" s="124"/>
      <c r="AO181" s="113">
        <f t="shared" si="1180"/>
        <v>0</v>
      </c>
      <c r="AP181" s="114">
        <f t="shared" si="1180"/>
        <v>0</v>
      </c>
      <c r="AQ181" s="113">
        <f t="shared" si="1180"/>
        <v>0</v>
      </c>
      <c r="AR181" s="114"/>
      <c r="AS181" s="114">
        <f t="shared" ref="AS181:AY181" si="1181">AK181</f>
        <v>0</v>
      </c>
      <c r="AT181" s="114">
        <f t="shared" si="1120"/>
        <v>0</v>
      </c>
      <c r="AU181" s="113"/>
      <c r="AV181" s="124"/>
      <c r="AW181" s="113">
        <f t="shared" si="1181"/>
        <v>0</v>
      </c>
      <c r="AX181" s="114">
        <f t="shared" si="1181"/>
        <v>0</v>
      </c>
      <c r="AY181" s="113">
        <f t="shared" si="1181"/>
        <v>0</v>
      </c>
      <c r="AZ181" s="114"/>
      <c r="BA181" s="114">
        <f t="shared" ref="BA181:BG181" si="1182">AS181</f>
        <v>0</v>
      </c>
      <c r="BB181" s="114">
        <f t="shared" si="1122"/>
        <v>0</v>
      </c>
      <c r="BC181" s="113"/>
      <c r="BD181" s="124"/>
      <c r="BE181" s="113">
        <f t="shared" si="1182"/>
        <v>0</v>
      </c>
      <c r="BF181" s="114">
        <f t="shared" si="1182"/>
        <v>0</v>
      </c>
      <c r="BG181" s="113">
        <f t="shared" si="1182"/>
        <v>0</v>
      </c>
      <c r="BH181" s="114"/>
      <c r="BI181" s="114">
        <f t="shared" ref="BI181:BO181" si="1183">BA181</f>
        <v>0</v>
      </c>
      <c r="BJ181" s="114">
        <f t="shared" si="1124"/>
        <v>0</v>
      </c>
      <c r="BK181" s="113"/>
      <c r="BL181" s="124"/>
      <c r="BM181" s="113">
        <f t="shared" si="1183"/>
        <v>0</v>
      </c>
      <c r="BN181" s="114">
        <f t="shared" si="1183"/>
        <v>0</v>
      </c>
      <c r="BO181" s="113">
        <f t="shared" si="1183"/>
        <v>0</v>
      </c>
      <c r="BP181" s="114"/>
      <c r="BQ181" s="114">
        <f t="shared" ref="BQ181:BW181" si="1184">BI181</f>
        <v>0</v>
      </c>
      <c r="BR181" s="114">
        <f t="shared" si="1126"/>
        <v>0</v>
      </c>
      <c r="BS181" s="113"/>
      <c r="BT181" s="124"/>
      <c r="BU181" s="113">
        <f t="shared" si="1184"/>
        <v>0</v>
      </c>
      <c r="BV181" s="114">
        <f t="shared" si="1184"/>
        <v>0</v>
      </c>
      <c r="BW181" s="113">
        <f t="shared" si="1184"/>
        <v>0</v>
      </c>
      <c r="BX181" s="114"/>
      <c r="BY181" s="114">
        <f t="shared" ref="BY181:CE181" si="1185">BQ181</f>
        <v>0</v>
      </c>
      <c r="BZ181" s="114">
        <f t="shared" si="1128"/>
        <v>0</v>
      </c>
      <c r="CA181" s="113"/>
      <c r="CB181" s="124"/>
      <c r="CC181" s="113">
        <f t="shared" si="1185"/>
        <v>0</v>
      </c>
      <c r="CD181" s="114">
        <f t="shared" si="1185"/>
        <v>0</v>
      </c>
      <c r="CE181" s="113">
        <f t="shared" si="1185"/>
        <v>0</v>
      </c>
      <c r="CF181" s="114">
        <f t="shared" si="1129"/>
        <v>0</v>
      </c>
      <c r="CG181" s="114">
        <f t="shared" si="1130"/>
        <v>0</v>
      </c>
      <c r="CH181" s="114">
        <f t="shared" si="1131"/>
        <v>0</v>
      </c>
      <c r="CI181" s="113"/>
    </row>
    <row r="182" s="104" customFormat="1" customHeight="1" spans="1:87">
      <c r="A182" s="126"/>
      <c r="B182" s="127"/>
      <c r="C182" s="126"/>
      <c r="D182" s="127"/>
      <c r="E182" s="127"/>
      <c r="F182" s="114">
        <f t="shared" si="1107"/>
        <v>0</v>
      </c>
      <c r="G182" s="113"/>
      <c r="H182" s="124"/>
      <c r="I182" s="113">
        <f t="shared" si="1108"/>
        <v>0</v>
      </c>
      <c r="J182" s="114">
        <f t="shared" si="1109"/>
        <v>0</v>
      </c>
      <c r="K182" s="113">
        <f t="shared" si="1110"/>
        <v>0</v>
      </c>
      <c r="L182" s="114"/>
      <c r="M182" s="114">
        <f t="shared" ref="M182:S182" si="1186">E182</f>
        <v>0</v>
      </c>
      <c r="N182" s="114">
        <f t="shared" si="1112"/>
        <v>0</v>
      </c>
      <c r="O182" s="113"/>
      <c r="P182" s="124"/>
      <c r="Q182" s="113">
        <f t="shared" si="1186"/>
        <v>0</v>
      </c>
      <c r="R182" s="114">
        <f t="shared" si="1186"/>
        <v>0</v>
      </c>
      <c r="S182" s="113">
        <f t="shared" si="1186"/>
        <v>0</v>
      </c>
      <c r="T182" s="114"/>
      <c r="U182" s="114">
        <f t="shared" ref="U182:AA182" si="1187">M182</f>
        <v>0</v>
      </c>
      <c r="V182" s="114">
        <f t="shared" si="1114"/>
        <v>0</v>
      </c>
      <c r="W182" s="113"/>
      <c r="X182" s="124"/>
      <c r="Y182" s="113">
        <f t="shared" si="1187"/>
        <v>0</v>
      </c>
      <c r="Z182" s="114">
        <f t="shared" si="1187"/>
        <v>0</v>
      </c>
      <c r="AA182" s="113">
        <f t="shared" si="1187"/>
        <v>0</v>
      </c>
      <c r="AB182" s="114"/>
      <c r="AC182" s="114">
        <f t="shared" ref="AC182:AI182" si="1188">U182</f>
        <v>0</v>
      </c>
      <c r="AD182" s="114">
        <f t="shared" si="1116"/>
        <v>0</v>
      </c>
      <c r="AE182" s="113"/>
      <c r="AF182" s="124"/>
      <c r="AG182" s="113">
        <f t="shared" si="1188"/>
        <v>0</v>
      </c>
      <c r="AH182" s="114">
        <f t="shared" si="1188"/>
        <v>0</v>
      </c>
      <c r="AI182" s="113">
        <f t="shared" si="1188"/>
        <v>0</v>
      </c>
      <c r="AJ182" s="114"/>
      <c r="AK182" s="114">
        <f t="shared" ref="AK182:AQ182" si="1189">AC182</f>
        <v>0</v>
      </c>
      <c r="AL182" s="114">
        <f t="shared" si="1118"/>
        <v>0</v>
      </c>
      <c r="AM182" s="113"/>
      <c r="AN182" s="124"/>
      <c r="AO182" s="113">
        <f t="shared" si="1189"/>
        <v>0</v>
      </c>
      <c r="AP182" s="114">
        <f t="shared" si="1189"/>
        <v>0</v>
      </c>
      <c r="AQ182" s="113">
        <f t="shared" si="1189"/>
        <v>0</v>
      </c>
      <c r="AR182" s="114"/>
      <c r="AS182" s="114">
        <f t="shared" ref="AS182:AY182" si="1190">AK182</f>
        <v>0</v>
      </c>
      <c r="AT182" s="114">
        <f t="shared" si="1120"/>
        <v>0</v>
      </c>
      <c r="AU182" s="113"/>
      <c r="AV182" s="124"/>
      <c r="AW182" s="113">
        <f t="shared" si="1190"/>
        <v>0</v>
      </c>
      <c r="AX182" s="114">
        <f t="shared" si="1190"/>
        <v>0</v>
      </c>
      <c r="AY182" s="113">
        <f t="shared" si="1190"/>
        <v>0</v>
      </c>
      <c r="AZ182" s="114"/>
      <c r="BA182" s="114">
        <f t="shared" ref="BA182:BG182" si="1191">AS182</f>
        <v>0</v>
      </c>
      <c r="BB182" s="114">
        <f t="shared" si="1122"/>
        <v>0</v>
      </c>
      <c r="BC182" s="113"/>
      <c r="BD182" s="124"/>
      <c r="BE182" s="113">
        <f t="shared" si="1191"/>
        <v>0</v>
      </c>
      <c r="BF182" s="114">
        <f t="shared" si="1191"/>
        <v>0</v>
      </c>
      <c r="BG182" s="113">
        <f t="shared" si="1191"/>
        <v>0</v>
      </c>
      <c r="BH182" s="114"/>
      <c r="BI182" s="114">
        <f t="shared" ref="BI182:BO182" si="1192">BA182</f>
        <v>0</v>
      </c>
      <c r="BJ182" s="114">
        <f t="shared" si="1124"/>
        <v>0</v>
      </c>
      <c r="BK182" s="113"/>
      <c r="BL182" s="124"/>
      <c r="BM182" s="113">
        <f t="shared" si="1192"/>
        <v>0</v>
      </c>
      <c r="BN182" s="114">
        <f t="shared" si="1192"/>
        <v>0</v>
      </c>
      <c r="BO182" s="113">
        <f t="shared" si="1192"/>
        <v>0</v>
      </c>
      <c r="BP182" s="114"/>
      <c r="BQ182" s="114">
        <f t="shared" ref="BQ182:BW182" si="1193">BI182</f>
        <v>0</v>
      </c>
      <c r="BR182" s="114">
        <f t="shared" si="1126"/>
        <v>0</v>
      </c>
      <c r="BS182" s="113"/>
      <c r="BT182" s="124"/>
      <c r="BU182" s="113">
        <f t="shared" si="1193"/>
        <v>0</v>
      </c>
      <c r="BV182" s="114">
        <f t="shared" si="1193"/>
        <v>0</v>
      </c>
      <c r="BW182" s="113">
        <f t="shared" si="1193"/>
        <v>0</v>
      </c>
      <c r="BX182" s="114"/>
      <c r="BY182" s="114">
        <f t="shared" ref="BY182:CE182" si="1194">BQ182</f>
        <v>0</v>
      </c>
      <c r="BZ182" s="114">
        <f t="shared" si="1128"/>
        <v>0</v>
      </c>
      <c r="CA182" s="113"/>
      <c r="CB182" s="124"/>
      <c r="CC182" s="113">
        <f t="shared" si="1194"/>
        <v>0</v>
      </c>
      <c r="CD182" s="114">
        <f t="shared" si="1194"/>
        <v>0</v>
      </c>
      <c r="CE182" s="113">
        <f t="shared" si="1194"/>
        <v>0</v>
      </c>
      <c r="CF182" s="114">
        <f t="shared" si="1129"/>
        <v>0</v>
      </c>
      <c r="CG182" s="114">
        <f t="shared" si="1130"/>
        <v>0</v>
      </c>
      <c r="CH182" s="114">
        <f t="shared" si="1131"/>
        <v>0</v>
      </c>
      <c r="CI182" s="113"/>
    </row>
    <row r="183" s="104" customFormat="1" customHeight="1" spans="1:87">
      <c r="A183" s="113"/>
      <c r="B183" s="114"/>
      <c r="C183" s="113"/>
      <c r="D183" s="114"/>
      <c r="E183" s="114"/>
      <c r="F183" s="114">
        <f t="shared" si="1107"/>
        <v>0</v>
      </c>
      <c r="G183" s="113"/>
      <c r="H183" s="124"/>
      <c r="I183" s="113">
        <f t="shared" si="1108"/>
        <v>0</v>
      </c>
      <c r="J183" s="114">
        <f t="shared" si="1109"/>
        <v>0</v>
      </c>
      <c r="K183" s="113">
        <f t="shared" si="1110"/>
        <v>0</v>
      </c>
      <c r="L183" s="114"/>
      <c r="M183" s="114">
        <f t="shared" ref="M183:S183" si="1195">E183</f>
        <v>0</v>
      </c>
      <c r="N183" s="114">
        <f t="shared" si="1112"/>
        <v>0</v>
      </c>
      <c r="O183" s="113"/>
      <c r="P183" s="124"/>
      <c r="Q183" s="113">
        <f t="shared" si="1195"/>
        <v>0</v>
      </c>
      <c r="R183" s="114">
        <f t="shared" si="1195"/>
        <v>0</v>
      </c>
      <c r="S183" s="113">
        <f t="shared" si="1195"/>
        <v>0</v>
      </c>
      <c r="T183" s="114"/>
      <c r="U183" s="114">
        <f t="shared" ref="U183:AA183" si="1196">M183</f>
        <v>0</v>
      </c>
      <c r="V183" s="114">
        <f t="shared" si="1114"/>
        <v>0</v>
      </c>
      <c r="W183" s="113"/>
      <c r="X183" s="124"/>
      <c r="Y183" s="113">
        <f t="shared" si="1196"/>
        <v>0</v>
      </c>
      <c r="Z183" s="114">
        <f t="shared" si="1196"/>
        <v>0</v>
      </c>
      <c r="AA183" s="113">
        <f t="shared" si="1196"/>
        <v>0</v>
      </c>
      <c r="AB183" s="114"/>
      <c r="AC183" s="114">
        <f t="shared" ref="AC183:AI183" si="1197">U183</f>
        <v>0</v>
      </c>
      <c r="AD183" s="114">
        <f t="shared" si="1116"/>
        <v>0</v>
      </c>
      <c r="AE183" s="113"/>
      <c r="AF183" s="124"/>
      <c r="AG183" s="113">
        <f t="shared" si="1197"/>
        <v>0</v>
      </c>
      <c r="AH183" s="114">
        <f t="shared" si="1197"/>
        <v>0</v>
      </c>
      <c r="AI183" s="113">
        <f t="shared" si="1197"/>
        <v>0</v>
      </c>
      <c r="AJ183" s="114"/>
      <c r="AK183" s="114">
        <f t="shared" ref="AK183:AQ183" si="1198">AC183</f>
        <v>0</v>
      </c>
      <c r="AL183" s="114">
        <f t="shared" si="1118"/>
        <v>0</v>
      </c>
      <c r="AM183" s="113"/>
      <c r="AN183" s="124"/>
      <c r="AO183" s="113">
        <f t="shared" si="1198"/>
        <v>0</v>
      </c>
      <c r="AP183" s="114">
        <f t="shared" si="1198"/>
        <v>0</v>
      </c>
      <c r="AQ183" s="113">
        <f t="shared" si="1198"/>
        <v>0</v>
      </c>
      <c r="AR183" s="114"/>
      <c r="AS183" s="114">
        <f t="shared" ref="AS183:AY183" si="1199">AK183</f>
        <v>0</v>
      </c>
      <c r="AT183" s="114">
        <f t="shared" si="1120"/>
        <v>0</v>
      </c>
      <c r="AU183" s="113"/>
      <c r="AV183" s="124"/>
      <c r="AW183" s="113">
        <f t="shared" si="1199"/>
        <v>0</v>
      </c>
      <c r="AX183" s="114">
        <f t="shared" si="1199"/>
        <v>0</v>
      </c>
      <c r="AY183" s="113">
        <f t="shared" si="1199"/>
        <v>0</v>
      </c>
      <c r="AZ183" s="114"/>
      <c r="BA183" s="114">
        <f t="shared" ref="BA183:BG183" si="1200">AS183</f>
        <v>0</v>
      </c>
      <c r="BB183" s="114">
        <f t="shared" si="1122"/>
        <v>0</v>
      </c>
      <c r="BC183" s="113"/>
      <c r="BD183" s="124"/>
      <c r="BE183" s="113">
        <f t="shared" si="1200"/>
        <v>0</v>
      </c>
      <c r="BF183" s="114">
        <f t="shared" si="1200"/>
        <v>0</v>
      </c>
      <c r="BG183" s="113">
        <f t="shared" si="1200"/>
        <v>0</v>
      </c>
      <c r="BH183" s="114"/>
      <c r="BI183" s="114">
        <f t="shared" ref="BI183:BO183" si="1201">BA183</f>
        <v>0</v>
      </c>
      <c r="BJ183" s="114">
        <f t="shared" si="1124"/>
        <v>0</v>
      </c>
      <c r="BK183" s="113"/>
      <c r="BL183" s="124"/>
      <c r="BM183" s="113">
        <f t="shared" si="1201"/>
        <v>0</v>
      </c>
      <c r="BN183" s="114">
        <f t="shared" si="1201"/>
        <v>0</v>
      </c>
      <c r="BO183" s="113">
        <f t="shared" si="1201"/>
        <v>0</v>
      </c>
      <c r="BP183" s="114"/>
      <c r="BQ183" s="114">
        <f t="shared" ref="BQ183:BW183" si="1202">BI183</f>
        <v>0</v>
      </c>
      <c r="BR183" s="114">
        <f t="shared" si="1126"/>
        <v>0</v>
      </c>
      <c r="BS183" s="113"/>
      <c r="BT183" s="124"/>
      <c r="BU183" s="113">
        <f t="shared" si="1202"/>
        <v>0</v>
      </c>
      <c r="BV183" s="114">
        <f t="shared" si="1202"/>
        <v>0</v>
      </c>
      <c r="BW183" s="113">
        <f t="shared" si="1202"/>
        <v>0</v>
      </c>
      <c r="BX183" s="114"/>
      <c r="BY183" s="114">
        <f t="shared" ref="BY183:CE183" si="1203">BQ183</f>
        <v>0</v>
      </c>
      <c r="BZ183" s="114">
        <f t="shared" si="1128"/>
        <v>0</v>
      </c>
      <c r="CA183" s="113"/>
      <c r="CB183" s="124"/>
      <c r="CC183" s="113">
        <f t="shared" si="1203"/>
        <v>0</v>
      </c>
      <c r="CD183" s="114">
        <f t="shared" si="1203"/>
        <v>0</v>
      </c>
      <c r="CE183" s="113">
        <f t="shared" si="1203"/>
        <v>0</v>
      </c>
      <c r="CF183" s="114">
        <f t="shared" si="1129"/>
        <v>0</v>
      </c>
      <c r="CG183" s="114">
        <f t="shared" si="1130"/>
        <v>0</v>
      </c>
      <c r="CH183" s="114">
        <f t="shared" si="1131"/>
        <v>0</v>
      </c>
      <c r="CI183" s="113"/>
    </row>
    <row r="184" s="104" customFormat="1" customHeight="1" spans="1:87">
      <c r="A184" s="113"/>
      <c r="B184" s="114"/>
      <c r="C184" s="113"/>
      <c r="D184" s="114"/>
      <c r="E184" s="114"/>
      <c r="F184" s="114">
        <f t="shared" si="1107"/>
        <v>0</v>
      </c>
      <c r="G184" s="113"/>
      <c r="H184" s="124"/>
      <c r="I184" s="113">
        <f t="shared" si="1108"/>
        <v>0</v>
      </c>
      <c r="J184" s="114">
        <f t="shared" si="1109"/>
        <v>0</v>
      </c>
      <c r="K184" s="113">
        <f t="shared" si="1110"/>
        <v>0</v>
      </c>
      <c r="L184" s="114"/>
      <c r="M184" s="114">
        <f t="shared" ref="M184:S184" si="1204">E184</f>
        <v>0</v>
      </c>
      <c r="N184" s="114">
        <f t="shared" si="1112"/>
        <v>0</v>
      </c>
      <c r="O184" s="113"/>
      <c r="P184" s="124"/>
      <c r="Q184" s="113">
        <f t="shared" si="1204"/>
        <v>0</v>
      </c>
      <c r="R184" s="114">
        <f t="shared" si="1204"/>
        <v>0</v>
      </c>
      <c r="S184" s="113">
        <f t="shared" si="1204"/>
        <v>0</v>
      </c>
      <c r="T184" s="114"/>
      <c r="U184" s="114">
        <f t="shared" ref="U184:AA184" si="1205">M184</f>
        <v>0</v>
      </c>
      <c r="V184" s="114">
        <f t="shared" si="1114"/>
        <v>0</v>
      </c>
      <c r="W184" s="113"/>
      <c r="X184" s="124"/>
      <c r="Y184" s="113">
        <f t="shared" si="1205"/>
        <v>0</v>
      </c>
      <c r="Z184" s="114">
        <f t="shared" si="1205"/>
        <v>0</v>
      </c>
      <c r="AA184" s="113">
        <f t="shared" si="1205"/>
        <v>0</v>
      </c>
      <c r="AB184" s="114"/>
      <c r="AC184" s="114">
        <f t="shared" ref="AC184:AI184" si="1206">U184</f>
        <v>0</v>
      </c>
      <c r="AD184" s="114">
        <f t="shared" si="1116"/>
        <v>0</v>
      </c>
      <c r="AE184" s="113"/>
      <c r="AF184" s="124"/>
      <c r="AG184" s="113">
        <f t="shared" si="1206"/>
        <v>0</v>
      </c>
      <c r="AH184" s="114">
        <f t="shared" si="1206"/>
        <v>0</v>
      </c>
      <c r="AI184" s="113">
        <f t="shared" si="1206"/>
        <v>0</v>
      </c>
      <c r="AJ184" s="114"/>
      <c r="AK184" s="114">
        <f t="shared" ref="AK184:AQ184" si="1207">AC184</f>
        <v>0</v>
      </c>
      <c r="AL184" s="114">
        <f t="shared" si="1118"/>
        <v>0</v>
      </c>
      <c r="AM184" s="113"/>
      <c r="AN184" s="124"/>
      <c r="AO184" s="113">
        <f t="shared" si="1207"/>
        <v>0</v>
      </c>
      <c r="AP184" s="114">
        <f t="shared" si="1207"/>
        <v>0</v>
      </c>
      <c r="AQ184" s="113">
        <f t="shared" si="1207"/>
        <v>0</v>
      </c>
      <c r="AR184" s="114"/>
      <c r="AS184" s="114">
        <f t="shared" ref="AS184:AY184" si="1208">AK184</f>
        <v>0</v>
      </c>
      <c r="AT184" s="114">
        <f t="shared" si="1120"/>
        <v>0</v>
      </c>
      <c r="AU184" s="113"/>
      <c r="AV184" s="124"/>
      <c r="AW184" s="113">
        <f t="shared" si="1208"/>
        <v>0</v>
      </c>
      <c r="AX184" s="114">
        <f t="shared" si="1208"/>
        <v>0</v>
      </c>
      <c r="AY184" s="113">
        <f t="shared" si="1208"/>
        <v>0</v>
      </c>
      <c r="AZ184" s="114"/>
      <c r="BA184" s="114">
        <f t="shared" ref="BA184:BG184" si="1209">AS184</f>
        <v>0</v>
      </c>
      <c r="BB184" s="114">
        <f t="shared" si="1122"/>
        <v>0</v>
      </c>
      <c r="BC184" s="113"/>
      <c r="BD184" s="124"/>
      <c r="BE184" s="113">
        <f t="shared" si="1209"/>
        <v>0</v>
      </c>
      <c r="BF184" s="114">
        <f t="shared" si="1209"/>
        <v>0</v>
      </c>
      <c r="BG184" s="113">
        <f t="shared" si="1209"/>
        <v>0</v>
      </c>
      <c r="BH184" s="114"/>
      <c r="BI184" s="114">
        <f t="shared" ref="BI184:BO184" si="1210">BA184</f>
        <v>0</v>
      </c>
      <c r="BJ184" s="114">
        <f t="shared" si="1124"/>
        <v>0</v>
      </c>
      <c r="BK184" s="113"/>
      <c r="BL184" s="124"/>
      <c r="BM184" s="113">
        <f t="shared" si="1210"/>
        <v>0</v>
      </c>
      <c r="BN184" s="114">
        <f t="shared" si="1210"/>
        <v>0</v>
      </c>
      <c r="BO184" s="113">
        <f t="shared" si="1210"/>
        <v>0</v>
      </c>
      <c r="BP184" s="114"/>
      <c r="BQ184" s="114">
        <f t="shared" ref="BQ184:BW184" si="1211">BI184</f>
        <v>0</v>
      </c>
      <c r="BR184" s="114">
        <f t="shared" si="1126"/>
        <v>0</v>
      </c>
      <c r="BS184" s="113"/>
      <c r="BT184" s="124"/>
      <c r="BU184" s="113">
        <f t="shared" si="1211"/>
        <v>0</v>
      </c>
      <c r="BV184" s="114">
        <f t="shared" si="1211"/>
        <v>0</v>
      </c>
      <c r="BW184" s="113">
        <f t="shared" si="1211"/>
        <v>0</v>
      </c>
      <c r="BX184" s="114"/>
      <c r="BY184" s="114">
        <f t="shared" ref="BY184:CE184" si="1212">BQ184</f>
        <v>0</v>
      </c>
      <c r="BZ184" s="114">
        <f t="shared" si="1128"/>
        <v>0</v>
      </c>
      <c r="CA184" s="113"/>
      <c r="CB184" s="124"/>
      <c r="CC184" s="113">
        <f t="shared" si="1212"/>
        <v>0</v>
      </c>
      <c r="CD184" s="114">
        <f t="shared" si="1212"/>
        <v>0</v>
      </c>
      <c r="CE184" s="113">
        <f t="shared" si="1212"/>
        <v>0</v>
      </c>
      <c r="CF184" s="114">
        <f t="shared" si="1129"/>
        <v>0</v>
      </c>
      <c r="CG184" s="114">
        <f t="shared" si="1130"/>
        <v>0</v>
      </c>
      <c r="CH184" s="114">
        <f t="shared" si="1131"/>
        <v>0</v>
      </c>
      <c r="CI184" s="113"/>
    </row>
    <row r="185" s="104" customFormat="1" customHeight="1" spans="1:87">
      <c r="A185" s="113"/>
      <c r="B185" s="114"/>
      <c r="C185" s="113"/>
      <c r="D185" s="114"/>
      <c r="E185" s="114"/>
      <c r="F185" s="114">
        <f t="shared" si="1107"/>
        <v>0</v>
      </c>
      <c r="G185" s="113"/>
      <c r="H185" s="124"/>
      <c r="I185" s="113">
        <f t="shared" si="1108"/>
        <v>0</v>
      </c>
      <c r="J185" s="114">
        <f t="shared" si="1109"/>
        <v>0</v>
      </c>
      <c r="K185" s="113">
        <f t="shared" si="1110"/>
        <v>0</v>
      </c>
      <c r="L185" s="114"/>
      <c r="M185" s="114">
        <f t="shared" ref="M185:S185" si="1213">E185</f>
        <v>0</v>
      </c>
      <c r="N185" s="114">
        <f t="shared" si="1112"/>
        <v>0</v>
      </c>
      <c r="O185" s="113"/>
      <c r="P185" s="124"/>
      <c r="Q185" s="113">
        <f t="shared" si="1213"/>
        <v>0</v>
      </c>
      <c r="R185" s="114">
        <f t="shared" si="1213"/>
        <v>0</v>
      </c>
      <c r="S185" s="113">
        <f t="shared" si="1213"/>
        <v>0</v>
      </c>
      <c r="T185" s="114"/>
      <c r="U185" s="114">
        <f t="shared" ref="U185:AA185" si="1214">M185</f>
        <v>0</v>
      </c>
      <c r="V185" s="114">
        <f t="shared" si="1114"/>
        <v>0</v>
      </c>
      <c r="W185" s="113"/>
      <c r="X185" s="124"/>
      <c r="Y185" s="113">
        <f t="shared" si="1214"/>
        <v>0</v>
      </c>
      <c r="Z185" s="114">
        <f t="shared" si="1214"/>
        <v>0</v>
      </c>
      <c r="AA185" s="113">
        <f t="shared" si="1214"/>
        <v>0</v>
      </c>
      <c r="AB185" s="114"/>
      <c r="AC185" s="114">
        <f t="shared" ref="AC185:AI185" si="1215">U185</f>
        <v>0</v>
      </c>
      <c r="AD185" s="114">
        <f t="shared" si="1116"/>
        <v>0</v>
      </c>
      <c r="AE185" s="113"/>
      <c r="AF185" s="124"/>
      <c r="AG185" s="113">
        <f t="shared" si="1215"/>
        <v>0</v>
      </c>
      <c r="AH185" s="114">
        <f t="shared" si="1215"/>
        <v>0</v>
      </c>
      <c r="AI185" s="113">
        <f t="shared" si="1215"/>
        <v>0</v>
      </c>
      <c r="AJ185" s="114"/>
      <c r="AK185" s="114">
        <f t="shared" ref="AK185:AQ185" si="1216">AC185</f>
        <v>0</v>
      </c>
      <c r="AL185" s="114">
        <f t="shared" si="1118"/>
        <v>0</v>
      </c>
      <c r="AM185" s="113"/>
      <c r="AN185" s="124"/>
      <c r="AO185" s="113">
        <f t="shared" si="1216"/>
        <v>0</v>
      </c>
      <c r="AP185" s="114">
        <f t="shared" si="1216"/>
        <v>0</v>
      </c>
      <c r="AQ185" s="113">
        <f t="shared" si="1216"/>
        <v>0</v>
      </c>
      <c r="AR185" s="114"/>
      <c r="AS185" s="114">
        <f t="shared" ref="AS185:AY185" si="1217">AK185</f>
        <v>0</v>
      </c>
      <c r="AT185" s="114">
        <f t="shared" si="1120"/>
        <v>0</v>
      </c>
      <c r="AU185" s="113"/>
      <c r="AV185" s="124"/>
      <c r="AW185" s="113">
        <f t="shared" si="1217"/>
        <v>0</v>
      </c>
      <c r="AX185" s="114">
        <f t="shared" si="1217"/>
        <v>0</v>
      </c>
      <c r="AY185" s="113">
        <f t="shared" si="1217"/>
        <v>0</v>
      </c>
      <c r="AZ185" s="114"/>
      <c r="BA185" s="114">
        <f t="shared" ref="BA185:BG185" si="1218">AS185</f>
        <v>0</v>
      </c>
      <c r="BB185" s="114">
        <f t="shared" si="1122"/>
        <v>0</v>
      </c>
      <c r="BC185" s="113"/>
      <c r="BD185" s="124"/>
      <c r="BE185" s="113">
        <f t="shared" si="1218"/>
        <v>0</v>
      </c>
      <c r="BF185" s="114">
        <f t="shared" si="1218"/>
        <v>0</v>
      </c>
      <c r="BG185" s="113">
        <f t="shared" si="1218"/>
        <v>0</v>
      </c>
      <c r="BH185" s="114"/>
      <c r="BI185" s="114">
        <f t="shared" ref="BI185:BO185" si="1219">BA185</f>
        <v>0</v>
      </c>
      <c r="BJ185" s="114">
        <f t="shared" si="1124"/>
        <v>0</v>
      </c>
      <c r="BK185" s="113"/>
      <c r="BL185" s="124"/>
      <c r="BM185" s="113">
        <f t="shared" si="1219"/>
        <v>0</v>
      </c>
      <c r="BN185" s="114">
        <f t="shared" si="1219"/>
        <v>0</v>
      </c>
      <c r="BO185" s="113">
        <f t="shared" si="1219"/>
        <v>0</v>
      </c>
      <c r="BP185" s="114"/>
      <c r="BQ185" s="114">
        <f t="shared" ref="BQ185:BW185" si="1220">BI185</f>
        <v>0</v>
      </c>
      <c r="BR185" s="114">
        <f t="shared" si="1126"/>
        <v>0</v>
      </c>
      <c r="BS185" s="113"/>
      <c r="BT185" s="124"/>
      <c r="BU185" s="113">
        <f t="shared" si="1220"/>
        <v>0</v>
      </c>
      <c r="BV185" s="114">
        <f t="shared" si="1220"/>
        <v>0</v>
      </c>
      <c r="BW185" s="113">
        <f t="shared" si="1220"/>
        <v>0</v>
      </c>
      <c r="BX185" s="114"/>
      <c r="BY185" s="114">
        <f t="shared" ref="BY185:CE185" si="1221">BQ185</f>
        <v>0</v>
      </c>
      <c r="BZ185" s="114">
        <f t="shared" si="1128"/>
        <v>0</v>
      </c>
      <c r="CA185" s="113"/>
      <c r="CB185" s="124"/>
      <c r="CC185" s="113">
        <f t="shared" si="1221"/>
        <v>0</v>
      </c>
      <c r="CD185" s="114">
        <f t="shared" si="1221"/>
        <v>0</v>
      </c>
      <c r="CE185" s="113">
        <f t="shared" si="1221"/>
        <v>0</v>
      </c>
      <c r="CF185" s="114">
        <f t="shared" si="1129"/>
        <v>0</v>
      </c>
      <c r="CG185" s="114">
        <f t="shared" si="1130"/>
        <v>0</v>
      </c>
      <c r="CH185" s="114">
        <f t="shared" si="1131"/>
        <v>0</v>
      </c>
      <c r="CI185" s="113"/>
    </row>
    <row r="186" s="104" customFormat="1" customHeight="1" spans="1:87">
      <c r="A186" s="113"/>
      <c r="B186" s="114"/>
      <c r="C186" s="113"/>
      <c r="D186" s="114"/>
      <c r="E186" s="114"/>
      <c r="F186" s="114">
        <f t="shared" si="1107"/>
        <v>0</v>
      </c>
      <c r="G186" s="113"/>
      <c r="H186" s="124"/>
      <c r="I186" s="113">
        <f t="shared" si="1108"/>
        <v>0</v>
      </c>
      <c r="J186" s="114">
        <f t="shared" si="1109"/>
        <v>0</v>
      </c>
      <c r="K186" s="113">
        <f t="shared" si="1110"/>
        <v>0</v>
      </c>
      <c r="L186" s="114"/>
      <c r="M186" s="114">
        <f t="shared" ref="M186:S186" si="1222">E186</f>
        <v>0</v>
      </c>
      <c r="N186" s="114">
        <f t="shared" si="1112"/>
        <v>0</v>
      </c>
      <c r="O186" s="113"/>
      <c r="P186" s="124"/>
      <c r="Q186" s="113">
        <f t="shared" si="1222"/>
        <v>0</v>
      </c>
      <c r="R186" s="114">
        <f t="shared" si="1222"/>
        <v>0</v>
      </c>
      <c r="S186" s="113">
        <f t="shared" si="1222"/>
        <v>0</v>
      </c>
      <c r="T186" s="114"/>
      <c r="U186" s="114">
        <f t="shared" ref="U186:AA186" si="1223">M186</f>
        <v>0</v>
      </c>
      <c r="V186" s="114">
        <f t="shared" si="1114"/>
        <v>0</v>
      </c>
      <c r="W186" s="113"/>
      <c r="X186" s="124"/>
      <c r="Y186" s="113">
        <f t="shared" si="1223"/>
        <v>0</v>
      </c>
      <c r="Z186" s="114">
        <f t="shared" si="1223"/>
        <v>0</v>
      </c>
      <c r="AA186" s="113">
        <f t="shared" si="1223"/>
        <v>0</v>
      </c>
      <c r="AB186" s="114"/>
      <c r="AC186" s="114">
        <f t="shared" ref="AC186:AI186" si="1224">U186</f>
        <v>0</v>
      </c>
      <c r="AD186" s="114">
        <f t="shared" si="1116"/>
        <v>0</v>
      </c>
      <c r="AE186" s="113"/>
      <c r="AF186" s="124"/>
      <c r="AG186" s="113">
        <f t="shared" si="1224"/>
        <v>0</v>
      </c>
      <c r="AH186" s="114">
        <f t="shared" si="1224"/>
        <v>0</v>
      </c>
      <c r="AI186" s="113">
        <f t="shared" si="1224"/>
        <v>0</v>
      </c>
      <c r="AJ186" s="114"/>
      <c r="AK186" s="114">
        <f t="shared" ref="AK186:AQ186" si="1225">AC186</f>
        <v>0</v>
      </c>
      <c r="AL186" s="114">
        <f t="shared" si="1118"/>
        <v>0</v>
      </c>
      <c r="AM186" s="113"/>
      <c r="AN186" s="124"/>
      <c r="AO186" s="113">
        <f t="shared" si="1225"/>
        <v>0</v>
      </c>
      <c r="AP186" s="114">
        <f t="shared" si="1225"/>
        <v>0</v>
      </c>
      <c r="AQ186" s="113">
        <f t="shared" si="1225"/>
        <v>0</v>
      </c>
      <c r="AR186" s="114"/>
      <c r="AS186" s="114">
        <f t="shared" ref="AS186:AY186" si="1226">AK186</f>
        <v>0</v>
      </c>
      <c r="AT186" s="114">
        <f t="shared" si="1120"/>
        <v>0</v>
      </c>
      <c r="AU186" s="113"/>
      <c r="AV186" s="124"/>
      <c r="AW186" s="113">
        <f t="shared" si="1226"/>
        <v>0</v>
      </c>
      <c r="AX186" s="114">
        <f t="shared" si="1226"/>
        <v>0</v>
      </c>
      <c r="AY186" s="113">
        <f t="shared" si="1226"/>
        <v>0</v>
      </c>
      <c r="AZ186" s="114"/>
      <c r="BA186" s="114">
        <f t="shared" ref="BA186:BG186" si="1227">AS186</f>
        <v>0</v>
      </c>
      <c r="BB186" s="114">
        <f t="shared" si="1122"/>
        <v>0</v>
      </c>
      <c r="BC186" s="113"/>
      <c r="BD186" s="124"/>
      <c r="BE186" s="113">
        <f t="shared" si="1227"/>
        <v>0</v>
      </c>
      <c r="BF186" s="114">
        <f t="shared" si="1227"/>
        <v>0</v>
      </c>
      <c r="BG186" s="113">
        <f t="shared" si="1227"/>
        <v>0</v>
      </c>
      <c r="BH186" s="114"/>
      <c r="BI186" s="114">
        <f t="shared" ref="BI186:BO186" si="1228">BA186</f>
        <v>0</v>
      </c>
      <c r="BJ186" s="114">
        <f t="shared" si="1124"/>
        <v>0</v>
      </c>
      <c r="BK186" s="113"/>
      <c r="BL186" s="124"/>
      <c r="BM186" s="113">
        <f t="shared" si="1228"/>
        <v>0</v>
      </c>
      <c r="BN186" s="114">
        <f t="shared" si="1228"/>
        <v>0</v>
      </c>
      <c r="BO186" s="113">
        <f t="shared" si="1228"/>
        <v>0</v>
      </c>
      <c r="BP186" s="114"/>
      <c r="BQ186" s="114">
        <f t="shared" ref="BQ186:BW186" si="1229">BI186</f>
        <v>0</v>
      </c>
      <c r="BR186" s="114">
        <f t="shared" si="1126"/>
        <v>0</v>
      </c>
      <c r="BS186" s="113"/>
      <c r="BT186" s="124"/>
      <c r="BU186" s="113">
        <f t="shared" si="1229"/>
        <v>0</v>
      </c>
      <c r="BV186" s="114">
        <f t="shared" si="1229"/>
        <v>0</v>
      </c>
      <c r="BW186" s="113">
        <f t="shared" si="1229"/>
        <v>0</v>
      </c>
      <c r="BX186" s="114"/>
      <c r="BY186" s="114">
        <f t="shared" ref="BY186:CE186" si="1230">BQ186</f>
        <v>0</v>
      </c>
      <c r="BZ186" s="114">
        <f t="shared" si="1128"/>
        <v>0</v>
      </c>
      <c r="CA186" s="113"/>
      <c r="CB186" s="124"/>
      <c r="CC186" s="113">
        <f t="shared" si="1230"/>
        <v>0</v>
      </c>
      <c r="CD186" s="114">
        <f t="shared" si="1230"/>
        <v>0</v>
      </c>
      <c r="CE186" s="113">
        <f t="shared" si="1230"/>
        <v>0</v>
      </c>
      <c r="CF186" s="114">
        <f t="shared" si="1129"/>
        <v>0</v>
      </c>
      <c r="CG186" s="114">
        <f t="shared" si="1130"/>
        <v>0</v>
      </c>
      <c r="CH186" s="114">
        <f t="shared" si="1131"/>
        <v>0</v>
      </c>
      <c r="CI186" s="113"/>
    </row>
    <row r="187" s="104" customFormat="1" customHeight="1" spans="1:87">
      <c r="A187" s="115" t="s">
        <v>340</v>
      </c>
      <c r="B187" s="116"/>
      <c r="C187" s="116"/>
      <c r="D187" s="116"/>
      <c r="E187" s="117"/>
      <c r="F187" s="118">
        <f>SUM(F175:F186)</f>
        <v>0</v>
      </c>
      <c r="G187" s="114"/>
      <c r="H187" s="124"/>
      <c r="I187" s="115" t="s">
        <v>340</v>
      </c>
      <c r="J187" s="116"/>
      <c r="K187" s="116"/>
      <c r="L187" s="116"/>
      <c r="M187" s="117"/>
      <c r="N187" s="118">
        <f>SUM(N175:N186)</f>
        <v>0</v>
      </c>
      <c r="O187" s="114"/>
      <c r="P187" s="124"/>
      <c r="Q187" s="115" t="s">
        <v>340</v>
      </c>
      <c r="R187" s="116"/>
      <c r="S187" s="116"/>
      <c r="T187" s="116"/>
      <c r="U187" s="117"/>
      <c r="V187" s="118">
        <f>SUM(V175:V186)</f>
        <v>0</v>
      </c>
      <c r="W187" s="114"/>
      <c r="X187" s="124"/>
      <c r="Y187" s="115" t="s">
        <v>340</v>
      </c>
      <c r="Z187" s="116"/>
      <c r="AA187" s="116"/>
      <c r="AB187" s="116"/>
      <c r="AC187" s="117"/>
      <c r="AD187" s="118">
        <f>SUM(AD175:AD186)</f>
        <v>0</v>
      </c>
      <c r="AE187" s="114"/>
      <c r="AF187" s="124"/>
      <c r="AG187" s="115" t="s">
        <v>340</v>
      </c>
      <c r="AH187" s="116"/>
      <c r="AI187" s="116"/>
      <c r="AJ187" s="116"/>
      <c r="AK187" s="117"/>
      <c r="AL187" s="118">
        <f>SUM(AL175:AL186)</f>
        <v>0</v>
      </c>
      <c r="AM187" s="114"/>
      <c r="AN187" s="124"/>
      <c r="AO187" s="115" t="s">
        <v>340</v>
      </c>
      <c r="AP187" s="116"/>
      <c r="AQ187" s="116"/>
      <c r="AR187" s="116"/>
      <c r="AS187" s="117"/>
      <c r="AT187" s="118">
        <f>SUM(AT175:AT186)</f>
        <v>0</v>
      </c>
      <c r="AU187" s="114"/>
      <c r="AV187" s="124"/>
      <c r="AW187" s="115" t="s">
        <v>340</v>
      </c>
      <c r="AX187" s="116"/>
      <c r="AY187" s="116"/>
      <c r="AZ187" s="116"/>
      <c r="BA187" s="117"/>
      <c r="BB187" s="118">
        <f>SUM(BB175:BB186)</f>
        <v>0</v>
      </c>
      <c r="BC187" s="114"/>
      <c r="BD187" s="124"/>
      <c r="BE187" s="115" t="s">
        <v>340</v>
      </c>
      <c r="BF187" s="116"/>
      <c r="BG187" s="116"/>
      <c r="BH187" s="116"/>
      <c r="BI187" s="117"/>
      <c r="BJ187" s="118">
        <f>SUM(BJ175:BJ186)</f>
        <v>0</v>
      </c>
      <c r="BK187" s="114"/>
      <c r="BL187" s="124"/>
      <c r="BM187" s="115" t="s">
        <v>340</v>
      </c>
      <c r="BN187" s="116"/>
      <c r="BO187" s="116"/>
      <c r="BP187" s="116"/>
      <c r="BQ187" s="117"/>
      <c r="BR187" s="118">
        <f>SUM(BR175:BR186)</f>
        <v>0</v>
      </c>
      <c r="BS187" s="114"/>
      <c r="BT187" s="124"/>
      <c r="BU187" s="115" t="s">
        <v>340</v>
      </c>
      <c r="BV187" s="116"/>
      <c r="BW187" s="116"/>
      <c r="BX187" s="116"/>
      <c r="BY187" s="117"/>
      <c r="BZ187" s="118">
        <f>SUM(BZ175:BZ186)</f>
        <v>0</v>
      </c>
      <c r="CA187" s="114"/>
      <c r="CB187" s="124"/>
      <c r="CC187" s="115" t="s">
        <v>340</v>
      </c>
      <c r="CD187" s="116"/>
      <c r="CE187" s="116"/>
      <c r="CF187" s="116"/>
      <c r="CG187" s="117"/>
      <c r="CH187" s="118">
        <f>SUM(CH175:CH186)</f>
        <v>0</v>
      </c>
      <c r="CI187" s="114"/>
    </row>
    <row r="188" s="104" customFormat="1" customHeight="1" spans="1:87">
      <c r="A188" s="119" t="s">
        <v>341</v>
      </c>
      <c r="B188" s="119"/>
      <c r="C188" s="120"/>
      <c r="D188" s="119"/>
      <c r="E188" s="119"/>
      <c r="F188" s="119"/>
      <c r="G188" s="119"/>
      <c r="H188" s="124"/>
      <c r="I188" s="119" t="s">
        <v>341</v>
      </c>
      <c r="J188" s="119"/>
      <c r="K188" s="120"/>
      <c r="L188" s="119"/>
      <c r="M188" s="119"/>
      <c r="N188" s="119"/>
      <c r="O188" s="119"/>
      <c r="P188" s="124"/>
      <c r="Q188" s="119" t="s">
        <v>341</v>
      </c>
      <c r="R188" s="119"/>
      <c r="S188" s="120"/>
      <c r="T188" s="119"/>
      <c r="U188" s="119"/>
      <c r="V188" s="119"/>
      <c r="W188" s="119"/>
      <c r="X188" s="124"/>
      <c r="Y188" s="119" t="s">
        <v>341</v>
      </c>
      <c r="Z188" s="119"/>
      <c r="AA188" s="120"/>
      <c r="AB188" s="119"/>
      <c r="AC188" s="119"/>
      <c r="AD188" s="119"/>
      <c r="AE188" s="119"/>
      <c r="AF188" s="124"/>
      <c r="AG188" s="119" t="s">
        <v>341</v>
      </c>
      <c r="AH188" s="119"/>
      <c r="AI188" s="120"/>
      <c r="AJ188" s="119"/>
      <c r="AK188" s="119"/>
      <c r="AL188" s="119"/>
      <c r="AM188" s="119"/>
      <c r="AN188" s="124"/>
      <c r="AO188" s="119" t="s">
        <v>341</v>
      </c>
      <c r="AP188" s="119"/>
      <c r="AQ188" s="120"/>
      <c r="AR188" s="119"/>
      <c r="AS188" s="119"/>
      <c r="AT188" s="119"/>
      <c r="AU188" s="119"/>
      <c r="AV188" s="124"/>
      <c r="AW188" s="119" t="s">
        <v>341</v>
      </c>
      <c r="AX188" s="119"/>
      <c r="AY188" s="120"/>
      <c r="AZ188" s="119"/>
      <c r="BA188" s="119"/>
      <c r="BB188" s="119"/>
      <c r="BC188" s="119"/>
      <c r="BD188" s="124"/>
      <c r="BE188" s="119" t="s">
        <v>341</v>
      </c>
      <c r="BF188" s="119"/>
      <c r="BG188" s="120"/>
      <c r="BH188" s="119"/>
      <c r="BI188" s="119"/>
      <c r="BJ188" s="119"/>
      <c r="BK188" s="119"/>
      <c r="BL188" s="124"/>
      <c r="BM188" s="119" t="s">
        <v>341</v>
      </c>
      <c r="BN188" s="119"/>
      <c r="BO188" s="120"/>
      <c r="BP188" s="119"/>
      <c r="BQ188" s="119"/>
      <c r="BR188" s="119"/>
      <c r="BS188" s="119"/>
      <c r="BT188" s="124"/>
      <c r="BU188" s="119" t="s">
        <v>341</v>
      </c>
      <c r="BV188" s="119"/>
      <c r="BW188" s="120"/>
      <c r="BX188" s="119"/>
      <c r="BY188" s="119"/>
      <c r="BZ188" s="119"/>
      <c r="CA188" s="119"/>
      <c r="CB188" s="124"/>
      <c r="CC188" s="119" t="s">
        <v>341</v>
      </c>
      <c r="CD188" s="119"/>
      <c r="CE188" s="120"/>
      <c r="CF188" s="119"/>
      <c r="CG188" s="119"/>
      <c r="CH188" s="119"/>
      <c r="CI188" s="119"/>
    </row>
    <row r="191" customHeight="1" spans="1:87">
      <c r="A191" s="105"/>
      <c r="B191" s="106"/>
      <c r="C191" s="107" t="s">
        <v>330</v>
      </c>
      <c r="D191" s="107"/>
      <c r="E191" s="107"/>
      <c r="F191" s="105"/>
      <c r="G191" s="105"/>
      <c r="H191" s="124" t="str">
        <f>H172</f>
        <v>RD01</v>
      </c>
      <c r="I191" s="105"/>
      <c r="J191" s="106"/>
      <c r="K191" s="107" t="s">
        <v>330</v>
      </c>
      <c r="L191" s="107"/>
      <c r="M191" s="107"/>
      <c r="N191" s="105"/>
      <c r="O191" s="105"/>
      <c r="P191" s="124" t="str">
        <f>P172</f>
        <v>RD02</v>
      </c>
      <c r="Q191" s="105"/>
      <c r="R191" s="106"/>
      <c r="S191" s="107" t="s">
        <v>330</v>
      </c>
      <c r="T191" s="107"/>
      <c r="U191" s="107"/>
      <c r="V191" s="105"/>
      <c r="W191" s="105"/>
      <c r="X191" s="124" t="str">
        <f>X172</f>
        <v>RD03</v>
      </c>
      <c r="Y191" s="105"/>
      <c r="Z191" s="106"/>
      <c r="AA191" s="107" t="s">
        <v>330</v>
      </c>
      <c r="AB191" s="107"/>
      <c r="AC191" s="107"/>
      <c r="AD191" s="105"/>
      <c r="AE191" s="105"/>
      <c r="AF191" s="124" t="str">
        <f>AF172</f>
        <v>RD04</v>
      </c>
      <c r="AG191" s="105"/>
      <c r="AH191" s="106"/>
      <c r="AI191" s="107" t="s">
        <v>330</v>
      </c>
      <c r="AJ191" s="107"/>
      <c r="AK191" s="107"/>
      <c r="AL191" s="105"/>
      <c r="AM191" s="105"/>
      <c r="AN191" s="124" t="str">
        <f>AN172</f>
        <v>RD05</v>
      </c>
      <c r="AO191" s="105"/>
      <c r="AP191" s="106"/>
      <c r="AQ191" s="107" t="s">
        <v>330</v>
      </c>
      <c r="AR191" s="107"/>
      <c r="AS191" s="107"/>
      <c r="AT191" s="105"/>
      <c r="AU191" s="105"/>
      <c r="AV191" s="124" t="str">
        <f>AV172</f>
        <v>RD06</v>
      </c>
      <c r="AW191" s="105"/>
      <c r="AX191" s="106"/>
      <c r="AY191" s="107" t="s">
        <v>330</v>
      </c>
      <c r="AZ191" s="107"/>
      <c r="BA191" s="107"/>
      <c r="BB191" s="105"/>
      <c r="BC191" s="105"/>
      <c r="BD191" s="124" t="str">
        <f>BD172</f>
        <v>RD07</v>
      </c>
      <c r="BE191" s="105"/>
      <c r="BF191" s="106"/>
      <c r="BG191" s="107" t="s">
        <v>330</v>
      </c>
      <c r="BH191" s="107"/>
      <c r="BI191" s="107"/>
      <c r="BJ191" s="105"/>
      <c r="BK191" s="105"/>
      <c r="BL191" s="124" t="str">
        <f>BL172</f>
        <v>RD08</v>
      </c>
      <c r="BM191" s="105"/>
      <c r="BN191" s="106"/>
      <c r="BO191" s="107" t="s">
        <v>330</v>
      </c>
      <c r="BP191" s="107"/>
      <c r="BQ191" s="107"/>
      <c r="BR191" s="105"/>
      <c r="BS191" s="105"/>
      <c r="BT191" s="124" t="str">
        <f>BT172</f>
        <v>RD09</v>
      </c>
      <c r="BU191" s="105"/>
      <c r="BV191" s="106"/>
      <c r="BW191" s="107" t="s">
        <v>330</v>
      </c>
      <c r="BX191" s="107"/>
      <c r="BY191" s="107"/>
      <c r="BZ191" s="105"/>
      <c r="CA191" s="105"/>
      <c r="CB191" s="124" t="str">
        <f>CB172</f>
        <v>RD10</v>
      </c>
      <c r="CC191" s="105"/>
      <c r="CD191" s="106"/>
      <c r="CE191" s="107" t="s">
        <v>330</v>
      </c>
      <c r="CF191" s="107"/>
      <c r="CG191" s="107"/>
      <c r="CH191" s="105"/>
      <c r="CI191" s="105"/>
    </row>
    <row r="192" s="122" customFormat="1" customHeight="1" spans="1:87">
      <c r="A192" s="108" t="s">
        <v>331</v>
      </c>
      <c r="B192" s="109"/>
      <c r="C192" s="110">
        <v>45991</v>
      </c>
      <c r="D192" s="110"/>
      <c r="E192" s="110"/>
      <c r="F192" s="111"/>
      <c r="G192" s="112"/>
      <c r="H192" s="125"/>
      <c r="I192" s="108" t="s">
        <v>331</v>
      </c>
      <c r="J192" s="109"/>
      <c r="K192" s="110">
        <v>45991</v>
      </c>
      <c r="L192" s="110"/>
      <c r="M192" s="110"/>
      <c r="N192" s="111" t="s">
        <v>332</v>
      </c>
      <c r="O192" s="112" t="str">
        <f>立项!$A$3</f>
        <v>RD01</v>
      </c>
      <c r="P192" s="125"/>
      <c r="Q192" s="108" t="s">
        <v>331</v>
      </c>
      <c r="R192" s="109"/>
      <c r="S192" s="110">
        <v>45991</v>
      </c>
      <c r="T192" s="110"/>
      <c r="U192" s="110"/>
      <c r="V192" s="111" t="s">
        <v>332</v>
      </c>
      <c r="W192" s="112" t="str">
        <f>立项!$A$4</f>
        <v>RD02</v>
      </c>
      <c r="X192" s="125"/>
      <c r="Y192" s="108" t="s">
        <v>331</v>
      </c>
      <c r="Z192" s="109"/>
      <c r="AA192" s="110">
        <v>45991</v>
      </c>
      <c r="AB192" s="110"/>
      <c r="AC192" s="110"/>
      <c r="AD192" s="111" t="s">
        <v>332</v>
      </c>
      <c r="AE192" s="112" t="str">
        <f>立项!$A$5</f>
        <v>RD03</v>
      </c>
      <c r="AF192" s="125"/>
      <c r="AG192" s="108" t="s">
        <v>331</v>
      </c>
      <c r="AH192" s="109"/>
      <c r="AI192" s="110">
        <v>45991</v>
      </c>
      <c r="AJ192" s="110"/>
      <c r="AK192" s="110"/>
      <c r="AL192" s="111" t="s">
        <v>332</v>
      </c>
      <c r="AM192" s="112" t="str">
        <f>立项!$A$6</f>
        <v>RD04</v>
      </c>
      <c r="AN192" s="125"/>
      <c r="AO192" s="108" t="s">
        <v>331</v>
      </c>
      <c r="AP192" s="109"/>
      <c r="AQ192" s="110">
        <v>45991</v>
      </c>
      <c r="AR192" s="110"/>
      <c r="AS192" s="110"/>
      <c r="AT192" s="111" t="s">
        <v>332</v>
      </c>
      <c r="AU192" s="112" t="str">
        <f>立项!$A$7</f>
        <v>RD05</v>
      </c>
      <c r="AV192" s="125"/>
      <c r="AW192" s="108" t="s">
        <v>331</v>
      </c>
      <c r="AX192" s="109"/>
      <c r="AY192" s="110">
        <v>45991</v>
      </c>
      <c r="AZ192" s="110"/>
      <c r="BA192" s="110"/>
      <c r="BB192" s="111" t="s">
        <v>332</v>
      </c>
      <c r="BC192" s="112" t="str">
        <f>立项!$A$8</f>
        <v>RD06</v>
      </c>
      <c r="BD192" s="125"/>
      <c r="BE192" s="108" t="s">
        <v>331</v>
      </c>
      <c r="BF192" s="109"/>
      <c r="BG192" s="110">
        <v>45991</v>
      </c>
      <c r="BH192" s="110"/>
      <c r="BI192" s="110"/>
      <c r="BJ192" s="111" t="s">
        <v>332</v>
      </c>
      <c r="BK192" s="112" t="str">
        <f>立项!$A$9</f>
        <v>RD07</v>
      </c>
      <c r="BL192" s="125"/>
      <c r="BM192" s="108" t="s">
        <v>331</v>
      </c>
      <c r="BN192" s="109"/>
      <c r="BO192" s="110">
        <v>45991</v>
      </c>
      <c r="BP192" s="110"/>
      <c r="BQ192" s="110"/>
      <c r="BR192" s="111" t="s">
        <v>332</v>
      </c>
      <c r="BS192" s="112" t="str">
        <f>立项!$A$10</f>
        <v>RD08</v>
      </c>
      <c r="BT192" s="125"/>
      <c r="BU192" s="108" t="s">
        <v>331</v>
      </c>
      <c r="BV192" s="109"/>
      <c r="BW192" s="110">
        <v>45991</v>
      </c>
      <c r="BX192" s="110"/>
      <c r="BY192" s="110"/>
      <c r="BZ192" s="111" t="s">
        <v>332</v>
      </c>
      <c r="CA192" s="112" t="str">
        <f>立项!$A$11</f>
        <v>RD09</v>
      </c>
      <c r="CB192" s="125"/>
      <c r="CC192" s="108" t="s">
        <v>331</v>
      </c>
      <c r="CD192" s="109"/>
      <c r="CE192" s="110">
        <v>45991</v>
      </c>
      <c r="CF192" s="110"/>
      <c r="CG192" s="110"/>
      <c r="CH192" s="111" t="s">
        <v>332</v>
      </c>
      <c r="CI192" s="112" t="str">
        <f>立项!$A$12</f>
        <v>RD10</v>
      </c>
    </row>
    <row r="193" s="104" customFormat="1" customHeight="1" spans="1:87">
      <c r="A193" s="113" t="s">
        <v>333</v>
      </c>
      <c r="B193" s="113" t="s">
        <v>334</v>
      </c>
      <c r="C193" s="113" t="s">
        <v>335</v>
      </c>
      <c r="D193" s="113" t="s">
        <v>336</v>
      </c>
      <c r="E193" s="113" t="s">
        <v>337</v>
      </c>
      <c r="F193" s="113" t="s">
        <v>338</v>
      </c>
      <c r="G193" s="113" t="s">
        <v>339</v>
      </c>
      <c r="H193" s="124"/>
      <c r="I193" s="113" t="s">
        <v>333</v>
      </c>
      <c r="J193" s="113" t="s">
        <v>334</v>
      </c>
      <c r="K193" s="113" t="s">
        <v>335</v>
      </c>
      <c r="L193" s="113" t="s">
        <v>336</v>
      </c>
      <c r="M193" s="113" t="s">
        <v>337</v>
      </c>
      <c r="N193" s="113" t="s">
        <v>338</v>
      </c>
      <c r="O193" s="113" t="s">
        <v>339</v>
      </c>
      <c r="P193" s="124"/>
      <c r="Q193" s="113" t="s">
        <v>333</v>
      </c>
      <c r="R193" s="113" t="s">
        <v>334</v>
      </c>
      <c r="S193" s="113" t="s">
        <v>335</v>
      </c>
      <c r="T193" s="113" t="s">
        <v>336</v>
      </c>
      <c r="U193" s="113" t="s">
        <v>337</v>
      </c>
      <c r="V193" s="113" t="s">
        <v>338</v>
      </c>
      <c r="W193" s="113" t="s">
        <v>339</v>
      </c>
      <c r="X193" s="124"/>
      <c r="Y193" s="113" t="s">
        <v>333</v>
      </c>
      <c r="Z193" s="113" t="s">
        <v>334</v>
      </c>
      <c r="AA193" s="113" t="s">
        <v>335</v>
      </c>
      <c r="AB193" s="113" t="s">
        <v>336</v>
      </c>
      <c r="AC193" s="113" t="s">
        <v>337</v>
      </c>
      <c r="AD193" s="113" t="s">
        <v>338</v>
      </c>
      <c r="AE193" s="113" t="s">
        <v>339</v>
      </c>
      <c r="AF193" s="124"/>
      <c r="AG193" s="113" t="s">
        <v>333</v>
      </c>
      <c r="AH193" s="113" t="s">
        <v>334</v>
      </c>
      <c r="AI193" s="113" t="s">
        <v>335</v>
      </c>
      <c r="AJ193" s="113" t="s">
        <v>336</v>
      </c>
      <c r="AK193" s="113" t="s">
        <v>337</v>
      </c>
      <c r="AL193" s="113" t="s">
        <v>338</v>
      </c>
      <c r="AM193" s="113" t="s">
        <v>339</v>
      </c>
      <c r="AN193" s="124"/>
      <c r="AO193" s="113" t="s">
        <v>333</v>
      </c>
      <c r="AP193" s="113" t="s">
        <v>334</v>
      </c>
      <c r="AQ193" s="113" t="s">
        <v>335</v>
      </c>
      <c r="AR193" s="113" t="s">
        <v>336</v>
      </c>
      <c r="AS193" s="113" t="s">
        <v>337</v>
      </c>
      <c r="AT193" s="113" t="s">
        <v>338</v>
      </c>
      <c r="AU193" s="113" t="s">
        <v>339</v>
      </c>
      <c r="AV193" s="124"/>
      <c r="AW193" s="113" t="s">
        <v>333</v>
      </c>
      <c r="AX193" s="113" t="s">
        <v>334</v>
      </c>
      <c r="AY193" s="113" t="s">
        <v>335</v>
      </c>
      <c r="AZ193" s="113" t="s">
        <v>336</v>
      </c>
      <c r="BA193" s="113" t="s">
        <v>337</v>
      </c>
      <c r="BB193" s="113" t="s">
        <v>338</v>
      </c>
      <c r="BC193" s="113" t="s">
        <v>339</v>
      </c>
      <c r="BD193" s="124"/>
      <c r="BE193" s="113" t="s">
        <v>333</v>
      </c>
      <c r="BF193" s="113" t="s">
        <v>334</v>
      </c>
      <c r="BG193" s="113" t="s">
        <v>335</v>
      </c>
      <c r="BH193" s="113" t="s">
        <v>336</v>
      </c>
      <c r="BI193" s="113" t="s">
        <v>337</v>
      </c>
      <c r="BJ193" s="113" t="s">
        <v>338</v>
      </c>
      <c r="BK193" s="113" t="s">
        <v>339</v>
      </c>
      <c r="BL193" s="124"/>
      <c r="BM193" s="113" t="s">
        <v>333</v>
      </c>
      <c r="BN193" s="113" t="s">
        <v>334</v>
      </c>
      <c r="BO193" s="113" t="s">
        <v>335</v>
      </c>
      <c r="BP193" s="113" t="s">
        <v>336</v>
      </c>
      <c r="BQ193" s="113" t="s">
        <v>337</v>
      </c>
      <c r="BR193" s="113" t="s">
        <v>338</v>
      </c>
      <c r="BS193" s="113" t="s">
        <v>339</v>
      </c>
      <c r="BT193" s="124"/>
      <c r="BU193" s="113" t="s">
        <v>333</v>
      </c>
      <c r="BV193" s="113" t="s">
        <v>334</v>
      </c>
      <c r="BW193" s="113" t="s">
        <v>335</v>
      </c>
      <c r="BX193" s="113" t="s">
        <v>336</v>
      </c>
      <c r="BY193" s="113" t="s">
        <v>337</v>
      </c>
      <c r="BZ193" s="113" t="s">
        <v>338</v>
      </c>
      <c r="CA193" s="113" t="s">
        <v>339</v>
      </c>
      <c r="CB193" s="124"/>
      <c r="CC193" s="113" t="s">
        <v>333</v>
      </c>
      <c r="CD193" s="113" t="s">
        <v>334</v>
      </c>
      <c r="CE193" s="113" t="s">
        <v>335</v>
      </c>
      <c r="CF193" s="113" t="s">
        <v>336</v>
      </c>
      <c r="CG193" s="113" t="s">
        <v>337</v>
      </c>
      <c r="CH193" s="113" t="s">
        <v>338</v>
      </c>
      <c r="CI193" s="113" t="s">
        <v>339</v>
      </c>
    </row>
    <row r="194" s="104" customFormat="1" customHeight="1" spans="1:87">
      <c r="A194" s="113"/>
      <c r="B194" s="114"/>
      <c r="C194" s="113"/>
      <c r="D194" s="114"/>
      <c r="E194" s="114"/>
      <c r="F194" s="114">
        <f t="shared" ref="F194:F205" si="1231">ROUND(D194*E194,2)</f>
        <v>0</v>
      </c>
      <c r="G194" s="113"/>
      <c r="H194" s="124"/>
      <c r="I194" s="113">
        <f t="shared" ref="I194:I205" si="1232">A194</f>
        <v>0</v>
      </c>
      <c r="J194" s="114">
        <f t="shared" ref="J194:J205" si="1233">B194</f>
        <v>0</v>
      </c>
      <c r="K194" s="113">
        <f t="shared" ref="K194:K205" si="1234">C194</f>
        <v>0</v>
      </c>
      <c r="L194" s="114"/>
      <c r="M194" s="114">
        <f t="shared" ref="M194:S194" si="1235">E194</f>
        <v>0</v>
      </c>
      <c r="N194" s="114">
        <f t="shared" ref="N194:N205" si="1236">ROUND(L194*M194,2)</f>
        <v>0</v>
      </c>
      <c r="O194" s="113"/>
      <c r="P194" s="124"/>
      <c r="Q194" s="113">
        <f t="shared" si="1235"/>
        <v>0</v>
      </c>
      <c r="R194" s="114">
        <f t="shared" si="1235"/>
        <v>0</v>
      </c>
      <c r="S194" s="113">
        <f t="shared" si="1235"/>
        <v>0</v>
      </c>
      <c r="T194" s="114"/>
      <c r="U194" s="114">
        <f t="shared" ref="U194:AA194" si="1237">M194</f>
        <v>0</v>
      </c>
      <c r="V194" s="114">
        <f t="shared" ref="V194:V205" si="1238">ROUND(T194*U194,2)</f>
        <v>0</v>
      </c>
      <c r="W194" s="113"/>
      <c r="X194" s="124"/>
      <c r="Y194" s="113">
        <f t="shared" si="1237"/>
        <v>0</v>
      </c>
      <c r="Z194" s="114">
        <f t="shared" si="1237"/>
        <v>0</v>
      </c>
      <c r="AA194" s="113">
        <f t="shared" si="1237"/>
        <v>0</v>
      </c>
      <c r="AB194" s="114"/>
      <c r="AC194" s="114">
        <f t="shared" ref="AC194:AI194" si="1239">U194</f>
        <v>0</v>
      </c>
      <c r="AD194" s="114">
        <f t="shared" ref="AD194:AD205" si="1240">ROUND(AB194*AC194,2)</f>
        <v>0</v>
      </c>
      <c r="AE194" s="113"/>
      <c r="AF194" s="124"/>
      <c r="AG194" s="113">
        <f t="shared" si="1239"/>
        <v>0</v>
      </c>
      <c r="AH194" s="114">
        <f t="shared" si="1239"/>
        <v>0</v>
      </c>
      <c r="AI194" s="113">
        <f t="shared" si="1239"/>
        <v>0</v>
      </c>
      <c r="AJ194" s="114"/>
      <c r="AK194" s="114">
        <f t="shared" ref="AK194:AQ194" si="1241">AC194</f>
        <v>0</v>
      </c>
      <c r="AL194" s="114">
        <f t="shared" ref="AL194:AL205" si="1242">ROUND(AJ194*AK194,2)</f>
        <v>0</v>
      </c>
      <c r="AM194" s="113"/>
      <c r="AN194" s="124"/>
      <c r="AO194" s="113">
        <f t="shared" si="1241"/>
        <v>0</v>
      </c>
      <c r="AP194" s="114">
        <f t="shared" si="1241"/>
        <v>0</v>
      </c>
      <c r="AQ194" s="113">
        <f t="shared" si="1241"/>
        <v>0</v>
      </c>
      <c r="AR194" s="114"/>
      <c r="AS194" s="114">
        <f t="shared" ref="AS194:AY194" si="1243">AK194</f>
        <v>0</v>
      </c>
      <c r="AT194" s="114">
        <f t="shared" ref="AT194:AT205" si="1244">ROUND(AR194*AS194,2)</f>
        <v>0</v>
      </c>
      <c r="AU194" s="113"/>
      <c r="AV194" s="124"/>
      <c r="AW194" s="113">
        <f t="shared" si="1243"/>
        <v>0</v>
      </c>
      <c r="AX194" s="114">
        <f t="shared" si="1243"/>
        <v>0</v>
      </c>
      <c r="AY194" s="113">
        <f t="shared" si="1243"/>
        <v>0</v>
      </c>
      <c r="AZ194" s="114"/>
      <c r="BA194" s="114">
        <f t="shared" ref="BA194:BG194" si="1245">AS194</f>
        <v>0</v>
      </c>
      <c r="BB194" s="114">
        <f t="shared" ref="BB194:BB205" si="1246">ROUND(AZ194*BA194,2)</f>
        <v>0</v>
      </c>
      <c r="BC194" s="113"/>
      <c r="BD194" s="124"/>
      <c r="BE194" s="113">
        <f t="shared" si="1245"/>
        <v>0</v>
      </c>
      <c r="BF194" s="114">
        <f t="shared" si="1245"/>
        <v>0</v>
      </c>
      <c r="BG194" s="113">
        <f t="shared" si="1245"/>
        <v>0</v>
      </c>
      <c r="BH194" s="114"/>
      <c r="BI194" s="114">
        <f t="shared" ref="BI194:BO194" si="1247">BA194</f>
        <v>0</v>
      </c>
      <c r="BJ194" s="114">
        <f t="shared" ref="BJ194:BJ205" si="1248">ROUND(BH194*BI194,2)</f>
        <v>0</v>
      </c>
      <c r="BK194" s="113"/>
      <c r="BL194" s="124"/>
      <c r="BM194" s="113">
        <f t="shared" si="1247"/>
        <v>0</v>
      </c>
      <c r="BN194" s="114">
        <f t="shared" si="1247"/>
        <v>0</v>
      </c>
      <c r="BO194" s="113">
        <f t="shared" si="1247"/>
        <v>0</v>
      </c>
      <c r="BP194" s="114"/>
      <c r="BQ194" s="114">
        <f t="shared" ref="BQ194:BW194" si="1249">BI194</f>
        <v>0</v>
      </c>
      <c r="BR194" s="114">
        <f t="shared" ref="BR194:BR205" si="1250">ROUND(BP194*BQ194,2)</f>
        <v>0</v>
      </c>
      <c r="BS194" s="113"/>
      <c r="BT194" s="124"/>
      <c r="BU194" s="113">
        <f t="shared" si="1249"/>
        <v>0</v>
      </c>
      <c r="BV194" s="114">
        <f t="shared" si="1249"/>
        <v>0</v>
      </c>
      <c r="BW194" s="113">
        <f t="shared" si="1249"/>
        <v>0</v>
      </c>
      <c r="BX194" s="114"/>
      <c r="BY194" s="114">
        <f t="shared" ref="BY194:CE194" si="1251">BQ194</f>
        <v>0</v>
      </c>
      <c r="BZ194" s="114">
        <f t="shared" ref="BZ194:BZ205" si="1252">ROUND(BX194*BY194,2)</f>
        <v>0</v>
      </c>
      <c r="CA194" s="113"/>
      <c r="CB194" s="124"/>
      <c r="CC194" s="113">
        <f t="shared" si="1251"/>
        <v>0</v>
      </c>
      <c r="CD194" s="114">
        <f t="shared" si="1251"/>
        <v>0</v>
      </c>
      <c r="CE194" s="113">
        <f t="shared" si="1251"/>
        <v>0</v>
      </c>
      <c r="CF194" s="114">
        <f t="shared" ref="CF194:CF205" si="1253">D194-L194-T194-AB194-AJ194-AR194-AZ194-BH194-BP194-BX194</f>
        <v>0</v>
      </c>
      <c r="CG194" s="114">
        <f t="shared" ref="CG194:CG205" si="1254">BY194</f>
        <v>0</v>
      </c>
      <c r="CH194" s="114">
        <f t="shared" ref="CH194:CH205" si="1255">F194-N194-V194-AD194-AL194-AT194-BB194-BJ194-BR194-BZ194</f>
        <v>0</v>
      </c>
      <c r="CI194" s="113"/>
    </row>
    <row r="195" s="104" customFormat="1" customHeight="1" spans="1:87">
      <c r="A195" s="113"/>
      <c r="B195" s="114"/>
      <c r="C195" s="113"/>
      <c r="D195" s="114"/>
      <c r="E195" s="114"/>
      <c r="F195" s="114">
        <f t="shared" si="1231"/>
        <v>0</v>
      </c>
      <c r="G195" s="113"/>
      <c r="H195" s="124"/>
      <c r="I195" s="113">
        <f t="shared" si="1232"/>
        <v>0</v>
      </c>
      <c r="J195" s="114">
        <f t="shared" si="1233"/>
        <v>0</v>
      </c>
      <c r="K195" s="113">
        <f t="shared" si="1234"/>
        <v>0</v>
      </c>
      <c r="L195" s="114"/>
      <c r="M195" s="114">
        <f t="shared" ref="M195:S195" si="1256">E195</f>
        <v>0</v>
      </c>
      <c r="N195" s="114">
        <f t="shared" si="1236"/>
        <v>0</v>
      </c>
      <c r="O195" s="113"/>
      <c r="P195" s="124"/>
      <c r="Q195" s="113">
        <f t="shared" si="1256"/>
        <v>0</v>
      </c>
      <c r="R195" s="114">
        <f t="shared" si="1256"/>
        <v>0</v>
      </c>
      <c r="S195" s="113">
        <f t="shared" si="1256"/>
        <v>0</v>
      </c>
      <c r="T195" s="114"/>
      <c r="U195" s="114">
        <f t="shared" ref="U195:AA195" si="1257">M195</f>
        <v>0</v>
      </c>
      <c r="V195" s="114">
        <f t="shared" si="1238"/>
        <v>0</v>
      </c>
      <c r="W195" s="113"/>
      <c r="X195" s="124"/>
      <c r="Y195" s="113">
        <f t="shared" si="1257"/>
        <v>0</v>
      </c>
      <c r="Z195" s="114">
        <f t="shared" si="1257"/>
        <v>0</v>
      </c>
      <c r="AA195" s="113">
        <f t="shared" si="1257"/>
        <v>0</v>
      </c>
      <c r="AB195" s="114"/>
      <c r="AC195" s="114">
        <f t="shared" ref="AC195:AI195" si="1258">U195</f>
        <v>0</v>
      </c>
      <c r="AD195" s="114">
        <f t="shared" si="1240"/>
        <v>0</v>
      </c>
      <c r="AE195" s="113"/>
      <c r="AF195" s="124"/>
      <c r="AG195" s="113">
        <f t="shared" si="1258"/>
        <v>0</v>
      </c>
      <c r="AH195" s="114">
        <f t="shared" si="1258"/>
        <v>0</v>
      </c>
      <c r="AI195" s="113">
        <f t="shared" si="1258"/>
        <v>0</v>
      </c>
      <c r="AJ195" s="114"/>
      <c r="AK195" s="114">
        <f t="shared" ref="AK195:AQ195" si="1259">AC195</f>
        <v>0</v>
      </c>
      <c r="AL195" s="114">
        <f t="shared" si="1242"/>
        <v>0</v>
      </c>
      <c r="AM195" s="113"/>
      <c r="AN195" s="124"/>
      <c r="AO195" s="113">
        <f t="shared" si="1259"/>
        <v>0</v>
      </c>
      <c r="AP195" s="114">
        <f t="shared" si="1259"/>
        <v>0</v>
      </c>
      <c r="AQ195" s="113">
        <f t="shared" si="1259"/>
        <v>0</v>
      </c>
      <c r="AR195" s="114"/>
      <c r="AS195" s="114">
        <f t="shared" ref="AS195:AY195" si="1260">AK195</f>
        <v>0</v>
      </c>
      <c r="AT195" s="114">
        <f t="shared" si="1244"/>
        <v>0</v>
      </c>
      <c r="AU195" s="113"/>
      <c r="AV195" s="124"/>
      <c r="AW195" s="113">
        <f t="shared" si="1260"/>
        <v>0</v>
      </c>
      <c r="AX195" s="114">
        <f t="shared" si="1260"/>
        <v>0</v>
      </c>
      <c r="AY195" s="113">
        <f t="shared" si="1260"/>
        <v>0</v>
      </c>
      <c r="AZ195" s="114"/>
      <c r="BA195" s="114">
        <f t="shared" ref="BA195:BG195" si="1261">AS195</f>
        <v>0</v>
      </c>
      <c r="BB195" s="114">
        <f t="shared" si="1246"/>
        <v>0</v>
      </c>
      <c r="BC195" s="113"/>
      <c r="BD195" s="124"/>
      <c r="BE195" s="113">
        <f t="shared" si="1261"/>
        <v>0</v>
      </c>
      <c r="BF195" s="114">
        <f t="shared" si="1261"/>
        <v>0</v>
      </c>
      <c r="BG195" s="113">
        <f t="shared" si="1261"/>
        <v>0</v>
      </c>
      <c r="BH195" s="114"/>
      <c r="BI195" s="114">
        <f t="shared" ref="BI195:BO195" si="1262">BA195</f>
        <v>0</v>
      </c>
      <c r="BJ195" s="114">
        <f t="shared" si="1248"/>
        <v>0</v>
      </c>
      <c r="BK195" s="113"/>
      <c r="BL195" s="124"/>
      <c r="BM195" s="113">
        <f t="shared" si="1262"/>
        <v>0</v>
      </c>
      <c r="BN195" s="114">
        <f t="shared" si="1262"/>
        <v>0</v>
      </c>
      <c r="BO195" s="113">
        <f t="shared" si="1262"/>
        <v>0</v>
      </c>
      <c r="BP195" s="114"/>
      <c r="BQ195" s="114">
        <f t="shared" ref="BQ195:BW195" si="1263">BI195</f>
        <v>0</v>
      </c>
      <c r="BR195" s="114">
        <f t="shared" si="1250"/>
        <v>0</v>
      </c>
      <c r="BS195" s="113"/>
      <c r="BT195" s="124"/>
      <c r="BU195" s="113">
        <f t="shared" si="1263"/>
        <v>0</v>
      </c>
      <c r="BV195" s="114">
        <f t="shared" si="1263"/>
        <v>0</v>
      </c>
      <c r="BW195" s="113">
        <f t="shared" si="1263"/>
        <v>0</v>
      </c>
      <c r="BX195" s="114"/>
      <c r="BY195" s="114">
        <f t="shared" ref="BY195:CE195" si="1264">BQ195</f>
        <v>0</v>
      </c>
      <c r="BZ195" s="114">
        <f t="shared" si="1252"/>
        <v>0</v>
      </c>
      <c r="CA195" s="113"/>
      <c r="CB195" s="124"/>
      <c r="CC195" s="113">
        <f t="shared" si="1264"/>
        <v>0</v>
      </c>
      <c r="CD195" s="114">
        <f t="shared" si="1264"/>
        <v>0</v>
      </c>
      <c r="CE195" s="113">
        <f t="shared" si="1264"/>
        <v>0</v>
      </c>
      <c r="CF195" s="114">
        <f t="shared" si="1253"/>
        <v>0</v>
      </c>
      <c r="CG195" s="114">
        <f t="shared" si="1254"/>
        <v>0</v>
      </c>
      <c r="CH195" s="114">
        <f t="shared" si="1255"/>
        <v>0</v>
      </c>
      <c r="CI195" s="113"/>
    </row>
    <row r="196" s="104" customFormat="1" customHeight="1" spans="1:87">
      <c r="A196" s="113"/>
      <c r="B196" s="114"/>
      <c r="C196" s="113"/>
      <c r="D196" s="114"/>
      <c r="E196" s="114"/>
      <c r="F196" s="114">
        <f t="shared" si="1231"/>
        <v>0</v>
      </c>
      <c r="G196" s="113"/>
      <c r="H196" s="124"/>
      <c r="I196" s="113">
        <f t="shared" si="1232"/>
        <v>0</v>
      </c>
      <c r="J196" s="114">
        <f t="shared" si="1233"/>
        <v>0</v>
      </c>
      <c r="K196" s="113">
        <f t="shared" si="1234"/>
        <v>0</v>
      </c>
      <c r="L196" s="114"/>
      <c r="M196" s="114">
        <f t="shared" ref="M196:S196" si="1265">E196</f>
        <v>0</v>
      </c>
      <c r="N196" s="114">
        <f t="shared" si="1236"/>
        <v>0</v>
      </c>
      <c r="O196" s="113"/>
      <c r="P196" s="124"/>
      <c r="Q196" s="113">
        <f t="shared" si="1265"/>
        <v>0</v>
      </c>
      <c r="R196" s="114">
        <f t="shared" si="1265"/>
        <v>0</v>
      </c>
      <c r="S196" s="113">
        <f t="shared" si="1265"/>
        <v>0</v>
      </c>
      <c r="T196" s="114"/>
      <c r="U196" s="114">
        <f t="shared" ref="U196:AA196" si="1266">M196</f>
        <v>0</v>
      </c>
      <c r="V196" s="114">
        <f t="shared" si="1238"/>
        <v>0</v>
      </c>
      <c r="W196" s="113"/>
      <c r="X196" s="124"/>
      <c r="Y196" s="113">
        <f t="shared" si="1266"/>
        <v>0</v>
      </c>
      <c r="Z196" s="114">
        <f t="shared" si="1266"/>
        <v>0</v>
      </c>
      <c r="AA196" s="113">
        <f t="shared" si="1266"/>
        <v>0</v>
      </c>
      <c r="AB196" s="114"/>
      <c r="AC196" s="114">
        <f t="shared" ref="AC196:AI196" si="1267">U196</f>
        <v>0</v>
      </c>
      <c r="AD196" s="114">
        <f t="shared" si="1240"/>
        <v>0</v>
      </c>
      <c r="AE196" s="113"/>
      <c r="AF196" s="124"/>
      <c r="AG196" s="113">
        <f t="shared" si="1267"/>
        <v>0</v>
      </c>
      <c r="AH196" s="114">
        <f t="shared" si="1267"/>
        <v>0</v>
      </c>
      <c r="AI196" s="113">
        <f t="shared" si="1267"/>
        <v>0</v>
      </c>
      <c r="AJ196" s="114"/>
      <c r="AK196" s="114">
        <f t="shared" ref="AK196:AQ196" si="1268">AC196</f>
        <v>0</v>
      </c>
      <c r="AL196" s="114">
        <f t="shared" si="1242"/>
        <v>0</v>
      </c>
      <c r="AM196" s="113"/>
      <c r="AN196" s="124"/>
      <c r="AO196" s="113">
        <f t="shared" si="1268"/>
        <v>0</v>
      </c>
      <c r="AP196" s="114">
        <f t="shared" si="1268"/>
        <v>0</v>
      </c>
      <c r="AQ196" s="113">
        <f t="shared" si="1268"/>
        <v>0</v>
      </c>
      <c r="AR196" s="114"/>
      <c r="AS196" s="114">
        <f t="shared" ref="AS196:AY196" si="1269">AK196</f>
        <v>0</v>
      </c>
      <c r="AT196" s="114">
        <f t="shared" si="1244"/>
        <v>0</v>
      </c>
      <c r="AU196" s="113"/>
      <c r="AV196" s="124"/>
      <c r="AW196" s="113">
        <f t="shared" si="1269"/>
        <v>0</v>
      </c>
      <c r="AX196" s="114">
        <f t="shared" si="1269"/>
        <v>0</v>
      </c>
      <c r="AY196" s="113">
        <f t="shared" si="1269"/>
        <v>0</v>
      </c>
      <c r="AZ196" s="114"/>
      <c r="BA196" s="114">
        <f t="shared" ref="BA196:BG196" si="1270">AS196</f>
        <v>0</v>
      </c>
      <c r="BB196" s="114">
        <f t="shared" si="1246"/>
        <v>0</v>
      </c>
      <c r="BC196" s="113"/>
      <c r="BD196" s="124"/>
      <c r="BE196" s="113">
        <f t="shared" si="1270"/>
        <v>0</v>
      </c>
      <c r="BF196" s="114">
        <f t="shared" si="1270"/>
        <v>0</v>
      </c>
      <c r="BG196" s="113">
        <f t="shared" si="1270"/>
        <v>0</v>
      </c>
      <c r="BH196" s="114"/>
      <c r="BI196" s="114">
        <f t="shared" ref="BI196:BO196" si="1271">BA196</f>
        <v>0</v>
      </c>
      <c r="BJ196" s="114">
        <f t="shared" si="1248"/>
        <v>0</v>
      </c>
      <c r="BK196" s="113"/>
      <c r="BL196" s="124"/>
      <c r="BM196" s="113">
        <f t="shared" si="1271"/>
        <v>0</v>
      </c>
      <c r="BN196" s="114">
        <f t="shared" si="1271"/>
        <v>0</v>
      </c>
      <c r="BO196" s="113">
        <f t="shared" si="1271"/>
        <v>0</v>
      </c>
      <c r="BP196" s="114"/>
      <c r="BQ196" s="114">
        <f t="shared" ref="BQ196:BW196" si="1272">BI196</f>
        <v>0</v>
      </c>
      <c r="BR196" s="114">
        <f t="shared" si="1250"/>
        <v>0</v>
      </c>
      <c r="BS196" s="113"/>
      <c r="BT196" s="124"/>
      <c r="BU196" s="113">
        <f t="shared" si="1272"/>
        <v>0</v>
      </c>
      <c r="BV196" s="114">
        <f t="shared" si="1272"/>
        <v>0</v>
      </c>
      <c r="BW196" s="113">
        <f t="shared" si="1272"/>
        <v>0</v>
      </c>
      <c r="BX196" s="114"/>
      <c r="BY196" s="114">
        <f t="shared" ref="BY196:CE196" si="1273">BQ196</f>
        <v>0</v>
      </c>
      <c r="BZ196" s="114">
        <f t="shared" si="1252"/>
        <v>0</v>
      </c>
      <c r="CA196" s="113"/>
      <c r="CB196" s="124"/>
      <c r="CC196" s="113">
        <f t="shared" si="1273"/>
        <v>0</v>
      </c>
      <c r="CD196" s="114">
        <f t="shared" si="1273"/>
        <v>0</v>
      </c>
      <c r="CE196" s="113">
        <f t="shared" si="1273"/>
        <v>0</v>
      </c>
      <c r="CF196" s="114">
        <f t="shared" si="1253"/>
        <v>0</v>
      </c>
      <c r="CG196" s="114">
        <f t="shared" si="1254"/>
        <v>0</v>
      </c>
      <c r="CH196" s="114">
        <f t="shared" si="1255"/>
        <v>0</v>
      </c>
      <c r="CI196" s="113"/>
    </row>
    <row r="197" s="104" customFormat="1" customHeight="1" spans="1:87">
      <c r="A197" s="126"/>
      <c r="B197" s="114"/>
      <c r="C197" s="113"/>
      <c r="D197" s="114"/>
      <c r="E197" s="114"/>
      <c r="F197" s="114">
        <f t="shared" si="1231"/>
        <v>0</v>
      </c>
      <c r="G197" s="113"/>
      <c r="H197" s="124"/>
      <c r="I197" s="113">
        <f t="shared" si="1232"/>
        <v>0</v>
      </c>
      <c r="J197" s="114">
        <f t="shared" si="1233"/>
        <v>0</v>
      </c>
      <c r="K197" s="113">
        <f t="shared" si="1234"/>
        <v>0</v>
      </c>
      <c r="L197" s="114"/>
      <c r="M197" s="114">
        <f t="shared" ref="M197:S197" si="1274">E197</f>
        <v>0</v>
      </c>
      <c r="N197" s="114">
        <f t="shared" si="1236"/>
        <v>0</v>
      </c>
      <c r="O197" s="113"/>
      <c r="P197" s="124"/>
      <c r="Q197" s="113">
        <f t="shared" si="1274"/>
        <v>0</v>
      </c>
      <c r="R197" s="114">
        <f t="shared" si="1274"/>
        <v>0</v>
      </c>
      <c r="S197" s="113">
        <f t="shared" si="1274"/>
        <v>0</v>
      </c>
      <c r="T197" s="114"/>
      <c r="U197" s="114">
        <f t="shared" ref="U197:AA197" si="1275">M197</f>
        <v>0</v>
      </c>
      <c r="V197" s="114">
        <f t="shared" si="1238"/>
        <v>0</v>
      </c>
      <c r="W197" s="113"/>
      <c r="X197" s="124"/>
      <c r="Y197" s="113">
        <f t="shared" si="1275"/>
        <v>0</v>
      </c>
      <c r="Z197" s="114">
        <f t="shared" si="1275"/>
        <v>0</v>
      </c>
      <c r="AA197" s="113">
        <f t="shared" si="1275"/>
        <v>0</v>
      </c>
      <c r="AB197" s="114"/>
      <c r="AC197" s="114">
        <f t="shared" ref="AC197:AI197" si="1276">U197</f>
        <v>0</v>
      </c>
      <c r="AD197" s="114">
        <f t="shared" si="1240"/>
        <v>0</v>
      </c>
      <c r="AE197" s="113"/>
      <c r="AF197" s="124"/>
      <c r="AG197" s="113">
        <f t="shared" si="1276"/>
        <v>0</v>
      </c>
      <c r="AH197" s="114">
        <f t="shared" si="1276"/>
        <v>0</v>
      </c>
      <c r="AI197" s="113">
        <f t="shared" si="1276"/>
        <v>0</v>
      </c>
      <c r="AJ197" s="114"/>
      <c r="AK197" s="114">
        <f t="shared" ref="AK197:AQ197" si="1277">AC197</f>
        <v>0</v>
      </c>
      <c r="AL197" s="114">
        <f t="shared" si="1242"/>
        <v>0</v>
      </c>
      <c r="AM197" s="113"/>
      <c r="AN197" s="124"/>
      <c r="AO197" s="113">
        <f t="shared" si="1277"/>
        <v>0</v>
      </c>
      <c r="AP197" s="114">
        <f t="shared" si="1277"/>
        <v>0</v>
      </c>
      <c r="AQ197" s="113">
        <f t="shared" si="1277"/>
        <v>0</v>
      </c>
      <c r="AR197" s="114"/>
      <c r="AS197" s="114">
        <f t="shared" ref="AS197:AY197" si="1278">AK197</f>
        <v>0</v>
      </c>
      <c r="AT197" s="114">
        <f t="shared" si="1244"/>
        <v>0</v>
      </c>
      <c r="AU197" s="113"/>
      <c r="AV197" s="124"/>
      <c r="AW197" s="113">
        <f t="shared" si="1278"/>
        <v>0</v>
      </c>
      <c r="AX197" s="114">
        <f t="shared" si="1278"/>
        <v>0</v>
      </c>
      <c r="AY197" s="113">
        <f t="shared" si="1278"/>
        <v>0</v>
      </c>
      <c r="AZ197" s="114"/>
      <c r="BA197" s="114">
        <f t="shared" ref="BA197:BG197" si="1279">AS197</f>
        <v>0</v>
      </c>
      <c r="BB197" s="114">
        <f t="shared" si="1246"/>
        <v>0</v>
      </c>
      <c r="BC197" s="113"/>
      <c r="BD197" s="124"/>
      <c r="BE197" s="113">
        <f t="shared" si="1279"/>
        <v>0</v>
      </c>
      <c r="BF197" s="114">
        <f t="shared" si="1279"/>
        <v>0</v>
      </c>
      <c r="BG197" s="113">
        <f t="shared" si="1279"/>
        <v>0</v>
      </c>
      <c r="BH197" s="114"/>
      <c r="BI197" s="114">
        <f t="shared" ref="BI197:BO197" si="1280">BA197</f>
        <v>0</v>
      </c>
      <c r="BJ197" s="114">
        <f t="shared" si="1248"/>
        <v>0</v>
      </c>
      <c r="BK197" s="113"/>
      <c r="BL197" s="124"/>
      <c r="BM197" s="113">
        <f t="shared" si="1280"/>
        <v>0</v>
      </c>
      <c r="BN197" s="114">
        <f t="shared" si="1280"/>
        <v>0</v>
      </c>
      <c r="BO197" s="113">
        <f t="shared" si="1280"/>
        <v>0</v>
      </c>
      <c r="BP197" s="114"/>
      <c r="BQ197" s="114">
        <f t="shared" ref="BQ197:BW197" si="1281">BI197</f>
        <v>0</v>
      </c>
      <c r="BR197" s="114">
        <f t="shared" si="1250"/>
        <v>0</v>
      </c>
      <c r="BS197" s="113"/>
      <c r="BT197" s="124"/>
      <c r="BU197" s="113">
        <f t="shared" si="1281"/>
        <v>0</v>
      </c>
      <c r="BV197" s="114">
        <f t="shared" si="1281"/>
        <v>0</v>
      </c>
      <c r="BW197" s="113">
        <f t="shared" si="1281"/>
        <v>0</v>
      </c>
      <c r="BX197" s="114"/>
      <c r="BY197" s="114">
        <f t="shared" ref="BY197:CE197" si="1282">BQ197</f>
        <v>0</v>
      </c>
      <c r="BZ197" s="114">
        <f t="shared" si="1252"/>
        <v>0</v>
      </c>
      <c r="CA197" s="113"/>
      <c r="CB197" s="124"/>
      <c r="CC197" s="113">
        <f t="shared" si="1282"/>
        <v>0</v>
      </c>
      <c r="CD197" s="114">
        <f t="shared" si="1282"/>
        <v>0</v>
      </c>
      <c r="CE197" s="113">
        <f t="shared" si="1282"/>
        <v>0</v>
      </c>
      <c r="CF197" s="114">
        <f t="shared" si="1253"/>
        <v>0</v>
      </c>
      <c r="CG197" s="114">
        <f t="shared" si="1254"/>
        <v>0</v>
      </c>
      <c r="CH197" s="114">
        <f t="shared" si="1255"/>
        <v>0</v>
      </c>
      <c r="CI197" s="113"/>
    </row>
    <row r="198" s="104" customFormat="1" customHeight="1" spans="1:87">
      <c r="A198" s="126"/>
      <c r="B198" s="127"/>
      <c r="C198" s="126"/>
      <c r="D198" s="127"/>
      <c r="E198" s="127"/>
      <c r="F198" s="114">
        <f t="shared" si="1231"/>
        <v>0</v>
      </c>
      <c r="G198" s="113"/>
      <c r="H198" s="124"/>
      <c r="I198" s="113">
        <f t="shared" si="1232"/>
        <v>0</v>
      </c>
      <c r="J198" s="114">
        <f t="shared" si="1233"/>
        <v>0</v>
      </c>
      <c r="K198" s="113">
        <f t="shared" si="1234"/>
        <v>0</v>
      </c>
      <c r="L198" s="114"/>
      <c r="M198" s="114">
        <f t="shared" ref="M198:S198" si="1283">E198</f>
        <v>0</v>
      </c>
      <c r="N198" s="114">
        <f t="shared" si="1236"/>
        <v>0</v>
      </c>
      <c r="O198" s="113"/>
      <c r="P198" s="124"/>
      <c r="Q198" s="113">
        <f t="shared" si="1283"/>
        <v>0</v>
      </c>
      <c r="R198" s="114">
        <f t="shared" si="1283"/>
        <v>0</v>
      </c>
      <c r="S198" s="113">
        <f t="shared" si="1283"/>
        <v>0</v>
      </c>
      <c r="T198" s="114"/>
      <c r="U198" s="114">
        <f t="shared" ref="U198:AA198" si="1284">M198</f>
        <v>0</v>
      </c>
      <c r="V198" s="114">
        <f t="shared" si="1238"/>
        <v>0</v>
      </c>
      <c r="W198" s="113"/>
      <c r="X198" s="124"/>
      <c r="Y198" s="113">
        <f t="shared" si="1284"/>
        <v>0</v>
      </c>
      <c r="Z198" s="114">
        <f t="shared" si="1284"/>
        <v>0</v>
      </c>
      <c r="AA198" s="113">
        <f t="shared" si="1284"/>
        <v>0</v>
      </c>
      <c r="AB198" s="114"/>
      <c r="AC198" s="114">
        <f t="shared" ref="AC198:AI198" si="1285">U198</f>
        <v>0</v>
      </c>
      <c r="AD198" s="114">
        <f t="shared" si="1240"/>
        <v>0</v>
      </c>
      <c r="AE198" s="113"/>
      <c r="AF198" s="124"/>
      <c r="AG198" s="113">
        <f t="shared" si="1285"/>
        <v>0</v>
      </c>
      <c r="AH198" s="114">
        <f t="shared" si="1285"/>
        <v>0</v>
      </c>
      <c r="AI198" s="113">
        <f t="shared" si="1285"/>
        <v>0</v>
      </c>
      <c r="AJ198" s="114"/>
      <c r="AK198" s="114">
        <f t="shared" ref="AK198:AQ198" si="1286">AC198</f>
        <v>0</v>
      </c>
      <c r="AL198" s="114">
        <f t="shared" si="1242"/>
        <v>0</v>
      </c>
      <c r="AM198" s="113"/>
      <c r="AN198" s="124"/>
      <c r="AO198" s="113">
        <f t="shared" si="1286"/>
        <v>0</v>
      </c>
      <c r="AP198" s="114">
        <f t="shared" si="1286"/>
        <v>0</v>
      </c>
      <c r="AQ198" s="113">
        <f t="shared" si="1286"/>
        <v>0</v>
      </c>
      <c r="AR198" s="114"/>
      <c r="AS198" s="114">
        <f t="shared" ref="AS198:AY198" si="1287">AK198</f>
        <v>0</v>
      </c>
      <c r="AT198" s="114">
        <f t="shared" si="1244"/>
        <v>0</v>
      </c>
      <c r="AU198" s="113"/>
      <c r="AV198" s="124"/>
      <c r="AW198" s="113">
        <f t="shared" si="1287"/>
        <v>0</v>
      </c>
      <c r="AX198" s="114">
        <f t="shared" si="1287"/>
        <v>0</v>
      </c>
      <c r="AY198" s="113">
        <f t="shared" si="1287"/>
        <v>0</v>
      </c>
      <c r="AZ198" s="114"/>
      <c r="BA198" s="114">
        <f t="shared" ref="BA198:BG198" si="1288">AS198</f>
        <v>0</v>
      </c>
      <c r="BB198" s="114">
        <f t="shared" si="1246"/>
        <v>0</v>
      </c>
      <c r="BC198" s="113"/>
      <c r="BD198" s="124"/>
      <c r="BE198" s="113">
        <f t="shared" si="1288"/>
        <v>0</v>
      </c>
      <c r="BF198" s="114">
        <f t="shared" si="1288"/>
        <v>0</v>
      </c>
      <c r="BG198" s="113">
        <f t="shared" si="1288"/>
        <v>0</v>
      </c>
      <c r="BH198" s="114"/>
      <c r="BI198" s="114">
        <f t="shared" ref="BI198:BO198" si="1289">BA198</f>
        <v>0</v>
      </c>
      <c r="BJ198" s="114">
        <f t="shared" si="1248"/>
        <v>0</v>
      </c>
      <c r="BK198" s="113"/>
      <c r="BL198" s="124"/>
      <c r="BM198" s="113">
        <f t="shared" si="1289"/>
        <v>0</v>
      </c>
      <c r="BN198" s="114">
        <f t="shared" si="1289"/>
        <v>0</v>
      </c>
      <c r="BO198" s="113">
        <f t="shared" si="1289"/>
        <v>0</v>
      </c>
      <c r="BP198" s="114"/>
      <c r="BQ198" s="114">
        <f t="shared" ref="BQ198:BW198" si="1290">BI198</f>
        <v>0</v>
      </c>
      <c r="BR198" s="114">
        <f t="shared" si="1250"/>
        <v>0</v>
      </c>
      <c r="BS198" s="113"/>
      <c r="BT198" s="124"/>
      <c r="BU198" s="113">
        <f t="shared" si="1290"/>
        <v>0</v>
      </c>
      <c r="BV198" s="114">
        <f t="shared" si="1290"/>
        <v>0</v>
      </c>
      <c r="BW198" s="113">
        <f t="shared" si="1290"/>
        <v>0</v>
      </c>
      <c r="BX198" s="114"/>
      <c r="BY198" s="114">
        <f t="shared" ref="BY198:CE198" si="1291">BQ198</f>
        <v>0</v>
      </c>
      <c r="BZ198" s="114">
        <f t="shared" si="1252"/>
        <v>0</v>
      </c>
      <c r="CA198" s="113"/>
      <c r="CB198" s="124"/>
      <c r="CC198" s="113">
        <f t="shared" si="1291"/>
        <v>0</v>
      </c>
      <c r="CD198" s="114">
        <f t="shared" si="1291"/>
        <v>0</v>
      </c>
      <c r="CE198" s="113">
        <f t="shared" si="1291"/>
        <v>0</v>
      </c>
      <c r="CF198" s="114">
        <f t="shared" si="1253"/>
        <v>0</v>
      </c>
      <c r="CG198" s="114">
        <f t="shared" si="1254"/>
        <v>0</v>
      </c>
      <c r="CH198" s="114">
        <f t="shared" si="1255"/>
        <v>0</v>
      </c>
      <c r="CI198" s="113"/>
    </row>
    <row r="199" s="104" customFormat="1" customHeight="1" spans="1:87">
      <c r="A199" s="113"/>
      <c r="B199" s="114"/>
      <c r="C199" s="113"/>
      <c r="D199" s="114"/>
      <c r="E199" s="114"/>
      <c r="F199" s="114">
        <f t="shared" si="1231"/>
        <v>0</v>
      </c>
      <c r="G199" s="113"/>
      <c r="H199" s="124"/>
      <c r="I199" s="113">
        <f t="shared" si="1232"/>
        <v>0</v>
      </c>
      <c r="J199" s="114">
        <f t="shared" si="1233"/>
        <v>0</v>
      </c>
      <c r="K199" s="113">
        <f t="shared" si="1234"/>
        <v>0</v>
      </c>
      <c r="L199" s="114"/>
      <c r="M199" s="114">
        <f t="shared" ref="M199:S199" si="1292">E199</f>
        <v>0</v>
      </c>
      <c r="N199" s="114">
        <f t="shared" si="1236"/>
        <v>0</v>
      </c>
      <c r="O199" s="113"/>
      <c r="P199" s="124"/>
      <c r="Q199" s="113">
        <f t="shared" si="1292"/>
        <v>0</v>
      </c>
      <c r="R199" s="114">
        <f t="shared" si="1292"/>
        <v>0</v>
      </c>
      <c r="S199" s="113">
        <f t="shared" si="1292"/>
        <v>0</v>
      </c>
      <c r="T199" s="114"/>
      <c r="U199" s="114">
        <f t="shared" ref="U199:AA199" si="1293">M199</f>
        <v>0</v>
      </c>
      <c r="V199" s="114">
        <f t="shared" si="1238"/>
        <v>0</v>
      </c>
      <c r="W199" s="113"/>
      <c r="X199" s="124"/>
      <c r="Y199" s="113">
        <f t="shared" si="1293"/>
        <v>0</v>
      </c>
      <c r="Z199" s="114">
        <f t="shared" si="1293"/>
        <v>0</v>
      </c>
      <c r="AA199" s="113">
        <f t="shared" si="1293"/>
        <v>0</v>
      </c>
      <c r="AB199" s="114"/>
      <c r="AC199" s="114">
        <f t="shared" ref="AC199:AI199" si="1294">U199</f>
        <v>0</v>
      </c>
      <c r="AD199" s="114">
        <f t="shared" si="1240"/>
        <v>0</v>
      </c>
      <c r="AE199" s="113"/>
      <c r="AF199" s="124"/>
      <c r="AG199" s="113">
        <f t="shared" si="1294"/>
        <v>0</v>
      </c>
      <c r="AH199" s="114">
        <f t="shared" si="1294"/>
        <v>0</v>
      </c>
      <c r="AI199" s="113">
        <f t="shared" si="1294"/>
        <v>0</v>
      </c>
      <c r="AJ199" s="114"/>
      <c r="AK199" s="114">
        <f t="shared" ref="AK199:AQ199" si="1295">AC199</f>
        <v>0</v>
      </c>
      <c r="AL199" s="114">
        <f t="shared" si="1242"/>
        <v>0</v>
      </c>
      <c r="AM199" s="113"/>
      <c r="AN199" s="124"/>
      <c r="AO199" s="113">
        <f t="shared" si="1295"/>
        <v>0</v>
      </c>
      <c r="AP199" s="114">
        <f t="shared" si="1295"/>
        <v>0</v>
      </c>
      <c r="AQ199" s="113">
        <f t="shared" si="1295"/>
        <v>0</v>
      </c>
      <c r="AR199" s="114"/>
      <c r="AS199" s="114">
        <f t="shared" ref="AS199:AY199" si="1296">AK199</f>
        <v>0</v>
      </c>
      <c r="AT199" s="114">
        <f t="shared" si="1244"/>
        <v>0</v>
      </c>
      <c r="AU199" s="113"/>
      <c r="AV199" s="124"/>
      <c r="AW199" s="113">
        <f t="shared" si="1296"/>
        <v>0</v>
      </c>
      <c r="AX199" s="114">
        <f t="shared" si="1296"/>
        <v>0</v>
      </c>
      <c r="AY199" s="113">
        <f t="shared" si="1296"/>
        <v>0</v>
      </c>
      <c r="AZ199" s="114"/>
      <c r="BA199" s="114">
        <f t="shared" ref="BA199:BG199" si="1297">AS199</f>
        <v>0</v>
      </c>
      <c r="BB199" s="114">
        <f t="shared" si="1246"/>
        <v>0</v>
      </c>
      <c r="BC199" s="113"/>
      <c r="BD199" s="124"/>
      <c r="BE199" s="113">
        <f t="shared" si="1297"/>
        <v>0</v>
      </c>
      <c r="BF199" s="114">
        <f t="shared" si="1297"/>
        <v>0</v>
      </c>
      <c r="BG199" s="113">
        <f t="shared" si="1297"/>
        <v>0</v>
      </c>
      <c r="BH199" s="114"/>
      <c r="BI199" s="114">
        <f t="shared" ref="BI199:BO199" si="1298">BA199</f>
        <v>0</v>
      </c>
      <c r="BJ199" s="114">
        <f t="shared" si="1248"/>
        <v>0</v>
      </c>
      <c r="BK199" s="113"/>
      <c r="BL199" s="124"/>
      <c r="BM199" s="113">
        <f t="shared" si="1298"/>
        <v>0</v>
      </c>
      <c r="BN199" s="114">
        <f t="shared" si="1298"/>
        <v>0</v>
      </c>
      <c r="BO199" s="113">
        <f t="shared" si="1298"/>
        <v>0</v>
      </c>
      <c r="BP199" s="114"/>
      <c r="BQ199" s="114">
        <f t="shared" ref="BQ199:BW199" si="1299">BI199</f>
        <v>0</v>
      </c>
      <c r="BR199" s="114">
        <f t="shared" si="1250"/>
        <v>0</v>
      </c>
      <c r="BS199" s="113"/>
      <c r="BT199" s="124"/>
      <c r="BU199" s="113">
        <f t="shared" si="1299"/>
        <v>0</v>
      </c>
      <c r="BV199" s="114">
        <f t="shared" si="1299"/>
        <v>0</v>
      </c>
      <c r="BW199" s="113">
        <f t="shared" si="1299"/>
        <v>0</v>
      </c>
      <c r="BX199" s="114"/>
      <c r="BY199" s="114">
        <f t="shared" ref="BY199:CE199" si="1300">BQ199</f>
        <v>0</v>
      </c>
      <c r="BZ199" s="114">
        <f t="shared" si="1252"/>
        <v>0</v>
      </c>
      <c r="CA199" s="113"/>
      <c r="CB199" s="124"/>
      <c r="CC199" s="113">
        <f t="shared" si="1300"/>
        <v>0</v>
      </c>
      <c r="CD199" s="114">
        <f t="shared" si="1300"/>
        <v>0</v>
      </c>
      <c r="CE199" s="113">
        <f t="shared" si="1300"/>
        <v>0</v>
      </c>
      <c r="CF199" s="114">
        <f t="shared" si="1253"/>
        <v>0</v>
      </c>
      <c r="CG199" s="114">
        <f t="shared" si="1254"/>
        <v>0</v>
      </c>
      <c r="CH199" s="114">
        <f t="shared" si="1255"/>
        <v>0</v>
      </c>
      <c r="CI199" s="113"/>
    </row>
    <row r="200" s="104" customFormat="1" customHeight="1" spans="1:87">
      <c r="A200" s="113"/>
      <c r="B200" s="114"/>
      <c r="C200" s="113"/>
      <c r="D200" s="114"/>
      <c r="E200" s="114"/>
      <c r="F200" s="114">
        <f t="shared" si="1231"/>
        <v>0</v>
      </c>
      <c r="G200" s="113"/>
      <c r="H200" s="124"/>
      <c r="I200" s="113">
        <f t="shared" si="1232"/>
        <v>0</v>
      </c>
      <c r="J200" s="114">
        <f t="shared" si="1233"/>
        <v>0</v>
      </c>
      <c r="K200" s="113">
        <f t="shared" si="1234"/>
        <v>0</v>
      </c>
      <c r="L200" s="114"/>
      <c r="M200" s="114">
        <f t="shared" ref="M200:S200" si="1301">E200</f>
        <v>0</v>
      </c>
      <c r="N200" s="114">
        <f t="shared" si="1236"/>
        <v>0</v>
      </c>
      <c r="O200" s="113"/>
      <c r="P200" s="124"/>
      <c r="Q200" s="113">
        <f t="shared" si="1301"/>
        <v>0</v>
      </c>
      <c r="R200" s="114">
        <f t="shared" si="1301"/>
        <v>0</v>
      </c>
      <c r="S200" s="113">
        <f t="shared" si="1301"/>
        <v>0</v>
      </c>
      <c r="T200" s="114"/>
      <c r="U200" s="114">
        <f t="shared" ref="U200:AA200" si="1302">M200</f>
        <v>0</v>
      </c>
      <c r="V200" s="114">
        <f t="shared" si="1238"/>
        <v>0</v>
      </c>
      <c r="W200" s="113"/>
      <c r="X200" s="124"/>
      <c r="Y200" s="113">
        <f t="shared" si="1302"/>
        <v>0</v>
      </c>
      <c r="Z200" s="114">
        <f t="shared" si="1302"/>
        <v>0</v>
      </c>
      <c r="AA200" s="113">
        <f t="shared" si="1302"/>
        <v>0</v>
      </c>
      <c r="AB200" s="114"/>
      <c r="AC200" s="114">
        <f t="shared" ref="AC200:AI200" si="1303">U200</f>
        <v>0</v>
      </c>
      <c r="AD200" s="114">
        <f t="shared" si="1240"/>
        <v>0</v>
      </c>
      <c r="AE200" s="113"/>
      <c r="AF200" s="124"/>
      <c r="AG200" s="113">
        <f t="shared" si="1303"/>
        <v>0</v>
      </c>
      <c r="AH200" s="114">
        <f t="shared" si="1303"/>
        <v>0</v>
      </c>
      <c r="AI200" s="113">
        <f t="shared" si="1303"/>
        <v>0</v>
      </c>
      <c r="AJ200" s="114"/>
      <c r="AK200" s="114">
        <f t="shared" ref="AK200:AQ200" si="1304">AC200</f>
        <v>0</v>
      </c>
      <c r="AL200" s="114">
        <f t="shared" si="1242"/>
        <v>0</v>
      </c>
      <c r="AM200" s="113"/>
      <c r="AN200" s="124"/>
      <c r="AO200" s="113">
        <f t="shared" si="1304"/>
        <v>0</v>
      </c>
      <c r="AP200" s="114">
        <f t="shared" si="1304"/>
        <v>0</v>
      </c>
      <c r="AQ200" s="113">
        <f t="shared" si="1304"/>
        <v>0</v>
      </c>
      <c r="AR200" s="114"/>
      <c r="AS200" s="114">
        <f t="shared" ref="AS200:AY200" si="1305">AK200</f>
        <v>0</v>
      </c>
      <c r="AT200" s="114">
        <f t="shared" si="1244"/>
        <v>0</v>
      </c>
      <c r="AU200" s="113"/>
      <c r="AV200" s="124"/>
      <c r="AW200" s="113">
        <f t="shared" si="1305"/>
        <v>0</v>
      </c>
      <c r="AX200" s="114">
        <f t="shared" si="1305"/>
        <v>0</v>
      </c>
      <c r="AY200" s="113">
        <f t="shared" si="1305"/>
        <v>0</v>
      </c>
      <c r="AZ200" s="114"/>
      <c r="BA200" s="114">
        <f t="shared" ref="BA200:BG200" si="1306">AS200</f>
        <v>0</v>
      </c>
      <c r="BB200" s="114">
        <f t="shared" si="1246"/>
        <v>0</v>
      </c>
      <c r="BC200" s="113"/>
      <c r="BD200" s="124"/>
      <c r="BE200" s="113">
        <f t="shared" si="1306"/>
        <v>0</v>
      </c>
      <c r="BF200" s="114">
        <f t="shared" si="1306"/>
        <v>0</v>
      </c>
      <c r="BG200" s="113">
        <f t="shared" si="1306"/>
        <v>0</v>
      </c>
      <c r="BH200" s="114"/>
      <c r="BI200" s="114">
        <f t="shared" ref="BI200:BO200" si="1307">BA200</f>
        <v>0</v>
      </c>
      <c r="BJ200" s="114">
        <f t="shared" si="1248"/>
        <v>0</v>
      </c>
      <c r="BK200" s="113"/>
      <c r="BL200" s="124"/>
      <c r="BM200" s="113">
        <f t="shared" si="1307"/>
        <v>0</v>
      </c>
      <c r="BN200" s="114">
        <f t="shared" si="1307"/>
        <v>0</v>
      </c>
      <c r="BO200" s="113">
        <f t="shared" si="1307"/>
        <v>0</v>
      </c>
      <c r="BP200" s="114"/>
      <c r="BQ200" s="114">
        <f t="shared" ref="BQ200:BW200" si="1308">BI200</f>
        <v>0</v>
      </c>
      <c r="BR200" s="114">
        <f t="shared" si="1250"/>
        <v>0</v>
      </c>
      <c r="BS200" s="113"/>
      <c r="BT200" s="124"/>
      <c r="BU200" s="113">
        <f t="shared" si="1308"/>
        <v>0</v>
      </c>
      <c r="BV200" s="114">
        <f t="shared" si="1308"/>
        <v>0</v>
      </c>
      <c r="BW200" s="113">
        <f t="shared" si="1308"/>
        <v>0</v>
      </c>
      <c r="BX200" s="114"/>
      <c r="BY200" s="114">
        <f t="shared" ref="BY200:CE200" si="1309">BQ200</f>
        <v>0</v>
      </c>
      <c r="BZ200" s="114">
        <f t="shared" si="1252"/>
        <v>0</v>
      </c>
      <c r="CA200" s="113"/>
      <c r="CB200" s="124"/>
      <c r="CC200" s="113">
        <f t="shared" si="1309"/>
        <v>0</v>
      </c>
      <c r="CD200" s="114">
        <f t="shared" si="1309"/>
        <v>0</v>
      </c>
      <c r="CE200" s="113">
        <f t="shared" si="1309"/>
        <v>0</v>
      </c>
      <c r="CF200" s="114">
        <f t="shared" si="1253"/>
        <v>0</v>
      </c>
      <c r="CG200" s="114">
        <f t="shared" si="1254"/>
        <v>0</v>
      </c>
      <c r="CH200" s="114">
        <f t="shared" si="1255"/>
        <v>0</v>
      </c>
      <c r="CI200" s="113"/>
    </row>
    <row r="201" s="104" customFormat="1" customHeight="1" spans="1:87">
      <c r="A201" s="113"/>
      <c r="B201" s="114"/>
      <c r="C201" s="113"/>
      <c r="D201" s="114"/>
      <c r="E201" s="114"/>
      <c r="F201" s="114">
        <f t="shared" si="1231"/>
        <v>0</v>
      </c>
      <c r="G201" s="113"/>
      <c r="H201" s="124"/>
      <c r="I201" s="113">
        <f t="shared" si="1232"/>
        <v>0</v>
      </c>
      <c r="J201" s="114">
        <f t="shared" si="1233"/>
        <v>0</v>
      </c>
      <c r="K201" s="113">
        <f t="shared" si="1234"/>
        <v>0</v>
      </c>
      <c r="L201" s="114"/>
      <c r="M201" s="114">
        <f t="shared" ref="M201:S201" si="1310">E201</f>
        <v>0</v>
      </c>
      <c r="N201" s="114">
        <f t="shared" si="1236"/>
        <v>0</v>
      </c>
      <c r="O201" s="113"/>
      <c r="P201" s="124"/>
      <c r="Q201" s="113">
        <f t="shared" si="1310"/>
        <v>0</v>
      </c>
      <c r="R201" s="114">
        <f t="shared" si="1310"/>
        <v>0</v>
      </c>
      <c r="S201" s="113">
        <f t="shared" si="1310"/>
        <v>0</v>
      </c>
      <c r="T201" s="114"/>
      <c r="U201" s="114">
        <f t="shared" ref="U201:AA201" si="1311">M201</f>
        <v>0</v>
      </c>
      <c r="V201" s="114">
        <f t="shared" si="1238"/>
        <v>0</v>
      </c>
      <c r="W201" s="113"/>
      <c r="X201" s="124"/>
      <c r="Y201" s="113">
        <f t="shared" si="1311"/>
        <v>0</v>
      </c>
      <c r="Z201" s="114">
        <f t="shared" si="1311"/>
        <v>0</v>
      </c>
      <c r="AA201" s="113">
        <f t="shared" si="1311"/>
        <v>0</v>
      </c>
      <c r="AB201" s="114"/>
      <c r="AC201" s="114">
        <f t="shared" ref="AC201:AI201" si="1312">U201</f>
        <v>0</v>
      </c>
      <c r="AD201" s="114">
        <f t="shared" si="1240"/>
        <v>0</v>
      </c>
      <c r="AE201" s="113"/>
      <c r="AF201" s="124"/>
      <c r="AG201" s="113">
        <f t="shared" si="1312"/>
        <v>0</v>
      </c>
      <c r="AH201" s="114">
        <f t="shared" si="1312"/>
        <v>0</v>
      </c>
      <c r="AI201" s="113">
        <f t="shared" si="1312"/>
        <v>0</v>
      </c>
      <c r="AJ201" s="114"/>
      <c r="AK201" s="114">
        <f t="shared" ref="AK201:AQ201" si="1313">AC201</f>
        <v>0</v>
      </c>
      <c r="AL201" s="114">
        <f t="shared" si="1242"/>
        <v>0</v>
      </c>
      <c r="AM201" s="113"/>
      <c r="AN201" s="124"/>
      <c r="AO201" s="113">
        <f t="shared" si="1313"/>
        <v>0</v>
      </c>
      <c r="AP201" s="114">
        <f t="shared" si="1313"/>
        <v>0</v>
      </c>
      <c r="AQ201" s="113">
        <f t="shared" si="1313"/>
        <v>0</v>
      </c>
      <c r="AR201" s="114"/>
      <c r="AS201" s="114">
        <f t="shared" ref="AS201:AY201" si="1314">AK201</f>
        <v>0</v>
      </c>
      <c r="AT201" s="114">
        <f t="shared" si="1244"/>
        <v>0</v>
      </c>
      <c r="AU201" s="113"/>
      <c r="AV201" s="124"/>
      <c r="AW201" s="113">
        <f t="shared" si="1314"/>
        <v>0</v>
      </c>
      <c r="AX201" s="114">
        <f t="shared" si="1314"/>
        <v>0</v>
      </c>
      <c r="AY201" s="113">
        <f t="shared" si="1314"/>
        <v>0</v>
      </c>
      <c r="AZ201" s="114"/>
      <c r="BA201" s="114">
        <f t="shared" ref="BA201:BG201" si="1315">AS201</f>
        <v>0</v>
      </c>
      <c r="BB201" s="114">
        <f t="shared" si="1246"/>
        <v>0</v>
      </c>
      <c r="BC201" s="113"/>
      <c r="BD201" s="124"/>
      <c r="BE201" s="113">
        <f t="shared" si="1315"/>
        <v>0</v>
      </c>
      <c r="BF201" s="114">
        <f t="shared" si="1315"/>
        <v>0</v>
      </c>
      <c r="BG201" s="113">
        <f t="shared" si="1315"/>
        <v>0</v>
      </c>
      <c r="BH201" s="114"/>
      <c r="BI201" s="114">
        <f t="shared" ref="BI201:BO201" si="1316">BA201</f>
        <v>0</v>
      </c>
      <c r="BJ201" s="114">
        <f t="shared" si="1248"/>
        <v>0</v>
      </c>
      <c r="BK201" s="113"/>
      <c r="BL201" s="124"/>
      <c r="BM201" s="113">
        <f t="shared" si="1316"/>
        <v>0</v>
      </c>
      <c r="BN201" s="114">
        <f t="shared" si="1316"/>
        <v>0</v>
      </c>
      <c r="BO201" s="113">
        <f t="shared" si="1316"/>
        <v>0</v>
      </c>
      <c r="BP201" s="114"/>
      <c r="BQ201" s="114">
        <f t="shared" ref="BQ201:BW201" si="1317">BI201</f>
        <v>0</v>
      </c>
      <c r="BR201" s="114">
        <f t="shared" si="1250"/>
        <v>0</v>
      </c>
      <c r="BS201" s="113"/>
      <c r="BT201" s="124"/>
      <c r="BU201" s="113">
        <f t="shared" si="1317"/>
        <v>0</v>
      </c>
      <c r="BV201" s="114">
        <f t="shared" si="1317"/>
        <v>0</v>
      </c>
      <c r="BW201" s="113">
        <f t="shared" si="1317"/>
        <v>0</v>
      </c>
      <c r="BX201" s="114"/>
      <c r="BY201" s="114">
        <f t="shared" ref="BY201:CE201" si="1318">BQ201</f>
        <v>0</v>
      </c>
      <c r="BZ201" s="114">
        <f t="shared" si="1252"/>
        <v>0</v>
      </c>
      <c r="CA201" s="113"/>
      <c r="CB201" s="124"/>
      <c r="CC201" s="113">
        <f t="shared" si="1318"/>
        <v>0</v>
      </c>
      <c r="CD201" s="114">
        <f t="shared" si="1318"/>
        <v>0</v>
      </c>
      <c r="CE201" s="113">
        <f t="shared" si="1318"/>
        <v>0</v>
      </c>
      <c r="CF201" s="114">
        <f t="shared" si="1253"/>
        <v>0</v>
      </c>
      <c r="CG201" s="114">
        <f t="shared" si="1254"/>
        <v>0</v>
      </c>
      <c r="CH201" s="114">
        <f t="shared" si="1255"/>
        <v>0</v>
      </c>
      <c r="CI201" s="113"/>
    </row>
    <row r="202" s="104" customFormat="1" customHeight="1" spans="1:87">
      <c r="A202" s="113"/>
      <c r="B202" s="114"/>
      <c r="C202" s="113"/>
      <c r="D202" s="114"/>
      <c r="E202" s="114"/>
      <c r="F202" s="114">
        <f t="shared" si="1231"/>
        <v>0</v>
      </c>
      <c r="G202" s="113"/>
      <c r="H202" s="124"/>
      <c r="I202" s="113">
        <f t="shared" si="1232"/>
        <v>0</v>
      </c>
      <c r="J202" s="114">
        <f t="shared" si="1233"/>
        <v>0</v>
      </c>
      <c r="K202" s="113">
        <f t="shared" si="1234"/>
        <v>0</v>
      </c>
      <c r="L202" s="114"/>
      <c r="M202" s="114">
        <f t="shared" ref="M202:S202" si="1319">E202</f>
        <v>0</v>
      </c>
      <c r="N202" s="114">
        <f t="shared" si="1236"/>
        <v>0</v>
      </c>
      <c r="O202" s="113"/>
      <c r="P202" s="124"/>
      <c r="Q202" s="113">
        <f t="shared" si="1319"/>
        <v>0</v>
      </c>
      <c r="R202" s="114">
        <f t="shared" si="1319"/>
        <v>0</v>
      </c>
      <c r="S202" s="113">
        <f t="shared" si="1319"/>
        <v>0</v>
      </c>
      <c r="T202" s="114"/>
      <c r="U202" s="114">
        <f t="shared" ref="U202:AA202" si="1320">M202</f>
        <v>0</v>
      </c>
      <c r="V202" s="114">
        <f t="shared" si="1238"/>
        <v>0</v>
      </c>
      <c r="W202" s="113"/>
      <c r="X202" s="124"/>
      <c r="Y202" s="113">
        <f t="shared" si="1320"/>
        <v>0</v>
      </c>
      <c r="Z202" s="114">
        <f t="shared" si="1320"/>
        <v>0</v>
      </c>
      <c r="AA202" s="113">
        <f t="shared" si="1320"/>
        <v>0</v>
      </c>
      <c r="AB202" s="114"/>
      <c r="AC202" s="114">
        <f t="shared" ref="AC202:AI202" si="1321">U202</f>
        <v>0</v>
      </c>
      <c r="AD202" s="114">
        <f t="shared" si="1240"/>
        <v>0</v>
      </c>
      <c r="AE202" s="113"/>
      <c r="AF202" s="124"/>
      <c r="AG202" s="113">
        <f t="shared" si="1321"/>
        <v>0</v>
      </c>
      <c r="AH202" s="114">
        <f t="shared" si="1321"/>
        <v>0</v>
      </c>
      <c r="AI202" s="113">
        <f t="shared" si="1321"/>
        <v>0</v>
      </c>
      <c r="AJ202" s="114"/>
      <c r="AK202" s="114">
        <f t="shared" ref="AK202:AQ202" si="1322">AC202</f>
        <v>0</v>
      </c>
      <c r="AL202" s="114">
        <f t="shared" si="1242"/>
        <v>0</v>
      </c>
      <c r="AM202" s="113"/>
      <c r="AN202" s="124"/>
      <c r="AO202" s="113">
        <f t="shared" si="1322"/>
        <v>0</v>
      </c>
      <c r="AP202" s="114">
        <f t="shared" si="1322"/>
        <v>0</v>
      </c>
      <c r="AQ202" s="113">
        <f t="shared" si="1322"/>
        <v>0</v>
      </c>
      <c r="AR202" s="114"/>
      <c r="AS202" s="114">
        <f t="shared" ref="AS202:AY202" si="1323">AK202</f>
        <v>0</v>
      </c>
      <c r="AT202" s="114">
        <f t="shared" si="1244"/>
        <v>0</v>
      </c>
      <c r="AU202" s="113"/>
      <c r="AV202" s="124"/>
      <c r="AW202" s="113">
        <f t="shared" si="1323"/>
        <v>0</v>
      </c>
      <c r="AX202" s="114">
        <f t="shared" si="1323"/>
        <v>0</v>
      </c>
      <c r="AY202" s="113">
        <f t="shared" si="1323"/>
        <v>0</v>
      </c>
      <c r="AZ202" s="114"/>
      <c r="BA202" s="114">
        <f t="shared" ref="BA202:BG202" si="1324">AS202</f>
        <v>0</v>
      </c>
      <c r="BB202" s="114">
        <f t="shared" si="1246"/>
        <v>0</v>
      </c>
      <c r="BC202" s="113"/>
      <c r="BD202" s="124"/>
      <c r="BE202" s="113">
        <f t="shared" si="1324"/>
        <v>0</v>
      </c>
      <c r="BF202" s="114">
        <f t="shared" si="1324"/>
        <v>0</v>
      </c>
      <c r="BG202" s="113">
        <f t="shared" si="1324"/>
        <v>0</v>
      </c>
      <c r="BH202" s="114"/>
      <c r="BI202" s="114">
        <f t="shared" ref="BI202:BO202" si="1325">BA202</f>
        <v>0</v>
      </c>
      <c r="BJ202" s="114">
        <f t="shared" si="1248"/>
        <v>0</v>
      </c>
      <c r="BK202" s="113"/>
      <c r="BL202" s="124"/>
      <c r="BM202" s="113">
        <f t="shared" si="1325"/>
        <v>0</v>
      </c>
      <c r="BN202" s="114">
        <f t="shared" si="1325"/>
        <v>0</v>
      </c>
      <c r="BO202" s="113">
        <f t="shared" si="1325"/>
        <v>0</v>
      </c>
      <c r="BP202" s="114"/>
      <c r="BQ202" s="114">
        <f t="shared" ref="BQ202:BW202" si="1326">BI202</f>
        <v>0</v>
      </c>
      <c r="BR202" s="114">
        <f t="shared" si="1250"/>
        <v>0</v>
      </c>
      <c r="BS202" s="113"/>
      <c r="BT202" s="124"/>
      <c r="BU202" s="113">
        <f t="shared" si="1326"/>
        <v>0</v>
      </c>
      <c r="BV202" s="114">
        <f t="shared" si="1326"/>
        <v>0</v>
      </c>
      <c r="BW202" s="113">
        <f t="shared" si="1326"/>
        <v>0</v>
      </c>
      <c r="BX202" s="114"/>
      <c r="BY202" s="114">
        <f t="shared" ref="BY202:CE202" si="1327">BQ202</f>
        <v>0</v>
      </c>
      <c r="BZ202" s="114">
        <f t="shared" si="1252"/>
        <v>0</v>
      </c>
      <c r="CA202" s="113"/>
      <c r="CB202" s="124"/>
      <c r="CC202" s="113">
        <f t="shared" si="1327"/>
        <v>0</v>
      </c>
      <c r="CD202" s="114">
        <f t="shared" si="1327"/>
        <v>0</v>
      </c>
      <c r="CE202" s="113">
        <f t="shared" si="1327"/>
        <v>0</v>
      </c>
      <c r="CF202" s="114">
        <f t="shared" si="1253"/>
        <v>0</v>
      </c>
      <c r="CG202" s="114">
        <f t="shared" si="1254"/>
        <v>0</v>
      </c>
      <c r="CH202" s="114">
        <f t="shared" si="1255"/>
        <v>0</v>
      </c>
      <c r="CI202" s="113"/>
    </row>
    <row r="203" s="104" customFormat="1" customHeight="1" spans="1:87">
      <c r="A203" s="113"/>
      <c r="B203" s="114"/>
      <c r="C203" s="113"/>
      <c r="D203" s="114"/>
      <c r="E203" s="114"/>
      <c r="F203" s="114">
        <f t="shared" si="1231"/>
        <v>0</v>
      </c>
      <c r="G203" s="113"/>
      <c r="H203" s="124"/>
      <c r="I203" s="113">
        <f t="shared" si="1232"/>
        <v>0</v>
      </c>
      <c r="J203" s="114">
        <f t="shared" si="1233"/>
        <v>0</v>
      </c>
      <c r="K203" s="113">
        <f t="shared" si="1234"/>
        <v>0</v>
      </c>
      <c r="L203" s="114"/>
      <c r="M203" s="114">
        <f t="shared" ref="M203:S203" si="1328">E203</f>
        <v>0</v>
      </c>
      <c r="N203" s="114">
        <f t="shared" si="1236"/>
        <v>0</v>
      </c>
      <c r="O203" s="113"/>
      <c r="P203" s="124"/>
      <c r="Q203" s="113">
        <f t="shared" si="1328"/>
        <v>0</v>
      </c>
      <c r="R203" s="114">
        <f t="shared" si="1328"/>
        <v>0</v>
      </c>
      <c r="S203" s="113">
        <f t="shared" si="1328"/>
        <v>0</v>
      </c>
      <c r="T203" s="114"/>
      <c r="U203" s="114">
        <f t="shared" ref="U203:AA203" si="1329">M203</f>
        <v>0</v>
      </c>
      <c r="V203" s="114">
        <f t="shared" si="1238"/>
        <v>0</v>
      </c>
      <c r="W203" s="113"/>
      <c r="X203" s="124"/>
      <c r="Y203" s="113">
        <f t="shared" si="1329"/>
        <v>0</v>
      </c>
      <c r="Z203" s="114">
        <f t="shared" si="1329"/>
        <v>0</v>
      </c>
      <c r="AA203" s="113">
        <f t="shared" si="1329"/>
        <v>0</v>
      </c>
      <c r="AB203" s="114"/>
      <c r="AC203" s="114">
        <f t="shared" ref="AC203:AI203" si="1330">U203</f>
        <v>0</v>
      </c>
      <c r="AD203" s="114">
        <f t="shared" si="1240"/>
        <v>0</v>
      </c>
      <c r="AE203" s="113"/>
      <c r="AF203" s="124"/>
      <c r="AG203" s="113">
        <f t="shared" si="1330"/>
        <v>0</v>
      </c>
      <c r="AH203" s="114">
        <f t="shared" si="1330"/>
        <v>0</v>
      </c>
      <c r="AI203" s="113">
        <f t="shared" si="1330"/>
        <v>0</v>
      </c>
      <c r="AJ203" s="114"/>
      <c r="AK203" s="114">
        <f t="shared" ref="AK203:AQ203" si="1331">AC203</f>
        <v>0</v>
      </c>
      <c r="AL203" s="114">
        <f t="shared" si="1242"/>
        <v>0</v>
      </c>
      <c r="AM203" s="113"/>
      <c r="AN203" s="124"/>
      <c r="AO203" s="113">
        <f t="shared" si="1331"/>
        <v>0</v>
      </c>
      <c r="AP203" s="114">
        <f t="shared" si="1331"/>
        <v>0</v>
      </c>
      <c r="AQ203" s="113">
        <f t="shared" si="1331"/>
        <v>0</v>
      </c>
      <c r="AR203" s="114"/>
      <c r="AS203" s="114">
        <f t="shared" ref="AS203:AY203" si="1332">AK203</f>
        <v>0</v>
      </c>
      <c r="AT203" s="114">
        <f t="shared" si="1244"/>
        <v>0</v>
      </c>
      <c r="AU203" s="113"/>
      <c r="AV203" s="124"/>
      <c r="AW203" s="113">
        <f t="shared" si="1332"/>
        <v>0</v>
      </c>
      <c r="AX203" s="114">
        <f t="shared" si="1332"/>
        <v>0</v>
      </c>
      <c r="AY203" s="113">
        <f t="shared" si="1332"/>
        <v>0</v>
      </c>
      <c r="AZ203" s="114"/>
      <c r="BA203" s="114">
        <f t="shared" ref="BA203:BG203" si="1333">AS203</f>
        <v>0</v>
      </c>
      <c r="BB203" s="114">
        <f t="shared" si="1246"/>
        <v>0</v>
      </c>
      <c r="BC203" s="113"/>
      <c r="BD203" s="124"/>
      <c r="BE203" s="113">
        <f t="shared" si="1333"/>
        <v>0</v>
      </c>
      <c r="BF203" s="114">
        <f t="shared" si="1333"/>
        <v>0</v>
      </c>
      <c r="BG203" s="113">
        <f t="shared" si="1333"/>
        <v>0</v>
      </c>
      <c r="BH203" s="114"/>
      <c r="BI203" s="114">
        <f t="shared" ref="BI203:BO203" si="1334">BA203</f>
        <v>0</v>
      </c>
      <c r="BJ203" s="114">
        <f t="shared" si="1248"/>
        <v>0</v>
      </c>
      <c r="BK203" s="113"/>
      <c r="BL203" s="124"/>
      <c r="BM203" s="113">
        <f t="shared" si="1334"/>
        <v>0</v>
      </c>
      <c r="BN203" s="114">
        <f t="shared" si="1334"/>
        <v>0</v>
      </c>
      <c r="BO203" s="113">
        <f t="shared" si="1334"/>
        <v>0</v>
      </c>
      <c r="BP203" s="114"/>
      <c r="BQ203" s="114">
        <f t="shared" ref="BQ203:BW203" si="1335">BI203</f>
        <v>0</v>
      </c>
      <c r="BR203" s="114">
        <f t="shared" si="1250"/>
        <v>0</v>
      </c>
      <c r="BS203" s="113"/>
      <c r="BT203" s="124"/>
      <c r="BU203" s="113">
        <f t="shared" si="1335"/>
        <v>0</v>
      </c>
      <c r="BV203" s="114">
        <f t="shared" si="1335"/>
        <v>0</v>
      </c>
      <c r="BW203" s="113">
        <f t="shared" si="1335"/>
        <v>0</v>
      </c>
      <c r="BX203" s="114"/>
      <c r="BY203" s="114">
        <f t="shared" ref="BY203:CE203" si="1336">BQ203</f>
        <v>0</v>
      </c>
      <c r="BZ203" s="114">
        <f t="shared" si="1252"/>
        <v>0</v>
      </c>
      <c r="CA203" s="113"/>
      <c r="CB203" s="124"/>
      <c r="CC203" s="113">
        <f t="shared" si="1336"/>
        <v>0</v>
      </c>
      <c r="CD203" s="114">
        <f t="shared" si="1336"/>
        <v>0</v>
      </c>
      <c r="CE203" s="113">
        <f t="shared" si="1336"/>
        <v>0</v>
      </c>
      <c r="CF203" s="114">
        <f t="shared" si="1253"/>
        <v>0</v>
      </c>
      <c r="CG203" s="114">
        <f t="shared" si="1254"/>
        <v>0</v>
      </c>
      <c r="CH203" s="114">
        <f t="shared" si="1255"/>
        <v>0</v>
      </c>
      <c r="CI203" s="113"/>
    </row>
    <row r="204" customHeight="1" spans="1:87">
      <c r="A204" s="113"/>
      <c r="B204" s="114"/>
      <c r="C204" s="113"/>
      <c r="D204" s="114"/>
      <c r="E204" s="114"/>
      <c r="F204" s="114">
        <f t="shared" si="1231"/>
        <v>0</v>
      </c>
      <c r="G204" s="113"/>
      <c r="I204" s="113">
        <f t="shared" si="1232"/>
        <v>0</v>
      </c>
      <c r="J204" s="114">
        <f t="shared" si="1233"/>
        <v>0</v>
      </c>
      <c r="K204" s="113">
        <f t="shared" si="1234"/>
        <v>0</v>
      </c>
      <c r="L204" s="114"/>
      <c r="M204" s="114">
        <f t="shared" ref="M204:S204" si="1337">E204</f>
        <v>0</v>
      </c>
      <c r="N204" s="114">
        <f t="shared" si="1236"/>
        <v>0</v>
      </c>
      <c r="O204" s="113"/>
      <c r="Q204" s="113">
        <f t="shared" si="1337"/>
        <v>0</v>
      </c>
      <c r="R204" s="114">
        <f t="shared" si="1337"/>
        <v>0</v>
      </c>
      <c r="S204" s="113">
        <f t="shared" si="1337"/>
        <v>0</v>
      </c>
      <c r="T204" s="114"/>
      <c r="U204" s="114">
        <f t="shared" ref="U204:AA204" si="1338">M204</f>
        <v>0</v>
      </c>
      <c r="V204" s="114">
        <f t="shared" si="1238"/>
        <v>0</v>
      </c>
      <c r="W204" s="113"/>
      <c r="Y204" s="113">
        <f t="shared" si="1338"/>
        <v>0</v>
      </c>
      <c r="Z204" s="114">
        <f t="shared" si="1338"/>
        <v>0</v>
      </c>
      <c r="AA204" s="113">
        <f t="shared" si="1338"/>
        <v>0</v>
      </c>
      <c r="AB204" s="114"/>
      <c r="AC204" s="114">
        <f t="shared" ref="AC204:AI204" si="1339">U204</f>
        <v>0</v>
      </c>
      <c r="AD204" s="114">
        <f t="shared" si="1240"/>
        <v>0</v>
      </c>
      <c r="AE204" s="113"/>
      <c r="AG204" s="113">
        <f t="shared" si="1339"/>
        <v>0</v>
      </c>
      <c r="AH204" s="114">
        <f t="shared" si="1339"/>
        <v>0</v>
      </c>
      <c r="AI204" s="113">
        <f t="shared" si="1339"/>
        <v>0</v>
      </c>
      <c r="AJ204" s="114"/>
      <c r="AK204" s="114">
        <f t="shared" ref="AK204:AQ204" si="1340">AC204</f>
        <v>0</v>
      </c>
      <c r="AL204" s="114">
        <f t="shared" si="1242"/>
        <v>0</v>
      </c>
      <c r="AM204" s="113"/>
      <c r="AO204" s="113">
        <f t="shared" si="1340"/>
        <v>0</v>
      </c>
      <c r="AP204" s="114">
        <f t="shared" si="1340"/>
        <v>0</v>
      </c>
      <c r="AQ204" s="113">
        <f t="shared" si="1340"/>
        <v>0</v>
      </c>
      <c r="AR204" s="114"/>
      <c r="AS204" s="114">
        <f t="shared" ref="AS204:AY204" si="1341">AK204</f>
        <v>0</v>
      </c>
      <c r="AT204" s="114">
        <f t="shared" si="1244"/>
        <v>0</v>
      </c>
      <c r="AU204" s="113"/>
      <c r="AW204" s="113">
        <f t="shared" si="1341"/>
        <v>0</v>
      </c>
      <c r="AX204" s="114">
        <f t="shared" si="1341"/>
        <v>0</v>
      </c>
      <c r="AY204" s="113">
        <f t="shared" si="1341"/>
        <v>0</v>
      </c>
      <c r="AZ204" s="114"/>
      <c r="BA204" s="114">
        <f t="shared" ref="BA204:BG204" si="1342">AS204</f>
        <v>0</v>
      </c>
      <c r="BB204" s="114">
        <f t="shared" si="1246"/>
        <v>0</v>
      </c>
      <c r="BC204" s="113"/>
      <c r="BE204" s="113">
        <f t="shared" si="1342"/>
        <v>0</v>
      </c>
      <c r="BF204" s="114">
        <f t="shared" si="1342"/>
        <v>0</v>
      </c>
      <c r="BG204" s="113">
        <f t="shared" si="1342"/>
        <v>0</v>
      </c>
      <c r="BH204" s="114"/>
      <c r="BI204" s="114">
        <f t="shared" ref="BI204:BO204" si="1343">BA204</f>
        <v>0</v>
      </c>
      <c r="BJ204" s="114">
        <f t="shared" si="1248"/>
        <v>0</v>
      </c>
      <c r="BK204" s="113"/>
      <c r="BM204" s="113">
        <f t="shared" si="1343"/>
        <v>0</v>
      </c>
      <c r="BN204" s="114">
        <f t="shared" si="1343"/>
        <v>0</v>
      </c>
      <c r="BO204" s="113">
        <f t="shared" si="1343"/>
        <v>0</v>
      </c>
      <c r="BP204" s="114"/>
      <c r="BQ204" s="114">
        <f t="shared" ref="BQ204:BW204" si="1344">BI204</f>
        <v>0</v>
      </c>
      <c r="BR204" s="114">
        <f t="shared" si="1250"/>
        <v>0</v>
      </c>
      <c r="BS204" s="113"/>
      <c r="BU204" s="113">
        <f t="shared" si="1344"/>
        <v>0</v>
      </c>
      <c r="BV204" s="114">
        <f t="shared" si="1344"/>
        <v>0</v>
      </c>
      <c r="BW204" s="113">
        <f t="shared" si="1344"/>
        <v>0</v>
      </c>
      <c r="BX204" s="114"/>
      <c r="BY204" s="114">
        <f t="shared" ref="BY204:CE204" si="1345">BQ204</f>
        <v>0</v>
      </c>
      <c r="BZ204" s="114">
        <f t="shared" si="1252"/>
        <v>0</v>
      </c>
      <c r="CA204" s="113"/>
      <c r="CC204" s="113">
        <f t="shared" si="1345"/>
        <v>0</v>
      </c>
      <c r="CD204" s="114">
        <f t="shared" si="1345"/>
        <v>0</v>
      </c>
      <c r="CE204" s="113">
        <f t="shared" si="1345"/>
        <v>0</v>
      </c>
      <c r="CF204" s="114">
        <f t="shared" si="1253"/>
        <v>0</v>
      </c>
      <c r="CG204" s="114">
        <f t="shared" si="1254"/>
        <v>0</v>
      </c>
      <c r="CH204" s="114">
        <f t="shared" si="1255"/>
        <v>0</v>
      </c>
      <c r="CI204" s="113"/>
    </row>
    <row r="205" customHeight="1" spans="1:87">
      <c r="A205" s="113"/>
      <c r="B205" s="114"/>
      <c r="C205" s="113"/>
      <c r="D205" s="114"/>
      <c r="E205" s="114"/>
      <c r="F205" s="114">
        <f t="shared" si="1231"/>
        <v>0</v>
      </c>
      <c r="G205" s="113"/>
      <c r="I205" s="113">
        <f t="shared" si="1232"/>
        <v>0</v>
      </c>
      <c r="J205" s="114">
        <f t="shared" si="1233"/>
        <v>0</v>
      </c>
      <c r="K205" s="113">
        <f t="shared" si="1234"/>
        <v>0</v>
      </c>
      <c r="L205" s="114"/>
      <c r="M205" s="114">
        <f t="shared" ref="M205:S205" si="1346">E205</f>
        <v>0</v>
      </c>
      <c r="N205" s="114">
        <f t="shared" si="1236"/>
        <v>0</v>
      </c>
      <c r="O205" s="113"/>
      <c r="Q205" s="113">
        <f t="shared" si="1346"/>
        <v>0</v>
      </c>
      <c r="R205" s="114">
        <f t="shared" si="1346"/>
        <v>0</v>
      </c>
      <c r="S205" s="113">
        <f t="shared" si="1346"/>
        <v>0</v>
      </c>
      <c r="T205" s="114"/>
      <c r="U205" s="114">
        <f t="shared" ref="U205:AA205" si="1347">M205</f>
        <v>0</v>
      </c>
      <c r="V205" s="114">
        <f t="shared" si="1238"/>
        <v>0</v>
      </c>
      <c r="W205" s="113"/>
      <c r="Y205" s="113">
        <f t="shared" si="1347"/>
        <v>0</v>
      </c>
      <c r="Z205" s="114">
        <f t="shared" si="1347"/>
        <v>0</v>
      </c>
      <c r="AA205" s="113">
        <f t="shared" si="1347"/>
        <v>0</v>
      </c>
      <c r="AB205" s="114"/>
      <c r="AC205" s="114">
        <f t="shared" ref="AC205:AI205" si="1348">U205</f>
        <v>0</v>
      </c>
      <c r="AD205" s="114">
        <f t="shared" si="1240"/>
        <v>0</v>
      </c>
      <c r="AE205" s="113"/>
      <c r="AG205" s="113">
        <f t="shared" si="1348"/>
        <v>0</v>
      </c>
      <c r="AH205" s="114">
        <f t="shared" si="1348"/>
        <v>0</v>
      </c>
      <c r="AI205" s="113">
        <f t="shared" si="1348"/>
        <v>0</v>
      </c>
      <c r="AJ205" s="114"/>
      <c r="AK205" s="114">
        <f t="shared" ref="AK205:AQ205" si="1349">AC205</f>
        <v>0</v>
      </c>
      <c r="AL205" s="114">
        <f t="shared" si="1242"/>
        <v>0</v>
      </c>
      <c r="AM205" s="113"/>
      <c r="AO205" s="113">
        <f t="shared" si="1349"/>
        <v>0</v>
      </c>
      <c r="AP205" s="114">
        <f t="shared" si="1349"/>
        <v>0</v>
      </c>
      <c r="AQ205" s="113">
        <f t="shared" si="1349"/>
        <v>0</v>
      </c>
      <c r="AR205" s="114"/>
      <c r="AS205" s="114">
        <f t="shared" ref="AS205:AY205" si="1350">AK205</f>
        <v>0</v>
      </c>
      <c r="AT205" s="114">
        <f t="shared" si="1244"/>
        <v>0</v>
      </c>
      <c r="AU205" s="113"/>
      <c r="AW205" s="113">
        <f t="shared" si="1350"/>
        <v>0</v>
      </c>
      <c r="AX205" s="114">
        <f t="shared" si="1350"/>
        <v>0</v>
      </c>
      <c r="AY205" s="113">
        <f t="shared" si="1350"/>
        <v>0</v>
      </c>
      <c r="AZ205" s="114"/>
      <c r="BA205" s="114">
        <f t="shared" ref="BA205:BG205" si="1351">AS205</f>
        <v>0</v>
      </c>
      <c r="BB205" s="114">
        <f t="shared" si="1246"/>
        <v>0</v>
      </c>
      <c r="BC205" s="113"/>
      <c r="BE205" s="113">
        <f t="shared" si="1351"/>
        <v>0</v>
      </c>
      <c r="BF205" s="114">
        <f t="shared" si="1351"/>
        <v>0</v>
      </c>
      <c r="BG205" s="113">
        <f t="shared" si="1351"/>
        <v>0</v>
      </c>
      <c r="BH205" s="114"/>
      <c r="BI205" s="114">
        <f t="shared" ref="BI205:BO205" si="1352">BA205</f>
        <v>0</v>
      </c>
      <c r="BJ205" s="114">
        <f t="shared" si="1248"/>
        <v>0</v>
      </c>
      <c r="BK205" s="113"/>
      <c r="BM205" s="113">
        <f t="shared" si="1352"/>
        <v>0</v>
      </c>
      <c r="BN205" s="114">
        <f t="shared" si="1352"/>
        <v>0</v>
      </c>
      <c r="BO205" s="113">
        <f t="shared" si="1352"/>
        <v>0</v>
      </c>
      <c r="BP205" s="114"/>
      <c r="BQ205" s="114">
        <f t="shared" ref="BQ205:BW205" si="1353">BI205</f>
        <v>0</v>
      </c>
      <c r="BR205" s="114">
        <f t="shared" si="1250"/>
        <v>0</v>
      </c>
      <c r="BS205" s="113"/>
      <c r="BU205" s="113">
        <f t="shared" si="1353"/>
        <v>0</v>
      </c>
      <c r="BV205" s="114">
        <f t="shared" si="1353"/>
        <v>0</v>
      </c>
      <c r="BW205" s="113">
        <f t="shared" si="1353"/>
        <v>0</v>
      </c>
      <c r="BX205" s="114"/>
      <c r="BY205" s="114">
        <f t="shared" ref="BY205:CE205" si="1354">BQ205</f>
        <v>0</v>
      </c>
      <c r="BZ205" s="114">
        <f t="shared" si="1252"/>
        <v>0</v>
      </c>
      <c r="CA205" s="113"/>
      <c r="CC205" s="113">
        <f t="shared" si="1354"/>
        <v>0</v>
      </c>
      <c r="CD205" s="114">
        <f t="shared" si="1354"/>
        <v>0</v>
      </c>
      <c r="CE205" s="113">
        <f t="shared" si="1354"/>
        <v>0</v>
      </c>
      <c r="CF205" s="114">
        <f t="shared" si="1253"/>
        <v>0</v>
      </c>
      <c r="CG205" s="114">
        <f t="shared" si="1254"/>
        <v>0</v>
      </c>
      <c r="CH205" s="114">
        <f t="shared" si="1255"/>
        <v>0</v>
      </c>
      <c r="CI205" s="113"/>
    </row>
    <row r="206" s="104" customFormat="1" customHeight="1" spans="1:87">
      <c r="A206" s="115" t="s">
        <v>340</v>
      </c>
      <c r="B206" s="116"/>
      <c r="C206" s="116"/>
      <c r="D206" s="116"/>
      <c r="E206" s="117"/>
      <c r="F206" s="118">
        <f>SUM(F194:F205)</f>
        <v>0</v>
      </c>
      <c r="G206" s="114"/>
      <c r="H206" s="124"/>
      <c r="I206" s="115" t="s">
        <v>340</v>
      </c>
      <c r="J206" s="116"/>
      <c r="K206" s="116"/>
      <c r="L206" s="116"/>
      <c r="M206" s="117"/>
      <c r="N206" s="118">
        <f>SUM(N194:N205)</f>
        <v>0</v>
      </c>
      <c r="O206" s="114"/>
      <c r="P206" s="124"/>
      <c r="Q206" s="115" t="s">
        <v>340</v>
      </c>
      <c r="R206" s="116"/>
      <c r="S206" s="116"/>
      <c r="T206" s="116"/>
      <c r="U206" s="117"/>
      <c r="V206" s="118">
        <f>SUM(V194:V205)</f>
        <v>0</v>
      </c>
      <c r="W206" s="114"/>
      <c r="X206" s="124"/>
      <c r="Y206" s="115" t="s">
        <v>340</v>
      </c>
      <c r="Z206" s="116"/>
      <c r="AA206" s="116"/>
      <c r="AB206" s="116"/>
      <c r="AC206" s="117"/>
      <c r="AD206" s="118">
        <f>SUM(AD194:AD205)</f>
        <v>0</v>
      </c>
      <c r="AE206" s="114"/>
      <c r="AF206" s="124"/>
      <c r="AG206" s="115" t="s">
        <v>340</v>
      </c>
      <c r="AH206" s="116"/>
      <c r="AI206" s="116"/>
      <c r="AJ206" s="116"/>
      <c r="AK206" s="117"/>
      <c r="AL206" s="118">
        <f>SUM(AL194:AL205)</f>
        <v>0</v>
      </c>
      <c r="AM206" s="114"/>
      <c r="AN206" s="124"/>
      <c r="AO206" s="115" t="s">
        <v>340</v>
      </c>
      <c r="AP206" s="116"/>
      <c r="AQ206" s="116"/>
      <c r="AR206" s="116"/>
      <c r="AS206" s="117"/>
      <c r="AT206" s="118">
        <f>SUM(AT194:AT205)</f>
        <v>0</v>
      </c>
      <c r="AU206" s="114"/>
      <c r="AV206" s="124"/>
      <c r="AW206" s="115" t="s">
        <v>340</v>
      </c>
      <c r="AX206" s="116"/>
      <c r="AY206" s="116"/>
      <c r="AZ206" s="116"/>
      <c r="BA206" s="117"/>
      <c r="BB206" s="118">
        <f>SUM(BB194:BB205)</f>
        <v>0</v>
      </c>
      <c r="BC206" s="114"/>
      <c r="BD206" s="124"/>
      <c r="BE206" s="115" t="s">
        <v>340</v>
      </c>
      <c r="BF206" s="116"/>
      <c r="BG206" s="116"/>
      <c r="BH206" s="116"/>
      <c r="BI206" s="117"/>
      <c r="BJ206" s="118">
        <f>SUM(BJ194:BJ205)</f>
        <v>0</v>
      </c>
      <c r="BK206" s="114"/>
      <c r="BL206" s="124"/>
      <c r="BM206" s="115" t="s">
        <v>340</v>
      </c>
      <c r="BN206" s="116"/>
      <c r="BO206" s="116"/>
      <c r="BP206" s="116"/>
      <c r="BQ206" s="117"/>
      <c r="BR206" s="118">
        <f>SUM(BR194:BR205)</f>
        <v>0</v>
      </c>
      <c r="BS206" s="114"/>
      <c r="BT206" s="124"/>
      <c r="BU206" s="115" t="s">
        <v>340</v>
      </c>
      <c r="BV206" s="116"/>
      <c r="BW206" s="116"/>
      <c r="BX206" s="116"/>
      <c r="BY206" s="117"/>
      <c r="BZ206" s="118">
        <f>SUM(BZ194:BZ205)</f>
        <v>0</v>
      </c>
      <c r="CA206" s="114"/>
      <c r="CB206" s="124"/>
      <c r="CC206" s="115" t="s">
        <v>340</v>
      </c>
      <c r="CD206" s="116"/>
      <c r="CE206" s="116"/>
      <c r="CF206" s="116"/>
      <c r="CG206" s="117"/>
      <c r="CH206" s="118">
        <f>SUM(CH194:CH205)</f>
        <v>0</v>
      </c>
      <c r="CI206" s="114"/>
    </row>
    <row r="207" s="104" customFormat="1" customHeight="1" spans="1:87">
      <c r="A207" s="119" t="s">
        <v>341</v>
      </c>
      <c r="B207" s="119"/>
      <c r="C207" s="120"/>
      <c r="D207" s="119"/>
      <c r="E207" s="119"/>
      <c r="F207" s="119"/>
      <c r="G207" s="119"/>
      <c r="H207" s="124"/>
      <c r="I207" s="119" t="s">
        <v>341</v>
      </c>
      <c r="J207" s="119"/>
      <c r="K207" s="120"/>
      <c r="L207" s="119"/>
      <c r="M207" s="119"/>
      <c r="N207" s="119"/>
      <c r="O207" s="119"/>
      <c r="P207" s="124"/>
      <c r="Q207" s="119" t="s">
        <v>341</v>
      </c>
      <c r="R207" s="119"/>
      <c r="S207" s="120"/>
      <c r="T207" s="119"/>
      <c r="U207" s="119"/>
      <c r="V207" s="119"/>
      <c r="W207" s="119"/>
      <c r="X207" s="124"/>
      <c r="Y207" s="119" t="s">
        <v>341</v>
      </c>
      <c r="Z207" s="119"/>
      <c r="AA207" s="120"/>
      <c r="AB207" s="119"/>
      <c r="AC207" s="119"/>
      <c r="AD207" s="119"/>
      <c r="AE207" s="119"/>
      <c r="AF207" s="124"/>
      <c r="AG207" s="119" t="s">
        <v>341</v>
      </c>
      <c r="AH207" s="119"/>
      <c r="AI207" s="120"/>
      <c r="AJ207" s="119"/>
      <c r="AK207" s="119"/>
      <c r="AL207" s="119"/>
      <c r="AM207" s="119"/>
      <c r="AN207" s="124"/>
      <c r="AO207" s="119" t="s">
        <v>341</v>
      </c>
      <c r="AP207" s="119"/>
      <c r="AQ207" s="120"/>
      <c r="AR207" s="119"/>
      <c r="AS207" s="119"/>
      <c r="AT207" s="119"/>
      <c r="AU207" s="119"/>
      <c r="AV207" s="124"/>
      <c r="AW207" s="119" t="s">
        <v>341</v>
      </c>
      <c r="AX207" s="119"/>
      <c r="AY207" s="120"/>
      <c r="AZ207" s="119"/>
      <c r="BA207" s="119"/>
      <c r="BB207" s="119"/>
      <c r="BC207" s="119"/>
      <c r="BD207" s="124"/>
      <c r="BE207" s="119" t="s">
        <v>341</v>
      </c>
      <c r="BF207" s="119"/>
      <c r="BG207" s="120"/>
      <c r="BH207" s="119"/>
      <c r="BI207" s="119"/>
      <c r="BJ207" s="119"/>
      <c r="BK207" s="119"/>
      <c r="BL207" s="124"/>
      <c r="BM207" s="119" t="s">
        <v>341</v>
      </c>
      <c r="BN207" s="119"/>
      <c r="BO207" s="120"/>
      <c r="BP207" s="119"/>
      <c r="BQ207" s="119"/>
      <c r="BR207" s="119"/>
      <c r="BS207" s="119"/>
      <c r="BT207" s="124"/>
      <c r="BU207" s="119" t="s">
        <v>341</v>
      </c>
      <c r="BV207" s="119"/>
      <c r="BW207" s="120"/>
      <c r="BX207" s="119"/>
      <c r="BY207" s="119"/>
      <c r="BZ207" s="119"/>
      <c r="CA207" s="119"/>
      <c r="CB207" s="124"/>
      <c r="CC207" s="119" t="s">
        <v>341</v>
      </c>
      <c r="CD207" s="119"/>
      <c r="CE207" s="120"/>
      <c r="CF207" s="119"/>
      <c r="CG207" s="119"/>
      <c r="CH207" s="119"/>
      <c r="CI207" s="119"/>
    </row>
    <row r="210" s="104" customFormat="1" customHeight="1" spans="1:87">
      <c r="A210" s="105"/>
      <c r="B210" s="106"/>
      <c r="C210" s="107" t="s">
        <v>330</v>
      </c>
      <c r="D210" s="107"/>
      <c r="E210" s="107"/>
      <c r="F210" s="105"/>
      <c r="G210" s="105"/>
      <c r="H210" s="124" t="str">
        <f>H191</f>
        <v>RD01</v>
      </c>
      <c r="I210" s="105"/>
      <c r="J210" s="106"/>
      <c r="K210" s="107" t="s">
        <v>330</v>
      </c>
      <c r="L210" s="107"/>
      <c r="M210" s="107"/>
      <c r="N210" s="105"/>
      <c r="O210" s="105"/>
      <c r="P210" s="124" t="str">
        <f>P191</f>
        <v>RD02</v>
      </c>
      <c r="Q210" s="105"/>
      <c r="R210" s="106"/>
      <c r="S210" s="107" t="s">
        <v>330</v>
      </c>
      <c r="T210" s="107"/>
      <c r="U210" s="107"/>
      <c r="V210" s="105"/>
      <c r="W210" s="105"/>
      <c r="X210" s="124" t="str">
        <f>X191</f>
        <v>RD03</v>
      </c>
      <c r="Y210" s="105"/>
      <c r="Z210" s="106"/>
      <c r="AA210" s="107" t="s">
        <v>330</v>
      </c>
      <c r="AB210" s="107"/>
      <c r="AC210" s="107"/>
      <c r="AD210" s="105"/>
      <c r="AE210" s="105"/>
      <c r="AF210" s="124" t="str">
        <f>AF191</f>
        <v>RD04</v>
      </c>
      <c r="AG210" s="105"/>
      <c r="AH210" s="106"/>
      <c r="AI210" s="107" t="s">
        <v>330</v>
      </c>
      <c r="AJ210" s="107"/>
      <c r="AK210" s="107"/>
      <c r="AL210" s="105"/>
      <c r="AM210" s="105"/>
      <c r="AN210" s="124" t="str">
        <f>AN191</f>
        <v>RD05</v>
      </c>
      <c r="AO210" s="105"/>
      <c r="AP210" s="106"/>
      <c r="AQ210" s="107" t="s">
        <v>330</v>
      </c>
      <c r="AR210" s="107"/>
      <c r="AS210" s="107"/>
      <c r="AT210" s="105"/>
      <c r="AU210" s="105"/>
      <c r="AV210" s="124" t="str">
        <f>AV191</f>
        <v>RD06</v>
      </c>
      <c r="AW210" s="105"/>
      <c r="AX210" s="106"/>
      <c r="AY210" s="107" t="s">
        <v>330</v>
      </c>
      <c r="AZ210" s="107"/>
      <c r="BA210" s="107"/>
      <c r="BB210" s="105"/>
      <c r="BC210" s="105"/>
      <c r="BD210" s="124" t="str">
        <f>BD191</f>
        <v>RD07</v>
      </c>
      <c r="BE210" s="105"/>
      <c r="BF210" s="106"/>
      <c r="BG210" s="107" t="s">
        <v>330</v>
      </c>
      <c r="BH210" s="107"/>
      <c r="BI210" s="107"/>
      <c r="BJ210" s="105"/>
      <c r="BK210" s="105"/>
      <c r="BL210" s="124" t="str">
        <f>BL191</f>
        <v>RD08</v>
      </c>
      <c r="BM210" s="105"/>
      <c r="BN210" s="106"/>
      <c r="BO210" s="107" t="s">
        <v>330</v>
      </c>
      <c r="BP210" s="107"/>
      <c r="BQ210" s="107"/>
      <c r="BR210" s="105"/>
      <c r="BS210" s="105"/>
      <c r="BT210" s="124" t="str">
        <f>BT191</f>
        <v>RD09</v>
      </c>
      <c r="BU210" s="105"/>
      <c r="BV210" s="106"/>
      <c r="BW210" s="107" t="s">
        <v>330</v>
      </c>
      <c r="BX210" s="107"/>
      <c r="BY210" s="107"/>
      <c r="BZ210" s="105"/>
      <c r="CA210" s="105"/>
      <c r="CB210" s="124" t="str">
        <f>CB191</f>
        <v>RD10</v>
      </c>
      <c r="CC210" s="105"/>
      <c r="CD210" s="106"/>
      <c r="CE210" s="107" t="s">
        <v>330</v>
      </c>
      <c r="CF210" s="107"/>
      <c r="CG210" s="107"/>
      <c r="CH210" s="105"/>
      <c r="CI210" s="105"/>
    </row>
    <row r="211" s="122" customFormat="1" customHeight="1" spans="1:87">
      <c r="A211" s="108" t="s">
        <v>331</v>
      </c>
      <c r="B211" s="109"/>
      <c r="C211" s="110">
        <v>46022</v>
      </c>
      <c r="D211" s="110"/>
      <c r="E211" s="110"/>
      <c r="F211" s="111"/>
      <c r="G211" s="112"/>
      <c r="H211" s="125"/>
      <c r="I211" s="108" t="s">
        <v>331</v>
      </c>
      <c r="J211" s="109"/>
      <c r="K211" s="110">
        <v>46022</v>
      </c>
      <c r="L211" s="110"/>
      <c r="M211" s="110"/>
      <c r="N211" s="111" t="s">
        <v>332</v>
      </c>
      <c r="O211" s="112" t="str">
        <f>立项!$A$3</f>
        <v>RD01</v>
      </c>
      <c r="P211" s="125"/>
      <c r="Q211" s="108" t="s">
        <v>331</v>
      </c>
      <c r="R211" s="109"/>
      <c r="S211" s="110">
        <v>46022</v>
      </c>
      <c r="T211" s="110"/>
      <c r="U211" s="110"/>
      <c r="V211" s="111" t="s">
        <v>332</v>
      </c>
      <c r="W211" s="112" t="str">
        <f>立项!$A$4</f>
        <v>RD02</v>
      </c>
      <c r="X211" s="125"/>
      <c r="Y211" s="108" t="s">
        <v>331</v>
      </c>
      <c r="Z211" s="109"/>
      <c r="AA211" s="110">
        <v>46022</v>
      </c>
      <c r="AB211" s="110"/>
      <c r="AC211" s="110"/>
      <c r="AD211" s="111" t="s">
        <v>332</v>
      </c>
      <c r="AE211" s="112" t="str">
        <f>立项!$A$5</f>
        <v>RD03</v>
      </c>
      <c r="AF211" s="125"/>
      <c r="AG211" s="108" t="s">
        <v>331</v>
      </c>
      <c r="AH211" s="109"/>
      <c r="AI211" s="110">
        <v>46022</v>
      </c>
      <c r="AJ211" s="110"/>
      <c r="AK211" s="110"/>
      <c r="AL211" s="111" t="s">
        <v>332</v>
      </c>
      <c r="AM211" s="112" t="str">
        <f>立项!$A$6</f>
        <v>RD04</v>
      </c>
      <c r="AN211" s="125"/>
      <c r="AO211" s="108" t="s">
        <v>331</v>
      </c>
      <c r="AP211" s="109"/>
      <c r="AQ211" s="110">
        <v>46022</v>
      </c>
      <c r="AR211" s="110"/>
      <c r="AS211" s="110"/>
      <c r="AT211" s="111" t="s">
        <v>332</v>
      </c>
      <c r="AU211" s="112" t="str">
        <f>立项!$A$7</f>
        <v>RD05</v>
      </c>
      <c r="AV211" s="125"/>
      <c r="AW211" s="108" t="s">
        <v>331</v>
      </c>
      <c r="AX211" s="109"/>
      <c r="AY211" s="110">
        <v>46022</v>
      </c>
      <c r="AZ211" s="110"/>
      <c r="BA211" s="110"/>
      <c r="BB211" s="111" t="s">
        <v>332</v>
      </c>
      <c r="BC211" s="112" t="str">
        <f>立项!$A$8</f>
        <v>RD06</v>
      </c>
      <c r="BD211" s="125"/>
      <c r="BE211" s="108" t="s">
        <v>331</v>
      </c>
      <c r="BF211" s="109"/>
      <c r="BG211" s="110">
        <v>46022</v>
      </c>
      <c r="BH211" s="110"/>
      <c r="BI211" s="110"/>
      <c r="BJ211" s="111" t="s">
        <v>332</v>
      </c>
      <c r="BK211" s="112" t="str">
        <f>立项!$A$9</f>
        <v>RD07</v>
      </c>
      <c r="BL211" s="125"/>
      <c r="BM211" s="108" t="s">
        <v>331</v>
      </c>
      <c r="BN211" s="109"/>
      <c r="BO211" s="110">
        <v>46022</v>
      </c>
      <c r="BP211" s="110"/>
      <c r="BQ211" s="110"/>
      <c r="BR211" s="111" t="s">
        <v>332</v>
      </c>
      <c r="BS211" s="112" t="str">
        <f>立项!$A$10</f>
        <v>RD08</v>
      </c>
      <c r="BT211" s="125"/>
      <c r="BU211" s="108" t="s">
        <v>331</v>
      </c>
      <c r="BV211" s="109"/>
      <c r="BW211" s="110">
        <v>46022</v>
      </c>
      <c r="BX211" s="110"/>
      <c r="BY211" s="110"/>
      <c r="BZ211" s="111" t="s">
        <v>332</v>
      </c>
      <c r="CA211" s="112" t="str">
        <f>立项!$A$11</f>
        <v>RD09</v>
      </c>
      <c r="CB211" s="125"/>
      <c r="CC211" s="108" t="s">
        <v>331</v>
      </c>
      <c r="CD211" s="109"/>
      <c r="CE211" s="110">
        <v>46022</v>
      </c>
      <c r="CF211" s="110"/>
      <c r="CG211" s="110"/>
      <c r="CH211" s="111" t="s">
        <v>332</v>
      </c>
      <c r="CI211" s="112" t="str">
        <f>立项!$A$12</f>
        <v>RD10</v>
      </c>
    </row>
    <row r="212" s="104" customFormat="1" customHeight="1" spans="1:87">
      <c r="A212" s="113" t="s">
        <v>333</v>
      </c>
      <c r="B212" s="113" t="s">
        <v>334</v>
      </c>
      <c r="C212" s="113" t="s">
        <v>335</v>
      </c>
      <c r="D212" s="113" t="s">
        <v>336</v>
      </c>
      <c r="E212" s="113" t="s">
        <v>337</v>
      </c>
      <c r="F212" s="113" t="s">
        <v>338</v>
      </c>
      <c r="G212" s="113" t="s">
        <v>339</v>
      </c>
      <c r="H212" s="124"/>
      <c r="I212" s="113" t="s">
        <v>333</v>
      </c>
      <c r="J212" s="113" t="s">
        <v>334</v>
      </c>
      <c r="K212" s="113" t="s">
        <v>335</v>
      </c>
      <c r="L212" s="113" t="s">
        <v>336</v>
      </c>
      <c r="M212" s="113" t="s">
        <v>337</v>
      </c>
      <c r="N212" s="113" t="s">
        <v>338</v>
      </c>
      <c r="O212" s="113" t="s">
        <v>339</v>
      </c>
      <c r="P212" s="124"/>
      <c r="Q212" s="113" t="s">
        <v>333</v>
      </c>
      <c r="R212" s="113" t="s">
        <v>334</v>
      </c>
      <c r="S212" s="113" t="s">
        <v>335</v>
      </c>
      <c r="T212" s="113" t="s">
        <v>336</v>
      </c>
      <c r="U212" s="113" t="s">
        <v>337</v>
      </c>
      <c r="V212" s="113" t="s">
        <v>338</v>
      </c>
      <c r="W212" s="113" t="s">
        <v>339</v>
      </c>
      <c r="X212" s="124"/>
      <c r="Y212" s="113" t="s">
        <v>333</v>
      </c>
      <c r="Z212" s="113" t="s">
        <v>334</v>
      </c>
      <c r="AA212" s="113" t="s">
        <v>335</v>
      </c>
      <c r="AB212" s="113" t="s">
        <v>336</v>
      </c>
      <c r="AC212" s="113" t="s">
        <v>337</v>
      </c>
      <c r="AD212" s="113" t="s">
        <v>338</v>
      </c>
      <c r="AE212" s="113" t="s">
        <v>339</v>
      </c>
      <c r="AF212" s="124"/>
      <c r="AG212" s="113" t="s">
        <v>333</v>
      </c>
      <c r="AH212" s="113" t="s">
        <v>334</v>
      </c>
      <c r="AI212" s="113" t="s">
        <v>335</v>
      </c>
      <c r="AJ212" s="113" t="s">
        <v>336</v>
      </c>
      <c r="AK212" s="113" t="s">
        <v>337</v>
      </c>
      <c r="AL212" s="113" t="s">
        <v>338</v>
      </c>
      <c r="AM212" s="113" t="s">
        <v>339</v>
      </c>
      <c r="AN212" s="124"/>
      <c r="AO212" s="113" t="s">
        <v>333</v>
      </c>
      <c r="AP212" s="113" t="s">
        <v>334</v>
      </c>
      <c r="AQ212" s="113" t="s">
        <v>335</v>
      </c>
      <c r="AR212" s="113" t="s">
        <v>336</v>
      </c>
      <c r="AS212" s="113" t="s">
        <v>337</v>
      </c>
      <c r="AT212" s="113" t="s">
        <v>338</v>
      </c>
      <c r="AU212" s="113" t="s">
        <v>339</v>
      </c>
      <c r="AV212" s="124"/>
      <c r="AW212" s="113" t="s">
        <v>333</v>
      </c>
      <c r="AX212" s="113" t="s">
        <v>334</v>
      </c>
      <c r="AY212" s="113" t="s">
        <v>335</v>
      </c>
      <c r="AZ212" s="113" t="s">
        <v>336</v>
      </c>
      <c r="BA212" s="113" t="s">
        <v>337</v>
      </c>
      <c r="BB212" s="113" t="s">
        <v>338</v>
      </c>
      <c r="BC212" s="113" t="s">
        <v>339</v>
      </c>
      <c r="BD212" s="124"/>
      <c r="BE212" s="113" t="s">
        <v>333</v>
      </c>
      <c r="BF212" s="113" t="s">
        <v>334</v>
      </c>
      <c r="BG212" s="113" t="s">
        <v>335</v>
      </c>
      <c r="BH212" s="113" t="s">
        <v>336</v>
      </c>
      <c r="BI212" s="113" t="s">
        <v>337</v>
      </c>
      <c r="BJ212" s="113" t="s">
        <v>338</v>
      </c>
      <c r="BK212" s="113" t="s">
        <v>339</v>
      </c>
      <c r="BL212" s="124"/>
      <c r="BM212" s="113" t="s">
        <v>333</v>
      </c>
      <c r="BN212" s="113" t="s">
        <v>334</v>
      </c>
      <c r="BO212" s="113" t="s">
        <v>335</v>
      </c>
      <c r="BP212" s="113" t="s">
        <v>336</v>
      </c>
      <c r="BQ212" s="113" t="s">
        <v>337</v>
      </c>
      <c r="BR212" s="113" t="s">
        <v>338</v>
      </c>
      <c r="BS212" s="113" t="s">
        <v>339</v>
      </c>
      <c r="BT212" s="124"/>
      <c r="BU212" s="113" t="s">
        <v>333</v>
      </c>
      <c r="BV212" s="113" t="s">
        <v>334</v>
      </c>
      <c r="BW212" s="113" t="s">
        <v>335</v>
      </c>
      <c r="BX212" s="113" t="s">
        <v>336</v>
      </c>
      <c r="BY212" s="113" t="s">
        <v>337</v>
      </c>
      <c r="BZ212" s="113" t="s">
        <v>338</v>
      </c>
      <c r="CA212" s="113" t="s">
        <v>339</v>
      </c>
      <c r="CB212" s="124"/>
      <c r="CC212" s="113" t="s">
        <v>333</v>
      </c>
      <c r="CD212" s="113" t="s">
        <v>334</v>
      </c>
      <c r="CE212" s="113" t="s">
        <v>335</v>
      </c>
      <c r="CF212" s="113" t="s">
        <v>336</v>
      </c>
      <c r="CG212" s="113" t="s">
        <v>337</v>
      </c>
      <c r="CH212" s="113" t="s">
        <v>338</v>
      </c>
      <c r="CI212" s="113" t="s">
        <v>339</v>
      </c>
    </row>
    <row r="213" s="104" customFormat="1" customHeight="1" spans="1:87">
      <c r="A213" s="113"/>
      <c r="B213" s="114"/>
      <c r="C213" s="113"/>
      <c r="D213" s="114"/>
      <c r="E213" s="114"/>
      <c r="F213" s="114">
        <f t="shared" ref="F213:F224" si="1355">ROUND(D213*E213,2)</f>
        <v>0</v>
      </c>
      <c r="G213" s="113"/>
      <c r="H213" s="124"/>
      <c r="I213" s="113">
        <f t="shared" ref="I213:I224" si="1356">A213</f>
        <v>0</v>
      </c>
      <c r="J213" s="114">
        <f t="shared" ref="J213:J224" si="1357">B213</f>
        <v>0</v>
      </c>
      <c r="K213" s="113">
        <f>C213</f>
        <v>0</v>
      </c>
      <c r="L213" s="114"/>
      <c r="M213" s="114">
        <f t="shared" ref="M213:S213" si="1358">E213</f>
        <v>0</v>
      </c>
      <c r="N213" s="114">
        <f>ROUND(L213*M213,2)</f>
        <v>0</v>
      </c>
      <c r="O213" s="113"/>
      <c r="P213" s="124"/>
      <c r="Q213" s="113">
        <f t="shared" si="1358"/>
        <v>0</v>
      </c>
      <c r="R213" s="114">
        <f t="shared" si="1358"/>
        <v>0</v>
      </c>
      <c r="S213" s="113">
        <f t="shared" si="1358"/>
        <v>0</v>
      </c>
      <c r="T213" s="114"/>
      <c r="U213" s="114">
        <f t="shared" ref="U213:AA213" si="1359">M213</f>
        <v>0</v>
      </c>
      <c r="V213" s="114">
        <f>ROUND(T213*U213,2)</f>
        <v>0</v>
      </c>
      <c r="W213" s="113"/>
      <c r="X213" s="124"/>
      <c r="Y213" s="113">
        <f t="shared" si="1359"/>
        <v>0</v>
      </c>
      <c r="Z213" s="114">
        <f t="shared" si="1359"/>
        <v>0</v>
      </c>
      <c r="AA213" s="113">
        <f t="shared" si="1359"/>
        <v>0</v>
      </c>
      <c r="AB213" s="114"/>
      <c r="AC213" s="114">
        <f t="shared" ref="AC213:AI213" si="1360">U213</f>
        <v>0</v>
      </c>
      <c r="AD213" s="114">
        <f>ROUND(AB213*AC213,2)</f>
        <v>0</v>
      </c>
      <c r="AE213" s="113"/>
      <c r="AF213" s="124"/>
      <c r="AG213" s="113">
        <f t="shared" si="1360"/>
        <v>0</v>
      </c>
      <c r="AH213" s="114">
        <f t="shared" si="1360"/>
        <v>0</v>
      </c>
      <c r="AI213" s="113">
        <f t="shared" si="1360"/>
        <v>0</v>
      </c>
      <c r="AJ213" s="114"/>
      <c r="AK213" s="114">
        <f t="shared" ref="AK213:AQ213" si="1361">AC213</f>
        <v>0</v>
      </c>
      <c r="AL213" s="114">
        <f>ROUND(AJ213*AK213,2)</f>
        <v>0</v>
      </c>
      <c r="AM213" s="113"/>
      <c r="AN213" s="124"/>
      <c r="AO213" s="113">
        <f t="shared" si="1361"/>
        <v>0</v>
      </c>
      <c r="AP213" s="114">
        <f t="shared" si="1361"/>
        <v>0</v>
      </c>
      <c r="AQ213" s="113">
        <f t="shared" si="1361"/>
        <v>0</v>
      </c>
      <c r="AR213" s="114"/>
      <c r="AS213" s="114">
        <f t="shared" ref="AS213:AY213" si="1362">AK213</f>
        <v>0</v>
      </c>
      <c r="AT213" s="114">
        <f>ROUND(AR213*AS213,2)</f>
        <v>0</v>
      </c>
      <c r="AU213" s="113"/>
      <c r="AV213" s="124"/>
      <c r="AW213" s="113">
        <f t="shared" si="1362"/>
        <v>0</v>
      </c>
      <c r="AX213" s="114">
        <f t="shared" si="1362"/>
        <v>0</v>
      </c>
      <c r="AY213" s="113">
        <f t="shared" si="1362"/>
        <v>0</v>
      </c>
      <c r="AZ213" s="114"/>
      <c r="BA213" s="114">
        <f t="shared" ref="BA213:BG213" si="1363">AS213</f>
        <v>0</v>
      </c>
      <c r="BB213" s="114">
        <f>ROUND(AZ213*BA213,2)</f>
        <v>0</v>
      </c>
      <c r="BC213" s="113"/>
      <c r="BD213" s="124"/>
      <c r="BE213" s="113">
        <f t="shared" si="1363"/>
        <v>0</v>
      </c>
      <c r="BF213" s="114">
        <f t="shared" si="1363"/>
        <v>0</v>
      </c>
      <c r="BG213" s="113">
        <f t="shared" si="1363"/>
        <v>0</v>
      </c>
      <c r="BH213" s="114"/>
      <c r="BI213" s="114">
        <f t="shared" ref="BI213:BO213" si="1364">BA213</f>
        <v>0</v>
      </c>
      <c r="BJ213" s="114">
        <f>ROUND(BH213*BI213,2)</f>
        <v>0</v>
      </c>
      <c r="BK213" s="113"/>
      <c r="BL213" s="124"/>
      <c r="BM213" s="113">
        <f t="shared" si="1364"/>
        <v>0</v>
      </c>
      <c r="BN213" s="114">
        <f t="shared" si="1364"/>
        <v>0</v>
      </c>
      <c r="BO213" s="113">
        <f t="shared" si="1364"/>
        <v>0</v>
      </c>
      <c r="BP213" s="114"/>
      <c r="BQ213" s="114">
        <f t="shared" ref="BQ213:BW213" si="1365">BI213</f>
        <v>0</v>
      </c>
      <c r="BR213" s="114">
        <f>ROUND(BP213*BQ213,2)</f>
        <v>0</v>
      </c>
      <c r="BS213" s="113"/>
      <c r="BT213" s="124"/>
      <c r="BU213" s="113">
        <f t="shared" si="1365"/>
        <v>0</v>
      </c>
      <c r="BV213" s="114">
        <f t="shared" si="1365"/>
        <v>0</v>
      </c>
      <c r="BW213" s="113">
        <f t="shared" si="1365"/>
        <v>0</v>
      </c>
      <c r="BX213" s="114"/>
      <c r="BY213" s="114">
        <f t="shared" ref="BY213:CE213" si="1366">BQ213</f>
        <v>0</v>
      </c>
      <c r="BZ213" s="114">
        <f>ROUND(BX213*BY213,2)</f>
        <v>0</v>
      </c>
      <c r="CA213" s="113"/>
      <c r="CB213" s="124"/>
      <c r="CC213" s="113">
        <f t="shared" si="1366"/>
        <v>0</v>
      </c>
      <c r="CD213" s="114">
        <f t="shared" si="1366"/>
        <v>0</v>
      </c>
      <c r="CE213" s="113">
        <f t="shared" si="1366"/>
        <v>0</v>
      </c>
      <c r="CF213" s="114">
        <f>D213-L213-T213-AB213-AJ213-AR213-AZ213-BH213-BP213-BX213</f>
        <v>0</v>
      </c>
      <c r="CG213" s="114">
        <f>BY213</f>
        <v>0</v>
      </c>
      <c r="CH213" s="114">
        <f>F213-N213-V213-AD213-AL213-AT213-BB213-BJ213-BR213-BZ213</f>
        <v>0</v>
      </c>
      <c r="CI213" s="113"/>
    </row>
    <row r="214" s="104" customFormat="1" customHeight="1" spans="1:87">
      <c r="A214" s="113"/>
      <c r="B214" s="114"/>
      <c r="C214" s="113"/>
      <c r="D214" s="114"/>
      <c r="E214" s="114"/>
      <c r="F214" s="114">
        <f t="shared" si="1355"/>
        <v>0</v>
      </c>
      <c r="G214" s="113"/>
      <c r="H214" s="124"/>
      <c r="I214" s="113">
        <f t="shared" si="1356"/>
        <v>0</v>
      </c>
      <c r="J214" s="114">
        <f t="shared" si="1357"/>
        <v>0</v>
      </c>
      <c r="K214" s="113">
        <f t="shared" ref="K214:K224" si="1367">C214</f>
        <v>0</v>
      </c>
      <c r="L214" s="114"/>
      <c r="M214" s="114">
        <f t="shared" ref="M214:M224" si="1368">E214</f>
        <v>0</v>
      </c>
      <c r="N214" s="114">
        <f t="shared" ref="N214:N224" si="1369">ROUND(L214*M214,2)</f>
        <v>0</v>
      </c>
      <c r="O214" s="113"/>
      <c r="P214" s="124"/>
      <c r="Q214" s="113">
        <f t="shared" ref="Q214:Q224" si="1370">I214</f>
        <v>0</v>
      </c>
      <c r="R214" s="114">
        <f t="shared" ref="R214:R224" si="1371">J214</f>
        <v>0</v>
      </c>
      <c r="S214" s="113">
        <f t="shared" ref="S214:S224" si="1372">K214</f>
        <v>0</v>
      </c>
      <c r="T214" s="114"/>
      <c r="U214" s="114">
        <f t="shared" ref="U214:U224" si="1373">M214</f>
        <v>0</v>
      </c>
      <c r="V214" s="114">
        <f t="shared" ref="V214:V224" si="1374">ROUND(T214*U214,2)</f>
        <v>0</v>
      </c>
      <c r="W214" s="113"/>
      <c r="X214" s="124"/>
      <c r="Y214" s="113">
        <f t="shared" ref="Y214:Y224" si="1375">Q214</f>
        <v>0</v>
      </c>
      <c r="Z214" s="114">
        <f t="shared" ref="Z214:Z224" si="1376">R214</f>
        <v>0</v>
      </c>
      <c r="AA214" s="113">
        <f t="shared" ref="AA214:AA224" si="1377">S214</f>
        <v>0</v>
      </c>
      <c r="AB214" s="114"/>
      <c r="AC214" s="114">
        <f t="shared" ref="AC214:AC224" si="1378">U214</f>
        <v>0</v>
      </c>
      <c r="AD214" s="114">
        <f t="shared" ref="AD214:AD224" si="1379">ROUND(AB214*AC214,2)</f>
        <v>0</v>
      </c>
      <c r="AE214" s="113"/>
      <c r="AF214" s="124"/>
      <c r="AG214" s="113">
        <f t="shared" ref="AG214:AG224" si="1380">Y214</f>
        <v>0</v>
      </c>
      <c r="AH214" s="114">
        <f t="shared" ref="AH214:AH224" si="1381">Z214</f>
        <v>0</v>
      </c>
      <c r="AI214" s="113">
        <f t="shared" ref="AI214:AI224" si="1382">AA214</f>
        <v>0</v>
      </c>
      <c r="AJ214" s="114"/>
      <c r="AK214" s="114">
        <f t="shared" ref="AK214:AK224" si="1383">AC214</f>
        <v>0</v>
      </c>
      <c r="AL214" s="114">
        <f t="shared" ref="AL214:AL224" si="1384">ROUND(AJ214*AK214,2)</f>
        <v>0</v>
      </c>
      <c r="AM214" s="113"/>
      <c r="AN214" s="124"/>
      <c r="AO214" s="113">
        <f t="shared" ref="AO214:AO224" si="1385">AG214</f>
        <v>0</v>
      </c>
      <c r="AP214" s="114">
        <f t="shared" ref="AP214:AP224" si="1386">AH214</f>
        <v>0</v>
      </c>
      <c r="AQ214" s="113">
        <f t="shared" ref="AQ214:AQ224" si="1387">AI214</f>
        <v>0</v>
      </c>
      <c r="AR214" s="114"/>
      <c r="AS214" s="114">
        <f t="shared" ref="AS214:AS224" si="1388">AK214</f>
        <v>0</v>
      </c>
      <c r="AT214" s="114">
        <f t="shared" ref="AT214:AT224" si="1389">ROUND(AR214*AS214,2)</f>
        <v>0</v>
      </c>
      <c r="AU214" s="113"/>
      <c r="AV214" s="124"/>
      <c r="AW214" s="113">
        <f t="shared" ref="AW214:AW224" si="1390">AO214</f>
        <v>0</v>
      </c>
      <c r="AX214" s="114">
        <f t="shared" ref="AX214:AX224" si="1391">AP214</f>
        <v>0</v>
      </c>
      <c r="AY214" s="113">
        <f t="shared" ref="AY214:AY224" si="1392">AQ214</f>
        <v>0</v>
      </c>
      <c r="AZ214" s="114"/>
      <c r="BA214" s="114">
        <f t="shared" ref="BA214:BA224" si="1393">AS214</f>
        <v>0</v>
      </c>
      <c r="BB214" s="114">
        <f t="shared" ref="BB214:BB224" si="1394">ROUND(AZ214*BA214,2)</f>
        <v>0</v>
      </c>
      <c r="BC214" s="113"/>
      <c r="BD214" s="124"/>
      <c r="BE214" s="113">
        <f t="shared" ref="BE214:BE224" si="1395">AW214</f>
        <v>0</v>
      </c>
      <c r="BF214" s="114">
        <f t="shared" ref="BF214:BF224" si="1396">AX214</f>
        <v>0</v>
      </c>
      <c r="BG214" s="113">
        <f t="shared" ref="BG214:BG224" si="1397">AY214</f>
        <v>0</v>
      </c>
      <c r="BH214" s="114"/>
      <c r="BI214" s="114">
        <f t="shared" ref="BI214:BI224" si="1398">BA214</f>
        <v>0</v>
      </c>
      <c r="BJ214" s="114">
        <f t="shared" ref="BJ214:BJ224" si="1399">ROUND(BH214*BI214,2)</f>
        <v>0</v>
      </c>
      <c r="BK214" s="113"/>
      <c r="BL214" s="124"/>
      <c r="BM214" s="113">
        <f t="shared" ref="BM214:BM224" si="1400">BE214</f>
        <v>0</v>
      </c>
      <c r="BN214" s="114">
        <f t="shared" ref="BN214:BN224" si="1401">BF214</f>
        <v>0</v>
      </c>
      <c r="BO214" s="113">
        <f t="shared" ref="BO214:BO224" si="1402">BG214</f>
        <v>0</v>
      </c>
      <c r="BP214" s="114"/>
      <c r="BQ214" s="114">
        <f t="shared" ref="BQ214:BQ224" si="1403">BI214</f>
        <v>0</v>
      </c>
      <c r="BR214" s="114">
        <f t="shared" ref="BR214:BR224" si="1404">ROUND(BP214*BQ214,2)</f>
        <v>0</v>
      </c>
      <c r="BS214" s="113"/>
      <c r="BT214" s="124"/>
      <c r="BU214" s="113">
        <f t="shared" ref="BU214:BU224" si="1405">BM214</f>
        <v>0</v>
      </c>
      <c r="BV214" s="114">
        <f t="shared" ref="BV214:BV224" si="1406">BN214</f>
        <v>0</v>
      </c>
      <c r="BW214" s="113">
        <f t="shared" ref="BW214:BW224" si="1407">BO214</f>
        <v>0</v>
      </c>
      <c r="BX214" s="114"/>
      <c r="BY214" s="114">
        <f t="shared" ref="BY214:BY224" si="1408">BQ214</f>
        <v>0</v>
      </c>
      <c r="BZ214" s="114">
        <f t="shared" ref="BZ214:BZ224" si="1409">ROUND(BX214*BY214,2)</f>
        <v>0</v>
      </c>
      <c r="CA214" s="113"/>
      <c r="CB214" s="124"/>
      <c r="CC214" s="113">
        <f t="shared" ref="CC214:CC224" si="1410">BU214</f>
        <v>0</v>
      </c>
      <c r="CD214" s="114">
        <f t="shared" ref="CD214:CD224" si="1411">BV214</f>
        <v>0</v>
      </c>
      <c r="CE214" s="113">
        <f t="shared" ref="CE214:CE224" si="1412">BW214</f>
        <v>0</v>
      </c>
      <c r="CF214" s="114">
        <f t="shared" ref="CF214:CF224" si="1413">D214-L214-T214-AB214-AJ214-AR214-AZ214-BH214-BP214-BX214</f>
        <v>0</v>
      </c>
      <c r="CG214" s="114">
        <f t="shared" ref="CG214:CG224" si="1414">BY214</f>
        <v>0</v>
      </c>
      <c r="CH214" s="114">
        <f t="shared" ref="CH214:CH224" si="1415">F214-N214-V214-AD214-AL214-AT214-BB214-BJ214-BR214-BZ214</f>
        <v>0</v>
      </c>
      <c r="CI214" s="113"/>
    </row>
    <row r="215" s="104" customFormat="1" customHeight="1" spans="1:87">
      <c r="A215" s="113"/>
      <c r="B215" s="114"/>
      <c r="C215" s="113"/>
      <c r="D215" s="114"/>
      <c r="E215" s="114"/>
      <c r="F215" s="114">
        <f t="shared" si="1355"/>
        <v>0</v>
      </c>
      <c r="G215" s="113"/>
      <c r="H215" s="124"/>
      <c r="I215" s="113">
        <f t="shared" si="1356"/>
        <v>0</v>
      </c>
      <c r="J215" s="114">
        <f t="shared" si="1357"/>
        <v>0</v>
      </c>
      <c r="K215" s="113">
        <f t="shared" si="1367"/>
        <v>0</v>
      </c>
      <c r="L215" s="114"/>
      <c r="M215" s="114">
        <f t="shared" si="1368"/>
        <v>0</v>
      </c>
      <c r="N215" s="114">
        <f t="shared" si="1369"/>
        <v>0</v>
      </c>
      <c r="O215" s="113"/>
      <c r="P215" s="124"/>
      <c r="Q215" s="113">
        <f t="shared" si="1370"/>
        <v>0</v>
      </c>
      <c r="R215" s="114">
        <f t="shared" si="1371"/>
        <v>0</v>
      </c>
      <c r="S215" s="113">
        <f t="shared" si="1372"/>
        <v>0</v>
      </c>
      <c r="T215" s="114"/>
      <c r="U215" s="114">
        <f t="shared" si="1373"/>
        <v>0</v>
      </c>
      <c r="V215" s="114">
        <f t="shared" si="1374"/>
        <v>0</v>
      </c>
      <c r="W215" s="113"/>
      <c r="X215" s="124"/>
      <c r="Y215" s="113">
        <f t="shared" si="1375"/>
        <v>0</v>
      </c>
      <c r="Z215" s="114">
        <f t="shared" si="1376"/>
        <v>0</v>
      </c>
      <c r="AA215" s="113">
        <f t="shared" si="1377"/>
        <v>0</v>
      </c>
      <c r="AB215" s="114"/>
      <c r="AC215" s="114">
        <f t="shared" si="1378"/>
        <v>0</v>
      </c>
      <c r="AD215" s="114">
        <f t="shared" si="1379"/>
        <v>0</v>
      </c>
      <c r="AE215" s="113"/>
      <c r="AF215" s="124"/>
      <c r="AG215" s="113">
        <f t="shared" si="1380"/>
        <v>0</v>
      </c>
      <c r="AH215" s="114">
        <f t="shared" si="1381"/>
        <v>0</v>
      </c>
      <c r="AI215" s="113">
        <f t="shared" si="1382"/>
        <v>0</v>
      </c>
      <c r="AJ215" s="114"/>
      <c r="AK215" s="114">
        <f t="shared" si="1383"/>
        <v>0</v>
      </c>
      <c r="AL215" s="114">
        <f t="shared" si="1384"/>
        <v>0</v>
      </c>
      <c r="AM215" s="113"/>
      <c r="AN215" s="124"/>
      <c r="AO215" s="113">
        <f t="shared" si="1385"/>
        <v>0</v>
      </c>
      <c r="AP215" s="114">
        <f t="shared" si="1386"/>
        <v>0</v>
      </c>
      <c r="AQ215" s="113">
        <f t="shared" si="1387"/>
        <v>0</v>
      </c>
      <c r="AR215" s="114"/>
      <c r="AS215" s="114">
        <f t="shared" si="1388"/>
        <v>0</v>
      </c>
      <c r="AT215" s="114">
        <f t="shared" si="1389"/>
        <v>0</v>
      </c>
      <c r="AU215" s="113"/>
      <c r="AV215" s="124"/>
      <c r="AW215" s="113">
        <f t="shared" si="1390"/>
        <v>0</v>
      </c>
      <c r="AX215" s="114">
        <f t="shared" si="1391"/>
        <v>0</v>
      </c>
      <c r="AY215" s="113">
        <f t="shared" si="1392"/>
        <v>0</v>
      </c>
      <c r="AZ215" s="114"/>
      <c r="BA215" s="114">
        <f t="shared" si="1393"/>
        <v>0</v>
      </c>
      <c r="BB215" s="114">
        <f t="shared" si="1394"/>
        <v>0</v>
      </c>
      <c r="BC215" s="113"/>
      <c r="BD215" s="124"/>
      <c r="BE215" s="113">
        <f t="shared" si="1395"/>
        <v>0</v>
      </c>
      <c r="BF215" s="114">
        <f t="shared" si="1396"/>
        <v>0</v>
      </c>
      <c r="BG215" s="113">
        <f t="shared" si="1397"/>
        <v>0</v>
      </c>
      <c r="BH215" s="114"/>
      <c r="BI215" s="114">
        <f t="shared" si="1398"/>
        <v>0</v>
      </c>
      <c r="BJ215" s="114">
        <f t="shared" si="1399"/>
        <v>0</v>
      </c>
      <c r="BK215" s="113"/>
      <c r="BL215" s="124"/>
      <c r="BM215" s="113">
        <f t="shared" si="1400"/>
        <v>0</v>
      </c>
      <c r="BN215" s="114">
        <f t="shared" si="1401"/>
        <v>0</v>
      </c>
      <c r="BO215" s="113">
        <f t="shared" si="1402"/>
        <v>0</v>
      </c>
      <c r="BP215" s="114"/>
      <c r="BQ215" s="114">
        <f t="shared" si="1403"/>
        <v>0</v>
      </c>
      <c r="BR215" s="114">
        <f t="shared" si="1404"/>
        <v>0</v>
      </c>
      <c r="BS215" s="113"/>
      <c r="BT215" s="124"/>
      <c r="BU215" s="113">
        <f t="shared" si="1405"/>
        <v>0</v>
      </c>
      <c r="BV215" s="114">
        <f t="shared" si="1406"/>
        <v>0</v>
      </c>
      <c r="BW215" s="113">
        <f t="shared" si="1407"/>
        <v>0</v>
      </c>
      <c r="BX215" s="114"/>
      <c r="BY215" s="114">
        <f t="shared" si="1408"/>
        <v>0</v>
      </c>
      <c r="BZ215" s="114">
        <f t="shared" si="1409"/>
        <v>0</v>
      </c>
      <c r="CA215" s="113"/>
      <c r="CB215" s="124"/>
      <c r="CC215" s="113">
        <f t="shared" si="1410"/>
        <v>0</v>
      </c>
      <c r="CD215" s="114">
        <f t="shared" si="1411"/>
        <v>0</v>
      </c>
      <c r="CE215" s="113">
        <f t="shared" si="1412"/>
        <v>0</v>
      </c>
      <c r="CF215" s="114">
        <f t="shared" si="1413"/>
        <v>0</v>
      </c>
      <c r="CG215" s="114">
        <f t="shared" si="1414"/>
        <v>0</v>
      </c>
      <c r="CH215" s="114">
        <f t="shared" si="1415"/>
        <v>0</v>
      </c>
      <c r="CI215" s="113"/>
    </row>
    <row r="216" s="104" customFormat="1" customHeight="1" spans="1:87">
      <c r="A216" s="126"/>
      <c r="B216" s="114"/>
      <c r="C216" s="113"/>
      <c r="D216" s="114"/>
      <c r="E216" s="114"/>
      <c r="F216" s="114">
        <f t="shared" si="1355"/>
        <v>0</v>
      </c>
      <c r="G216" s="113"/>
      <c r="H216" s="124"/>
      <c r="I216" s="113">
        <f t="shared" si="1356"/>
        <v>0</v>
      </c>
      <c r="J216" s="114">
        <f t="shared" si="1357"/>
        <v>0</v>
      </c>
      <c r="K216" s="113">
        <f t="shared" si="1367"/>
        <v>0</v>
      </c>
      <c r="L216" s="114"/>
      <c r="M216" s="114">
        <f t="shared" si="1368"/>
        <v>0</v>
      </c>
      <c r="N216" s="114">
        <f t="shared" si="1369"/>
        <v>0</v>
      </c>
      <c r="O216" s="113"/>
      <c r="P216" s="124"/>
      <c r="Q216" s="113">
        <f t="shared" si="1370"/>
        <v>0</v>
      </c>
      <c r="R216" s="114">
        <f t="shared" si="1371"/>
        <v>0</v>
      </c>
      <c r="S216" s="113">
        <f t="shared" si="1372"/>
        <v>0</v>
      </c>
      <c r="T216" s="114"/>
      <c r="U216" s="114">
        <f t="shared" si="1373"/>
        <v>0</v>
      </c>
      <c r="V216" s="114">
        <f t="shared" si="1374"/>
        <v>0</v>
      </c>
      <c r="W216" s="113"/>
      <c r="X216" s="124"/>
      <c r="Y216" s="113">
        <f t="shared" si="1375"/>
        <v>0</v>
      </c>
      <c r="Z216" s="114">
        <f t="shared" si="1376"/>
        <v>0</v>
      </c>
      <c r="AA216" s="113">
        <f t="shared" si="1377"/>
        <v>0</v>
      </c>
      <c r="AB216" s="114"/>
      <c r="AC216" s="114">
        <f t="shared" si="1378"/>
        <v>0</v>
      </c>
      <c r="AD216" s="114">
        <f t="shared" si="1379"/>
        <v>0</v>
      </c>
      <c r="AE216" s="113"/>
      <c r="AF216" s="124"/>
      <c r="AG216" s="113">
        <f t="shared" si="1380"/>
        <v>0</v>
      </c>
      <c r="AH216" s="114">
        <f t="shared" si="1381"/>
        <v>0</v>
      </c>
      <c r="AI216" s="113">
        <f t="shared" si="1382"/>
        <v>0</v>
      </c>
      <c r="AJ216" s="114"/>
      <c r="AK216" s="114">
        <f t="shared" si="1383"/>
        <v>0</v>
      </c>
      <c r="AL216" s="114">
        <f t="shared" si="1384"/>
        <v>0</v>
      </c>
      <c r="AM216" s="113"/>
      <c r="AN216" s="124"/>
      <c r="AO216" s="113">
        <f t="shared" si="1385"/>
        <v>0</v>
      </c>
      <c r="AP216" s="114">
        <f t="shared" si="1386"/>
        <v>0</v>
      </c>
      <c r="AQ216" s="113">
        <f t="shared" si="1387"/>
        <v>0</v>
      </c>
      <c r="AR216" s="114"/>
      <c r="AS216" s="114">
        <f t="shared" si="1388"/>
        <v>0</v>
      </c>
      <c r="AT216" s="114">
        <f t="shared" si="1389"/>
        <v>0</v>
      </c>
      <c r="AU216" s="113"/>
      <c r="AV216" s="124"/>
      <c r="AW216" s="113">
        <f t="shared" si="1390"/>
        <v>0</v>
      </c>
      <c r="AX216" s="114">
        <f t="shared" si="1391"/>
        <v>0</v>
      </c>
      <c r="AY216" s="113">
        <f t="shared" si="1392"/>
        <v>0</v>
      </c>
      <c r="AZ216" s="114"/>
      <c r="BA216" s="114">
        <f t="shared" si="1393"/>
        <v>0</v>
      </c>
      <c r="BB216" s="114">
        <f t="shared" si="1394"/>
        <v>0</v>
      </c>
      <c r="BC216" s="113"/>
      <c r="BD216" s="124"/>
      <c r="BE216" s="113">
        <f t="shared" si="1395"/>
        <v>0</v>
      </c>
      <c r="BF216" s="114">
        <f t="shared" si="1396"/>
        <v>0</v>
      </c>
      <c r="BG216" s="113">
        <f t="shared" si="1397"/>
        <v>0</v>
      </c>
      <c r="BH216" s="114"/>
      <c r="BI216" s="114">
        <f t="shared" si="1398"/>
        <v>0</v>
      </c>
      <c r="BJ216" s="114">
        <f t="shared" si="1399"/>
        <v>0</v>
      </c>
      <c r="BK216" s="113"/>
      <c r="BL216" s="124"/>
      <c r="BM216" s="113">
        <f t="shared" si="1400"/>
        <v>0</v>
      </c>
      <c r="BN216" s="114">
        <f t="shared" si="1401"/>
        <v>0</v>
      </c>
      <c r="BO216" s="113">
        <f t="shared" si="1402"/>
        <v>0</v>
      </c>
      <c r="BP216" s="114"/>
      <c r="BQ216" s="114">
        <f t="shared" si="1403"/>
        <v>0</v>
      </c>
      <c r="BR216" s="114">
        <f t="shared" si="1404"/>
        <v>0</v>
      </c>
      <c r="BS216" s="113"/>
      <c r="BT216" s="124"/>
      <c r="BU216" s="113">
        <f t="shared" si="1405"/>
        <v>0</v>
      </c>
      <c r="BV216" s="114">
        <f t="shared" si="1406"/>
        <v>0</v>
      </c>
      <c r="BW216" s="113">
        <f t="shared" si="1407"/>
        <v>0</v>
      </c>
      <c r="BX216" s="114"/>
      <c r="BY216" s="114">
        <f t="shared" si="1408"/>
        <v>0</v>
      </c>
      <c r="BZ216" s="114">
        <f t="shared" si="1409"/>
        <v>0</v>
      </c>
      <c r="CA216" s="113"/>
      <c r="CB216" s="124"/>
      <c r="CC216" s="113">
        <f t="shared" si="1410"/>
        <v>0</v>
      </c>
      <c r="CD216" s="114">
        <f t="shared" si="1411"/>
        <v>0</v>
      </c>
      <c r="CE216" s="113">
        <f t="shared" si="1412"/>
        <v>0</v>
      </c>
      <c r="CF216" s="114">
        <f t="shared" si="1413"/>
        <v>0</v>
      </c>
      <c r="CG216" s="114">
        <f t="shared" si="1414"/>
        <v>0</v>
      </c>
      <c r="CH216" s="114">
        <f t="shared" si="1415"/>
        <v>0</v>
      </c>
      <c r="CI216" s="113"/>
    </row>
    <row r="217" s="104" customFormat="1" customHeight="1" spans="1:87">
      <c r="A217" s="126"/>
      <c r="B217" s="127"/>
      <c r="C217" s="126"/>
      <c r="D217" s="127"/>
      <c r="E217" s="127"/>
      <c r="F217" s="114">
        <f t="shared" si="1355"/>
        <v>0</v>
      </c>
      <c r="G217" s="113"/>
      <c r="H217" s="124"/>
      <c r="I217" s="113">
        <f t="shared" si="1356"/>
        <v>0</v>
      </c>
      <c r="J217" s="114">
        <f t="shared" si="1357"/>
        <v>0</v>
      </c>
      <c r="K217" s="113">
        <f t="shared" si="1367"/>
        <v>0</v>
      </c>
      <c r="L217" s="114"/>
      <c r="M217" s="114">
        <f t="shared" si="1368"/>
        <v>0</v>
      </c>
      <c r="N217" s="114">
        <f t="shared" si="1369"/>
        <v>0</v>
      </c>
      <c r="O217" s="113"/>
      <c r="P217" s="124"/>
      <c r="Q217" s="113">
        <f t="shared" si="1370"/>
        <v>0</v>
      </c>
      <c r="R217" s="114">
        <f t="shared" si="1371"/>
        <v>0</v>
      </c>
      <c r="S217" s="113">
        <f t="shared" si="1372"/>
        <v>0</v>
      </c>
      <c r="T217" s="114"/>
      <c r="U217" s="114">
        <f t="shared" si="1373"/>
        <v>0</v>
      </c>
      <c r="V217" s="114">
        <f t="shared" si="1374"/>
        <v>0</v>
      </c>
      <c r="W217" s="113"/>
      <c r="X217" s="124"/>
      <c r="Y217" s="113">
        <f t="shared" si="1375"/>
        <v>0</v>
      </c>
      <c r="Z217" s="114">
        <f t="shared" si="1376"/>
        <v>0</v>
      </c>
      <c r="AA217" s="113">
        <f t="shared" si="1377"/>
        <v>0</v>
      </c>
      <c r="AB217" s="114"/>
      <c r="AC217" s="114">
        <f t="shared" si="1378"/>
        <v>0</v>
      </c>
      <c r="AD217" s="114">
        <f t="shared" si="1379"/>
        <v>0</v>
      </c>
      <c r="AE217" s="113"/>
      <c r="AF217" s="124"/>
      <c r="AG217" s="113">
        <f t="shared" si="1380"/>
        <v>0</v>
      </c>
      <c r="AH217" s="114">
        <f t="shared" si="1381"/>
        <v>0</v>
      </c>
      <c r="AI217" s="113">
        <f t="shared" si="1382"/>
        <v>0</v>
      </c>
      <c r="AJ217" s="114"/>
      <c r="AK217" s="114">
        <f t="shared" si="1383"/>
        <v>0</v>
      </c>
      <c r="AL217" s="114">
        <f t="shared" si="1384"/>
        <v>0</v>
      </c>
      <c r="AM217" s="113"/>
      <c r="AN217" s="124"/>
      <c r="AO217" s="113">
        <f t="shared" si="1385"/>
        <v>0</v>
      </c>
      <c r="AP217" s="114">
        <f t="shared" si="1386"/>
        <v>0</v>
      </c>
      <c r="AQ217" s="113">
        <f t="shared" si="1387"/>
        <v>0</v>
      </c>
      <c r="AR217" s="114"/>
      <c r="AS217" s="114">
        <f t="shared" si="1388"/>
        <v>0</v>
      </c>
      <c r="AT217" s="114">
        <f t="shared" si="1389"/>
        <v>0</v>
      </c>
      <c r="AU217" s="113"/>
      <c r="AV217" s="124"/>
      <c r="AW217" s="113">
        <f t="shared" si="1390"/>
        <v>0</v>
      </c>
      <c r="AX217" s="114">
        <f t="shared" si="1391"/>
        <v>0</v>
      </c>
      <c r="AY217" s="113">
        <f t="shared" si="1392"/>
        <v>0</v>
      </c>
      <c r="AZ217" s="114"/>
      <c r="BA217" s="114">
        <f t="shared" si="1393"/>
        <v>0</v>
      </c>
      <c r="BB217" s="114">
        <f t="shared" si="1394"/>
        <v>0</v>
      </c>
      <c r="BC217" s="113"/>
      <c r="BD217" s="124"/>
      <c r="BE217" s="113">
        <f t="shared" si="1395"/>
        <v>0</v>
      </c>
      <c r="BF217" s="114">
        <f t="shared" si="1396"/>
        <v>0</v>
      </c>
      <c r="BG217" s="113">
        <f t="shared" si="1397"/>
        <v>0</v>
      </c>
      <c r="BH217" s="114"/>
      <c r="BI217" s="114">
        <f t="shared" si="1398"/>
        <v>0</v>
      </c>
      <c r="BJ217" s="114">
        <f t="shared" si="1399"/>
        <v>0</v>
      </c>
      <c r="BK217" s="113"/>
      <c r="BL217" s="124"/>
      <c r="BM217" s="113">
        <f t="shared" si="1400"/>
        <v>0</v>
      </c>
      <c r="BN217" s="114">
        <f t="shared" si="1401"/>
        <v>0</v>
      </c>
      <c r="BO217" s="113">
        <f t="shared" si="1402"/>
        <v>0</v>
      </c>
      <c r="BP217" s="114"/>
      <c r="BQ217" s="114">
        <f t="shared" si="1403"/>
        <v>0</v>
      </c>
      <c r="BR217" s="114">
        <f t="shared" si="1404"/>
        <v>0</v>
      </c>
      <c r="BS217" s="113"/>
      <c r="BT217" s="124"/>
      <c r="BU217" s="113">
        <f t="shared" si="1405"/>
        <v>0</v>
      </c>
      <c r="BV217" s="114">
        <f t="shared" si="1406"/>
        <v>0</v>
      </c>
      <c r="BW217" s="113">
        <f t="shared" si="1407"/>
        <v>0</v>
      </c>
      <c r="BX217" s="114"/>
      <c r="BY217" s="114">
        <f t="shared" si="1408"/>
        <v>0</v>
      </c>
      <c r="BZ217" s="114">
        <f t="shared" si="1409"/>
        <v>0</v>
      </c>
      <c r="CA217" s="113"/>
      <c r="CB217" s="124"/>
      <c r="CC217" s="113">
        <f t="shared" si="1410"/>
        <v>0</v>
      </c>
      <c r="CD217" s="114">
        <f t="shared" si="1411"/>
        <v>0</v>
      </c>
      <c r="CE217" s="113">
        <f t="shared" si="1412"/>
        <v>0</v>
      </c>
      <c r="CF217" s="114">
        <f t="shared" si="1413"/>
        <v>0</v>
      </c>
      <c r="CG217" s="114">
        <f t="shared" si="1414"/>
        <v>0</v>
      </c>
      <c r="CH217" s="114">
        <f t="shared" si="1415"/>
        <v>0</v>
      </c>
      <c r="CI217" s="113"/>
    </row>
    <row r="218" s="104" customFormat="1" customHeight="1" spans="1:87">
      <c r="A218" s="126"/>
      <c r="B218" s="127"/>
      <c r="C218" s="126"/>
      <c r="D218" s="127"/>
      <c r="E218" s="127"/>
      <c r="F218" s="114">
        <f t="shared" si="1355"/>
        <v>0</v>
      </c>
      <c r="G218" s="113"/>
      <c r="H218" s="124"/>
      <c r="I218" s="113">
        <f t="shared" si="1356"/>
        <v>0</v>
      </c>
      <c r="J218" s="114">
        <f t="shared" si="1357"/>
        <v>0</v>
      </c>
      <c r="K218" s="113">
        <f t="shared" si="1367"/>
        <v>0</v>
      </c>
      <c r="L218" s="114"/>
      <c r="M218" s="114">
        <f t="shared" si="1368"/>
        <v>0</v>
      </c>
      <c r="N218" s="114">
        <f t="shared" si="1369"/>
        <v>0</v>
      </c>
      <c r="O218" s="113"/>
      <c r="P218" s="124"/>
      <c r="Q218" s="113">
        <f t="shared" si="1370"/>
        <v>0</v>
      </c>
      <c r="R218" s="114">
        <f t="shared" si="1371"/>
        <v>0</v>
      </c>
      <c r="S218" s="113">
        <f t="shared" si="1372"/>
        <v>0</v>
      </c>
      <c r="T218" s="114"/>
      <c r="U218" s="114">
        <f t="shared" si="1373"/>
        <v>0</v>
      </c>
      <c r="V218" s="114">
        <f t="shared" si="1374"/>
        <v>0</v>
      </c>
      <c r="W218" s="113"/>
      <c r="X218" s="124"/>
      <c r="Y218" s="113">
        <f t="shared" si="1375"/>
        <v>0</v>
      </c>
      <c r="Z218" s="114">
        <f t="shared" si="1376"/>
        <v>0</v>
      </c>
      <c r="AA218" s="113">
        <f t="shared" si="1377"/>
        <v>0</v>
      </c>
      <c r="AB218" s="114"/>
      <c r="AC218" s="114">
        <f t="shared" si="1378"/>
        <v>0</v>
      </c>
      <c r="AD218" s="114">
        <f t="shared" si="1379"/>
        <v>0</v>
      </c>
      <c r="AE218" s="113"/>
      <c r="AF218" s="124"/>
      <c r="AG218" s="113">
        <f t="shared" si="1380"/>
        <v>0</v>
      </c>
      <c r="AH218" s="114">
        <f t="shared" si="1381"/>
        <v>0</v>
      </c>
      <c r="AI218" s="113">
        <f t="shared" si="1382"/>
        <v>0</v>
      </c>
      <c r="AJ218" s="114"/>
      <c r="AK218" s="114">
        <f t="shared" si="1383"/>
        <v>0</v>
      </c>
      <c r="AL218" s="114">
        <f t="shared" si="1384"/>
        <v>0</v>
      </c>
      <c r="AM218" s="113"/>
      <c r="AN218" s="124"/>
      <c r="AO218" s="113">
        <f t="shared" si="1385"/>
        <v>0</v>
      </c>
      <c r="AP218" s="114">
        <f t="shared" si="1386"/>
        <v>0</v>
      </c>
      <c r="AQ218" s="113">
        <f t="shared" si="1387"/>
        <v>0</v>
      </c>
      <c r="AR218" s="114"/>
      <c r="AS218" s="114">
        <f t="shared" si="1388"/>
        <v>0</v>
      </c>
      <c r="AT218" s="114">
        <f t="shared" si="1389"/>
        <v>0</v>
      </c>
      <c r="AU218" s="113"/>
      <c r="AV218" s="124"/>
      <c r="AW218" s="113">
        <f t="shared" si="1390"/>
        <v>0</v>
      </c>
      <c r="AX218" s="114">
        <f t="shared" si="1391"/>
        <v>0</v>
      </c>
      <c r="AY218" s="113">
        <f t="shared" si="1392"/>
        <v>0</v>
      </c>
      <c r="AZ218" s="114"/>
      <c r="BA218" s="114">
        <f t="shared" si="1393"/>
        <v>0</v>
      </c>
      <c r="BB218" s="114">
        <f t="shared" si="1394"/>
        <v>0</v>
      </c>
      <c r="BC218" s="113"/>
      <c r="BD218" s="124"/>
      <c r="BE218" s="113">
        <f t="shared" si="1395"/>
        <v>0</v>
      </c>
      <c r="BF218" s="114">
        <f t="shared" si="1396"/>
        <v>0</v>
      </c>
      <c r="BG218" s="113">
        <f t="shared" si="1397"/>
        <v>0</v>
      </c>
      <c r="BH218" s="114"/>
      <c r="BI218" s="114">
        <f t="shared" si="1398"/>
        <v>0</v>
      </c>
      <c r="BJ218" s="114">
        <f t="shared" si="1399"/>
        <v>0</v>
      </c>
      <c r="BK218" s="113"/>
      <c r="BL218" s="124"/>
      <c r="BM218" s="113">
        <f t="shared" si="1400"/>
        <v>0</v>
      </c>
      <c r="BN218" s="114">
        <f t="shared" si="1401"/>
        <v>0</v>
      </c>
      <c r="BO218" s="113">
        <f t="shared" si="1402"/>
        <v>0</v>
      </c>
      <c r="BP218" s="114"/>
      <c r="BQ218" s="114">
        <f t="shared" si="1403"/>
        <v>0</v>
      </c>
      <c r="BR218" s="114">
        <f t="shared" si="1404"/>
        <v>0</v>
      </c>
      <c r="BS218" s="113"/>
      <c r="BT218" s="124"/>
      <c r="BU218" s="113">
        <f t="shared" si="1405"/>
        <v>0</v>
      </c>
      <c r="BV218" s="114">
        <f t="shared" si="1406"/>
        <v>0</v>
      </c>
      <c r="BW218" s="113">
        <f t="shared" si="1407"/>
        <v>0</v>
      </c>
      <c r="BX218" s="114"/>
      <c r="BY218" s="114">
        <f t="shared" si="1408"/>
        <v>0</v>
      </c>
      <c r="BZ218" s="114">
        <f t="shared" si="1409"/>
        <v>0</v>
      </c>
      <c r="CA218" s="113"/>
      <c r="CB218" s="124"/>
      <c r="CC218" s="113">
        <f t="shared" si="1410"/>
        <v>0</v>
      </c>
      <c r="CD218" s="114">
        <f t="shared" si="1411"/>
        <v>0</v>
      </c>
      <c r="CE218" s="113">
        <f t="shared" si="1412"/>
        <v>0</v>
      </c>
      <c r="CF218" s="114">
        <f t="shared" si="1413"/>
        <v>0</v>
      </c>
      <c r="CG218" s="114">
        <f t="shared" si="1414"/>
        <v>0</v>
      </c>
      <c r="CH218" s="114">
        <f t="shared" si="1415"/>
        <v>0</v>
      </c>
      <c r="CI218" s="113"/>
    </row>
    <row r="219" customHeight="1" spans="1:87">
      <c r="A219" s="126"/>
      <c r="B219" s="127"/>
      <c r="C219" s="126"/>
      <c r="D219" s="127"/>
      <c r="E219" s="127"/>
      <c r="F219" s="114">
        <f t="shared" si="1355"/>
        <v>0</v>
      </c>
      <c r="G219" s="113"/>
      <c r="I219" s="113">
        <f t="shared" si="1356"/>
        <v>0</v>
      </c>
      <c r="J219" s="114">
        <f t="shared" si="1357"/>
        <v>0</v>
      </c>
      <c r="K219" s="113">
        <f t="shared" si="1367"/>
        <v>0</v>
      </c>
      <c r="L219" s="114"/>
      <c r="M219" s="114">
        <f t="shared" si="1368"/>
        <v>0</v>
      </c>
      <c r="N219" s="114">
        <f t="shared" si="1369"/>
        <v>0</v>
      </c>
      <c r="O219" s="113"/>
      <c r="Q219" s="113">
        <f t="shared" si="1370"/>
        <v>0</v>
      </c>
      <c r="R219" s="114">
        <f t="shared" si="1371"/>
        <v>0</v>
      </c>
      <c r="S219" s="113">
        <f t="shared" si="1372"/>
        <v>0</v>
      </c>
      <c r="T219" s="114"/>
      <c r="U219" s="114">
        <f t="shared" si="1373"/>
        <v>0</v>
      </c>
      <c r="V219" s="114">
        <f t="shared" si="1374"/>
        <v>0</v>
      </c>
      <c r="W219" s="113"/>
      <c r="Y219" s="113">
        <f t="shared" si="1375"/>
        <v>0</v>
      </c>
      <c r="Z219" s="114">
        <f t="shared" si="1376"/>
        <v>0</v>
      </c>
      <c r="AA219" s="113">
        <f t="shared" si="1377"/>
        <v>0</v>
      </c>
      <c r="AB219" s="114"/>
      <c r="AC219" s="114">
        <f t="shared" si="1378"/>
        <v>0</v>
      </c>
      <c r="AD219" s="114">
        <f t="shared" si="1379"/>
        <v>0</v>
      </c>
      <c r="AE219" s="113"/>
      <c r="AG219" s="113">
        <f t="shared" si="1380"/>
        <v>0</v>
      </c>
      <c r="AH219" s="114">
        <f t="shared" si="1381"/>
        <v>0</v>
      </c>
      <c r="AI219" s="113">
        <f t="shared" si="1382"/>
        <v>0</v>
      </c>
      <c r="AJ219" s="114"/>
      <c r="AK219" s="114">
        <f t="shared" si="1383"/>
        <v>0</v>
      </c>
      <c r="AL219" s="114">
        <f t="shared" si="1384"/>
        <v>0</v>
      </c>
      <c r="AM219" s="113"/>
      <c r="AO219" s="113">
        <f t="shared" si="1385"/>
        <v>0</v>
      </c>
      <c r="AP219" s="114">
        <f t="shared" si="1386"/>
        <v>0</v>
      </c>
      <c r="AQ219" s="113">
        <f t="shared" si="1387"/>
        <v>0</v>
      </c>
      <c r="AR219" s="114"/>
      <c r="AS219" s="114">
        <f t="shared" si="1388"/>
        <v>0</v>
      </c>
      <c r="AT219" s="114">
        <f t="shared" si="1389"/>
        <v>0</v>
      </c>
      <c r="AU219" s="113"/>
      <c r="AW219" s="113">
        <f t="shared" si="1390"/>
        <v>0</v>
      </c>
      <c r="AX219" s="114">
        <f t="shared" si="1391"/>
        <v>0</v>
      </c>
      <c r="AY219" s="113">
        <f t="shared" si="1392"/>
        <v>0</v>
      </c>
      <c r="AZ219" s="114"/>
      <c r="BA219" s="114">
        <f t="shared" si="1393"/>
        <v>0</v>
      </c>
      <c r="BB219" s="114">
        <f t="shared" si="1394"/>
        <v>0</v>
      </c>
      <c r="BC219" s="113"/>
      <c r="BE219" s="113">
        <f t="shared" si="1395"/>
        <v>0</v>
      </c>
      <c r="BF219" s="114">
        <f t="shared" si="1396"/>
        <v>0</v>
      </c>
      <c r="BG219" s="113">
        <f t="shared" si="1397"/>
        <v>0</v>
      </c>
      <c r="BH219" s="114"/>
      <c r="BI219" s="114">
        <f t="shared" si="1398"/>
        <v>0</v>
      </c>
      <c r="BJ219" s="114">
        <f t="shared" si="1399"/>
        <v>0</v>
      </c>
      <c r="BK219" s="113"/>
      <c r="BM219" s="113">
        <f t="shared" si="1400"/>
        <v>0</v>
      </c>
      <c r="BN219" s="114">
        <f t="shared" si="1401"/>
        <v>0</v>
      </c>
      <c r="BO219" s="113">
        <f t="shared" si="1402"/>
        <v>0</v>
      </c>
      <c r="BP219" s="114"/>
      <c r="BQ219" s="114">
        <f t="shared" si="1403"/>
        <v>0</v>
      </c>
      <c r="BR219" s="114">
        <f t="shared" si="1404"/>
        <v>0</v>
      </c>
      <c r="BS219" s="113"/>
      <c r="BU219" s="113">
        <f t="shared" si="1405"/>
        <v>0</v>
      </c>
      <c r="BV219" s="114">
        <f t="shared" si="1406"/>
        <v>0</v>
      </c>
      <c r="BW219" s="113">
        <f t="shared" si="1407"/>
        <v>0</v>
      </c>
      <c r="BX219" s="114"/>
      <c r="BY219" s="114">
        <f t="shared" si="1408"/>
        <v>0</v>
      </c>
      <c r="BZ219" s="114">
        <f t="shared" si="1409"/>
        <v>0</v>
      </c>
      <c r="CA219" s="113"/>
      <c r="CC219" s="113">
        <f t="shared" si="1410"/>
        <v>0</v>
      </c>
      <c r="CD219" s="114">
        <f t="shared" si="1411"/>
        <v>0</v>
      </c>
      <c r="CE219" s="113">
        <f t="shared" si="1412"/>
        <v>0</v>
      </c>
      <c r="CF219" s="114">
        <f t="shared" si="1413"/>
        <v>0</v>
      </c>
      <c r="CG219" s="114">
        <f t="shared" si="1414"/>
        <v>0</v>
      </c>
      <c r="CH219" s="114">
        <f t="shared" si="1415"/>
        <v>0</v>
      </c>
      <c r="CI219" s="113"/>
    </row>
    <row r="220" customHeight="1" spans="1:87">
      <c r="A220" s="126"/>
      <c r="B220" s="127"/>
      <c r="C220" s="126"/>
      <c r="D220" s="127"/>
      <c r="E220" s="127"/>
      <c r="F220" s="114">
        <f t="shared" si="1355"/>
        <v>0</v>
      </c>
      <c r="G220" s="113"/>
      <c r="I220" s="113">
        <f t="shared" si="1356"/>
        <v>0</v>
      </c>
      <c r="J220" s="114">
        <f t="shared" si="1357"/>
        <v>0</v>
      </c>
      <c r="K220" s="113">
        <f t="shared" si="1367"/>
        <v>0</v>
      </c>
      <c r="L220" s="114"/>
      <c r="M220" s="114">
        <f t="shared" si="1368"/>
        <v>0</v>
      </c>
      <c r="N220" s="114">
        <f t="shared" si="1369"/>
        <v>0</v>
      </c>
      <c r="O220" s="113"/>
      <c r="Q220" s="113">
        <f t="shared" si="1370"/>
        <v>0</v>
      </c>
      <c r="R220" s="114">
        <f t="shared" si="1371"/>
        <v>0</v>
      </c>
      <c r="S220" s="113">
        <f t="shared" si="1372"/>
        <v>0</v>
      </c>
      <c r="T220" s="114"/>
      <c r="U220" s="114">
        <f t="shared" si="1373"/>
        <v>0</v>
      </c>
      <c r="V220" s="114">
        <f t="shared" si="1374"/>
        <v>0</v>
      </c>
      <c r="W220" s="113"/>
      <c r="Y220" s="113">
        <f t="shared" si="1375"/>
        <v>0</v>
      </c>
      <c r="Z220" s="114">
        <f t="shared" si="1376"/>
        <v>0</v>
      </c>
      <c r="AA220" s="113">
        <f t="shared" si="1377"/>
        <v>0</v>
      </c>
      <c r="AB220" s="114"/>
      <c r="AC220" s="114">
        <f t="shared" si="1378"/>
        <v>0</v>
      </c>
      <c r="AD220" s="114">
        <f t="shared" si="1379"/>
        <v>0</v>
      </c>
      <c r="AE220" s="113"/>
      <c r="AG220" s="113">
        <f t="shared" si="1380"/>
        <v>0</v>
      </c>
      <c r="AH220" s="114">
        <f t="shared" si="1381"/>
        <v>0</v>
      </c>
      <c r="AI220" s="113">
        <f t="shared" si="1382"/>
        <v>0</v>
      </c>
      <c r="AJ220" s="114"/>
      <c r="AK220" s="114">
        <f t="shared" si="1383"/>
        <v>0</v>
      </c>
      <c r="AL220" s="114">
        <f t="shared" si="1384"/>
        <v>0</v>
      </c>
      <c r="AM220" s="113"/>
      <c r="AO220" s="113">
        <f t="shared" si="1385"/>
        <v>0</v>
      </c>
      <c r="AP220" s="114">
        <f t="shared" si="1386"/>
        <v>0</v>
      </c>
      <c r="AQ220" s="113">
        <f t="shared" si="1387"/>
        <v>0</v>
      </c>
      <c r="AR220" s="114"/>
      <c r="AS220" s="114">
        <f t="shared" si="1388"/>
        <v>0</v>
      </c>
      <c r="AT220" s="114">
        <f t="shared" si="1389"/>
        <v>0</v>
      </c>
      <c r="AU220" s="113"/>
      <c r="AW220" s="113">
        <f t="shared" si="1390"/>
        <v>0</v>
      </c>
      <c r="AX220" s="114">
        <f t="shared" si="1391"/>
        <v>0</v>
      </c>
      <c r="AY220" s="113">
        <f t="shared" si="1392"/>
        <v>0</v>
      </c>
      <c r="AZ220" s="114"/>
      <c r="BA220" s="114">
        <f t="shared" si="1393"/>
        <v>0</v>
      </c>
      <c r="BB220" s="114">
        <f t="shared" si="1394"/>
        <v>0</v>
      </c>
      <c r="BC220" s="113"/>
      <c r="BE220" s="113">
        <f t="shared" si="1395"/>
        <v>0</v>
      </c>
      <c r="BF220" s="114">
        <f t="shared" si="1396"/>
        <v>0</v>
      </c>
      <c r="BG220" s="113">
        <f t="shared" si="1397"/>
        <v>0</v>
      </c>
      <c r="BH220" s="114"/>
      <c r="BI220" s="114">
        <f t="shared" si="1398"/>
        <v>0</v>
      </c>
      <c r="BJ220" s="114">
        <f t="shared" si="1399"/>
        <v>0</v>
      </c>
      <c r="BK220" s="113"/>
      <c r="BM220" s="113">
        <f t="shared" si="1400"/>
        <v>0</v>
      </c>
      <c r="BN220" s="114">
        <f t="shared" si="1401"/>
        <v>0</v>
      </c>
      <c r="BO220" s="113">
        <f t="shared" si="1402"/>
        <v>0</v>
      </c>
      <c r="BP220" s="114"/>
      <c r="BQ220" s="114">
        <f t="shared" si="1403"/>
        <v>0</v>
      </c>
      <c r="BR220" s="114">
        <f t="shared" si="1404"/>
        <v>0</v>
      </c>
      <c r="BS220" s="113"/>
      <c r="BU220" s="113">
        <f t="shared" si="1405"/>
        <v>0</v>
      </c>
      <c r="BV220" s="114">
        <f t="shared" si="1406"/>
        <v>0</v>
      </c>
      <c r="BW220" s="113">
        <f t="shared" si="1407"/>
        <v>0</v>
      </c>
      <c r="BX220" s="114"/>
      <c r="BY220" s="114">
        <f t="shared" si="1408"/>
        <v>0</v>
      </c>
      <c r="BZ220" s="114">
        <f t="shared" si="1409"/>
        <v>0</v>
      </c>
      <c r="CA220" s="113"/>
      <c r="CC220" s="113">
        <f t="shared" si="1410"/>
        <v>0</v>
      </c>
      <c r="CD220" s="114">
        <f t="shared" si="1411"/>
        <v>0</v>
      </c>
      <c r="CE220" s="113">
        <f t="shared" si="1412"/>
        <v>0</v>
      </c>
      <c r="CF220" s="114">
        <f t="shared" si="1413"/>
        <v>0</v>
      </c>
      <c r="CG220" s="114">
        <f t="shared" si="1414"/>
        <v>0</v>
      </c>
      <c r="CH220" s="114">
        <f t="shared" si="1415"/>
        <v>0</v>
      </c>
      <c r="CI220" s="113"/>
    </row>
    <row r="221" customHeight="1" spans="1:87">
      <c r="A221" s="126"/>
      <c r="B221" s="127"/>
      <c r="C221" s="126"/>
      <c r="D221" s="127"/>
      <c r="E221" s="127"/>
      <c r="F221" s="114">
        <f t="shared" si="1355"/>
        <v>0</v>
      </c>
      <c r="G221" s="113"/>
      <c r="I221" s="113">
        <f t="shared" si="1356"/>
        <v>0</v>
      </c>
      <c r="J221" s="114">
        <f t="shared" si="1357"/>
        <v>0</v>
      </c>
      <c r="K221" s="113">
        <f t="shared" si="1367"/>
        <v>0</v>
      </c>
      <c r="L221" s="114"/>
      <c r="M221" s="114">
        <f t="shared" si="1368"/>
        <v>0</v>
      </c>
      <c r="N221" s="114">
        <f t="shared" si="1369"/>
        <v>0</v>
      </c>
      <c r="O221" s="113"/>
      <c r="Q221" s="113">
        <f t="shared" si="1370"/>
        <v>0</v>
      </c>
      <c r="R221" s="114">
        <f t="shared" si="1371"/>
        <v>0</v>
      </c>
      <c r="S221" s="113">
        <f t="shared" si="1372"/>
        <v>0</v>
      </c>
      <c r="T221" s="114"/>
      <c r="U221" s="114">
        <f t="shared" si="1373"/>
        <v>0</v>
      </c>
      <c r="V221" s="114">
        <f t="shared" si="1374"/>
        <v>0</v>
      </c>
      <c r="W221" s="113"/>
      <c r="Y221" s="113">
        <f t="shared" si="1375"/>
        <v>0</v>
      </c>
      <c r="Z221" s="114">
        <f t="shared" si="1376"/>
        <v>0</v>
      </c>
      <c r="AA221" s="113">
        <f t="shared" si="1377"/>
        <v>0</v>
      </c>
      <c r="AB221" s="114"/>
      <c r="AC221" s="114">
        <f t="shared" si="1378"/>
        <v>0</v>
      </c>
      <c r="AD221" s="114">
        <f t="shared" si="1379"/>
        <v>0</v>
      </c>
      <c r="AE221" s="113"/>
      <c r="AG221" s="113">
        <f t="shared" si="1380"/>
        <v>0</v>
      </c>
      <c r="AH221" s="114">
        <f t="shared" si="1381"/>
        <v>0</v>
      </c>
      <c r="AI221" s="113">
        <f t="shared" si="1382"/>
        <v>0</v>
      </c>
      <c r="AJ221" s="114"/>
      <c r="AK221" s="114">
        <f t="shared" si="1383"/>
        <v>0</v>
      </c>
      <c r="AL221" s="114">
        <f t="shared" si="1384"/>
        <v>0</v>
      </c>
      <c r="AM221" s="113"/>
      <c r="AO221" s="113">
        <f t="shared" si="1385"/>
        <v>0</v>
      </c>
      <c r="AP221" s="114">
        <f t="shared" si="1386"/>
        <v>0</v>
      </c>
      <c r="AQ221" s="113">
        <f t="shared" si="1387"/>
        <v>0</v>
      </c>
      <c r="AR221" s="114"/>
      <c r="AS221" s="114">
        <f t="shared" si="1388"/>
        <v>0</v>
      </c>
      <c r="AT221" s="114">
        <f t="shared" si="1389"/>
        <v>0</v>
      </c>
      <c r="AU221" s="113"/>
      <c r="AW221" s="113">
        <f t="shared" si="1390"/>
        <v>0</v>
      </c>
      <c r="AX221" s="114">
        <f t="shared" si="1391"/>
        <v>0</v>
      </c>
      <c r="AY221" s="113">
        <f t="shared" si="1392"/>
        <v>0</v>
      </c>
      <c r="AZ221" s="114"/>
      <c r="BA221" s="114">
        <f t="shared" si="1393"/>
        <v>0</v>
      </c>
      <c r="BB221" s="114">
        <f t="shared" si="1394"/>
        <v>0</v>
      </c>
      <c r="BC221" s="113"/>
      <c r="BE221" s="113">
        <f t="shared" si="1395"/>
        <v>0</v>
      </c>
      <c r="BF221" s="114">
        <f t="shared" si="1396"/>
        <v>0</v>
      </c>
      <c r="BG221" s="113">
        <f t="shared" si="1397"/>
        <v>0</v>
      </c>
      <c r="BH221" s="114"/>
      <c r="BI221" s="114">
        <f t="shared" si="1398"/>
        <v>0</v>
      </c>
      <c r="BJ221" s="114">
        <f t="shared" si="1399"/>
        <v>0</v>
      </c>
      <c r="BK221" s="113"/>
      <c r="BM221" s="113">
        <f t="shared" si="1400"/>
        <v>0</v>
      </c>
      <c r="BN221" s="114">
        <f t="shared" si="1401"/>
        <v>0</v>
      </c>
      <c r="BO221" s="113">
        <f t="shared" si="1402"/>
        <v>0</v>
      </c>
      <c r="BP221" s="114"/>
      <c r="BQ221" s="114">
        <f t="shared" si="1403"/>
        <v>0</v>
      </c>
      <c r="BR221" s="114">
        <f t="shared" si="1404"/>
        <v>0</v>
      </c>
      <c r="BS221" s="113"/>
      <c r="BU221" s="113">
        <f t="shared" si="1405"/>
        <v>0</v>
      </c>
      <c r="BV221" s="114">
        <f t="shared" si="1406"/>
        <v>0</v>
      </c>
      <c r="BW221" s="113">
        <f t="shared" si="1407"/>
        <v>0</v>
      </c>
      <c r="BX221" s="114"/>
      <c r="BY221" s="114">
        <f t="shared" si="1408"/>
        <v>0</v>
      </c>
      <c r="BZ221" s="114">
        <f t="shared" si="1409"/>
        <v>0</v>
      </c>
      <c r="CA221" s="113"/>
      <c r="CC221" s="113">
        <f t="shared" si="1410"/>
        <v>0</v>
      </c>
      <c r="CD221" s="114">
        <f t="shared" si="1411"/>
        <v>0</v>
      </c>
      <c r="CE221" s="113">
        <f t="shared" si="1412"/>
        <v>0</v>
      </c>
      <c r="CF221" s="114">
        <f t="shared" si="1413"/>
        <v>0</v>
      </c>
      <c r="CG221" s="114">
        <f t="shared" si="1414"/>
        <v>0</v>
      </c>
      <c r="CH221" s="114">
        <f t="shared" si="1415"/>
        <v>0</v>
      </c>
      <c r="CI221" s="113"/>
    </row>
    <row r="222" customHeight="1" spans="1:87">
      <c r="A222" s="126"/>
      <c r="B222" s="127"/>
      <c r="C222" s="126"/>
      <c r="D222" s="127"/>
      <c r="E222" s="127"/>
      <c r="F222" s="114">
        <f t="shared" si="1355"/>
        <v>0</v>
      </c>
      <c r="G222" s="113"/>
      <c r="I222" s="113">
        <f t="shared" si="1356"/>
        <v>0</v>
      </c>
      <c r="J222" s="114">
        <f t="shared" si="1357"/>
        <v>0</v>
      </c>
      <c r="K222" s="113">
        <f t="shared" si="1367"/>
        <v>0</v>
      </c>
      <c r="L222" s="114"/>
      <c r="M222" s="114">
        <f t="shared" si="1368"/>
        <v>0</v>
      </c>
      <c r="N222" s="114">
        <f t="shared" si="1369"/>
        <v>0</v>
      </c>
      <c r="O222" s="113"/>
      <c r="Q222" s="113">
        <f t="shared" si="1370"/>
        <v>0</v>
      </c>
      <c r="R222" s="114">
        <f t="shared" si="1371"/>
        <v>0</v>
      </c>
      <c r="S222" s="113">
        <f t="shared" si="1372"/>
        <v>0</v>
      </c>
      <c r="T222" s="114"/>
      <c r="U222" s="114">
        <f t="shared" si="1373"/>
        <v>0</v>
      </c>
      <c r="V222" s="114">
        <f t="shared" si="1374"/>
        <v>0</v>
      </c>
      <c r="W222" s="113"/>
      <c r="Y222" s="113">
        <f t="shared" si="1375"/>
        <v>0</v>
      </c>
      <c r="Z222" s="114">
        <f t="shared" si="1376"/>
        <v>0</v>
      </c>
      <c r="AA222" s="113">
        <f t="shared" si="1377"/>
        <v>0</v>
      </c>
      <c r="AB222" s="114"/>
      <c r="AC222" s="114">
        <f t="shared" si="1378"/>
        <v>0</v>
      </c>
      <c r="AD222" s="114">
        <f t="shared" si="1379"/>
        <v>0</v>
      </c>
      <c r="AE222" s="113"/>
      <c r="AG222" s="113">
        <f t="shared" si="1380"/>
        <v>0</v>
      </c>
      <c r="AH222" s="114">
        <f t="shared" si="1381"/>
        <v>0</v>
      </c>
      <c r="AI222" s="113">
        <f t="shared" si="1382"/>
        <v>0</v>
      </c>
      <c r="AJ222" s="114"/>
      <c r="AK222" s="114">
        <f t="shared" si="1383"/>
        <v>0</v>
      </c>
      <c r="AL222" s="114">
        <f t="shared" si="1384"/>
        <v>0</v>
      </c>
      <c r="AM222" s="113"/>
      <c r="AO222" s="113">
        <f t="shared" si="1385"/>
        <v>0</v>
      </c>
      <c r="AP222" s="114">
        <f t="shared" si="1386"/>
        <v>0</v>
      </c>
      <c r="AQ222" s="113">
        <f t="shared" si="1387"/>
        <v>0</v>
      </c>
      <c r="AR222" s="114"/>
      <c r="AS222" s="114">
        <f t="shared" si="1388"/>
        <v>0</v>
      </c>
      <c r="AT222" s="114">
        <f t="shared" si="1389"/>
        <v>0</v>
      </c>
      <c r="AU222" s="113"/>
      <c r="AW222" s="113">
        <f t="shared" si="1390"/>
        <v>0</v>
      </c>
      <c r="AX222" s="114">
        <f t="shared" si="1391"/>
        <v>0</v>
      </c>
      <c r="AY222" s="113">
        <f t="shared" si="1392"/>
        <v>0</v>
      </c>
      <c r="AZ222" s="114"/>
      <c r="BA222" s="114">
        <f t="shared" si="1393"/>
        <v>0</v>
      </c>
      <c r="BB222" s="114">
        <f t="shared" si="1394"/>
        <v>0</v>
      </c>
      <c r="BC222" s="113"/>
      <c r="BE222" s="113">
        <f t="shared" si="1395"/>
        <v>0</v>
      </c>
      <c r="BF222" s="114">
        <f t="shared" si="1396"/>
        <v>0</v>
      </c>
      <c r="BG222" s="113">
        <f t="shared" si="1397"/>
        <v>0</v>
      </c>
      <c r="BH222" s="114"/>
      <c r="BI222" s="114">
        <f t="shared" si="1398"/>
        <v>0</v>
      </c>
      <c r="BJ222" s="114">
        <f t="shared" si="1399"/>
        <v>0</v>
      </c>
      <c r="BK222" s="113"/>
      <c r="BM222" s="113">
        <f t="shared" si="1400"/>
        <v>0</v>
      </c>
      <c r="BN222" s="114">
        <f t="shared" si="1401"/>
        <v>0</v>
      </c>
      <c r="BO222" s="113">
        <f t="shared" si="1402"/>
        <v>0</v>
      </c>
      <c r="BP222" s="114"/>
      <c r="BQ222" s="114">
        <f t="shared" si="1403"/>
        <v>0</v>
      </c>
      <c r="BR222" s="114">
        <f t="shared" si="1404"/>
        <v>0</v>
      </c>
      <c r="BS222" s="113"/>
      <c r="BU222" s="113">
        <f t="shared" si="1405"/>
        <v>0</v>
      </c>
      <c r="BV222" s="114">
        <f t="shared" si="1406"/>
        <v>0</v>
      </c>
      <c r="BW222" s="113">
        <f t="shared" si="1407"/>
        <v>0</v>
      </c>
      <c r="BX222" s="114"/>
      <c r="BY222" s="114">
        <f t="shared" si="1408"/>
        <v>0</v>
      </c>
      <c r="BZ222" s="114">
        <f t="shared" si="1409"/>
        <v>0</v>
      </c>
      <c r="CA222" s="113"/>
      <c r="CC222" s="113">
        <f t="shared" si="1410"/>
        <v>0</v>
      </c>
      <c r="CD222" s="114">
        <f t="shared" si="1411"/>
        <v>0</v>
      </c>
      <c r="CE222" s="113">
        <f t="shared" si="1412"/>
        <v>0</v>
      </c>
      <c r="CF222" s="114">
        <f t="shared" si="1413"/>
        <v>0</v>
      </c>
      <c r="CG222" s="114">
        <f t="shared" si="1414"/>
        <v>0</v>
      </c>
      <c r="CH222" s="114">
        <f t="shared" si="1415"/>
        <v>0</v>
      </c>
      <c r="CI222" s="113"/>
    </row>
    <row r="223" customHeight="1" spans="1:87">
      <c r="A223" s="126"/>
      <c r="B223" s="127"/>
      <c r="C223" s="126"/>
      <c r="D223" s="127"/>
      <c r="E223" s="127"/>
      <c r="F223" s="114">
        <f t="shared" si="1355"/>
        <v>0</v>
      </c>
      <c r="G223" s="113"/>
      <c r="I223" s="113">
        <f t="shared" si="1356"/>
        <v>0</v>
      </c>
      <c r="J223" s="114">
        <f t="shared" si="1357"/>
        <v>0</v>
      </c>
      <c r="K223" s="113">
        <f t="shared" si="1367"/>
        <v>0</v>
      </c>
      <c r="L223" s="114"/>
      <c r="M223" s="114">
        <f t="shared" si="1368"/>
        <v>0</v>
      </c>
      <c r="N223" s="114">
        <f t="shared" si="1369"/>
        <v>0</v>
      </c>
      <c r="O223" s="113"/>
      <c r="Q223" s="113">
        <f t="shared" si="1370"/>
        <v>0</v>
      </c>
      <c r="R223" s="114">
        <f t="shared" si="1371"/>
        <v>0</v>
      </c>
      <c r="S223" s="113">
        <f t="shared" si="1372"/>
        <v>0</v>
      </c>
      <c r="T223" s="114"/>
      <c r="U223" s="114">
        <f t="shared" si="1373"/>
        <v>0</v>
      </c>
      <c r="V223" s="114">
        <f t="shared" si="1374"/>
        <v>0</v>
      </c>
      <c r="W223" s="113"/>
      <c r="Y223" s="113">
        <f t="shared" si="1375"/>
        <v>0</v>
      </c>
      <c r="Z223" s="114">
        <f t="shared" si="1376"/>
        <v>0</v>
      </c>
      <c r="AA223" s="113">
        <f t="shared" si="1377"/>
        <v>0</v>
      </c>
      <c r="AB223" s="114"/>
      <c r="AC223" s="114">
        <f t="shared" si="1378"/>
        <v>0</v>
      </c>
      <c r="AD223" s="114">
        <f t="shared" si="1379"/>
        <v>0</v>
      </c>
      <c r="AE223" s="113"/>
      <c r="AG223" s="113">
        <f t="shared" si="1380"/>
        <v>0</v>
      </c>
      <c r="AH223" s="114">
        <f t="shared" si="1381"/>
        <v>0</v>
      </c>
      <c r="AI223" s="113">
        <f t="shared" si="1382"/>
        <v>0</v>
      </c>
      <c r="AJ223" s="114"/>
      <c r="AK223" s="114">
        <f t="shared" si="1383"/>
        <v>0</v>
      </c>
      <c r="AL223" s="114">
        <f t="shared" si="1384"/>
        <v>0</v>
      </c>
      <c r="AM223" s="113"/>
      <c r="AO223" s="113">
        <f t="shared" si="1385"/>
        <v>0</v>
      </c>
      <c r="AP223" s="114">
        <f t="shared" si="1386"/>
        <v>0</v>
      </c>
      <c r="AQ223" s="113">
        <f t="shared" si="1387"/>
        <v>0</v>
      </c>
      <c r="AR223" s="114"/>
      <c r="AS223" s="114">
        <f t="shared" si="1388"/>
        <v>0</v>
      </c>
      <c r="AT223" s="114">
        <f t="shared" si="1389"/>
        <v>0</v>
      </c>
      <c r="AU223" s="113"/>
      <c r="AW223" s="113">
        <f t="shared" si="1390"/>
        <v>0</v>
      </c>
      <c r="AX223" s="114">
        <f t="shared" si="1391"/>
        <v>0</v>
      </c>
      <c r="AY223" s="113">
        <f t="shared" si="1392"/>
        <v>0</v>
      </c>
      <c r="AZ223" s="114"/>
      <c r="BA223" s="114">
        <f t="shared" si="1393"/>
        <v>0</v>
      </c>
      <c r="BB223" s="114">
        <f t="shared" si="1394"/>
        <v>0</v>
      </c>
      <c r="BC223" s="113"/>
      <c r="BE223" s="113">
        <f t="shared" si="1395"/>
        <v>0</v>
      </c>
      <c r="BF223" s="114">
        <f t="shared" si="1396"/>
        <v>0</v>
      </c>
      <c r="BG223" s="113">
        <f t="shared" si="1397"/>
        <v>0</v>
      </c>
      <c r="BH223" s="114"/>
      <c r="BI223" s="114">
        <f t="shared" si="1398"/>
        <v>0</v>
      </c>
      <c r="BJ223" s="114">
        <f t="shared" si="1399"/>
        <v>0</v>
      </c>
      <c r="BK223" s="113"/>
      <c r="BM223" s="113">
        <f t="shared" si="1400"/>
        <v>0</v>
      </c>
      <c r="BN223" s="114">
        <f t="shared" si="1401"/>
        <v>0</v>
      </c>
      <c r="BO223" s="113">
        <f t="shared" si="1402"/>
        <v>0</v>
      </c>
      <c r="BP223" s="114"/>
      <c r="BQ223" s="114">
        <f t="shared" si="1403"/>
        <v>0</v>
      </c>
      <c r="BR223" s="114">
        <f t="shared" si="1404"/>
        <v>0</v>
      </c>
      <c r="BS223" s="113"/>
      <c r="BU223" s="113">
        <f t="shared" si="1405"/>
        <v>0</v>
      </c>
      <c r="BV223" s="114">
        <f t="shared" si="1406"/>
        <v>0</v>
      </c>
      <c r="BW223" s="113">
        <f t="shared" si="1407"/>
        <v>0</v>
      </c>
      <c r="BX223" s="114"/>
      <c r="BY223" s="114">
        <f t="shared" si="1408"/>
        <v>0</v>
      </c>
      <c r="BZ223" s="114">
        <f t="shared" si="1409"/>
        <v>0</v>
      </c>
      <c r="CA223" s="113"/>
      <c r="CC223" s="113">
        <f t="shared" si="1410"/>
        <v>0</v>
      </c>
      <c r="CD223" s="114">
        <f t="shared" si="1411"/>
        <v>0</v>
      </c>
      <c r="CE223" s="113">
        <f t="shared" si="1412"/>
        <v>0</v>
      </c>
      <c r="CF223" s="114">
        <f t="shared" si="1413"/>
        <v>0</v>
      </c>
      <c r="CG223" s="114">
        <f t="shared" si="1414"/>
        <v>0</v>
      </c>
      <c r="CH223" s="114">
        <f t="shared" si="1415"/>
        <v>0</v>
      </c>
      <c r="CI223" s="113"/>
    </row>
    <row r="224" customHeight="1" spans="1:87">
      <c r="A224" s="115" t="s">
        <v>340</v>
      </c>
      <c r="B224" s="116"/>
      <c r="C224" s="116"/>
      <c r="D224" s="116"/>
      <c r="E224" s="117"/>
      <c r="F224" s="118">
        <f>SUM(F213:F223)</f>
        <v>0</v>
      </c>
      <c r="G224" s="114"/>
      <c r="I224" s="115" t="s">
        <v>340</v>
      </c>
      <c r="J224" s="116"/>
      <c r="K224" s="116"/>
      <c r="L224" s="116"/>
      <c r="M224" s="117"/>
      <c r="N224" s="118">
        <f>SUM(N213:N223)</f>
        <v>0</v>
      </c>
      <c r="O224" s="114"/>
      <c r="Q224" s="115" t="s">
        <v>340</v>
      </c>
      <c r="R224" s="116"/>
      <c r="S224" s="116"/>
      <c r="T224" s="116"/>
      <c r="U224" s="117"/>
      <c r="V224" s="118">
        <f>SUM(V213:V223)</f>
        <v>0</v>
      </c>
      <c r="W224" s="114"/>
      <c r="Y224" s="115" t="s">
        <v>340</v>
      </c>
      <c r="Z224" s="116"/>
      <c r="AA224" s="116"/>
      <c r="AB224" s="116"/>
      <c r="AC224" s="117"/>
      <c r="AD224" s="118">
        <f>SUM(AD213:AD223)</f>
        <v>0</v>
      </c>
      <c r="AE224" s="114"/>
      <c r="AG224" s="115" t="s">
        <v>340</v>
      </c>
      <c r="AH224" s="116"/>
      <c r="AI224" s="116"/>
      <c r="AJ224" s="116"/>
      <c r="AK224" s="117"/>
      <c r="AL224" s="118">
        <f>SUM(AL213:AL223)</f>
        <v>0</v>
      </c>
      <c r="AM224" s="114"/>
      <c r="AO224" s="115" t="s">
        <v>340</v>
      </c>
      <c r="AP224" s="116"/>
      <c r="AQ224" s="116"/>
      <c r="AR224" s="116"/>
      <c r="AS224" s="117"/>
      <c r="AT224" s="118">
        <f>SUM(AT213:AT223)</f>
        <v>0</v>
      </c>
      <c r="AU224" s="114"/>
      <c r="AW224" s="115" t="s">
        <v>340</v>
      </c>
      <c r="AX224" s="116"/>
      <c r="AY224" s="116"/>
      <c r="AZ224" s="116"/>
      <c r="BA224" s="117"/>
      <c r="BB224" s="118">
        <f>SUM(BB213:BB223)</f>
        <v>0</v>
      </c>
      <c r="BC224" s="114"/>
      <c r="BE224" s="115" t="s">
        <v>340</v>
      </c>
      <c r="BF224" s="116"/>
      <c r="BG224" s="116"/>
      <c r="BH224" s="116"/>
      <c r="BI224" s="117"/>
      <c r="BJ224" s="118">
        <f>SUM(BJ213:BJ223)</f>
        <v>0</v>
      </c>
      <c r="BK224" s="114"/>
      <c r="BM224" s="115" t="s">
        <v>340</v>
      </c>
      <c r="BN224" s="116"/>
      <c r="BO224" s="116"/>
      <c r="BP224" s="116"/>
      <c r="BQ224" s="117"/>
      <c r="BR224" s="118">
        <f>SUM(BR213:BR223)</f>
        <v>0</v>
      </c>
      <c r="BS224" s="114"/>
      <c r="BU224" s="115" t="s">
        <v>340</v>
      </c>
      <c r="BV224" s="116"/>
      <c r="BW224" s="116"/>
      <c r="BX224" s="116"/>
      <c r="BY224" s="117"/>
      <c r="BZ224" s="118">
        <f>SUM(BZ213:BZ223)</f>
        <v>0</v>
      </c>
      <c r="CA224" s="114"/>
      <c r="CC224" s="115" t="s">
        <v>340</v>
      </c>
      <c r="CD224" s="116"/>
      <c r="CE224" s="116"/>
      <c r="CF224" s="116"/>
      <c r="CG224" s="117"/>
      <c r="CH224" s="118">
        <f>SUM(CH213:CH223)</f>
        <v>0</v>
      </c>
      <c r="CI224" s="114"/>
    </row>
    <row r="225" customHeight="1" spans="1:87">
      <c r="A225" s="119" t="s">
        <v>341</v>
      </c>
      <c r="B225" s="119"/>
      <c r="C225" s="120"/>
      <c r="D225" s="119"/>
      <c r="E225" s="119"/>
      <c r="F225" s="119"/>
      <c r="G225" s="119"/>
      <c r="I225" s="119" t="s">
        <v>341</v>
      </c>
      <c r="J225" s="119"/>
      <c r="K225" s="120"/>
      <c r="L225" s="119"/>
      <c r="M225" s="119"/>
      <c r="N225" s="119"/>
      <c r="O225" s="119"/>
      <c r="Q225" s="119" t="s">
        <v>341</v>
      </c>
      <c r="R225" s="119"/>
      <c r="S225" s="120"/>
      <c r="T225" s="119"/>
      <c r="U225" s="119"/>
      <c r="V225" s="119"/>
      <c r="W225" s="119"/>
      <c r="Y225" s="119" t="s">
        <v>341</v>
      </c>
      <c r="Z225" s="119"/>
      <c r="AA225" s="120"/>
      <c r="AB225" s="119"/>
      <c r="AC225" s="119"/>
      <c r="AD225" s="119"/>
      <c r="AE225" s="119"/>
      <c r="AG225" s="119" t="s">
        <v>341</v>
      </c>
      <c r="AH225" s="119"/>
      <c r="AI225" s="120"/>
      <c r="AJ225" s="119"/>
      <c r="AK225" s="119"/>
      <c r="AL225" s="119"/>
      <c r="AM225" s="119"/>
      <c r="AO225" s="119" t="s">
        <v>341</v>
      </c>
      <c r="AP225" s="119"/>
      <c r="AQ225" s="120"/>
      <c r="AR225" s="119"/>
      <c r="AS225" s="119"/>
      <c r="AT225" s="119"/>
      <c r="AU225" s="119"/>
      <c r="AW225" s="119" t="s">
        <v>341</v>
      </c>
      <c r="AX225" s="119"/>
      <c r="AY225" s="120"/>
      <c r="AZ225" s="119"/>
      <c r="BA225" s="119"/>
      <c r="BB225" s="119"/>
      <c r="BC225" s="119"/>
      <c r="BE225" s="119" t="s">
        <v>341</v>
      </c>
      <c r="BF225" s="119"/>
      <c r="BG225" s="120"/>
      <c r="BH225" s="119"/>
      <c r="BI225" s="119"/>
      <c r="BJ225" s="119"/>
      <c r="BK225" s="119"/>
      <c r="BM225" s="119" t="s">
        <v>341</v>
      </c>
      <c r="BN225" s="119"/>
      <c r="BO225" s="120"/>
      <c r="BP225" s="119"/>
      <c r="BQ225" s="119"/>
      <c r="BR225" s="119"/>
      <c r="BS225" s="119"/>
      <c r="BU225" s="119" t="s">
        <v>341</v>
      </c>
      <c r="BV225" s="119"/>
      <c r="BW225" s="120"/>
      <c r="BX225" s="119"/>
      <c r="BY225" s="119"/>
      <c r="BZ225" s="119"/>
      <c r="CA225" s="119"/>
      <c r="CC225" s="119" t="s">
        <v>341</v>
      </c>
      <c r="CD225" s="119"/>
      <c r="CE225" s="120"/>
      <c r="CF225" s="119"/>
      <c r="CG225" s="119"/>
      <c r="CH225" s="119"/>
      <c r="CI225" s="119"/>
    </row>
  </sheetData>
  <mergeCells count="396">
    <mergeCell ref="C1:E1"/>
    <mergeCell ref="K1:M1"/>
    <mergeCell ref="S1:U1"/>
    <mergeCell ref="AA1:AC1"/>
    <mergeCell ref="AI1:AK1"/>
    <mergeCell ref="AQ1:AS1"/>
    <mergeCell ref="AY1:BA1"/>
    <mergeCell ref="BG1:BI1"/>
    <mergeCell ref="BO1:BQ1"/>
    <mergeCell ref="BW1:BY1"/>
    <mergeCell ref="CE1:CG1"/>
    <mergeCell ref="C2:E2"/>
    <mergeCell ref="K2:M2"/>
    <mergeCell ref="S2:U2"/>
    <mergeCell ref="AA2:AC2"/>
    <mergeCell ref="AI2:AK2"/>
    <mergeCell ref="AQ2:AS2"/>
    <mergeCell ref="AY2:BA2"/>
    <mergeCell ref="BG2:BI2"/>
    <mergeCell ref="BO2:BQ2"/>
    <mergeCell ref="BW2:BY2"/>
    <mergeCell ref="CE2:CG2"/>
    <mergeCell ref="A16:E16"/>
    <mergeCell ref="I16:M16"/>
    <mergeCell ref="Q16:U16"/>
    <mergeCell ref="Y16:AC16"/>
    <mergeCell ref="AG16:AK16"/>
    <mergeCell ref="AO16:AS16"/>
    <mergeCell ref="AW16:BA16"/>
    <mergeCell ref="BE16:BI16"/>
    <mergeCell ref="BM16:BQ16"/>
    <mergeCell ref="BU16:BY16"/>
    <mergeCell ref="CC16:CG16"/>
    <mergeCell ref="C20:E20"/>
    <mergeCell ref="K20:M20"/>
    <mergeCell ref="S20:U20"/>
    <mergeCell ref="AA20:AC20"/>
    <mergeCell ref="AI20:AK20"/>
    <mergeCell ref="AQ20:AS20"/>
    <mergeCell ref="AY20:BA20"/>
    <mergeCell ref="BG20:BI20"/>
    <mergeCell ref="BO20:BQ20"/>
    <mergeCell ref="BW20:BY20"/>
    <mergeCell ref="CE20:CG20"/>
    <mergeCell ref="C21:E21"/>
    <mergeCell ref="K21:M21"/>
    <mergeCell ref="S21:U21"/>
    <mergeCell ref="AA21:AC21"/>
    <mergeCell ref="AI21:AK21"/>
    <mergeCell ref="AQ21:AS21"/>
    <mergeCell ref="AY21:BA21"/>
    <mergeCell ref="BG21:BI21"/>
    <mergeCell ref="BO21:BQ21"/>
    <mergeCell ref="BW21:BY21"/>
    <mergeCell ref="CE21:CG21"/>
    <mergeCell ref="A35:E35"/>
    <mergeCell ref="I35:M35"/>
    <mergeCell ref="Q35:U35"/>
    <mergeCell ref="Y35:AC35"/>
    <mergeCell ref="AG35:AK35"/>
    <mergeCell ref="AO35:AS35"/>
    <mergeCell ref="AW35:BA35"/>
    <mergeCell ref="BE35:BI35"/>
    <mergeCell ref="BM35:BQ35"/>
    <mergeCell ref="BU35:BY35"/>
    <mergeCell ref="CC35:CG35"/>
    <mergeCell ref="C39:E39"/>
    <mergeCell ref="K39:M39"/>
    <mergeCell ref="S39:U39"/>
    <mergeCell ref="AA39:AC39"/>
    <mergeCell ref="AI39:AK39"/>
    <mergeCell ref="AQ39:AS39"/>
    <mergeCell ref="AY39:BA39"/>
    <mergeCell ref="BG39:BI39"/>
    <mergeCell ref="BO39:BQ39"/>
    <mergeCell ref="BW39:BY39"/>
    <mergeCell ref="CE39:CG39"/>
    <mergeCell ref="C40:E40"/>
    <mergeCell ref="K40:M40"/>
    <mergeCell ref="S40:U40"/>
    <mergeCell ref="AA40:AC40"/>
    <mergeCell ref="AI40:AK40"/>
    <mergeCell ref="AQ40:AS40"/>
    <mergeCell ref="AY40:BA40"/>
    <mergeCell ref="BG40:BI40"/>
    <mergeCell ref="BO40:BQ40"/>
    <mergeCell ref="BW40:BY40"/>
    <mergeCell ref="CE40:CG40"/>
    <mergeCell ref="A54:E54"/>
    <mergeCell ref="I54:M54"/>
    <mergeCell ref="Q54:U54"/>
    <mergeCell ref="Y54:AC54"/>
    <mergeCell ref="AG54:AK54"/>
    <mergeCell ref="AO54:AS54"/>
    <mergeCell ref="AW54:BA54"/>
    <mergeCell ref="BE54:BI54"/>
    <mergeCell ref="BM54:BQ54"/>
    <mergeCell ref="BU54:BY54"/>
    <mergeCell ref="CC54:CG54"/>
    <mergeCell ref="C58:E58"/>
    <mergeCell ref="K58:M58"/>
    <mergeCell ref="S58:U58"/>
    <mergeCell ref="AA58:AC58"/>
    <mergeCell ref="AI58:AK58"/>
    <mergeCell ref="AQ58:AS58"/>
    <mergeCell ref="AY58:BA58"/>
    <mergeCell ref="BG58:BI58"/>
    <mergeCell ref="BO58:BQ58"/>
    <mergeCell ref="BW58:BY58"/>
    <mergeCell ref="CE58:CG58"/>
    <mergeCell ref="C59:E59"/>
    <mergeCell ref="K59:M59"/>
    <mergeCell ref="S59:U59"/>
    <mergeCell ref="AA59:AC59"/>
    <mergeCell ref="AI59:AK59"/>
    <mergeCell ref="AQ59:AS59"/>
    <mergeCell ref="AY59:BA59"/>
    <mergeCell ref="BG59:BI59"/>
    <mergeCell ref="BO59:BQ59"/>
    <mergeCell ref="BW59:BY59"/>
    <mergeCell ref="CE59:CG59"/>
    <mergeCell ref="A73:E73"/>
    <mergeCell ref="I73:M73"/>
    <mergeCell ref="Q73:U73"/>
    <mergeCell ref="Y73:AC73"/>
    <mergeCell ref="AG73:AK73"/>
    <mergeCell ref="AO73:AS73"/>
    <mergeCell ref="AW73:BA73"/>
    <mergeCell ref="BE73:BI73"/>
    <mergeCell ref="BM73:BQ73"/>
    <mergeCell ref="BU73:BY73"/>
    <mergeCell ref="CC73:CG73"/>
    <mergeCell ref="C77:E77"/>
    <mergeCell ref="K77:M77"/>
    <mergeCell ref="S77:U77"/>
    <mergeCell ref="AA77:AC77"/>
    <mergeCell ref="AI77:AK77"/>
    <mergeCell ref="AQ77:AS77"/>
    <mergeCell ref="AY77:BA77"/>
    <mergeCell ref="BG77:BI77"/>
    <mergeCell ref="BO77:BQ77"/>
    <mergeCell ref="BW77:BY77"/>
    <mergeCell ref="CE77:CG77"/>
    <mergeCell ref="C78:E78"/>
    <mergeCell ref="K78:M78"/>
    <mergeCell ref="S78:U78"/>
    <mergeCell ref="AA78:AC78"/>
    <mergeCell ref="AI78:AK78"/>
    <mergeCell ref="AQ78:AS78"/>
    <mergeCell ref="AY78:BA78"/>
    <mergeCell ref="BG78:BI78"/>
    <mergeCell ref="BO78:BQ78"/>
    <mergeCell ref="BW78:BY78"/>
    <mergeCell ref="CE78:CG78"/>
    <mergeCell ref="A92:E92"/>
    <mergeCell ref="I92:M92"/>
    <mergeCell ref="Q92:U92"/>
    <mergeCell ref="Y92:AC92"/>
    <mergeCell ref="AG92:AK92"/>
    <mergeCell ref="AO92:AS92"/>
    <mergeCell ref="AW92:BA92"/>
    <mergeCell ref="BE92:BI92"/>
    <mergeCell ref="BM92:BQ92"/>
    <mergeCell ref="BU92:BY92"/>
    <mergeCell ref="CC92:CG92"/>
    <mergeCell ref="C96:E96"/>
    <mergeCell ref="K96:M96"/>
    <mergeCell ref="S96:U96"/>
    <mergeCell ref="AA96:AC96"/>
    <mergeCell ref="AI96:AK96"/>
    <mergeCell ref="AQ96:AS96"/>
    <mergeCell ref="AY96:BA96"/>
    <mergeCell ref="BG96:BI96"/>
    <mergeCell ref="BO96:BQ96"/>
    <mergeCell ref="BW96:BY96"/>
    <mergeCell ref="CE96:CG96"/>
    <mergeCell ref="C97:E97"/>
    <mergeCell ref="K97:M97"/>
    <mergeCell ref="S97:U97"/>
    <mergeCell ref="AA97:AC97"/>
    <mergeCell ref="AI97:AK97"/>
    <mergeCell ref="AQ97:AS97"/>
    <mergeCell ref="AY97:BA97"/>
    <mergeCell ref="BG97:BI97"/>
    <mergeCell ref="BO97:BQ97"/>
    <mergeCell ref="BW97:BY97"/>
    <mergeCell ref="CE97:CG97"/>
    <mergeCell ref="A111:E111"/>
    <mergeCell ref="I111:M111"/>
    <mergeCell ref="Q111:U111"/>
    <mergeCell ref="Y111:AC111"/>
    <mergeCell ref="AG111:AK111"/>
    <mergeCell ref="AO111:AS111"/>
    <mergeCell ref="AW111:BA111"/>
    <mergeCell ref="BE111:BI111"/>
    <mergeCell ref="BM111:BQ111"/>
    <mergeCell ref="BU111:BY111"/>
    <mergeCell ref="CC111:CG111"/>
    <mergeCell ref="C115:E115"/>
    <mergeCell ref="K115:M115"/>
    <mergeCell ref="S115:U115"/>
    <mergeCell ref="AA115:AC115"/>
    <mergeCell ref="AI115:AK115"/>
    <mergeCell ref="AQ115:AS115"/>
    <mergeCell ref="AY115:BA115"/>
    <mergeCell ref="BG115:BI115"/>
    <mergeCell ref="BO115:BQ115"/>
    <mergeCell ref="BW115:BY115"/>
    <mergeCell ref="CE115:CG115"/>
    <mergeCell ref="C116:E116"/>
    <mergeCell ref="K116:M116"/>
    <mergeCell ref="S116:U116"/>
    <mergeCell ref="AA116:AC116"/>
    <mergeCell ref="AI116:AK116"/>
    <mergeCell ref="AQ116:AS116"/>
    <mergeCell ref="AY116:BA116"/>
    <mergeCell ref="BG116:BI116"/>
    <mergeCell ref="BO116:BQ116"/>
    <mergeCell ref="BW116:BY116"/>
    <mergeCell ref="CE116:CG116"/>
    <mergeCell ref="A130:E130"/>
    <mergeCell ref="I130:M130"/>
    <mergeCell ref="Q130:U130"/>
    <mergeCell ref="Y130:AC130"/>
    <mergeCell ref="AG130:AK130"/>
    <mergeCell ref="AO130:AS130"/>
    <mergeCell ref="AW130:BA130"/>
    <mergeCell ref="BE130:BI130"/>
    <mergeCell ref="BM130:BQ130"/>
    <mergeCell ref="BU130:BY130"/>
    <mergeCell ref="CC130:CG130"/>
    <mergeCell ref="C134:E134"/>
    <mergeCell ref="K134:M134"/>
    <mergeCell ref="S134:U134"/>
    <mergeCell ref="AA134:AC134"/>
    <mergeCell ref="AI134:AK134"/>
    <mergeCell ref="AQ134:AS134"/>
    <mergeCell ref="AY134:BA134"/>
    <mergeCell ref="BG134:BI134"/>
    <mergeCell ref="BO134:BQ134"/>
    <mergeCell ref="BW134:BY134"/>
    <mergeCell ref="CE134:CG134"/>
    <mergeCell ref="C135:E135"/>
    <mergeCell ref="K135:M135"/>
    <mergeCell ref="S135:U135"/>
    <mergeCell ref="AA135:AC135"/>
    <mergeCell ref="AI135:AK135"/>
    <mergeCell ref="AQ135:AS135"/>
    <mergeCell ref="AY135:BA135"/>
    <mergeCell ref="BG135:BI135"/>
    <mergeCell ref="BO135:BQ135"/>
    <mergeCell ref="BW135:BY135"/>
    <mergeCell ref="CE135:CG135"/>
    <mergeCell ref="A149:E149"/>
    <mergeCell ref="I149:M149"/>
    <mergeCell ref="Q149:U149"/>
    <mergeCell ref="Y149:AC149"/>
    <mergeCell ref="AG149:AK149"/>
    <mergeCell ref="AO149:AS149"/>
    <mergeCell ref="AW149:BA149"/>
    <mergeCell ref="BE149:BI149"/>
    <mergeCell ref="BM149:BQ149"/>
    <mergeCell ref="BU149:BY149"/>
    <mergeCell ref="CC149:CG149"/>
    <mergeCell ref="C153:E153"/>
    <mergeCell ref="K153:M153"/>
    <mergeCell ref="S153:U153"/>
    <mergeCell ref="AA153:AC153"/>
    <mergeCell ref="AI153:AK153"/>
    <mergeCell ref="AQ153:AS153"/>
    <mergeCell ref="AY153:BA153"/>
    <mergeCell ref="BG153:BI153"/>
    <mergeCell ref="BO153:BQ153"/>
    <mergeCell ref="BW153:BY153"/>
    <mergeCell ref="CE153:CG153"/>
    <mergeCell ref="C154:E154"/>
    <mergeCell ref="K154:M154"/>
    <mergeCell ref="S154:U154"/>
    <mergeCell ref="AA154:AC154"/>
    <mergeCell ref="AI154:AK154"/>
    <mergeCell ref="AQ154:AS154"/>
    <mergeCell ref="AY154:BA154"/>
    <mergeCell ref="BG154:BI154"/>
    <mergeCell ref="BO154:BQ154"/>
    <mergeCell ref="BW154:BY154"/>
    <mergeCell ref="CE154:CG154"/>
    <mergeCell ref="A168:E168"/>
    <mergeCell ref="I168:M168"/>
    <mergeCell ref="Q168:U168"/>
    <mergeCell ref="Y168:AC168"/>
    <mergeCell ref="AG168:AK168"/>
    <mergeCell ref="AO168:AS168"/>
    <mergeCell ref="AW168:BA168"/>
    <mergeCell ref="BE168:BI168"/>
    <mergeCell ref="BM168:BQ168"/>
    <mergeCell ref="BU168:BY168"/>
    <mergeCell ref="CC168:CG168"/>
    <mergeCell ref="C172:E172"/>
    <mergeCell ref="K172:M172"/>
    <mergeCell ref="S172:U172"/>
    <mergeCell ref="AA172:AC172"/>
    <mergeCell ref="AI172:AK172"/>
    <mergeCell ref="AQ172:AS172"/>
    <mergeCell ref="AY172:BA172"/>
    <mergeCell ref="BG172:BI172"/>
    <mergeCell ref="BO172:BQ172"/>
    <mergeCell ref="BW172:BY172"/>
    <mergeCell ref="CE172:CG172"/>
    <mergeCell ref="C173:E173"/>
    <mergeCell ref="K173:M173"/>
    <mergeCell ref="S173:U173"/>
    <mergeCell ref="AA173:AC173"/>
    <mergeCell ref="AI173:AK173"/>
    <mergeCell ref="AQ173:AS173"/>
    <mergeCell ref="AY173:BA173"/>
    <mergeCell ref="BG173:BI173"/>
    <mergeCell ref="BO173:BQ173"/>
    <mergeCell ref="BW173:BY173"/>
    <mergeCell ref="CE173:CG173"/>
    <mergeCell ref="A187:E187"/>
    <mergeCell ref="I187:M187"/>
    <mergeCell ref="Q187:U187"/>
    <mergeCell ref="Y187:AC187"/>
    <mergeCell ref="AG187:AK187"/>
    <mergeCell ref="AO187:AS187"/>
    <mergeCell ref="AW187:BA187"/>
    <mergeCell ref="BE187:BI187"/>
    <mergeCell ref="BM187:BQ187"/>
    <mergeCell ref="BU187:BY187"/>
    <mergeCell ref="CC187:CG187"/>
    <mergeCell ref="C191:E191"/>
    <mergeCell ref="K191:M191"/>
    <mergeCell ref="S191:U191"/>
    <mergeCell ref="AA191:AC191"/>
    <mergeCell ref="AI191:AK191"/>
    <mergeCell ref="AQ191:AS191"/>
    <mergeCell ref="AY191:BA191"/>
    <mergeCell ref="BG191:BI191"/>
    <mergeCell ref="BO191:BQ191"/>
    <mergeCell ref="BW191:BY191"/>
    <mergeCell ref="CE191:CG191"/>
    <mergeCell ref="C192:E192"/>
    <mergeCell ref="K192:M192"/>
    <mergeCell ref="S192:U192"/>
    <mergeCell ref="AA192:AC192"/>
    <mergeCell ref="AI192:AK192"/>
    <mergeCell ref="AQ192:AS192"/>
    <mergeCell ref="AY192:BA192"/>
    <mergeCell ref="BG192:BI192"/>
    <mergeCell ref="BO192:BQ192"/>
    <mergeCell ref="BW192:BY192"/>
    <mergeCell ref="CE192:CG192"/>
    <mergeCell ref="A206:E206"/>
    <mergeCell ref="I206:M206"/>
    <mergeCell ref="Q206:U206"/>
    <mergeCell ref="Y206:AC206"/>
    <mergeCell ref="AG206:AK206"/>
    <mergeCell ref="AO206:AS206"/>
    <mergeCell ref="AW206:BA206"/>
    <mergeCell ref="BE206:BI206"/>
    <mergeCell ref="BM206:BQ206"/>
    <mergeCell ref="BU206:BY206"/>
    <mergeCell ref="CC206:CG206"/>
    <mergeCell ref="C210:E210"/>
    <mergeCell ref="K210:M210"/>
    <mergeCell ref="S210:U210"/>
    <mergeCell ref="AA210:AC210"/>
    <mergeCell ref="AI210:AK210"/>
    <mergeCell ref="AQ210:AS210"/>
    <mergeCell ref="AY210:BA210"/>
    <mergeCell ref="BG210:BI210"/>
    <mergeCell ref="BO210:BQ210"/>
    <mergeCell ref="BW210:BY210"/>
    <mergeCell ref="CE210:CG210"/>
    <mergeCell ref="C211:E211"/>
    <mergeCell ref="K211:M211"/>
    <mergeCell ref="S211:U211"/>
    <mergeCell ref="AA211:AC211"/>
    <mergeCell ref="AI211:AK211"/>
    <mergeCell ref="AQ211:AS211"/>
    <mergeCell ref="AY211:BA211"/>
    <mergeCell ref="BG211:BI211"/>
    <mergeCell ref="BO211:BQ211"/>
    <mergeCell ref="BW211:BY211"/>
    <mergeCell ref="CE211:CG211"/>
    <mergeCell ref="A224:E224"/>
    <mergeCell ref="I224:M224"/>
    <mergeCell ref="Q224:U224"/>
    <mergeCell ref="Y224:AC224"/>
    <mergeCell ref="AG224:AK224"/>
    <mergeCell ref="AO224:AS224"/>
    <mergeCell ref="AW224:BA224"/>
    <mergeCell ref="BE224:BI224"/>
    <mergeCell ref="BM224:BQ224"/>
    <mergeCell ref="BU224:BY224"/>
    <mergeCell ref="CC224:CG224"/>
  </mergeCells>
  <pageMargins left="0.75" right="0.75" top="1" bottom="1" header="0.5" footer="0.5"/>
  <pageSetup paperSize="9" fitToHeight="0" orientation="portrait"/>
  <headerFooter/>
  <rowBreaks count="2" manualBreakCount="2">
    <brk id="37" max="16383" man="1"/>
    <brk id="75" max="16383" man="1"/>
  </rowBreaks>
  <colBreaks count="10" manualBreakCount="10">
    <brk id="7" max="1048575" man="1"/>
    <brk id="15" max="1048575" man="1"/>
    <brk id="23" max="1048575" man="1"/>
    <brk id="31" max="1048575" man="1"/>
    <brk id="39" max="1048575" man="1"/>
    <brk id="47" max="1048575" man="1"/>
    <brk id="55" max="1048575" man="1"/>
    <brk id="63" max="1048575" man="1"/>
    <brk id="71" max="1048575" man="1"/>
    <brk id="7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68"/>
  <sheetViews>
    <sheetView showZeros="0" view="pageBreakPreview" zoomScaleNormal="100" topLeftCell="A225" workbookViewId="0">
      <selection activeCell="K251" sqref="K251"/>
    </sheetView>
  </sheetViews>
  <sheetFormatPr defaultColWidth="9" defaultRowHeight="18" customHeight="1" outlineLevelCol="6"/>
  <cols>
    <col min="1" max="1" width="20.75" style="104" customWidth="1"/>
    <col min="2" max="2" width="14" style="104" customWidth="1"/>
    <col min="3" max="3" width="8" style="104" customWidth="1"/>
    <col min="4" max="7" width="12.1296296296296" style="104" customWidth="1"/>
    <col min="8" max="16384" width="9" style="104"/>
  </cols>
  <sheetData>
    <row r="1" customHeight="1" spans="1:7">
      <c r="A1" s="105"/>
      <c r="B1" s="106"/>
      <c r="C1" s="107" t="s">
        <v>330</v>
      </c>
      <c r="D1" s="107"/>
      <c r="E1" s="107"/>
      <c r="F1" s="105"/>
      <c r="G1" s="105"/>
    </row>
    <row r="2" customHeight="1" spans="1:7">
      <c r="A2" s="108" t="s">
        <v>331</v>
      </c>
      <c r="B2" s="109"/>
      <c r="C2" s="110">
        <v>45688</v>
      </c>
      <c r="D2" s="110"/>
      <c r="E2" s="110"/>
      <c r="F2" s="111" t="s">
        <v>332</v>
      </c>
      <c r="G2" s="112" t="str">
        <f>立项!$A$3</f>
        <v>RD01</v>
      </c>
    </row>
    <row r="3" customHeight="1" spans="1:7">
      <c r="A3" s="113" t="s">
        <v>333</v>
      </c>
      <c r="B3" s="113" t="s">
        <v>334</v>
      </c>
      <c r="C3" s="113" t="s">
        <v>335</v>
      </c>
      <c r="D3" s="113" t="s">
        <v>336</v>
      </c>
      <c r="E3" s="113" t="s">
        <v>337</v>
      </c>
      <c r="F3" s="113" t="s">
        <v>338</v>
      </c>
      <c r="G3" s="113" t="s">
        <v>339</v>
      </c>
    </row>
    <row r="4" customHeight="1" spans="1:7">
      <c r="A4" s="113">
        <f>领料单!I4</f>
        <v>0</v>
      </c>
      <c r="B4" s="114">
        <f>领料单!J4</f>
        <v>0</v>
      </c>
      <c r="C4" s="114">
        <f>领料单!K4</f>
        <v>0</v>
      </c>
      <c r="D4" s="114">
        <f>领料单!L4</f>
        <v>0</v>
      </c>
      <c r="E4" s="114">
        <f>领料单!M4</f>
        <v>0</v>
      </c>
      <c r="F4" s="114">
        <f>领料单!N4</f>
        <v>0</v>
      </c>
      <c r="G4" s="113"/>
    </row>
    <row r="5" customHeight="1" spans="1:7">
      <c r="A5" s="113">
        <f>领料单!I5</f>
        <v>0</v>
      </c>
      <c r="B5" s="114">
        <f>领料单!J5</f>
        <v>0</v>
      </c>
      <c r="C5" s="114">
        <f>领料单!K5</f>
        <v>0</v>
      </c>
      <c r="D5" s="114">
        <f>领料单!L5</f>
        <v>0</v>
      </c>
      <c r="E5" s="114">
        <f>领料单!M5</f>
        <v>0</v>
      </c>
      <c r="F5" s="114">
        <f>领料单!N5</f>
        <v>0</v>
      </c>
      <c r="G5" s="113"/>
    </row>
    <row r="6" customHeight="1" spans="1:7">
      <c r="A6" s="113">
        <f>领料单!I6</f>
        <v>0</v>
      </c>
      <c r="B6" s="114">
        <f>领料单!J6</f>
        <v>0</v>
      </c>
      <c r="C6" s="114">
        <f>领料单!K6</f>
        <v>0</v>
      </c>
      <c r="D6" s="114">
        <f>领料单!L6</f>
        <v>0</v>
      </c>
      <c r="E6" s="114">
        <f>领料单!M6</f>
        <v>0</v>
      </c>
      <c r="F6" s="114">
        <f>领料单!N6</f>
        <v>0</v>
      </c>
      <c r="G6" s="113"/>
    </row>
    <row r="7" customHeight="1" spans="1:7">
      <c r="A7" s="113">
        <f>领料单!I7</f>
        <v>0</v>
      </c>
      <c r="B7" s="114">
        <f>领料单!J7</f>
        <v>0</v>
      </c>
      <c r="C7" s="114">
        <f>领料单!K7</f>
        <v>0</v>
      </c>
      <c r="D7" s="114">
        <f>领料单!L7</f>
        <v>0</v>
      </c>
      <c r="E7" s="114">
        <f>领料单!M7</f>
        <v>0</v>
      </c>
      <c r="F7" s="114">
        <f>领料单!N7</f>
        <v>0</v>
      </c>
      <c r="G7" s="113"/>
    </row>
    <row r="8" customHeight="1" spans="1:7">
      <c r="A8" s="113">
        <f>领料单!I8</f>
        <v>0</v>
      </c>
      <c r="B8" s="114">
        <f>领料单!J8</f>
        <v>0</v>
      </c>
      <c r="C8" s="114">
        <f>领料单!K8</f>
        <v>0</v>
      </c>
      <c r="D8" s="114">
        <f>领料单!L8</f>
        <v>0</v>
      </c>
      <c r="E8" s="114">
        <f>领料单!M8</f>
        <v>0</v>
      </c>
      <c r="F8" s="114">
        <f>领料单!N8</f>
        <v>0</v>
      </c>
      <c r="G8" s="113"/>
    </row>
    <row r="9" customHeight="1" spans="1:7">
      <c r="A9" s="113">
        <f>领料单!I9</f>
        <v>0</v>
      </c>
      <c r="B9" s="114">
        <f>领料单!J9</f>
        <v>0</v>
      </c>
      <c r="C9" s="114">
        <f>领料单!K9</f>
        <v>0</v>
      </c>
      <c r="D9" s="114">
        <f>领料单!L9</f>
        <v>0</v>
      </c>
      <c r="E9" s="114">
        <f>领料单!M9</f>
        <v>0</v>
      </c>
      <c r="F9" s="114">
        <f>领料单!N9</f>
        <v>0</v>
      </c>
      <c r="G9" s="113"/>
    </row>
    <row r="10" customHeight="1" spans="1:7">
      <c r="A10" s="113">
        <f>领料单!I10</f>
        <v>0</v>
      </c>
      <c r="B10" s="114">
        <f>领料单!J10</f>
        <v>0</v>
      </c>
      <c r="C10" s="114">
        <f>领料单!K10</f>
        <v>0</v>
      </c>
      <c r="D10" s="114">
        <f>领料单!L10</f>
        <v>0</v>
      </c>
      <c r="E10" s="114">
        <f>领料单!M10</f>
        <v>0</v>
      </c>
      <c r="F10" s="114">
        <f>领料单!N10</f>
        <v>0</v>
      </c>
      <c r="G10" s="113"/>
    </row>
    <row r="11" customHeight="1" spans="1:7">
      <c r="A11" s="113">
        <f>领料单!I11</f>
        <v>0</v>
      </c>
      <c r="B11" s="114">
        <f>领料单!J11</f>
        <v>0</v>
      </c>
      <c r="C11" s="114">
        <f>领料单!K11</f>
        <v>0</v>
      </c>
      <c r="D11" s="114">
        <f>领料单!L11</f>
        <v>0</v>
      </c>
      <c r="E11" s="114">
        <f>领料单!M11</f>
        <v>0</v>
      </c>
      <c r="F11" s="114">
        <f>领料单!N11</f>
        <v>0</v>
      </c>
      <c r="G11" s="113"/>
    </row>
    <row r="12" customHeight="1" spans="1:7">
      <c r="A12" s="113">
        <f>领料单!I12</f>
        <v>0</v>
      </c>
      <c r="B12" s="114">
        <f>领料单!J12</f>
        <v>0</v>
      </c>
      <c r="C12" s="114">
        <f>领料单!K12</f>
        <v>0</v>
      </c>
      <c r="D12" s="114">
        <f>领料单!L12</f>
        <v>0</v>
      </c>
      <c r="E12" s="114">
        <f>领料单!M12</f>
        <v>0</v>
      </c>
      <c r="F12" s="114">
        <f>领料单!N12</f>
        <v>0</v>
      </c>
      <c r="G12" s="113"/>
    </row>
    <row r="13" customHeight="1" spans="1:7">
      <c r="A13" s="113">
        <f>领料单!I13</f>
        <v>0</v>
      </c>
      <c r="B13" s="114">
        <f>领料单!J13</f>
        <v>0</v>
      </c>
      <c r="C13" s="114">
        <f>领料单!K13</f>
        <v>0</v>
      </c>
      <c r="D13" s="114">
        <f>领料单!L13</f>
        <v>0</v>
      </c>
      <c r="E13" s="114">
        <f>领料单!M13</f>
        <v>0</v>
      </c>
      <c r="F13" s="114">
        <f>领料单!N13</f>
        <v>0</v>
      </c>
      <c r="G13" s="113"/>
    </row>
    <row r="14" customHeight="1" spans="1:7">
      <c r="A14" s="113">
        <f>领料单!I14</f>
        <v>0</v>
      </c>
      <c r="B14" s="114">
        <f>领料单!J14</f>
        <v>0</v>
      </c>
      <c r="C14" s="114">
        <f>领料单!K14</f>
        <v>0</v>
      </c>
      <c r="D14" s="114">
        <f>领料单!L14</f>
        <v>0</v>
      </c>
      <c r="E14" s="114">
        <f>领料单!M14</f>
        <v>0</v>
      </c>
      <c r="F14" s="114">
        <f>领料单!N14</f>
        <v>0</v>
      </c>
      <c r="G14" s="113"/>
    </row>
    <row r="15" customHeight="1" spans="1:7">
      <c r="A15" s="113">
        <f>领料单!I15</f>
        <v>0</v>
      </c>
      <c r="B15" s="114">
        <f>领料单!J15</f>
        <v>0</v>
      </c>
      <c r="C15" s="114">
        <f>领料单!K15</f>
        <v>0</v>
      </c>
      <c r="D15" s="114">
        <f>领料单!L15</f>
        <v>0</v>
      </c>
      <c r="E15" s="114">
        <f>领料单!M15</f>
        <v>0</v>
      </c>
      <c r="F15" s="114">
        <f>领料单!N15</f>
        <v>0</v>
      </c>
      <c r="G15" s="113"/>
    </row>
    <row r="16" customHeight="1" spans="1:7">
      <c r="A16" s="115" t="s">
        <v>340</v>
      </c>
      <c r="B16" s="116"/>
      <c r="C16" s="116"/>
      <c r="D16" s="116"/>
      <c r="E16" s="117"/>
      <c r="F16" s="118">
        <f>SUM(F4:F15)</f>
        <v>0</v>
      </c>
      <c r="G16" s="114"/>
    </row>
    <row r="17" customHeight="1" spans="1:7">
      <c r="A17" s="119" t="s">
        <v>341</v>
      </c>
      <c r="B17" s="119"/>
      <c r="C17" s="120"/>
      <c r="D17" s="119"/>
      <c r="E17" s="121" t="s">
        <v>342</v>
      </c>
      <c r="F17" s="119"/>
      <c r="G17" s="119"/>
    </row>
    <row r="20" customHeight="1" spans="1:7">
      <c r="A20" s="105"/>
      <c r="B20" s="106"/>
      <c r="C20" s="107" t="s">
        <v>330</v>
      </c>
      <c r="D20" s="107"/>
      <c r="E20" s="107"/>
      <c r="F20" s="105"/>
      <c r="G20" s="105"/>
    </row>
    <row r="21" customHeight="1" spans="1:7">
      <c r="A21" s="108" t="s">
        <v>331</v>
      </c>
      <c r="B21" s="109"/>
      <c r="C21" s="110">
        <v>45688</v>
      </c>
      <c r="D21" s="110"/>
      <c r="E21" s="110"/>
      <c r="F21" s="111" t="s">
        <v>332</v>
      </c>
      <c r="G21" s="112" t="str">
        <f>立项!$A$4</f>
        <v>RD02</v>
      </c>
    </row>
    <row r="22" customHeight="1" spans="1:7">
      <c r="A22" s="113" t="s">
        <v>333</v>
      </c>
      <c r="B22" s="113" t="s">
        <v>334</v>
      </c>
      <c r="C22" s="113" t="s">
        <v>335</v>
      </c>
      <c r="D22" s="113" t="s">
        <v>336</v>
      </c>
      <c r="E22" s="113" t="s">
        <v>337</v>
      </c>
      <c r="F22" s="113" t="s">
        <v>338</v>
      </c>
      <c r="G22" s="113" t="s">
        <v>339</v>
      </c>
    </row>
    <row r="23" customHeight="1" spans="1:7">
      <c r="A23" s="113">
        <f>领料单!Q4</f>
        <v>0</v>
      </c>
      <c r="B23" s="113">
        <f>领料单!R4</f>
        <v>0</v>
      </c>
      <c r="C23" s="113">
        <f>领料单!S4</f>
        <v>0</v>
      </c>
      <c r="D23" s="113">
        <f>领料单!T4</f>
        <v>0</v>
      </c>
      <c r="E23" s="113">
        <f>领料单!U4</f>
        <v>0</v>
      </c>
      <c r="F23" s="113">
        <f>领料单!V4</f>
        <v>0</v>
      </c>
      <c r="G23" s="113"/>
    </row>
    <row r="24" customHeight="1" spans="1:7">
      <c r="A24" s="113">
        <f>领料单!Q5</f>
        <v>0</v>
      </c>
      <c r="B24" s="113">
        <f>领料单!R5</f>
        <v>0</v>
      </c>
      <c r="C24" s="113">
        <f>领料单!S5</f>
        <v>0</v>
      </c>
      <c r="D24" s="113">
        <f>领料单!T5</f>
        <v>0</v>
      </c>
      <c r="E24" s="113">
        <f>领料单!U5</f>
        <v>0</v>
      </c>
      <c r="F24" s="113">
        <f>领料单!V5</f>
        <v>0</v>
      </c>
      <c r="G24" s="113"/>
    </row>
    <row r="25" customHeight="1" spans="1:7">
      <c r="A25" s="113">
        <f>领料单!Q6</f>
        <v>0</v>
      </c>
      <c r="B25" s="113">
        <f>领料单!R6</f>
        <v>0</v>
      </c>
      <c r="C25" s="113">
        <f>领料单!S6</f>
        <v>0</v>
      </c>
      <c r="D25" s="113">
        <f>领料单!T6</f>
        <v>0</v>
      </c>
      <c r="E25" s="113">
        <f>领料单!U6</f>
        <v>0</v>
      </c>
      <c r="F25" s="113">
        <f>领料单!V6</f>
        <v>0</v>
      </c>
      <c r="G25" s="113"/>
    </row>
    <row r="26" customHeight="1" spans="1:7">
      <c r="A26" s="113">
        <f>领料单!Q7</f>
        <v>0</v>
      </c>
      <c r="B26" s="113">
        <f>领料单!R7</f>
        <v>0</v>
      </c>
      <c r="C26" s="113">
        <f>领料单!S7</f>
        <v>0</v>
      </c>
      <c r="D26" s="113">
        <f>领料单!T7</f>
        <v>0</v>
      </c>
      <c r="E26" s="113">
        <f>领料单!U7</f>
        <v>0</v>
      </c>
      <c r="F26" s="113">
        <f>领料单!V7</f>
        <v>0</v>
      </c>
      <c r="G26" s="113"/>
    </row>
    <row r="27" customHeight="1" spans="1:7">
      <c r="A27" s="113">
        <f>领料单!Q8</f>
        <v>0</v>
      </c>
      <c r="B27" s="113">
        <f>领料单!R8</f>
        <v>0</v>
      </c>
      <c r="C27" s="113">
        <f>领料单!S8</f>
        <v>0</v>
      </c>
      <c r="D27" s="113">
        <f>领料单!T8</f>
        <v>0</v>
      </c>
      <c r="E27" s="113">
        <f>领料单!U8</f>
        <v>0</v>
      </c>
      <c r="F27" s="113">
        <f>领料单!V8</f>
        <v>0</v>
      </c>
      <c r="G27" s="113"/>
    </row>
    <row r="28" customHeight="1" spans="1:7">
      <c r="A28" s="113">
        <f>领料单!Q9</f>
        <v>0</v>
      </c>
      <c r="B28" s="113">
        <f>领料单!R9</f>
        <v>0</v>
      </c>
      <c r="C28" s="113">
        <f>领料单!S9</f>
        <v>0</v>
      </c>
      <c r="D28" s="113">
        <f>领料单!T9</f>
        <v>0</v>
      </c>
      <c r="E28" s="113">
        <f>领料单!U9</f>
        <v>0</v>
      </c>
      <c r="F28" s="113">
        <f>领料单!V9</f>
        <v>0</v>
      </c>
      <c r="G28" s="113"/>
    </row>
    <row r="29" customHeight="1" spans="1:7">
      <c r="A29" s="113">
        <f>领料单!Q10</f>
        <v>0</v>
      </c>
      <c r="B29" s="113">
        <f>领料单!R10</f>
        <v>0</v>
      </c>
      <c r="C29" s="113">
        <f>领料单!S10</f>
        <v>0</v>
      </c>
      <c r="D29" s="113">
        <f>领料单!T10</f>
        <v>0</v>
      </c>
      <c r="E29" s="113">
        <f>领料单!U10</f>
        <v>0</v>
      </c>
      <c r="F29" s="113">
        <f>领料单!V10</f>
        <v>0</v>
      </c>
      <c r="G29" s="113"/>
    </row>
    <row r="30" customHeight="1" spans="1:7">
      <c r="A30" s="113">
        <f>领料单!Q11</f>
        <v>0</v>
      </c>
      <c r="B30" s="113">
        <f>领料单!R11</f>
        <v>0</v>
      </c>
      <c r="C30" s="113">
        <f>领料单!S11</f>
        <v>0</v>
      </c>
      <c r="D30" s="113">
        <f>领料单!T11</f>
        <v>0</v>
      </c>
      <c r="E30" s="113">
        <f>领料单!U11</f>
        <v>0</v>
      </c>
      <c r="F30" s="113">
        <f>领料单!V11</f>
        <v>0</v>
      </c>
      <c r="G30" s="113"/>
    </row>
    <row r="31" customHeight="1" spans="1:7">
      <c r="A31" s="113">
        <f>领料单!Q12</f>
        <v>0</v>
      </c>
      <c r="B31" s="113">
        <f>领料单!R12</f>
        <v>0</v>
      </c>
      <c r="C31" s="113">
        <f>领料单!S12</f>
        <v>0</v>
      </c>
      <c r="D31" s="113">
        <f>领料单!T12</f>
        <v>0</v>
      </c>
      <c r="E31" s="113">
        <f>领料单!U12</f>
        <v>0</v>
      </c>
      <c r="F31" s="113">
        <f>领料单!V12</f>
        <v>0</v>
      </c>
      <c r="G31" s="113"/>
    </row>
    <row r="32" customHeight="1" spans="1:7">
      <c r="A32" s="113">
        <f>领料单!Q13</f>
        <v>0</v>
      </c>
      <c r="B32" s="113">
        <f>领料单!R13</f>
        <v>0</v>
      </c>
      <c r="C32" s="113">
        <f>领料单!S13</f>
        <v>0</v>
      </c>
      <c r="D32" s="113">
        <f>领料单!T13</f>
        <v>0</v>
      </c>
      <c r="E32" s="113">
        <f>领料单!U13</f>
        <v>0</v>
      </c>
      <c r="F32" s="113">
        <f>领料单!V13</f>
        <v>0</v>
      </c>
      <c r="G32" s="113"/>
    </row>
    <row r="33" customHeight="1" spans="1:7">
      <c r="A33" s="113">
        <f>领料单!Q14</f>
        <v>0</v>
      </c>
      <c r="B33" s="113">
        <f>领料单!R14</f>
        <v>0</v>
      </c>
      <c r="C33" s="113">
        <f>领料单!S14</f>
        <v>0</v>
      </c>
      <c r="D33" s="113">
        <f>领料单!T14</f>
        <v>0</v>
      </c>
      <c r="E33" s="113">
        <f>领料单!U14</f>
        <v>0</v>
      </c>
      <c r="F33" s="113">
        <f>领料单!V14</f>
        <v>0</v>
      </c>
      <c r="G33" s="113"/>
    </row>
    <row r="34" customHeight="1" spans="1:7">
      <c r="A34" s="113">
        <f>领料单!Q15</f>
        <v>0</v>
      </c>
      <c r="B34" s="113">
        <f>领料单!R15</f>
        <v>0</v>
      </c>
      <c r="C34" s="113">
        <f>领料单!S15</f>
        <v>0</v>
      </c>
      <c r="D34" s="113">
        <f>领料单!T15</f>
        <v>0</v>
      </c>
      <c r="E34" s="113">
        <f>领料单!U15</f>
        <v>0</v>
      </c>
      <c r="F34" s="113">
        <f>领料单!V15</f>
        <v>0</v>
      </c>
      <c r="G34" s="113"/>
    </row>
    <row r="35" customHeight="1" spans="1:7">
      <c r="A35" s="115" t="s">
        <v>340</v>
      </c>
      <c r="B35" s="116"/>
      <c r="C35" s="116"/>
      <c r="D35" s="116"/>
      <c r="E35" s="117"/>
      <c r="F35" s="118">
        <f>SUM(F23:F34)</f>
        <v>0</v>
      </c>
      <c r="G35" s="114"/>
    </row>
    <row r="36" customHeight="1" spans="1:7">
      <c r="A36" s="119" t="s">
        <v>341</v>
      </c>
      <c r="E36" s="121" t="s">
        <v>342</v>
      </c>
    </row>
    <row r="39" customHeight="1" spans="1:7">
      <c r="A39" s="105"/>
      <c r="B39" s="106"/>
      <c r="C39" s="107" t="s">
        <v>330</v>
      </c>
      <c r="D39" s="107"/>
      <c r="E39" s="107"/>
      <c r="F39" s="105"/>
      <c r="G39" s="105"/>
    </row>
    <row r="40" customHeight="1" spans="1:7">
      <c r="A40" s="108" t="s">
        <v>331</v>
      </c>
      <c r="B40" s="109"/>
      <c r="C40" s="110">
        <v>45688</v>
      </c>
      <c r="D40" s="110"/>
      <c r="E40" s="110"/>
      <c r="F40" s="111" t="s">
        <v>332</v>
      </c>
      <c r="G40" s="112" t="str">
        <f>立项!$A$5</f>
        <v>RD03</v>
      </c>
    </row>
    <row r="41" customHeight="1" spans="1:7">
      <c r="A41" s="113" t="s">
        <v>333</v>
      </c>
      <c r="B41" s="113" t="s">
        <v>334</v>
      </c>
      <c r="C41" s="113" t="s">
        <v>335</v>
      </c>
      <c r="D41" s="113" t="s">
        <v>336</v>
      </c>
      <c r="E41" s="113" t="s">
        <v>337</v>
      </c>
      <c r="F41" s="113" t="s">
        <v>338</v>
      </c>
      <c r="G41" s="113" t="s">
        <v>339</v>
      </c>
    </row>
    <row r="42" customHeight="1" spans="1:7">
      <c r="A42" s="113">
        <f>领料单!Y4</f>
        <v>0</v>
      </c>
      <c r="B42" s="113">
        <f>领料单!Z4</f>
        <v>0</v>
      </c>
      <c r="C42" s="113">
        <f>领料单!AA4</f>
        <v>0</v>
      </c>
      <c r="D42" s="113">
        <f>领料单!AB4</f>
        <v>0</v>
      </c>
      <c r="E42" s="113">
        <f>领料单!AC4</f>
        <v>0</v>
      </c>
      <c r="F42" s="113">
        <f>领料单!AD4</f>
        <v>0</v>
      </c>
      <c r="G42" s="113"/>
    </row>
    <row r="43" customHeight="1" spans="1:7">
      <c r="A43" s="113">
        <f>领料单!Y5</f>
        <v>0</v>
      </c>
      <c r="B43" s="113">
        <f>领料单!Z5</f>
        <v>0</v>
      </c>
      <c r="C43" s="113">
        <f>领料单!AA5</f>
        <v>0</v>
      </c>
      <c r="D43" s="113">
        <f>领料单!AB5</f>
        <v>0</v>
      </c>
      <c r="E43" s="113">
        <f>领料单!AC5</f>
        <v>0</v>
      </c>
      <c r="F43" s="113">
        <f>领料单!AD5</f>
        <v>0</v>
      </c>
      <c r="G43" s="113"/>
    </row>
    <row r="44" customHeight="1" spans="1:7">
      <c r="A44" s="113">
        <f>领料单!Y6</f>
        <v>0</v>
      </c>
      <c r="B44" s="113">
        <f>领料单!Z6</f>
        <v>0</v>
      </c>
      <c r="C44" s="113">
        <f>领料单!AA6</f>
        <v>0</v>
      </c>
      <c r="D44" s="113">
        <f>领料单!AB6</f>
        <v>0</v>
      </c>
      <c r="E44" s="113">
        <f>领料单!AC6</f>
        <v>0</v>
      </c>
      <c r="F44" s="113">
        <f>领料单!AD6</f>
        <v>0</v>
      </c>
      <c r="G44" s="113"/>
    </row>
    <row r="45" customHeight="1" spans="1:7">
      <c r="A45" s="113">
        <f>领料单!Y7</f>
        <v>0</v>
      </c>
      <c r="B45" s="113">
        <f>领料单!Z7</f>
        <v>0</v>
      </c>
      <c r="C45" s="113">
        <f>领料单!AA7</f>
        <v>0</v>
      </c>
      <c r="D45" s="113">
        <f>领料单!AB7</f>
        <v>0</v>
      </c>
      <c r="E45" s="113">
        <f>领料单!AC7</f>
        <v>0</v>
      </c>
      <c r="F45" s="113">
        <f>领料单!AD7</f>
        <v>0</v>
      </c>
      <c r="G45" s="113"/>
    </row>
    <row r="46" customHeight="1" spans="1:7">
      <c r="A46" s="113">
        <f>领料单!Y8</f>
        <v>0</v>
      </c>
      <c r="B46" s="113">
        <f>领料单!Z8</f>
        <v>0</v>
      </c>
      <c r="C46" s="113">
        <f>领料单!AA8</f>
        <v>0</v>
      </c>
      <c r="D46" s="113">
        <f>领料单!AB8</f>
        <v>0</v>
      </c>
      <c r="E46" s="113">
        <f>领料单!AC8</f>
        <v>0</v>
      </c>
      <c r="F46" s="113">
        <f>领料单!AD8</f>
        <v>0</v>
      </c>
      <c r="G46" s="113"/>
    </row>
    <row r="47" customHeight="1" spans="1:7">
      <c r="A47" s="113">
        <f>领料单!Y9</f>
        <v>0</v>
      </c>
      <c r="B47" s="113">
        <f>领料单!Z9</f>
        <v>0</v>
      </c>
      <c r="C47" s="113">
        <f>领料单!AA9</f>
        <v>0</v>
      </c>
      <c r="D47" s="113">
        <f>领料单!AB9</f>
        <v>0</v>
      </c>
      <c r="E47" s="113">
        <f>领料单!AC9</f>
        <v>0</v>
      </c>
      <c r="F47" s="113">
        <f>领料单!AD9</f>
        <v>0</v>
      </c>
      <c r="G47" s="113"/>
    </row>
    <row r="48" customHeight="1" spans="1:7">
      <c r="A48" s="113">
        <f>领料单!Y10</f>
        <v>0</v>
      </c>
      <c r="B48" s="113">
        <f>领料单!Z10</f>
        <v>0</v>
      </c>
      <c r="C48" s="113">
        <f>领料单!AA10</f>
        <v>0</v>
      </c>
      <c r="D48" s="113">
        <f>领料单!AB10</f>
        <v>0</v>
      </c>
      <c r="E48" s="113">
        <f>领料单!AC10</f>
        <v>0</v>
      </c>
      <c r="F48" s="113">
        <f>领料单!AD10</f>
        <v>0</v>
      </c>
      <c r="G48" s="113"/>
    </row>
    <row r="49" customHeight="1" spans="1:7">
      <c r="A49" s="113">
        <f>领料单!Y11</f>
        <v>0</v>
      </c>
      <c r="B49" s="113">
        <f>领料单!Z11</f>
        <v>0</v>
      </c>
      <c r="C49" s="113">
        <f>领料单!AA11</f>
        <v>0</v>
      </c>
      <c r="D49" s="113">
        <f>领料单!AB11</f>
        <v>0</v>
      </c>
      <c r="E49" s="113">
        <f>领料单!AC11</f>
        <v>0</v>
      </c>
      <c r="F49" s="113">
        <f>领料单!AD11</f>
        <v>0</v>
      </c>
      <c r="G49" s="113"/>
    </row>
    <row r="50" customHeight="1" spans="1:7">
      <c r="A50" s="113">
        <f>领料单!Y12</f>
        <v>0</v>
      </c>
      <c r="B50" s="113">
        <f>领料单!Z12</f>
        <v>0</v>
      </c>
      <c r="C50" s="113">
        <f>领料单!AA12</f>
        <v>0</v>
      </c>
      <c r="D50" s="113">
        <f>领料单!AB12</f>
        <v>0</v>
      </c>
      <c r="E50" s="113">
        <f>领料单!AC12</f>
        <v>0</v>
      </c>
      <c r="F50" s="113">
        <f>领料单!AD12</f>
        <v>0</v>
      </c>
      <c r="G50" s="113"/>
    </row>
    <row r="51" customHeight="1" spans="1:7">
      <c r="A51" s="113">
        <f>领料单!Y13</f>
        <v>0</v>
      </c>
      <c r="B51" s="113">
        <f>领料单!Z13</f>
        <v>0</v>
      </c>
      <c r="C51" s="113">
        <f>领料单!AA13</f>
        <v>0</v>
      </c>
      <c r="D51" s="113">
        <f>领料单!AB13</f>
        <v>0</v>
      </c>
      <c r="E51" s="113">
        <f>领料单!AC13</f>
        <v>0</v>
      </c>
      <c r="F51" s="113">
        <f>领料单!AD13</f>
        <v>0</v>
      </c>
      <c r="G51" s="113"/>
    </row>
    <row r="52" customHeight="1" spans="1:7">
      <c r="A52" s="113">
        <f>领料单!Y14</f>
        <v>0</v>
      </c>
      <c r="B52" s="113">
        <f>领料单!Z14</f>
        <v>0</v>
      </c>
      <c r="C52" s="113">
        <f>领料单!AA14</f>
        <v>0</v>
      </c>
      <c r="D52" s="113">
        <f>领料单!AB14</f>
        <v>0</v>
      </c>
      <c r="E52" s="113">
        <f>领料单!AC14</f>
        <v>0</v>
      </c>
      <c r="F52" s="113">
        <f>领料单!AD14</f>
        <v>0</v>
      </c>
      <c r="G52" s="113"/>
    </row>
    <row r="53" customHeight="1" spans="1:7">
      <c r="A53" s="113">
        <f>领料单!Y15</f>
        <v>0</v>
      </c>
      <c r="B53" s="113">
        <f>领料单!Z15</f>
        <v>0</v>
      </c>
      <c r="C53" s="113">
        <f>领料单!AA15</f>
        <v>0</v>
      </c>
      <c r="D53" s="113">
        <f>领料单!AB15</f>
        <v>0</v>
      </c>
      <c r="E53" s="113">
        <f>领料单!AC15</f>
        <v>0</v>
      </c>
      <c r="F53" s="113">
        <f>领料单!AD15</f>
        <v>0</v>
      </c>
      <c r="G53" s="113"/>
    </row>
    <row r="54" customHeight="1" spans="1:7">
      <c r="A54" s="115" t="s">
        <v>340</v>
      </c>
      <c r="B54" s="116"/>
      <c r="C54" s="116"/>
      <c r="D54" s="116"/>
      <c r="E54" s="117"/>
      <c r="F54" s="118">
        <f>SUM(F42:F53)</f>
        <v>0</v>
      </c>
      <c r="G54" s="114"/>
    </row>
    <row r="55" customHeight="1" spans="1:7">
      <c r="A55" s="119" t="s">
        <v>341</v>
      </c>
      <c r="B55" s="119"/>
      <c r="C55" s="120"/>
      <c r="D55" s="119"/>
      <c r="E55" s="121" t="s">
        <v>342</v>
      </c>
      <c r="F55" s="119"/>
      <c r="G55" s="119"/>
    </row>
    <row r="58" customHeight="1" spans="1:7">
      <c r="A58" s="105"/>
      <c r="B58" s="106"/>
      <c r="C58" s="107" t="s">
        <v>330</v>
      </c>
      <c r="D58" s="107"/>
      <c r="E58" s="107"/>
      <c r="F58" s="105"/>
      <c r="G58" s="105"/>
    </row>
    <row r="59" customHeight="1" spans="1:7">
      <c r="A59" s="108" t="s">
        <v>331</v>
      </c>
      <c r="B59" s="109"/>
      <c r="C59" s="110">
        <v>45688</v>
      </c>
      <c r="D59" s="110"/>
      <c r="E59" s="110"/>
      <c r="F59" s="111" t="s">
        <v>332</v>
      </c>
      <c r="G59" s="112" t="str">
        <f>立项!$A$6</f>
        <v>RD04</v>
      </c>
    </row>
    <row r="60" customHeight="1" spans="1:7">
      <c r="A60" s="113" t="s">
        <v>333</v>
      </c>
      <c r="B60" s="113" t="s">
        <v>334</v>
      </c>
      <c r="C60" s="113" t="s">
        <v>335</v>
      </c>
      <c r="D60" s="113" t="s">
        <v>336</v>
      </c>
      <c r="E60" s="113" t="s">
        <v>337</v>
      </c>
      <c r="F60" s="113" t="s">
        <v>338</v>
      </c>
      <c r="G60" s="113" t="s">
        <v>339</v>
      </c>
    </row>
    <row r="61" customHeight="1" spans="1:7">
      <c r="A61" s="113">
        <f>领料单!AG4</f>
        <v>0</v>
      </c>
      <c r="B61" s="113">
        <f>领料单!AH4</f>
        <v>0</v>
      </c>
      <c r="C61" s="113">
        <f>领料单!AI4</f>
        <v>0</v>
      </c>
      <c r="D61" s="113">
        <f>领料单!AJ4</f>
        <v>0</v>
      </c>
      <c r="E61" s="113">
        <f>领料单!AK4</f>
        <v>0</v>
      </c>
      <c r="F61" s="113">
        <f>领料单!AL4</f>
        <v>0</v>
      </c>
      <c r="G61" s="113"/>
    </row>
    <row r="62" customHeight="1" spans="1:7">
      <c r="A62" s="113">
        <f>领料单!AG5</f>
        <v>0</v>
      </c>
      <c r="B62" s="113">
        <f>领料单!AH5</f>
        <v>0</v>
      </c>
      <c r="C62" s="113">
        <f>领料单!AI5</f>
        <v>0</v>
      </c>
      <c r="D62" s="113">
        <f>领料单!AJ5</f>
        <v>0</v>
      </c>
      <c r="E62" s="113">
        <f>领料单!AK5</f>
        <v>0</v>
      </c>
      <c r="F62" s="113">
        <f>领料单!AL5</f>
        <v>0</v>
      </c>
      <c r="G62" s="113"/>
    </row>
    <row r="63" customHeight="1" spans="1:7">
      <c r="A63" s="113">
        <f>领料单!AG6</f>
        <v>0</v>
      </c>
      <c r="B63" s="113">
        <f>领料单!AH6</f>
        <v>0</v>
      </c>
      <c r="C63" s="113">
        <f>领料单!AI6</f>
        <v>0</v>
      </c>
      <c r="D63" s="113">
        <f>领料单!AJ6</f>
        <v>0</v>
      </c>
      <c r="E63" s="113">
        <f>领料单!AK6</f>
        <v>0</v>
      </c>
      <c r="F63" s="113">
        <f>领料单!AL6</f>
        <v>0</v>
      </c>
      <c r="G63" s="113"/>
    </row>
    <row r="64" customHeight="1" spans="1:7">
      <c r="A64" s="113">
        <f>领料单!AG7</f>
        <v>0</v>
      </c>
      <c r="B64" s="113">
        <f>领料单!AH7</f>
        <v>0</v>
      </c>
      <c r="C64" s="113">
        <f>领料单!AI7</f>
        <v>0</v>
      </c>
      <c r="D64" s="113">
        <f>领料单!AJ7</f>
        <v>0</v>
      </c>
      <c r="E64" s="113">
        <f>领料单!AK7</f>
        <v>0</v>
      </c>
      <c r="F64" s="113">
        <f>领料单!AL7</f>
        <v>0</v>
      </c>
      <c r="G64" s="113"/>
    </row>
    <row r="65" customHeight="1" spans="1:7">
      <c r="A65" s="113">
        <f>领料单!AG8</f>
        <v>0</v>
      </c>
      <c r="B65" s="113">
        <f>领料单!AH8</f>
        <v>0</v>
      </c>
      <c r="C65" s="113">
        <f>领料单!AI8</f>
        <v>0</v>
      </c>
      <c r="D65" s="113">
        <f>领料单!AJ8</f>
        <v>0</v>
      </c>
      <c r="E65" s="113">
        <f>领料单!AK8</f>
        <v>0</v>
      </c>
      <c r="F65" s="113">
        <f>领料单!AL8</f>
        <v>0</v>
      </c>
      <c r="G65" s="113"/>
    </row>
    <row r="66" customHeight="1" spans="1:7">
      <c r="A66" s="113">
        <f>领料单!AG9</f>
        <v>0</v>
      </c>
      <c r="B66" s="113">
        <f>领料单!AH9</f>
        <v>0</v>
      </c>
      <c r="C66" s="113">
        <f>领料单!AI9</f>
        <v>0</v>
      </c>
      <c r="D66" s="113">
        <f>领料单!AJ9</f>
        <v>0</v>
      </c>
      <c r="E66" s="113">
        <f>领料单!AK9</f>
        <v>0</v>
      </c>
      <c r="F66" s="113">
        <f>领料单!AL9</f>
        <v>0</v>
      </c>
      <c r="G66" s="113"/>
    </row>
    <row r="67" customHeight="1" spans="1:7">
      <c r="A67" s="113">
        <f>领料单!AG10</f>
        <v>0</v>
      </c>
      <c r="B67" s="113">
        <f>领料单!AH10</f>
        <v>0</v>
      </c>
      <c r="C67" s="113">
        <f>领料单!AI10</f>
        <v>0</v>
      </c>
      <c r="D67" s="113">
        <f>领料单!AJ10</f>
        <v>0</v>
      </c>
      <c r="E67" s="113">
        <f>领料单!AK10</f>
        <v>0</v>
      </c>
      <c r="F67" s="113">
        <f>领料单!AL10</f>
        <v>0</v>
      </c>
      <c r="G67" s="113"/>
    </row>
    <row r="68" customHeight="1" spans="1:7">
      <c r="A68" s="113">
        <f>领料单!AG11</f>
        <v>0</v>
      </c>
      <c r="B68" s="113">
        <f>领料单!AH11</f>
        <v>0</v>
      </c>
      <c r="C68" s="113">
        <f>领料单!AI11</f>
        <v>0</v>
      </c>
      <c r="D68" s="113">
        <f>领料单!AJ11</f>
        <v>0</v>
      </c>
      <c r="E68" s="113">
        <f>领料单!AK11</f>
        <v>0</v>
      </c>
      <c r="F68" s="113">
        <f>领料单!AL11</f>
        <v>0</v>
      </c>
      <c r="G68" s="113"/>
    </row>
    <row r="69" customHeight="1" spans="1:7">
      <c r="A69" s="113">
        <f>领料单!AG12</f>
        <v>0</v>
      </c>
      <c r="B69" s="113">
        <f>领料单!AH12</f>
        <v>0</v>
      </c>
      <c r="C69" s="113">
        <f>领料单!AI12</f>
        <v>0</v>
      </c>
      <c r="D69" s="113">
        <f>领料单!AJ12</f>
        <v>0</v>
      </c>
      <c r="E69" s="113">
        <f>领料单!AK12</f>
        <v>0</v>
      </c>
      <c r="F69" s="113">
        <f>领料单!AL12</f>
        <v>0</v>
      </c>
      <c r="G69" s="113"/>
    </row>
    <row r="70" customHeight="1" spans="1:7">
      <c r="A70" s="113">
        <f>领料单!AG13</f>
        <v>0</v>
      </c>
      <c r="B70" s="113">
        <f>领料单!AH13</f>
        <v>0</v>
      </c>
      <c r="C70" s="113">
        <f>领料单!AI13</f>
        <v>0</v>
      </c>
      <c r="D70" s="113">
        <f>领料单!AJ13</f>
        <v>0</v>
      </c>
      <c r="E70" s="113">
        <f>领料单!AK13</f>
        <v>0</v>
      </c>
      <c r="F70" s="113">
        <f>领料单!AL13</f>
        <v>0</v>
      </c>
      <c r="G70" s="113"/>
    </row>
    <row r="71" customHeight="1" spans="1:7">
      <c r="A71" s="113">
        <f>领料单!AG14</f>
        <v>0</v>
      </c>
      <c r="B71" s="113">
        <f>领料单!AH14</f>
        <v>0</v>
      </c>
      <c r="C71" s="113">
        <f>领料单!AI14</f>
        <v>0</v>
      </c>
      <c r="D71" s="113">
        <f>领料单!AJ14</f>
        <v>0</v>
      </c>
      <c r="E71" s="113">
        <f>领料单!AK14</f>
        <v>0</v>
      </c>
      <c r="F71" s="113">
        <f>领料单!AL14</f>
        <v>0</v>
      </c>
      <c r="G71" s="113"/>
    </row>
    <row r="72" customHeight="1" spans="1:7">
      <c r="A72" s="113">
        <f>领料单!AG15</f>
        <v>0</v>
      </c>
      <c r="B72" s="113">
        <f>领料单!AH15</f>
        <v>0</v>
      </c>
      <c r="C72" s="113">
        <f>领料单!AI15</f>
        <v>0</v>
      </c>
      <c r="D72" s="113">
        <f>领料单!AJ15</f>
        <v>0</v>
      </c>
      <c r="E72" s="113">
        <f>领料单!AK15</f>
        <v>0</v>
      </c>
      <c r="F72" s="113">
        <f>领料单!AL15</f>
        <v>0</v>
      </c>
      <c r="G72" s="113"/>
    </row>
    <row r="73" customHeight="1" spans="1:7">
      <c r="A73" s="115" t="s">
        <v>340</v>
      </c>
      <c r="B73" s="116"/>
      <c r="C73" s="116"/>
      <c r="D73" s="116"/>
      <c r="E73" s="117"/>
      <c r="F73" s="118">
        <f>SUM(F61:F72)</f>
        <v>0</v>
      </c>
      <c r="G73" s="114"/>
    </row>
    <row r="74" customHeight="1" spans="1:7">
      <c r="A74" s="119" t="s">
        <v>341</v>
      </c>
      <c r="B74" s="119"/>
      <c r="C74" s="120"/>
      <c r="D74" s="119"/>
      <c r="E74" s="121" t="s">
        <v>342</v>
      </c>
      <c r="F74" s="119"/>
      <c r="G74" s="119"/>
    </row>
    <row r="77" customHeight="1" spans="1:7">
      <c r="A77" s="105"/>
      <c r="B77" s="106"/>
      <c r="C77" s="107" t="s">
        <v>330</v>
      </c>
      <c r="D77" s="107"/>
      <c r="E77" s="107"/>
      <c r="F77" s="105"/>
      <c r="G77" s="105"/>
    </row>
    <row r="78" customHeight="1" spans="1:7">
      <c r="A78" s="108" t="s">
        <v>331</v>
      </c>
      <c r="B78" s="109"/>
      <c r="C78" s="110">
        <v>45688</v>
      </c>
      <c r="D78" s="110"/>
      <c r="E78" s="110"/>
      <c r="F78" s="111" t="s">
        <v>332</v>
      </c>
      <c r="G78" s="112" t="str">
        <f>立项!$A$7</f>
        <v>RD05</v>
      </c>
    </row>
    <row r="79" customHeight="1" spans="1:7">
      <c r="A79" s="113" t="s">
        <v>333</v>
      </c>
      <c r="B79" s="113" t="s">
        <v>334</v>
      </c>
      <c r="C79" s="113" t="s">
        <v>335</v>
      </c>
      <c r="D79" s="113" t="s">
        <v>336</v>
      </c>
      <c r="E79" s="113" t="s">
        <v>337</v>
      </c>
      <c r="F79" s="113" t="s">
        <v>338</v>
      </c>
      <c r="G79" s="113" t="s">
        <v>339</v>
      </c>
    </row>
    <row r="80" customHeight="1" spans="1:7">
      <c r="A80" s="113">
        <f>领料单!AO4</f>
        <v>0</v>
      </c>
      <c r="B80" s="113">
        <f>领料单!AP4</f>
        <v>0</v>
      </c>
      <c r="C80" s="113">
        <f>领料单!AQ4</f>
        <v>0</v>
      </c>
      <c r="D80" s="113">
        <f>领料单!AR4</f>
        <v>0</v>
      </c>
      <c r="E80" s="113">
        <f>领料单!AS4</f>
        <v>0</v>
      </c>
      <c r="F80" s="113">
        <f>领料单!AT4</f>
        <v>0</v>
      </c>
      <c r="G80" s="113"/>
    </row>
    <row r="81" customHeight="1" spans="1:7">
      <c r="A81" s="113">
        <f>领料单!AO5</f>
        <v>0</v>
      </c>
      <c r="B81" s="113">
        <f>领料单!AP5</f>
        <v>0</v>
      </c>
      <c r="C81" s="113">
        <f>领料单!AQ5</f>
        <v>0</v>
      </c>
      <c r="D81" s="113">
        <f>领料单!AR5</f>
        <v>0</v>
      </c>
      <c r="E81" s="113">
        <f>领料单!AS5</f>
        <v>0</v>
      </c>
      <c r="F81" s="113">
        <f>领料单!AT5</f>
        <v>0</v>
      </c>
      <c r="G81" s="113"/>
    </row>
    <row r="82" customHeight="1" spans="1:7">
      <c r="A82" s="113">
        <f>领料单!AO6</f>
        <v>0</v>
      </c>
      <c r="B82" s="113">
        <f>领料单!AP6</f>
        <v>0</v>
      </c>
      <c r="C82" s="113">
        <f>领料单!AQ6</f>
        <v>0</v>
      </c>
      <c r="D82" s="113">
        <f>领料单!AR6</f>
        <v>0</v>
      </c>
      <c r="E82" s="113">
        <f>领料单!AS6</f>
        <v>0</v>
      </c>
      <c r="F82" s="113">
        <f>领料单!AT6</f>
        <v>0</v>
      </c>
      <c r="G82" s="113"/>
    </row>
    <row r="83" customHeight="1" spans="1:7">
      <c r="A83" s="113">
        <f>领料单!AO7</f>
        <v>0</v>
      </c>
      <c r="B83" s="113">
        <f>领料单!AP7</f>
        <v>0</v>
      </c>
      <c r="C83" s="113">
        <f>领料单!AQ7</f>
        <v>0</v>
      </c>
      <c r="D83" s="113">
        <f>领料单!AR7</f>
        <v>0</v>
      </c>
      <c r="E83" s="113">
        <f>领料单!AS7</f>
        <v>0</v>
      </c>
      <c r="F83" s="113">
        <f>领料单!AT7</f>
        <v>0</v>
      </c>
      <c r="G83" s="113"/>
    </row>
    <row r="84" customHeight="1" spans="1:7">
      <c r="A84" s="113">
        <f>领料单!AO8</f>
        <v>0</v>
      </c>
      <c r="B84" s="113">
        <f>领料单!AP8</f>
        <v>0</v>
      </c>
      <c r="C84" s="113">
        <f>领料单!AQ8</f>
        <v>0</v>
      </c>
      <c r="D84" s="113">
        <f>领料单!AR8</f>
        <v>0</v>
      </c>
      <c r="E84" s="113">
        <f>领料单!AS8</f>
        <v>0</v>
      </c>
      <c r="F84" s="113">
        <f>领料单!AT8</f>
        <v>0</v>
      </c>
      <c r="G84" s="113"/>
    </row>
    <row r="85" customHeight="1" spans="1:7">
      <c r="A85" s="113">
        <f>领料单!AO9</f>
        <v>0</v>
      </c>
      <c r="B85" s="113">
        <f>领料单!AP9</f>
        <v>0</v>
      </c>
      <c r="C85" s="113">
        <f>领料单!AQ9</f>
        <v>0</v>
      </c>
      <c r="D85" s="113">
        <f>领料单!AR9</f>
        <v>0</v>
      </c>
      <c r="E85" s="113">
        <f>领料单!AS9</f>
        <v>0</v>
      </c>
      <c r="F85" s="113">
        <f>领料单!AT9</f>
        <v>0</v>
      </c>
      <c r="G85" s="113"/>
    </row>
    <row r="86" customHeight="1" spans="1:7">
      <c r="A86" s="113">
        <f>领料单!AO10</f>
        <v>0</v>
      </c>
      <c r="B86" s="113">
        <f>领料单!AP10</f>
        <v>0</v>
      </c>
      <c r="C86" s="113">
        <f>领料单!AQ10</f>
        <v>0</v>
      </c>
      <c r="D86" s="113">
        <f>领料单!AR10</f>
        <v>0</v>
      </c>
      <c r="E86" s="113">
        <f>领料单!AS10</f>
        <v>0</v>
      </c>
      <c r="F86" s="113">
        <f>领料单!AT10</f>
        <v>0</v>
      </c>
      <c r="G86" s="113"/>
    </row>
    <row r="87" customHeight="1" spans="1:7">
      <c r="A87" s="113">
        <f>领料单!AO11</f>
        <v>0</v>
      </c>
      <c r="B87" s="113">
        <f>领料单!AP11</f>
        <v>0</v>
      </c>
      <c r="C87" s="113">
        <f>领料单!AQ11</f>
        <v>0</v>
      </c>
      <c r="D87" s="113">
        <f>领料单!AR11</f>
        <v>0</v>
      </c>
      <c r="E87" s="113">
        <f>领料单!AS11</f>
        <v>0</v>
      </c>
      <c r="F87" s="113">
        <f>领料单!AT11</f>
        <v>0</v>
      </c>
      <c r="G87" s="113"/>
    </row>
    <row r="88" customHeight="1" spans="1:7">
      <c r="A88" s="113">
        <f>领料单!AO12</f>
        <v>0</v>
      </c>
      <c r="B88" s="113">
        <f>领料单!AP12</f>
        <v>0</v>
      </c>
      <c r="C88" s="113">
        <f>领料单!AQ12</f>
        <v>0</v>
      </c>
      <c r="D88" s="113">
        <f>领料单!AR12</f>
        <v>0</v>
      </c>
      <c r="E88" s="113">
        <f>领料单!AS12</f>
        <v>0</v>
      </c>
      <c r="F88" s="113">
        <f>领料单!AT12</f>
        <v>0</v>
      </c>
      <c r="G88" s="113"/>
    </row>
    <row r="89" customHeight="1" spans="1:7">
      <c r="A89" s="113">
        <f>领料单!AO13</f>
        <v>0</v>
      </c>
      <c r="B89" s="113">
        <f>领料单!AP13</f>
        <v>0</v>
      </c>
      <c r="C89" s="113">
        <f>领料单!AQ13</f>
        <v>0</v>
      </c>
      <c r="D89" s="113">
        <f>领料单!AR13</f>
        <v>0</v>
      </c>
      <c r="E89" s="113">
        <f>领料单!AS13</f>
        <v>0</v>
      </c>
      <c r="F89" s="113">
        <f>领料单!AT13</f>
        <v>0</v>
      </c>
      <c r="G89" s="113"/>
    </row>
    <row r="90" customHeight="1" spans="1:7">
      <c r="A90" s="113">
        <f>领料单!AO14</f>
        <v>0</v>
      </c>
      <c r="B90" s="113">
        <f>领料单!AP14</f>
        <v>0</v>
      </c>
      <c r="C90" s="113">
        <f>领料单!AQ14</f>
        <v>0</v>
      </c>
      <c r="D90" s="113">
        <f>领料单!AR14</f>
        <v>0</v>
      </c>
      <c r="E90" s="113">
        <f>领料单!AS14</f>
        <v>0</v>
      </c>
      <c r="F90" s="113">
        <f>领料单!AT14</f>
        <v>0</v>
      </c>
      <c r="G90" s="113"/>
    </row>
    <row r="91" customHeight="1" spans="1:7">
      <c r="A91" s="113">
        <f>领料单!AO15</f>
        <v>0</v>
      </c>
      <c r="B91" s="113">
        <f>领料单!AP15</f>
        <v>0</v>
      </c>
      <c r="C91" s="113">
        <f>领料单!AQ15</f>
        <v>0</v>
      </c>
      <c r="D91" s="113">
        <f>领料单!AR15</f>
        <v>0</v>
      </c>
      <c r="E91" s="113">
        <f>领料单!AS15</f>
        <v>0</v>
      </c>
      <c r="F91" s="113">
        <f>领料单!AT15</f>
        <v>0</v>
      </c>
      <c r="G91" s="113"/>
    </row>
    <row r="92" customHeight="1" spans="1:7">
      <c r="A92" s="115" t="s">
        <v>340</v>
      </c>
      <c r="B92" s="116"/>
      <c r="C92" s="116"/>
      <c r="D92" s="116"/>
      <c r="E92" s="117"/>
      <c r="F92" s="118">
        <f>SUM(F80:F91)</f>
        <v>0</v>
      </c>
      <c r="G92" s="114"/>
    </row>
    <row r="93" customHeight="1" spans="1:7">
      <c r="A93" s="119" t="s">
        <v>341</v>
      </c>
      <c r="B93" s="119"/>
      <c r="C93" s="120"/>
      <c r="D93" s="119"/>
      <c r="E93" s="121" t="s">
        <v>342</v>
      </c>
      <c r="F93" s="119"/>
      <c r="G93" s="119"/>
    </row>
    <row r="96" customHeight="1" spans="1:7">
      <c r="A96" s="105"/>
      <c r="B96" s="106"/>
      <c r="C96" s="107" t="s">
        <v>330</v>
      </c>
      <c r="D96" s="107"/>
      <c r="E96" s="107"/>
      <c r="F96" s="105"/>
      <c r="G96" s="105"/>
    </row>
    <row r="97" customHeight="1" spans="1:7">
      <c r="A97" s="108" t="s">
        <v>331</v>
      </c>
      <c r="B97" s="109"/>
      <c r="C97" s="110">
        <v>45688</v>
      </c>
      <c r="D97" s="110"/>
      <c r="E97" s="110"/>
      <c r="F97" s="111" t="s">
        <v>332</v>
      </c>
      <c r="G97" s="112" t="str">
        <f>立项!$A$8</f>
        <v>RD06</v>
      </c>
    </row>
    <row r="98" customHeight="1" spans="1:7">
      <c r="A98" s="113" t="s">
        <v>333</v>
      </c>
      <c r="B98" s="113" t="s">
        <v>334</v>
      </c>
      <c r="C98" s="113" t="s">
        <v>335</v>
      </c>
      <c r="D98" s="113" t="s">
        <v>336</v>
      </c>
      <c r="E98" s="113" t="s">
        <v>337</v>
      </c>
      <c r="F98" s="113" t="s">
        <v>338</v>
      </c>
      <c r="G98" s="113" t="s">
        <v>339</v>
      </c>
    </row>
    <row r="99" customHeight="1" spans="1:7">
      <c r="A99" s="113">
        <f>领料单!AW4</f>
        <v>0</v>
      </c>
      <c r="B99" s="113">
        <f>领料单!AX4</f>
        <v>0</v>
      </c>
      <c r="C99" s="113">
        <f>领料单!AY4</f>
        <v>0</v>
      </c>
      <c r="D99" s="113">
        <f>领料单!AZ4</f>
        <v>0</v>
      </c>
      <c r="E99" s="113">
        <f>领料单!BA4</f>
        <v>0</v>
      </c>
      <c r="F99" s="113">
        <f>领料单!BB4</f>
        <v>0</v>
      </c>
      <c r="G99" s="113"/>
    </row>
    <row r="100" customHeight="1" spans="1:7">
      <c r="A100" s="113">
        <f>领料单!AW5</f>
        <v>0</v>
      </c>
      <c r="B100" s="113">
        <f>领料单!AX5</f>
        <v>0</v>
      </c>
      <c r="C100" s="113">
        <f>领料单!AY5</f>
        <v>0</v>
      </c>
      <c r="D100" s="113">
        <f>领料单!AZ5</f>
        <v>0</v>
      </c>
      <c r="E100" s="113">
        <f>领料单!BA5</f>
        <v>0</v>
      </c>
      <c r="F100" s="113">
        <f>领料单!BB5</f>
        <v>0</v>
      </c>
      <c r="G100" s="113"/>
    </row>
    <row r="101" customHeight="1" spans="1:7">
      <c r="A101" s="113">
        <f>领料单!AW6</f>
        <v>0</v>
      </c>
      <c r="B101" s="113">
        <f>领料单!AX6</f>
        <v>0</v>
      </c>
      <c r="C101" s="113">
        <f>领料单!AY6</f>
        <v>0</v>
      </c>
      <c r="D101" s="113">
        <f>领料单!AZ6</f>
        <v>0</v>
      </c>
      <c r="E101" s="113">
        <f>领料单!BA6</f>
        <v>0</v>
      </c>
      <c r="F101" s="113">
        <f>领料单!BB6</f>
        <v>0</v>
      </c>
      <c r="G101" s="113"/>
    </row>
    <row r="102" customHeight="1" spans="1:7">
      <c r="A102" s="113">
        <f>领料单!AW7</f>
        <v>0</v>
      </c>
      <c r="B102" s="113">
        <f>领料单!AX7</f>
        <v>0</v>
      </c>
      <c r="C102" s="113">
        <f>领料单!AY7</f>
        <v>0</v>
      </c>
      <c r="D102" s="113">
        <f>领料单!AZ7</f>
        <v>0</v>
      </c>
      <c r="E102" s="113">
        <f>领料单!BA7</f>
        <v>0</v>
      </c>
      <c r="F102" s="113">
        <f>领料单!BB7</f>
        <v>0</v>
      </c>
      <c r="G102" s="113"/>
    </row>
    <row r="103" customHeight="1" spans="1:7">
      <c r="A103" s="113">
        <f>领料单!AW8</f>
        <v>0</v>
      </c>
      <c r="B103" s="113">
        <f>领料单!AX8</f>
        <v>0</v>
      </c>
      <c r="C103" s="113">
        <f>领料单!AY8</f>
        <v>0</v>
      </c>
      <c r="D103" s="113">
        <f>领料单!AZ8</f>
        <v>0</v>
      </c>
      <c r="E103" s="113">
        <f>领料单!BA8</f>
        <v>0</v>
      </c>
      <c r="F103" s="113">
        <f>领料单!BB8</f>
        <v>0</v>
      </c>
      <c r="G103" s="113"/>
    </row>
    <row r="104" customHeight="1" spans="1:7">
      <c r="A104" s="113">
        <f>领料单!AW9</f>
        <v>0</v>
      </c>
      <c r="B104" s="113">
        <f>领料单!AX9</f>
        <v>0</v>
      </c>
      <c r="C104" s="113">
        <f>领料单!AY9</f>
        <v>0</v>
      </c>
      <c r="D104" s="113">
        <f>领料单!AZ9</f>
        <v>0</v>
      </c>
      <c r="E104" s="113">
        <f>领料单!BA9</f>
        <v>0</v>
      </c>
      <c r="F104" s="113">
        <f>领料单!BB9</f>
        <v>0</v>
      </c>
      <c r="G104" s="113"/>
    </row>
    <row r="105" customHeight="1" spans="1:7">
      <c r="A105" s="113">
        <f>领料单!AW10</f>
        <v>0</v>
      </c>
      <c r="B105" s="113">
        <f>领料单!AX10</f>
        <v>0</v>
      </c>
      <c r="C105" s="113">
        <f>领料单!AY10</f>
        <v>0</v>
      </c>
      <c r="D105" s="113">
        <f>领料单!AZ10</f>
        <v>0</v>
      </c>
      <c r="E105" s="113">
        <f>领料单!BA10</f>
        <v>0</v>
      </c>
      <c r="F105" s="113">
        <f>领料单!BB10</f>
        <v>0</v>
      </c>
      <c r="G105" s="113"/>
    </row>
    <row r="106" customHeight="1" spans="1:7">
      <c r="A106" s="113">
        <f>领料单!AW11</f>
        <v>0</v>
      </c>
      <c r="B106" s="113">
        <f>领料单!AX11</f>
        <v>0</v>
      </c>
      <c r="C106" s="113">
        <f>领料单!AY11</f>
        <v>0</v>
      </c>
      <c r="D106" s="113">
        <f>领料单!AZ11</f>
        <v>0</v>
      </c>
      <c r="E106" s="113">
        <f>领料单!BA11</f>
        <v>0</v>
      </c>
      <c r="F106" s="113">
        <f>领料单!BB11</f>
        <v>0</v>
      </c>
      <c r="G106" s="113"/>
    </row>
    <row r="107" customHeight="1" spans="1:7">
      <c r="A107" s="113">
        <f>领料单!AW12</f>
        <v>0</v>
      </c>
      <c r="B107" s="113">
        <f>领料单!AX12</f>
        <v>0</v>
      </c>
      <c r="C107" s="113">
        <f>领料单!AY12</f>
        <v>0</v>
      </c>
      <c r="D107" s="113">
        <f>领料单!AZ12</f>
        <v>0</v>
      </c>
      <c r="E107" s="113">
        <f>领料单!BA12</f>
        <v>0</v>
      </c>
      <c r="F107" s="113">
        <f>领料单!BB12</f>
        <v>0</v>
      </c>
      <c r="G107" s="113"/>
    </row>
    <row r="108" customHeight="1" spans="1:7">
      <c r="A108" s="113">
        <f>领料单!AW13</f>
        <v>0</v>
      </c>
      <c r="B108" s="113">
        <f>领料单!AX13</f>
        <v>0</v>
      </c>
      <c r="C108" s="113">
        <f>领料单!AY13</f>
        <v>0</v>
      </c>
      <c r="D108" s="113">
        <f>领料单!AZ13</f>
        <v>0</v>
      </c>
      <c r="E108" s="113">
        <f>领料单!BA13</f>
        <v>0</v>
      </c>
      <c r="F108" s="113">
        <f>领料单!BB13</f>
        <v>0</v>
      </c>
      <c r="G108" s="113"/>
    </row>
    <row r="109" customHeight="1" spans="1:7">
      <c r="A109" s="113">
        <f>领料单!AW14</f>
        <v>0</v>
      </c>
      <c r="B109" s="113">
        <f>领料单!AX14</f>
        <v>0</v>
      </c>
      <c r="C109" s="113">
        <f>领料单!AY14</f>
        <v>0</v>
      </c>
      <c r="D109" s="113">
        <f>领料单!AZ14</f>
        <v>0</v>
      </c>
      <c r="E109" s="113">
        <f>领料单!BA14</f>
        <v>0</v>
      </c>
      <c r="F109" s="113">
        <f>领料单!BB14</f>
        <v>0</v>
      </c>
      <c r="G109" s="113"/>
    </row>
    <row r="110" customHeight="1" spans="1:7">
      <c r="A110" s="113">
        <f>领料单!AW15</f>
        <v>0</v>
      </c>
      <c r="B110" s="113">
        <f>领料单!AX15</f>
        <v>0</v>
      </c>
      <c r="C110" s="113">
        <f>领料单!AY15</f>
        <v>0</v>
      </c>
      <c r="D110" s="113">
        <f>领料单!AZ15</f>
        <v>0</v>
      </c>
      <c r="E110" s="113">
        <f>领料单!BA15</f>
        <v>0</v>
      </c>
      <c r="F110" s="113">
        <f>领料单!BB15</f>
        <v>0</v>
      </c>
      <c r="G110" s="113"/>
    </row>
    <row r="111" customHeight="1" spans="1:7">
      <c r="A111" s="115" t="s">
        <v>340</v>
      </c>
      <c r="B111" s="116"/>
      <c r="C111" s="116"/>
      <c r="D111" s="116"/>
      <c r="E111" s="117"/>
      <c r="F111" s="118">
        <f>SUM(F99:F110)</f>
        <v>0</v>
      </c>
      <c r="G111" s="114"/>
    </row>
    <row r="112" customHeight="1" spans="1:7">
      <c r="A112" s="119" t="s">
        <v>341</v>
      </c>
      <c r="B112" s="119"/>
      <c r="C112" s="120"/>
      <c r="D112" s="119"/>
      <c r="E112" s="121" t="s">
        <v>342</v>
      </c>
      <c r="F112" s="119"/>
      <c r="G112" s="119"/>
    </row>
    <row r="115" customHeight="1" spans="1:7">
      <c r="A115" s="105"/>
      <c r="B115" s="106"/>
      <c r="C115" s="107" t="s">
        <v>330</v>
      </c>
      <c r="D115" s="107"/>
      <c r="E115" s="107"/>
      <c r="F115" s="105"/>
      <c r="G115" s="105"/>
    </row>
    <row r="116" customHeight="1" spans="1:7">
      <c r="A116" s="108" t="s">
        <v>331</v>
      </c>
      <c r="B116" s="109"/>
      <c r="C116" s="110">
        <v>45688</v>
      </c>
      <c r="D116" s="110"/>
      <c r="E116" s="110"/>
      <c r="F116" s="111" t="s">
        <v>332</v>
      </c>
      <c r="G116" s="112" t="str">
        <f>立项!$A$9</f>
        <v>RD07</v>
      </c>
    </row>
    <row r="117" customHeight="1" spans="1:7">
      <c r="A117" s="113" t="s">
        <v>333</v>
      </c>
      <c r="B117" s="113" t="s">
        <v>334</v>
      </c>
      <c r="C117" s="113" t="s">
        <v>335</v>
      </c>
      <c r="D117" s="113" t="s">
        <v>336</v>
      </c>
      <c r="E117" s="113" t="s">
        <v>337</v>
      </c>
      <c r="F117" s="113" t="s">
        <v>338</v>
      </c>
      <c r="G117" s="113" t="s">
        <v>339</v>
      </c>
    </row>
    <row r="118" customHeight="1" spans="1:7">
      <c r="A118" s="113">
        <f>领料单!BE4</f>
        <v>0</v>
      </c>
      <c r="B118" s="113">
        <f>领料单!BF4</f>
        <v>0</v>
      </c>
      <c r="C118" s="113">
        <f>领料单!BG4</f>
        <v>0</v>
      </c>
      <c r="D118" s="113">
        <f>领料单!BH4</f>
        <v>0</v>
      </c>
      <c r="E118" s="113">
        <f>领料单!BI4</f>
        <v>0</v>
      </c>
      <c r="F118" s="113">
        <f>领料单!BJ4</f>
        <v>0</v>
      </c>
      <c r="G118" s="113"/>
    </row>
    <row r="119" customHeight="1" spans="1:7">
      <c r="A119" s="113">
        <f>领料单!BE5</f>
        <v>0</v>
      </c>
      <c r="B119" s="113">
        <f>领料单!BF5</f>
        <v>0</v>
      </c>
      <c r="C119" s="113">
        <f>领料单!BG5</f>
        <v>0</v>
      </c>
      <c r="D119" s="113">
        <f>领料单!BH5</f>
        <v>0</v>
      </c>
      <c r="E119" s="113">
        <f>领料单!BI5</f>
        <v>0</v>
      </c>
      <c r="F119" s="113">
        <f>领料单!BJ5</f>
        <v>0</v>
      </c>
      <c r="G119" s="113"/>
    </row>
    <row r="120" customHeight="1" spans="1:7">
      <c r="A120" s="113">
        <f>领料单!BE6</f>
        <v>0</v>
      </c>
      <c r="B120" s="113">
        <f>领料单!BF6</f>
        <v>0</v>
      </c>
      <c r="C120" s="113">
        <f>领料单!BG6</f>
        <v>0</v>
      </c>
      <c r="D120" s="113">
        <f>领料单!BH6</f>
        <v>0</v>
      </c>
      <c r="E120" s="113">
        <f>领料单!BI6</f>
        <v>0</v>
      </c>
      <c r="F120" s="113">
        <f>领料单!BJ6</f>
        <v>0</v>
      </c>
      <c r="G120" s="113"/>
    </row>
    <row r="121" customHeight="1" spans="1:7">
      <c r="A121" s="113">
        <f>领料单!BE7</f>
        <v>0</v>
      </c>
      <c r="B121" s="113">
        <f>领料单!BF7</f>
        <v>0</v>
      </c>
      <c r="C121" s="113">
        <f>领料单!BG7</f>
        <v>0</v>
      </c>
      <c r="D121" s="113">
        <f>领料单!BH7</f>
        <v>0</v>
      </c>
      <c r="E121" s="113">
        <f>领料单!BI7</f>
        <v>0</v>
      </c>
      <c r="F121" s="113">
        <f>领料单!BJ7</f>
        <v>0</v>
      </c>
      <c r="G121" s="113"/>
    </row>
    <row r="122" customHeight="1" spans="1:7">
      <c r="A122" s="113">
        <f>领料单!BE8</f>
        <v>0</v>
      </c>
      <c r="B122" s="113">
        <f>领料单!BF8</f>
        <v>0</v>
      </c>
      <c r="C122" s="113">
        <f>领料单!BG8</f>
        <v>0</v>
      </c>
      <c r="D122" s="113">
        <f>领料单!BH8</f>
        <v>0</v>
      </c>
      <c r="E122" s="113">
        <f>领料单!BI8</f>
        <v>0</v>
      </c>
      <c r="F122" s="113">
        <f>领料单!BJ8</f>
        <v>0</v>
      </c>
      <c r="G122" s="113"/>
    </row>
    <row r="123" customHeight="1" spans="1:7">
      <c r="A123" s="113">
        <f>领料单!BE9</f>
        <v>0</v>
      </c>
      <c r="B123" s="113">
        <f>领料单!BF9</f>
        <v>0</v>
      </c>
      <c r="C123" s="113">
        <f>领料单!BG9</f>
        <v>0</v>
      </c>
      <c r="D123" s="113">
        <f>领料单!BH9</f>
        <v>0</v>
      </c>
      <c r="E123" s="113">
        <f>领料单!BI9</f>
        <v>0</v>
      </c>
      <c r="F123" s="113">
        <f>领料单!BJ9</f>
        <v>0</v>
      </c>
      <c r="G123" s="113"/>
    </row>
    <row r="124" customHeight="1" spans="1:7">
      <c r="A124" s="113">
        <f>领料单!BE10</f>
        <v>0</v>
      </c>
      <c r="B124" s="113">
        <f>领料单!BF10</f>
        <v>0</v>
      </c>
      <c r="C124" s="113">
        <f>领料单!BG10</f>
        <v>0</v>
      </c>
      <c r="D124" s="113">
        <f>领料单!BH10</f>
        <v>0</v>
      </c>
      <c r="E124" s="113">
        <f>领料单!BI10</f>
        <v>0</v>
      </c>
      <c r="F124" s="113">
        <f>领料单!BJ10</f>
        <v>0</v>
      </c>
      <c r="G124" s="113"/>
    </row>
    <row r="125" customHeight="1" spans="1:7">
      <c r="A125" s="113">
        <f>领料单!BE11</f>
        <v>0</v>
      </c>
      <c r="B125" s="113">
        <f>领料单!BF11</f>
        <v>0</v>
      </c>
      <c r="C125" s="113">
        <f>领料单!BG11</f>
        <v>0</v>
      </c>
      <c r="D125" s="113">
        <f>领料单!BH11</f>
        <v>0</v>
      </c>
      <c r="E125" s="113">
        <f>领料单!BI11</f>
        <v>0</v>
      </c>
      <c r="F125" s="113">
        <f>领料单!BJ11</f>
        <v>0</v>
      </c>
      <c r="G125" s="113"/>
    </row>
    <row r="126" customHeight="1" spans="1:7">
      <c r="A126" s="113">
        <f>领料单!BE12</f>
        <v>0</v>
      </c>
      <c r="B126" s="113">
        <f>领料单!BF12</f>
        <v>0</v>
      </c>
      <c r="C126" s="113">
        <f>领料单!BG12</f>
        <v>0</v>
      </c>
      <c r="D126" s="113">
        <f>领料单!BH12</f>
        <v>0</v>
      </c>
      <c r="E126" s="113">
        <f>领料单!BI12</f>
        <v>0</v>
      </c>
      <c r="F126" s="113">
        <f>领料单!BJ12</f>
        <v>0</v>
      </c>
      <c r="G126" s="113"/>
    </row>
    <row r="127" customHeight="1" spans="1:7">
      <c r="A127" s="113">
        <f>领料单!BE13</f>
        <v>0</v>
      </c>
      <c r="B127" s="113">
        <f>领料单!BF13</f>
        <v>0</v>
      </c>
      <c r="C127" s="113">
        <f>领料单!BG13</f>
        <v>0</v>
      </c>
      <c r="D127" s="113">
        <f>领料单!BH13</f>
        <v>0</v>
      </c>
      <c r="E127" s="113">
        <f>领料单!BI13</f>
        <v>0</v>
      </c>
      <c r="F127" s="113">
        <f>领料单!BJ13</f>
        <v>0</v>
      </c>
      <c r="G127" s="113"/>
    </row>
    <row r="128" customHeight="1" spans="1:7">
      <c r="A128" s="113">
        <f>领料单!BE14</f>
        <v>0</v>
      </c>
      <c r="B128" s="113">
        <f>领料单!BF14</f>
        <v>0</v>
      </c>
      <c r="C128" s="113">
        <f>领料单!BG14</f>
        <v>0</v>
      </c>
      <c r="D128" s="113">
        <f>领料单!BH14</f>
        <v>0</v>
      </c>
      <c r="E128" s="113">
        <f>领料单!BI14</f>
        <v>0</v>
      </c>
      <c r="F128" s="113">
        <f>领料单!BJ14</f>
        <v>0</v>
      </c>
      <c r="G128" s="113"/>
    </row>
    <row r="129" customHeight="1" spans="1:7">
      <c r="A129" s="113">
        <f>领料单!BE15</f>
        <v>0</v>
      </c>
      <c r="B129" s="113">
        <f>领料单!BF15</f>
        <v>0</v>
      </c>
      <c r="C129" s="113">
        <f>领料单!BG15</f>
        <v>0</v>
      </c>
      <c r="D129" s="113">
        <f>领料单!BH15</f>
        <v>0</v>
      </c>
      <c r="E129" s="113">
        <f>领料单!BI15</f>
        <v>0</v>
      </c>
      <c r="F129" s="113">
        <f>领料单!BJ15</f>
        <v>0</v>
      </c>
      <c r="G129" s="113"/>
    </row>
    <row r="130" customHeight="1" spans="1:7">
      <c r="A130" s="115" t="s">
        <v>340</v>
      </c>
      <c r="B130" s="116"/>
      <c r="C130" s="116"/>
      <c r="D130" s="116"/>
      <c r="E130" s="117"/>
      <c r="F130" s="118">
        <f>SUM(F118:F129)</f>
        <v>0</v>
      </c>
      <c r="G130" s="114"/>
    </row>
    <row r="131" customHeight="1" spans="1:7">
      <c r="A131" s="119" t="s">
        <v>341</v>
      </c>
      <c r="B131" s="119"/>
      <c r="C131" s="120"/>
      <c r="D131" s="119"/>
      <c r="E131" s="121" t="s">
        <v>342</v>
      </c>
      <c r="F131" s="119"/>
      <c r="G131" s="119"/>
    </row>
    <row r="134" customHeight="1" spans="1:7">
      <c r="A134" s="105"/>
      <c r="B134" s="106"/>
      <c r="C134" s="107" t="s">
        <v>330</v>
      </c>
      <c r="D134" s="107"/>
      <c r="E134" s="107"/>
      <c r="F134" s="105"/>
      <c r="G134" s="105"/>
    </row>
    <row r="135" customHeight="1" spans="1:7">
      <c r="A135" s="108" t="s">
        <v>331</v>
      </c>
      <c r="B135" s="109"/>
      <c r="C135" s="110">
        <v>45688</v>
      </c>
      <c r="D135" s="110"/>
      <c r="E135" s="110"/>
      <c r="F135" s="111" t="s">
        <v>332</v>
      </c>
      <c r="G135" s="112" t="str">
        <f>立项!$A$10</f>
        <v>RD08</v>
      </c>
    </row>
    <row r="136" customHeight="1" spans="1:7">
      <c r="A136" s="113" t="s">
        <v>333</v>
      </c>
      <c r="B136" s="113" t="s">
        <v>334</v>
      </c>
      <c r="C136" s="113" t="s">
        <v>335</v>
      </c>
      <c r="D136" s="113" t="s">
        <v>336</v>
      </c>
      <c r="E136" s="113" t="s">
        <v>337</v>
      </c>
      <c r="F136" s="113" t="s">
        <v>338</v>
      </c>
      <c r="G136" s="113" t="s">
        <v>339</v>
      </c>
    </row>
    <row r="137" customHeight="1" spans="1:7">
      <c r="A137" s="113">
        <f>领料单!BM4</f>
        <v>0</v>
      </c>
      <c r="B137" s="113">
        <f>领料单!BN4</f>
        <v>0</v>
      </c>
      <c r="C137" s="113">
        <f>领料单!BO4</f>
        <v>0</v>
      </c>
      <c r="D137" s="113">
        <f>领料单!BP4</f>
        <v>0</v>
      </c>
      <c r="E137" s="113">
        <f>领料单!BQ4</f>
        <v>0</v>
      </c>
      <c r="F137" s="113">
        <f>领料单!BR4</f>
        <v>0</v>
      </c>
      <c r="G137" s="113"/>
    </row>
    <row r="138" customHeight="1" spans="1:7">
      <c r="A138" s="113">
        <f>领料单!BM5</f>
        <v>0</v>
      </c>
      <c r="B138" s="113">
        <f>领料单!BN5</f>
        <v>0</v>
      </c>
      <c r="C138" s="113">
        <f>领料单!BO5</f>
        <v>0</v>
      </c>
      <c r="D138" s="113">
        <f>领料单!BP5</f>
        <v>0</v>
      </c>
      <c r="E138" s="113">
        <f>领料单!BQ5</f>
        <v>0</v>
      </c>
      <c r="F138" s="113">
        <f>领料单!BR5</f>
        <v>0</v>
      </c>
      <c r="G138" s="113"/>
    </row>
    <row r="139" customHeight="1" spans="1:7">
      <c r="A139" s="113">
        <f>领料单!BM6</f>
        <v>0</v>
      </c>
      <c r="B139" s="113">
        <f>领料单!BN6</f>
        <v>0</v>
      </c>
      <c r="C139" s="113">
        <f>领料单!BO6</f>
        <v>0</v>
      </c>
      <c r="D139" s="113">
        <f>领料单!BP6</f>
        <v>0</v>
      </c>
      <c r="E139" s="113">
        <f>领料单!BQ6</f>
        <v>0</v>
      </c>
      <c r="F139" s="113">
        <f>领料单!BR6</f>
        <v>0</v>
      </c>
      <c r="G139" s="113"/>
    </row>
    <row r="140" customHeight="1" spans="1:7">
      <c r="A140" s="113">
        <f>领料单!BM7</f>
        <v>0</v>
      </c>
      <c r="B140" s="113">
        <f>领料单!BN7</f>
        <v>0</v>
      </c>
      <c r="C140" s="113">
        <f>领料单!BO7</f>
        <v>0</v>
      </c>
      <c r="D140" s="113">
        <f>领料单!BP7</f>
        <v>0</v>
      </c>
      <c r="E140" s="113">
        <f>领料单!BQ7</f>
        <v>0</v>
      </c>
      <c r="F140" s="113">
        <f>领料单!BR7</f>
        <v>0</v>
      </c>
      <c r="G140" s="113"/>
    </row>
    <row r="141" customHeight="1" spans="1:7">
      <c r="A141" s="113">
        <f>领料单!BM8</f>
        <v>0</v>
      </c>
      <c r="B141" s="113">
        <f>领料单!BN8</f>
        <v>0</v>
      </c>
      <c r="C141" s="113">
        <f>领料单!BO8</f>
        <v>0</v>
      </c>
      <c r="D141" s="113">
        <f>领料单!BP8</f>
        <v>0</v>
      </c>
      <c r="E141" s="113">
        <f>领料单!BQ8</f>
        <v>0</v>
      </c>
      <c r="F141" s="113">
        <f>领料单!BR8</f>
        <v>0</v>
      </c>
      <c r="G141" s="113"/>
    </row>
    <row r="142" customHeight="1" spans="1:7">
      <c r="A142" s="113">
        <f>领料单!BM9</f>
        <v>0</v>
      </c>
      <c r="B142" s="113">
        <f>领料单!BN9</f>
        <v>0</v>
      </c>
      <c r="C142" s="113">
        <f>领料单!BO9</f>
        <v>0</v>
      </c>
      <c r="D142" s="113">
        <f>领料单!BP9</f>
        <v>0</v>
      </c>
      <c r="E142" s="113">
        <f>领料单!BQ9</f>
        <v>0</v>
      </c>
      <c r="F142" s="113">
        <f>领料单!BR9</f>
        <v>0</v>
      </c>
      <c r="G142" s="113"/>
    </row>
    <row r="143" customHeight="1" spans="1:7">
      <c r="A143" s="113">
        <f>领料单!BM10</f>
        <v>0</v>
      </c>
      <c r="B143" s="113">
        <f>领料单!BN10</f>
        <v>0</v>
      </c>
      <c r="C143" s="113">
        <f>领料单!BO10</f>
        <v>0</v>
      </c>
      <c r="D143" s="113">
        <f>领料单!BP10</f>
        <v>0</v>
      </c>
      <c r="E143" s="113">
        <f>领料单!BQ10</f>
        <v>0</v>
      </c>
      <c r="F143" s="113">
        <f>领料单!BR10</f>
        <v>0</v>
      </c>
      <c r="G143" s="113"/>
    </row>
    <row r="144" customHeight="1" spans="1:7">
      <c r="A144" s="113">
        <f>领料单!BM11</f>
        <v>0</v>
      </c>
      <c r="B144" s="113">
        <f>领料单!BN11</f>
        <v>0</v>
      </c>
      <c r="C144" s="113">
        <f>领料单!BO11</f>
        <v>0</v>
      </c>
      <c r="D144" s="113">
        <f>领料单!BP11</f>
        <v>0</v>
      </c>
      <c r="E144" s="113">
        <f>领料单!BQ11</f>
        <v>0</v>
      </c>
      <c r="F144" s="113">
        <f>领料单!BR11</f>
        <v>0</v>
      </c>
      <c r="G144" s="113"/>
    </row>
    <row r="145" customHeight="1" spans="1:7">
      <c r="A145" s="113">
        <f>领料单!BM12</f>
        <v>0</v>
      </c>
      <c r="B145" s="113">
        <f>领料单!BN12</f>
        <v>0</v>
      </c>
      <c r="C145" s="113">
        <f>领料单!BO12</f>
        <v>0</v>
      </c>
      <c r="D145" s="113">
        <f>领料单!BP12</f>
        <v>0</v>
      </c>
      <c r="E145" s="113">
        <f>领料单!BQ12</f>
        <v>0</v>
      </c>
      <c r="F145" s="113">
        <f>领料单!BR12</f>
        <v>0</v>
      </c>
      <c r="G145" s="113"/>
    </row>
    <row r="146" customHeight="1" spans="1:7">
      <c r="A146" s="113">
        <f>领料单!BM13</f>
        <v>0</v>
      </c>
      <c r="B146" s="113">
        <f>领料单!BN13</f>
        <v>0</v>
      </c>
      <c r="C146" s="113">
        <f>领料单!BO13</f>
        <v>0</v>
      </c>
      <c r="D146" s="113">
        <f>领料单!BP13</f>
        <v>0</v>
      </c>
      <c r="E146" s="113">
        <f>领料单!BQ13</f>
        <v>0</v>
      </c>
      <c r="F146" s="113">
        <f>领料单!BR13</f>
        <v>0</v>
      </c>
      <c r="G146" s="113"/>
    </row>
    <row r="147" customHeight="1" spans="1:7">
      <c r="A147" s="113">
        <f>领料单!BM14</f>
        <v>0</v>
      </c>
      <c r="B147" s="113">
        <f>领料单!BN14</f>
        <v>0</v>
      </c>
      <c r="C147" s="113">
        <f>领料单!BO14</f>
        <v>0</v>
      </c>
      <c r="D147" s="113">
        <f>领料单!BP14</f>
        <v>0</v>
      </c>
      <c r="E147" s="113">
        <f>领料单!BQ14</f>
        <v>0</v>
      </c>
      <c r="F147" s="113">
        <f>领料单!BR14</f>
        <v>0</v>
      </c>
      <c r="G147" s="113"/>
    </row>
    <row r="148" customHeight="1" spans="1:7">
      <c r="A148" s="113">
        <f>领料单!BM15</f>
        <v>0</v>
      </c>
      <c r="B148" s="113">
        <f>领料单!BN15</f>
        <v>0</v>
      </c>
      <c r="C148" s="113">
        <f>领料单!BO15</f>
        <v>0</v>
      </c>
      <c r="D148" s="113">
        <f>领料单!BP15</f>
        <v>0</v>
      </c>
      <c r="E148" s="113">
        <f>领料单!BQ15</f>
        <v>0</v>
      </c>
      <c r="F148" s="113">
        <f>领料单!BR15</f>
        <v>0</v>
      </c>
      <c r="G148" s="113"/>
    </row>
    <row r="149" customHeight="1" spans="1:7">
      <c r="A149" s="115" t="s">
        <v>340</v>
      </c>
      <c r="B149" s="116"/>
      <c r="C149" s="116"/>
      <c r="D149" s="116"/>
      <c r="E149" s="117"/>
      <c r="F149" s="118">
        <f>SUM(F137:F148)</f>
        <v>0</v>
      </c>
      <c r="G149" s="114"/>
    </row>
    <row r="150" customHeight="1" spans="1:7">
      <c r="A150" s="119" t="s">
        <v>341</v>
      </c>
      <c r="B150" s="119"/>
      <c r="C150" s="120"/>
      <c r="D150" s="119"/>
      <c r="E150" s="121" t="s">
        <v>342</v>
      </c>
      <c r="F150" s="119"/>
      <c r="G150" s="119"/>
    </row>
    <row r="153" customHeight="1" spans="1:7">
      <c r="A153" s="105"/>
      <c r="B153" s="106"/>
      <c r="C153" s="107" t="s">
        <v>330</v>
      </c>
      <c r="D153" s="107"/>
      <c r="E153" s="107"/>
      <c r="F153" s="105"/>
      <c r="G153" s="105"/>
    </row>
    <row r="154" customHeight="1" spans="1:7">
      <c r="A154" s="108" t="s">
        <v>331</v>
      </c>
      <c r="B154" s="109"/>
      <c r="C154" s="110">
        <v>45688</v>
      </c>
      <c r="D154" s="110"/>
      <c r="E154" s="110"/>
      <c r="F154" s="111" t="s">
        <v>332</v>
      </c>
      <c r="G154" s="112" t="str">
        <f>立项!$A$11</f>
        <v>RD09</v>
      </c>
    </row>
    <row r="155" customHeight="1" spans="1:7">
      <c r="A155" s="113" t="s">
        <v>333</v>
      </c>
      <c r="B155" s="113" t="s">
        <v>334</v>
      </c>
      <c r="C155" s="113" t="s">
        <v>335</v>
      </c>
      <c r="D155" s="113" t="s">
        <v>336</v>
      </c>
      <c r="E155" s="113" t="s">
        <v>337</v>
      </c>
      <c r="F155" s="113" t="s">
        <v>338</v>
      </c>
      <c r="G155" s="113" t="s">
        <v>339</v>
      </c>
    </row>
    <row r="156" customHeight="1" spans="1:7">
      <c r="A156" s="113">
        <f>领料单!BU4</f>
        <v>0</v>
      </c>
      <c r="B156" s="113">
        <f>领料单!BV4</f>
        <v>0</v>
      </c>
      <c r="C156" s="113">
        <f>领料单!BW4</f>
        <v>0</v>
      </c>
      <c r="D156" s="113">
        <f>领料单!BX4</f>
        <v>0</v>
      </c>
      <c r="E156" s="113">
        <f>领料单!BY4</f>
        <v>0</v>
      </c>
      <c r="F156" s="113">
        <f>领料单!BZ4</f>
        <v>0</v>
      </c>
      <c r="G156" s="113"/>
    </row>
    <row r="157" customHeight="1" spans="1:7">
      <c r="A157" s="113">
        <f>领料单!BU5</f>
        <v>0</v>
      </c>
      <c r="B157" s="113">
        <f>领料单!BV5</f>
        <v>0</v>
      </c>
      <c r="C157" s="113">
        <f>领料单!BW5</f>
        <v>0</v>
      </c>
      <c r="D157" s="113">
        <f>领料单!BX5</f>
        <v>0</v>
      </c>
      <c r="E157" s="113">
        <f>领料单!BY5</f>
        <v>0</v>
      </c>
      <c r="F157" s="113">
        <f>领料单!BZ5</f>
        <v>0</v>
      </c>
      <c r="G157" s="113"/>
    </row>
    <row r="158" customHeight="1" spans="1:7">
      <c r="A158" s="113">
        <f>领料单!BU6</f>
        <v>0</v>
      </c>
      <c r="B158" s="113">
        <f>领料单!BV6</f>
        <v>0</v>
      </c>
      <c r="C158" s="113">
        <f>领料单!BW6</f>
        <v>0</v>
      </c>
      <c r="D158" s="113">
        <f>领料单!BX6</f>
        <v>0</v>
      </c>
      <c r="E158" s="113">
        <f>领料单!BY6</f>
        <v>0</v>
      </c>
      <c r="F158" s="113">
        <f>领料单!BZ6</f>
        <v>0</v>
      </c>
      <c r="G158" s="113"/>
    </row>
    <row r="159" customHeight="1" spans="1:7">
      <c r="A159" s="113">
        <f>领料单!BU7</f>
        <v>0</v>
      </c>
      <c r="B159" s="113">
        <f>领料单!BV7</f>
        <v>0</v>
      </c>
      <c r="C159" s="113">
        <f>领料单!BW7</f>
        <v>0</v>
      </c>
      <c r="D159" s="113">
        <f>领料单!BX7</f>
        <v>0</v>
      </c>
      <c r="E159" s="113">
        <f>领料单!BY7</f>
        <v>0</v>
      </c>
      <c r="F159" s="113">
        <f>领料单!BZ7</f>
        <v>0</v>
      </c>
      <c r="G159" s="113"/>
    </row>
    <row r="160" customHeight="1" spans="1:7">
      <c r="A160" s="113">
        <f>领料单!BU8</f>
        <v>0</v>
      </c>
      <c r="B160" s="113">
        <f>领料单!BV8</f>
        <v>0</v>
      </c>
      <c r="C160" s="113">
        <f>领料单!BW8</f>
        <v>0</v>
      </c>
      <c r="D160" s="113">
        <f>领料单!BX8</f>
        <v>0</v>
      </c>
      <c r="E160" s="113">
        <f>领料单!BY8</f>
        <v>0</v>
      </c>
      <c r="F160" s="113">
        <f>领料单!BZ8</f>
        <v>0</v>
      </c>
      <c r="G160" s="113"/>
    </row>
    <row r="161" customHeight="1" spans="1:7">
      <c r="A161" s="113">
        <f>领料单!BU9</f>
        <v>0</v>
      </c>
      <c r="B161" s="113">
        <f>领料单!BV9</f>
        <v>0</v>
      </c>
      <c r="C161" s="113">
        <f>领料单!BW9</f>
        <v>0</v>
      </c>
      <c r="D161" s="113">
        <f>领料单!BX9</f>
        <v>0</v>
      </c>
      <c r="E161" s="113">
        <f>领料单!BY9</f>
        <v>0</v>
      </c>
      <c r="F161" s="113">
        <f>领料单!BZ9</f>
        <v>0</v>
      </c>
      <c r="G161" s="113"/>
    </row>
    <row r="162" customHeight="1" spans="1:7">
      <c r="A162" s="113">
        <f>领料单!BU10</f>
        <v>0</v>
      </c>
      <c r="B162" s="113">
        <f>领料单!BV10</f>
        <v>0</v>
      </c>
      <c r="C162" s="113">
        <f>领料单!BW10</f>
        <v>0</v>
      </c>
      <c r="D162" s="113">
        <f>领料单!BX10</f>
        <v>0</v>
      </c>
      <c r="E162" s="113">
        <f>领料单!BY10</f>
        <v>0</v>
      </c>
      <c r="F162" s="113">
        <f>领料单!BZ10</f>
        <v>0</v>
      </c>
      <c r="G162" s="113"/>
    </row>
    <row r="163" customHeight="1" spans="1:7">
      <c r="A163" s="113">
        <f>领料单!BU11</f>
        <v>0</v>
      </c>
      <c r="B163" s="113">
        <f>领料单!BV11</f>
        <v>0</v>
      </c>
      <c r="C163" s="113">
        <f>领料单!BW11</f>
        <v>0</v>
      </c>
      <c r="D163" s="113">
        <f>领料单!BX11</f>
        <v>0</v>
      </c>
      <c r="E163" s="113">
        <f>领料单!BY11</f>
        <v>0</v>
      </c>
      <c r="F163" s="113">
        <f>领料单!BZ11</f>
        <v>0</v>
      </c>
      <c r="G163" s="113"/>
    </row>
    <row r="164" customHeight="1" spans="1:7">
      <c r="A164" s="113">
        <f>领料单!BU12</f>
        <v>0</v>
      </c>
      <c r="B164" s="113">
        <f>领料单!BV12</f>
        <v>0</v>
      </c>
      <c r="C164" s="113">
        <f>领料单!BW12</f>
        <v>0</v>
      </c>
      <c r="D164" s="113">
        <f>领料单!BX12</f>
        <v>0</v>
      </c>
      <c r="E164" s="113">
        <f>领料单!BY12</f>
        <v>0</v>
      </c>
      <c r="F164" s="113">
        <f>领料单!BZ12</f>
        <v>0</v>
      </c>
      <c r="G164" s="113"/>
    </row>
    <row r="165" customHeight="1" spans="1:7">
      <c r="A165" s="113">
        <f>领料单!BU13</f>
        <v>0</v>
      </c>
      <c r="B165" s="113">
        <f>领料单!BV13</f>
        <v>0</v>
      </c>
      <c r="C165" s="113">
        <f>领料单!BW13</f>
        <v>0</v>
      </c>
      <c r="D165" s="113">
        <f>领料单!BX13</f>
        <v>0</v>
      </c>
      <c r="E165" s="113">
        <f>领料单!BY13</f>
        <v>0</v>
      </c>
      <c r="F165" s="113">
        <f>领料单!BZ13</f>
        <v>0</v>
      </c>
      <c r="G165" s="113"/>
    </row>
    <row r="166" customHeight="1" spans="1:7">
      <c r="A166" s="113">
        <f>领料单!BU14</f>
        <v>0</v>
      </c>
      <c r="B166" s="113">
        <f>领料单!BV14</f>
        <v>0</v>
      </c>
      <c r="C166" s="113">
        <f>领料单!BW14</f>
        <v>0</v>
      </c>
      <c r="D166" s="113">
        <f>领料单!BX14</f>
        <v>0</v>
      </c>
      <c r="E166" s="113">
        <f>领料单!BY14</f>
        <v>0</v>
      </c>
      <c r="F166" s="113">
        <f>领料单!BZ14</f>
        <v>0</v>
      </c>
      <c r="G166" s="113"/>
    </row>
    <row r="167" customHeight="1" spans="1:7">
      <c r="A167" s="113">
        <f>领料单!BU15</f>
        <v>0</v>
      </c>
      <c r="B167" s="113">
        <f>领料单!BV15</f>
        <v>0</v>
      </c>
      <c r="C167" s="113">
        <f>领料单!BW15</f>
        <v>0</v>
      </c>
      <c r="D167" s="113">
        <f>领料单!BX15</f>
        <v>0</v>
      </c>
      <c r="E167" s="113">
        <f>领料单!BY15</f>
        <v>0</v>
      </c>
      <c r="F167" s="113">
        <f>领料单!BZ15</f>
        <v>0</v>
      </c>
      <c r="G167" s="113"/>
    </row>
    <row r="168" customHeight="1" spans="1:7">
      <c r="A168" s="115" t="s">
        <v>340</v>
      </c>
      <c r="B168" s="116"/>
      <c r="C168" s="116"/>
      <c r="D168" s="116"/>
      <c r="E168" s="117"/>
      <c r="F168" s="118">
        <f>SUM(F156:F167)</f>
        <v>0</v>
      </c>
      <c r="G168" s="114"/>
    </row>
    <row r="169" customHeight="1" spans="1:7">
      <c r="A169" s="119" t="s">
        <v>341</v>
      </c>
      <c r="B169" s="119"/>
      <c r="C169" s="120"/>
      <c r="D169" s="119"/>
      <c r="E169" s="121" t="s">
        <v>342</v>
      </c>
      <c r="F169" s="119"/>
      <c r="G169" s="119"/>
    </row>
    <row r="172" customHeight="1" spans="1:7">
      <c r="A172" s="105"/>
      <c r="B172" s="106"/>
      <c r="C172" s="107" t="s">
        <v>330</v>
      </c>
      <c r="D172" s="107"/>
      <c r="E172" s="107"/>
      <c r="F172" s="105"/>
      <c r="G172" s="105"/>
    </row>
    <row r="173" customHeight="1" spans="1:7">
      <c r="A173" s="108" t="s">
        <v>331</v>
      </c>
      <c r="B173" s="109"/>
      <c r="C173" s="110">
        <v>45688</v>
      </c>
      <c r="D173" s="110"/>
      <c r="E173" s="110"/>
      <c r="F173" s="111" t="s">
        <v>332</v>
      </c>
      <c r="G173" s="112" t="str">
        <f>立项!$A$12</f>
        <v>RD10</v>
      </c>
    </row>
    <row r="174" customHeight="1" spans="1:7">
      <c r="A174" s="113" t="s">
        <v>333</v>
      </c>
      <c r="B174" s="113" t="s">
        <v>334</v>
      </c>
      <c r="C174" s="113" t="s">
        <v>335</v>
      </c>
      <c r="D174" s="113" t="s">
        <v>336</v>
      </c>
      <c r="E174" s="113" t="s">
        <v>337</v>
      </c>
      <c r="F174" s="113" t="s">
        <v>338</v>
      </c>
      <c r="G174" s="113" t="s">
        <v>339</v>
      </c>
    </row>
    <row r="175" customHeight="1" spans="1:7">
      <c r="A175" s="113">
        <f>领料单!CC4</f>
        <v>0</v>
      </c>
      <c r="B175" s="113">
        <f>领料单!CD4</f>
        <v>0</v>
      </c>
      <c r="C175" s="113">
        <f>领料单!CE4</f>
        <v>0</v>
      </c>
      <c r="D175" s="113">
        <f>领料单!CF4</f>
        <v>0</v>
      </c>
      <c r="E175" s="113">
        <f>领料单!CG4</f>
        <v>0</v>
      </c>
      <c r="F175" s="113">
        <f>领料单!CH4</f>
        <v>0</v>
      </c>
      <c r="G175" s="113"/>
    </row>
    <row r="176" customHeight="1" spans="1:7">
      <c r="A176" s="113">
        <f>领料单!CC5</f>
        <v>0</v>
      </c>
      <c r="B176" s="113">
        <f>领料单!CD5</f>
        <v>0</v>
      </c>
      <c r="C176" s="113">
        <f>领料单!CE5</f>
        <v>0</v>
      </c>
      <c r="D176" s="113">
        <f>领料单!CF5</f>
        <v>0</v>
      </c>
      <c r="E176" s="113">
        <f>领料单!CG5</f>
        <v>0</v>
      </c>
      <c r="F176" s="113">
        <f>领料单!CH5</f>
        <v>0</v>
      </c>
      <c r="G176" s="113"/>
    </row>
    <row r="177" customHeight="1" spans="1:7">
      <c r="A177" s="113">
        <f>领料单!CC6</f>
        <v>0</v>
      </c>
      <c r="B177" s="113">
        <f>领料单!CD6</f>
        <v>0</v>
      </c>
      <c r="C177" s="113">
        <f>领料单!CE6</f>
        <v>0</v>
      </c>
      <c r="D177" s="113">
        <f>领料单!CF6</f>
        <v>0</v>
      </c>
      <c r="E177" s="113">
        <f>领料单!CG6</f>
        <v>0</v>
      </c>
      <c r="F177" s="113">
        <f>领料单!CH6</f>
        <v>0</v>
      </c>
      <c r="G177" s="113"/>
    </row>
    <row r="178" customHeight="1" spans="1:7">
      <c r="A178" s="113">
        <f>领料单!CC7</f>
        <v>0</v>
      </c>
      <c r="B178" s="113">
        <f>领料单!CD7</f>
        <v>0</v>
      </c>
      <c r="C178" s="113">
        <f>领料单!CE7</f>
        <v>0</v>
      </c>
      <c r="D178" s="113">
        <f>领料单!CF7</f>
        <v>0</v>
      </c>
      <c r="E178" s="113">
        <f>领料单!CG7</f>
        <v>0</v>
      </c>
      <c r="F178" s="113">
        <f>领料单!CH7</f>
        <v>0</v>
      </c>
      <c r="G178" s="113"/>
    </row>
    <row r="179" customHeight="1" spans="1:7">
      <c r="A179" s="113">
        <f>领料单!CC8</f>
        <v>0</v>
      </c>
      <c r="B179" s="113">
        <f>领料单!CD8</f>
        <v>0</v>
      </c>
      <c r="C179" s="113">
        <f>领料单!CE8</f>
        <v>0</v>
      </c>
      <c r="D179" s="113">
        <f>领料单!CF8</f>
        <v>0</v>
      </c>
      <c r="E179" s="113">
        <f>领料单!CG8</f>
        <v>0</v>
      </c>
      <c r="F179" s="113">
        <f>领料单!CH8</f>
        <v>0</v>
      </c>
      <c r="G179" s="113"/>
    </row>
    <row r="180" customHeight="1" spans="1:7">
      <c r="A180" s="113">
        <f>领料单!CC9</f>
        <v>0</v>
      </c>
      <c r="B180" s="113">
        <f>领料单!CD9</f>
        <v>0</v>
      </c>
      <c r="C180" s="113">
        <f>领料单!CE9</f>
        <v>0</v>
      </c>
      <c r="D180" s="113">
        <f>领料单!CF9</f>
        <v>0</v>
      </c>
      <c r="E180" s="113">
        <f>领料单!CG9</f>
        <v>0</v>
      </c>
      <c r="F180" s="113">
        <f>领料单!CH9</f>
        <v>0</v>
      </c>
      <c r="G180" s="113"/>
    </row>
    <row r="181" customHeight="1" spans="1:7">
      <c r="A181" s="113">
        <f>领料单!CC10</f>
        <v>0</v>
      </c>
      <c r="B181" s="113">
        <f>领料单!CD10</f>
        <v>0</v>
      </c>
      <c r="C181" s="113">
        <f>领料单!CE10</f>
        <v>0</v>
      </c>
      <c r="D181" s="113">
        <f>领料单!CF10</f>
        <v>0</v>
      </c>
      <c r="E181" s="113">
        <f>领料单!CG10</f>
        <v>0</v>
      </c>
      <c r="F181" s="113">
        <f>领料单!CH10</f>
        <v>0</v>
      </c>
      <c r="G181" s="113"/>
    </row>
    <row r="182" customHeight="1" spans="1:7">
      <c r="A182" s="113">
        <f>领料单!CC11</f>
        <v>0</v>
      </c>
      <c r="B182" s="113">
        <f>领料单!CD11</f>
        <v>0</v>
      </c>
      <c r="C182" s="113">
        <f>领料单!CE11</f>
        <v>0</v>
      </c>
      <c r="D182" s="113">
        <f>领料单!CF11</f>
        <v>0</v>
      </c>
      <c r="E182" s="113">
        <f>领料单!CG11</f>
        <v>0</v>
      </c>
      <c r="F182" s="113">
        <f>领料单!CH11</f>
        <v>0</v>
      </c>
      <c r="G182" s="113"/>
    </row>
    <row r="183" customHeight="1" spans="1:7">
      <c r="A183" s="113">
        <f>领料单!CC12</f>
        <v>0</v>
      </c>
      <c r="B183" s="113">
        <f>领料单!CD12</f>
        <v>0</v>
      </c>
      <c r="C183" s="113">
        <f>领料单!CE12</f>
        <v>0</v>
      </c>
      <c r="D183" s="113">
        <f>领料单!CF12</f>
        <v>0</v>
      </c>
      <c r="E183" s="113">
        <f>领料单!CG12</f>
        <v>0</v>
      </c>
      <c r="F183" s="113">
        <f>领料单!CH12</f>
        <v>0</v>
      </c>
      <c r="G183" s="113"/>
    </row>
    <row r="184" customHeight="1" spans="1:7">
      <c r="A184" s="113">
        <f>领料单!CC13</f>
        <v>0</v>
      </c>
      <c r="B184" s="113">
        <f>领料单!CD13</f>
        <v>0</v>
      </c>
      <c r="C184" s="113">
        <f>领料单!CE13</f>
        <v>0</v>
      </c>
      <c r="D184" s="113">
        <f>领料单!CF13</f>
        <v>0</v>
      </c>
      <c r="E184" s="113">
        <f>领料单!CG13</f>
        <v>0</v>
      </c>
      <c r="F184" s="113">
        <f>领料单!CH13</f>
        <v>0</v>
      </c>
      <c r="G184" s="113"/>
    </row>
    <row r="185" customHeight="1" spans="1:7">
      <c r="A185" s="113">
        <f>领料单!CC14</f>
        <v>0</v>
      </c>
      <c r="B185" s="113">
        <f>领料单!CD14</f>
        <v>0</v>
      </c>
      <c r="C185" s="113">
        <f>领料单!CE14</f>
        <v>0</v>
      </c>
      <c r="D185" s="113">
        <f>领料单!CF14</f>
        <v>0</v>
      </c>
      <c r="E185" s="113">
        <f>领料单!CG14</f>
        <v>0</v>
      </c>
      <c r="F185" s="113">
        <f>领料单!CH14</f>
        <v>0</v>
      </c>
      <c r="G185" s="113"/>
    </row>
    <row r="186" customHeight="1" spans="1:7">
      <c r="A186" s="113">
        <f>领料单!CC15</f>
        <v>0</v>
      </c>
      <c r="B186" s="113">
        <f>领料单!CD15</f>
        <v>0</v>
      </c>
      <c r="C186" s="113">
        <f>领料单!CE15</f>
        <v>0</v>
      </c>
      <c r="D186" s="113">
        <f>领料单!CF15</f>
        <v>0</v>
      </c>
      <c r="E186" s="113">
        <f>领料单!CG15</f>
        <v>0</v>
      </c>
      <c r="F186" s="113">
        <f>领料单!CH15</f>
        <v>0</v>
      </c>
      <c r="G186" s="113"/>
    </row>
    <row r="187" customHeight="1" spans="1:7">
      <c r="A187" s="115" t="s">
        <v>340</v>
      </c>
      <c r="B187" s="116"/>
      <c r="C187" s="116"/>
      <c r="D187" s="116"/>
      <c r="E187" s="117"/>
      <c r="F187" s="118">
        <f>SUM(F175:F186)</f>
        <v>0</v>
      </c>
      <c r="G187" s="114"/>
    </row>
    <row r="188" customHeight="1" spans="1:7">
      <c r="A188" s="119" t="s">
        <v>341</v>
      </c>
      <c r="B188" s="119"/>
      <c r="C188" s="120"/>
      <c r="D188" s="119"/>
      <c r="E188" s="121" t="s">
        <v>342</v>
      </c>
      <c r="F188" s="119"/>
      <c r="G188" s="119"/>
    </row>
    <row r="191" customHeight="1" spans="1:7">
      <c r="A191" s="105"/>
      <c r="B191" s="106"/>
      <c r="C191" s="107" t="s">
        <v>330</v>
      </c>
      <c r="D191" s="107"/>
      <c r="E191" s="107"/>
      <c r="F191" s="105"/>
      <c r="G191" s="105"/>
    </row>
    <row r="192" customHeight="1" spans="1:7">
      <c r="A192" s="108" t="s">
        <v>331</v>
      </c>
      <c r="B192" s="109"/>
      <c r="C192" s="110">
        <v>45716</v>
      </c>
      <c r="D192" s="110"/>
      <c r="E192" s="110"/>
      <c r="F192" s="111" t="s">
        <v>332</v>
      </c>
      <c r="G192" s="112" t="str">
        <f>立项!$A$3</f>
        <v>RD01</v>
      </c>
    </row>
    <row r="193" customHeight="1" spans="1:7">
      <c r="A193" s="113" t="s">
        <v>333</v>
      </c>
      <c r="B193" s="113" t="s">
        <v>334</v>
      </c>
      <c r="C193" s="113" t="s">
        <v>335</v>
      </c>
      <c r="D193" s="113" t="s">
        <v>336</v>
      </c>
      <c r="E193" s="113" t="s">
        <v>337</v>
      </c>
      <c r="F193" s="113" t="s">
        <v>338</v>
      </c>
      <c r="G193" s="113" t="s">
        <v>339</v>
      </c>
    </row>
    <row r="194" customHeight="1" spans="1:7">
      <c r="A194" s="113">
        <f>领料单!I23</f>
        <v>0</v>
      </c>
      <c r="B194" s="113">
        <f>领料单!J23</f>
        <v>0</v>
      </c>
      <c r="C194" s="113">
        <f>领料单!K23</f>
        <v>0</v>
      </c>
      <c r="D194" s="113">
        <f>领料单!L23</f>
        <v>0</v>
      </c>
      <c r="E194" s="113">
        <f>领料单!M23</f>
        <v>0</v>
      </c>
      <c r="F194" s="113">
        <f>领料单!N23</f>
        <v>0</v>
      </c>
      <c r="G194" s="113"/>
    </row>
    <row r="195" customHeight="1" spans="1:7">
      <c r="A195" s="113">
        <f>领料单!I25</f>
        <v>0</v>
      </c>
      <c r="B195" s="113">
        <f>领料单!J25</f>
        <v>0</v>
      </c>
      <c r="C195" s="113">
        <f>领料单!K25</f>
        <v>0</v>
      </c>
      <c r="D195" s="113">
        <f>领料单!L25</f>
        <v>0</v>
      </c>
      <c r="E195" s="113">
        <f>领料单!M25</f>
        <v>0</v>
      </c>
      <c r="F195" s="113">
        <f>领料单!N25</f>
        <v>0</v>
      </c>
      <c r="G195" s="113"/>
    </row>
    <row r="196" customHeight="1" spans="1:7">
      <c r="A196" s="113">
        <f>领料单!I25</f>
        <v>0</v>
      </c>
      <c r="B196" s="113">
        <f>领料单!J25</f>
        <v>0</v>
      </c>
      <c r="C196" s="113">
        <f>领料单!K25</f>
        <v>0</v>
      </c>
      <c r="D196" s="113">
        <f>领料单!L25</f>
        <v>0</v>
      </c>
      <c r="E196" s="113">
        <f>领料单!M25</f>
        <v>0</v>
      </c>
      <c r="F196" s="113">
        <f>领料单!N25</f>
        <v>0</v>
      </c>
      <c r="G196" s="113"/>
    </row>
    <row r="197" customHeight="1" spans="1:7">
      <c r="A197" s="113">
        <f>领料单!I26</f>
        <v>0</v>
      </c>
      <c r="B197" s="113">
        <f>领料单!J26</f>
        <v>0</v>
      </c>
      <c r="C197" s="113">
        <f>领料单!K26</f>
        <v>0</v>
      </c>
      <c r="D197" s="113">
        <f>领料单!L26</f>
        <v>0</v>
      </c>
      <c r="E197" s="113">
        <f>领料单!M26</f>
        <v>0</v>
      </c>
      <c r="F197" s="113">
        <f>领料单!N26</f>
        <v>0</v>
      </c>
      <c r="G197" s="113"/>
    </row>
    <row r="198" customHeight="1" spans="1:7">
      <c r="A198" s="113">
        <f>领料单!I27</f>
        <v>0</v>
      </c>
      <c r="B198" s="113">
        <f>领料单!J27</f>
        <v>0</v>
      </c>
      <c r="C198" s="113">
        <f>领料单!K27</f>
        <v>0</v>
      </c>
      <c r="D198" s="113">
        <f>领料单!L27</f>
        <v>0</v>
      </c>
      <c r="E198" s="113">
        <f>领料单!M27</f>
        <v>0</v>
      </c>
      <c r="F198" s="113">
        <f>领料单!N27</f>
        <v>0</v>
      </c>
      <c r="G198" s="113"/>
    </row>
    <row r="199" customHeight="1" spans="1:7">
      <c r="A199" s="113">
        <f>领料单!I28</f>
        <v>0</v>
      </c>
      <c r="B199" s="113">
        <f>领料单!J28</f>
        <v>0</v>
      </c>
      <c r="C199" s="113">
        <f>领料单!K28</f>
        <v>0</v>
      </c>
      <c r="D199" s="113">
        <f>领料单!L28</f>
        <v>0</v>
      </c>
      <c r="E199" s="113">
        <f>领料单!M28</f>
        <v>0</v>
      </c>
      <c r="F199" s="113">
        <f>领料单!N28</f>
        <v>0</v>
      </c>
      <c r="G199" s="113"/>
    </row>
    <row r="200" customHeight="1" spans="1:7">
      <c r="A200" s="113">
        <f>领料单!I29</f>
        <v>0</v>
      </c>
      <c r="B200" s="113">
        <f>领料单!J29</f>
        <v>0</v>
      </c>
      <c r="C200" s="113">
        <f>领料单!K29</f>
        <v>0</v>
      </c>
      <c r="D200" s="113">
        <f>领料单!L29</f>
        <v>0</v>
      </c>
      <c r="E200" s="113">
        <f>领料单!M29</f>
        <v>0</v>
      </c>
      <c r="F200" s="113">
        <f>领料单!N29</f>
        <v>0</v>
      </c>
      <c r="G200" s="113"/>
    </row>
    <row r="201" customHeight="1" spans="1:7">
      <c r="A201" s="113">
        <f>领料单!I30</f>
        <v>0</v>
      </c>
      <c r="B201" s="113">
        <f>领料单!J30</f>
        <v>0</v>
      </c>
      <c r="C201" s="113">
        <f>领料单!K30</f>
        <v>0</v>
      </c>
      <c r="D201" s="113">
        <f>领料单!L30</f>
        <v>0</v>
      </c>
      <c r="E201" s="113">
        <f>领料单!M30</f>
        <v>0</v>
      </c>
      <c r="F201" s="113">
        <f>领料单!N30</f>
        <v>0</v>
      </c>
      <c r="G201" s="113"/>
    </row>
    <row r="202" customHeight="1" spans="1:7">
      <c r="A202" s="113">
        <f>领料单!I31</f>
        <v>0</v>
      </c>
      <c r="B202" s="113">
        <f>领料单!J31</f>
        <v>0</v>
      </c>
      <c r="C202" s="113">
        <f>领料单!K31</f>
        <v>0</v>
      </c>
      <c r="D202" s="113">
        <f>领料单!L31</f>
        <v>0</v>
      </c>
      <c r="E202" s="113">
        <f>领料单!M31</f>
        <v>0</v>
      </c>
      <c r="F202" s="113">
        <f>领料单!N31</f>
        <v>0</v>
      </c>
      <c r="G202" s="113"/>
    </row>
    <row r="203" customHeight="1" spans="1:7">
      <c r="A203" s="113">
        <f>领料单!I32</f>
        <v>0</v>
      </c>
      <c r="B203" s="113">
        <f>领料单!J32</f>
        <v>0</v>
      </c>
      <c r="C203" s="113">
        <f>领料单!K32</f>
        <v>0</v>
      </c>
      <c r="D203" s="113">
        <f>领料单!L32</f>
        <v>0</v>
      </c>
      <c r="E203" s="113">
        <f>领料单!M32</f>
        <v>0</v>
      </c>
      <c r="F203" s="113">
        <f>领料单!N32</f>
        <v>0</v>
      </c>
      <c r="G203" s="113"/>
    </row>
    <row r="204" customHeight="1" spans="1:7">
      <c r="A204" s="113">
        <f>领料单!I33</f>
        <v>0</v>
      </c>
      <c r="B204" s="113">
        <f>领料单!J33</f>
        <v>0</v>
      </c>
      <c r="C204" s="113">
        <f>领料单!K33</f>
        <v>0</v>
      </c>
      <c r="D204" s="113">
        <f>领料单!L33</f>
        <v>0</v>
      </c>
      <c r="E204" s="113">
        <f>领料单!M33</f>
        <v>0</v>
      </c>
      <c r="F204" s="113">
        <f>领料单!N33</f>
        <v>0</v>
      </c>
      <c r="G204" s="113"/>
    </row>
    <row r="205" customHeight="1" spans="1:7">
      <c r="A205" s="113">
        <f>领料单!I34</f>
        <v>0</v>
      </c>
      <c r="B205" s="113">
        <f>领料单!J34</f>
        <v>0</v>
      </c>
      <c r="C205" s="113">
        <f>领料单!K34</f>
        <v>0</v>
      </c>
      <c r="D205" s="113">
        <f>领料单!L34</f>
        <v>0</v>
      </c>
      <c r="E205" s="113">
        <f>领料单!M34</f>
        <v>0</v>
      </c>
      <c r="F205" s="113">
        <f>领料单!N34</f>
        <v>0</v>
      </c>
      <c r="G205" s="113"/>
    </row>
    <row r="206" customHeight="1" spans="1:7">
      <c r="A206" s="115" t="s">
        <v>340</v>
      </c>
      <c r="B206" s="116"/>
      <c r="C206" s="116"/>
      <c r="D206" s="116"/>
      <c r="E206" s="117"/>
      <c r="F206" s="118">
        <f>SUM(F194:F205)</f>
        <v>0</v>
      </c>
      <c r="G206" s="114"/>
    </row>
    <row r="207" customHeight="1" spans="1:7">
      <c r="A207" s="119" t="s">
        <v>341</v>
      </c>
      <c r="B207" s="119"/>
      <c r="C207" s="120"/>
      <c r="D207" s="119"/>
      <c r="E207" s="121" t="s">
        <v>342</v>
      </c>
      <c r="F207" s="119"/>
      <c r="G207" s="119"/>
    </row>
    <row r="210" customHeight="1" spans="1:7">
      <c r="A210" s="105"/>
      <c r="B210" s="106"/>
      <c r="C210" s="107" t="s">
        <v>330</v>
      </c>
      <c r="D210" s="107"/>
      <c r="E210" s="107"/>
      <c r="F210" s="105"/>
      <c r="G210" s="105"/>
    </row>
    <row r="211" customHeight="1" spans="1:7">
      <c r="A211" s="108" t="s">
        <v>331</v>
      </c>
      <c r="B211" s="109"/>
      <c r="C211" s="110">
        <v>45716</v>
      </c>
      <c r="D211" s="110"/>
      <c r="E211" s="110"/>
      <c r="F211" s="111" t="s">
        <v>332</v>
      </c>
      <c r="G211" s="112" t="str">
        <f>立项!$A$4</f>
        <v>RD02</v>
      </c>
    </row>
    <row r="212" customHeight="1" spans="1:7">
      <c r="A212" s="113" t="s">
        <v>333</v>
      </c>
      <c r="B212" s="113" t="s">
        <v>334</v>
      </c>
      <c r="C212" s="113" t="s">
        <v>335</v>
      </c>
      <c r="D212" s="113" t="s">
        <v>336</v>
      </c>
      <c r="E212" s="113" t="s">
        <v>337</v>
      </c>
      <c r="F212" s="113" t="s">
        <v>338</v>
      </c>
      <c r="G212" s="113" t="s">
        <v>339</v>
      </c>
    </row>
    <row r="213" customHeight="1" spans="1:7">
      <c r="A213" s="113">
        <f>领料单!Q23</f>
        <v>0</v>
      </c>
      <c r="B213" s="113">
        <f>领料单!R23</f>
        <v>0</v>
      </c>
      <c r="C213" s="113">
        <f>领料单!S23</f>
        <v>0</v>
      </c>
      <c r="D213" s="113">
        <f>领料单!T23</f>
        <v>0</v>
      </c>
      <c r="E213" s="113">
        <f>领料单!U23</f>
        <v>0</v>
      </c>
      <c r="F213" s="113">
        <f>领料单!V23</f>
        <v>0</v>
      </c>
      <c r="G213" s="113"/>
    </row>
    <row r="214" customHeight="1" spans="1:7">
      <c r="A214" s="113">
        <f>领料单!Q25</f>
        <v>0</v>
      </c>
      <c r="B214" s="113">
        <f>领料单!R25</f>
        <v>0</v>
      </c>
      <c r="C214" s="113">
        <f>领料单!S25</f>
        <v>0</v>
      </c>
      <c r="D214" s="113">
        <f>领料单!T25</f>
        <v>0</v>
      </c>
      <c r="E214" s="113">
        <f>领料单!U25</f>
        <v>0</v>
      </c>
      <c r="F214" s="113">
        <f>领料单!V25</f>
        <v>0</v>
      </c>
      <c r="G214" s="113"/>
    </row>
    <row r="215" customHeight="1" spans="1:7">
      <c r="A215" s="113">
        <f>领料单!Q25</f>
        <v>0</v>
      </c>
      <c r="B215" s="113">
        <f>领料单!R25</f>
        <v>0</v>
      </c>
      <c r="C215" s="113">
        <f>领料单!S25</f>
        <v>0</v>
      </c>
      <c r="D215" s="113">
        <f>领料单!T25</f>
        <v>0</v>
      </c>
      <c r="E215" s="113">
        <f>领料单!U25</f>
        <v>0</v>
      </c>
      <c r="F215" s="113">
        <f>领料单!V25</f>
        <v>0</v>
      </c>
      <c r="G215" s="113"/>
    </row>
    <row r="216" customHeight="1" spans="1:7">
      <c r="A216" s="113">
        <f>领料单!Q26</f>
        <v>0</v>
      </c>
      <c r="B216" s="113">
        <f>领料单!R26</f>
        <v>0</v>
      </c>
      <c r="C216" s="113">
        <f>领料单!S26</f>
        <v>0</v>
      </c>
      <c r="D216" s="113">
        <f>领料单!T26</f>
        <v>0</v>
      </c>
      <c r="E216" s="113">
        <f>领料单!U26</f>
        <v>0</v>
      </c>
      <c r="F216" s="113">
        <f>领料单!V26</f>
        <v>0</v>
      </c>
      <c r="G216" s="113"/>
    </row>
    <row r="217" customHeight="1" spans="1:7">
      <c r="A217" s="113">
        <f>领料单!Q27</f>
        <v>0</v>
      </c>
      <c r="B217" s="113">
        <f>领料单!R27</f>
        <v>0</v>
      </c>
      <c r="C217" s="113">
        <f>领料单!S27</f>
        <v>0</v>
      </c>
      <c r="D217" s="113">
        <f>领料单!T27</f>
        <v>0</v>
      </c>
      <c r="E217" s="113">
        <f>领料单!U27</f>
        <v>0</v>
      </c>
      <c r="F217" s="113">
        <f>领料单!V27</f>
        <v>0</v>
      </c>
      <c r="G217" s="113"/>
    </row>
    <row r="218" customHeight="1" spans="1:7">
      <c r="A218" s="113">
        <f>领料单!Q28</f>
        <v>0</v>
      </c>
      <c r="B218" s="113">
        <f>领料单!R28</f>
        <v>0</v>
      </c>
      <c r="C218" s="113">
        <f>领料单!S28</f>
        <v>0</v>
      </c>
      <c r="D218" s="113">
        <f>领料单!T28</f>
        <v>0</v>
      </c>
      <c r="E218" s="113">
        <f>领料单!U28</f>
        <v>0</v>
      </c>
      <c r="F218" s="113">
        <f>领料单!V28</f>
        <v>0</v>
      </c>
      <c r="G218" s="113"/>
    </row>
    <row r="219" customHeight="1" spans="1:7">
      <c r="A219" s="113">
        <f>领料单!Q29</f>
        <v>0</v>
      </c>
      <c r="B219" s="113">
        <f>领料单!R29</f>
        <v>0</v>
      </c>
      <c r="C219" s="113">
        <f>领料单!S29</f>
        <v>0</v>
      </c>
      <c r="D219" s="113">
        <f>领料单!T29</f>
        <v>0</v>
      </c>
      <c r="E219" s="113">
        <f>领料单!U29</f>
        <v>0</v>
      </c>
      <c r="F219" s="113">
        <f>领料单!V29</f>
        <v>0</v>
      </c>
      <c r="G219" s="113"/>
    </row>
    <row r="220" customHeight="1" spans="1:7">
      <c r="A220" s="113">
        <f>领料单!Q30</f>
        <v>0</v>
      </c>
      <c r="B220" s="113">
        <f>领料单!R30</f>
        <v>0</v>
      </c>
      <c r="C220" s="113">
        <f>领料单!S30</f>
        <v>0</v>
      </c>
      <c r="D220" s="113">
        <f>领料单!T30</f>
        <v>0</v>
      </c>
      <c r="E220" s="113">
        <f>领料单!U30</f>
        <v>0</v>
      </c>
      <c r="F220" s="113">
        <f>领料单!V30</f>
        <v>0</v>
      </c>
      <c r="G220" s="113"/>
    </row>
    <row r="221" customHeight="1" spans="1:7">
      <c r="A221" s="113">
        <f>领料单!Q31</f>
        <v>0</v>
      </c>
      <c r="B221" s="113">
        <f>领料单!R31</f>
        <v>0</v>
      </c>
      <c r="C221" s="113">
        <f>领料单!S31</f>
        <v>0</v>
      </c>
      <c r="D221" s="113">
        <f>领料单!T31</f>
        <v>0</v>
      </c>
      <c r="E221" s="113">
        <f>领料单!U31</f>
        <v>0</v>
      </c>
      <c r="F221" s="113">
        <f>领料单!V31</f>
        <v>0</v>
      </c>
      <c r="G221" s="113"/>
    </row>
    <row r="222" customHeight="1" spans="1:7">
      <c r="A222" s="113">
        <f>领料单!Q32</f>
        <v>0</v>
      </c>
      <c r="B222" s="113">
        <f>领料单!R32</f>
        <v>0</v>
      </c>
      <c r="C222" s="113">
        <f>领料单!S32</f>
        <v>0</v>
      </c>
      <c r="D222" s="113">
        <f>领料单!T32</f>
        <v>0</v>
      </c>
      <c r="E222" s="113">
        <f>领料单!U32</f>
        <v>0</v>
      </c>
      <c r="F222" s="113">
        <f>领料单!V32</f>
        <v>0</v>
      </c>
      <c r="G222" s="113"/>
    </row>
    <row r="223" customHeight="1" spans="1:7">
      <c r="A223" s="113">
        <f>领料单!Q33</f>
        <v>0</v>
      </c>
      <c r="B223" s="113">
        <f>领料单!R33</f>
        <v>0</v>
      </c>
      <c r="C223" s="113">
        <f>领料单!S33</f>
        <v>0</v>
      </c>
      <c r="D223" s="113">
        <f>领料单!T33</f>
        <v>0</v>
      </c>
      <c r="E223" s="113">
        <f>领料单!U33</f>
        <v>0</v>
      </c>
      <c r="F223" s="113">
        <f>领料单!V33</f>
        <v>0</v>
      </c>
      <c r="G223" s="113"/>
    </row>
    <row r="224" customHeight="1" spans="1:7">
      <c r="A224" s="113">
        <f>领料单!Q34</f>
        <v>0</v>
      </c>
      <c r="B224" s="113">
        <f>领料单!R34</f>
        <v>0</v>
      </c>
      <c r="C224" s="113">
        <f>领料单!S34</f>
        <v>0</v>
      </c>
      <c r="D224" s="113">
        <f>领料单!T34</f>
        <v>0</v>
      </c>
      <c r="E224" s="113">
        <f>领料单!U34</f>
        <v>0</v>
      </c>
      <c r="F224" s="113">
        <f>领料单!V34</f>
        <v>0</v>
      </c>
      <c r="G224" s="113"/>
    </row>
    <row r="225" customHeight="1" spans="1:7">
      <c r="A225" s="115" t="s">
        <v>340</v>
      </c>
      <c r="B225" s="116"/>
      <c r="C225" s="116"/>
      <c r="D225" s="116"/>
      <c r="E225" s="117"/>
      <c r="F225" s="118">
        <f>SUM(F213:F224)</f>
        <v>0</v>
      </c>
      <c r="G225" s="114"/>
    </row>
    <row r="226" customHeight="1" spans="1:7">
      <c r="A226" s="119" t="s">
        <v>341</v>
      </c>
      <c r="B226" s="119"/>
      <c r="C226" s="120"/>
      <c r="D226" s="119"/>
      <c r="E226" s="121" t="s">
        <v>342</v>
      </c>
      <c r="F226" s="119"/>
      <c r="G226" s="119"/>
    </row>
    <row r="229" customHeight="1" spans="1:7">
      <c r="A229" s="105"/>
      <c r="B229" s="106"/>
      <c r="C229" s="107" t="s">
        <v>330</v>
      </c>
      <c r="D229" s="107"/>
      <c r="E229" s="107"/>
      <c r="F229" s="105"/>
      <c r="G229" s="105"/>
    </row>
    <row r="230" customHeight="1" spans="1:7">
      <c r="A230" s="108" t="s">
        <v>331</v>
      </c>
      <c r="B230" s="109"/>
      <c r="C230" s="110">
        <v>45716</v>
      </c>
      <c r="D230" s="110"/>
      <c r="E230" s="110"/>
      <c r="F230" s="111" t="s">
        <v>332</v>
      </c>
      <c r="G230" s="112" t="str">
        <f>立项!$A$5</f>
        <v>RD03</v>
      </c>
    </row>
    <row r="231" customHeight="1" spans="1:7">
      <c r="A231" s="113" t="s">
        <v>333</v>
      </c>
      <c r="B231" s="113" t="s">
        <v>334</v>
      </c>
      <c r="C231" s="113" t="s">
        <v>335</v>
      </c>
      <c r="D231" s="113" t="s">
        <v>336</v>
      </c>
      <c r="E231" s="113" t="s">
        <v>337</v>
      </c>
      <c r="F231" s="113" t="s">
        <v>338</v>
      </c>
      <c r="G231" s="113" t="s">
        <v>339</v>
      </c>
    </row>
    <row r="232" customHeight="1" spans="1:7">
      <c r="A232" s="113">
        <f>领料单!Y23</f>
        <v>0</v>
      </c>
      <c r="B232" s="113">
        <f>领料单!Z23</f>
        <v>0</v>
      </c>
      <c r="C232" s="113">
        <f>领料单!AA23</f>
        <v>0</v>
      </c>
      <c r="D232" s="113">
        <f>领料单!AB23</f>
        <v>0</v>
      </c>
      <c r="E232" s="113">
        <f>领料单!AC23</f>
        <v>0</v>
      </c>
      <c r="F232" s="113">
        <f>领料单!AD23</f>
        <v>0</v>
      </c>
      <c r="G232" s="113"/>
    </row>
    <row r="233" customHeight="1" spans="1:7">
      <c r="A233" s="113">
        <f>领料单!Y25</f>
        <v>0</v>
      </c>
      <c r="B233" s="113">
        <f>领料单!Z25</f>
        <v>0</v>
      </c>
      <c r="C233" s="113">
        <f>领料单!AA25</f>
        <v>0</v>
      </c>
      <c r="D233" s="113">
        <f>领料单!AB25</f>
        <v>0</v>
      </c>
      <c r="E233" s="113">
        <f>领料单!AC25</f>
        <v>0</v>
      </c>
      <c r="F233" s="113">
        <f>领料单!AD25</f>
        <v>0</v>
      </c>
      <c r="G233" s="113"/>
    </row>
    <row r="234" customHeight="1" spans="1:7">
      <c r="A234" s="113">
        <f>领料单!Y25</f>
        <v>0</v>
      </c>
      <c r="B234" s="113">
        <f>领料单!Z25</f>
        <v>0</v>
      </c>
      <c r="C234" s="113">
        <f>领料单!AA25</f>
        <v>0</v>
      </c>
      <c r="D234" s="113">
        <f>领料单!AB25</f>
        <v>0</v>
      </c>
      <c r="E234" s="113">
        <f>领料单!AC25</f>
        <v>0</v>
      </c>
      <c r="F234" s="113">
        <f>领料单!AD25</f>
        <v>0</v>
      </c>
      <c r="G234" s="113"/>
    </row>
    <row r="235" customHeight="1" spans="1:7">
      <c r="A235" s="113">
        <f>领料单!Y26</f>
        <v>0</v>
      </c>
      <c r="B235" s="113">
        <f>领料单!Z26</f>
        <v>0</v>
      </c>
      <c r="C235" s="113">
        <f>领料单!AA26</f>
        <v>0</v>
      </c>
      <c r="D235" s="113">
        <f>领料单!AB26</f>
        <v>0</v>
      </c>
      <c r="E235" s="113">
        <f>领料单!AC26</f>
        <v>0</v>
      </c>
      <c r="F235" s="113">
        <f>领料单!AD26</f>
        <v>0</v>
      </c>
      <c r="G235" s="113"/>
    </row>
    <row r="236" customHeight="1" spans="1:7">
      <c r="A236" s="113">
        <f>领料单!Y27</f>
        <v>0</v>
      </c>
      <c r="B236" s="113">
        <f>领料单!Z27</f>
        <v>0</v>
      </c>
      <c r="C236" s="113">
        <f>领料单!AA27</f>
        <v>0</v>
      </c>
      <c r="D236" s="113">
        <f>领料单!AB27</f>
        <v>0</v>
      </c>
      <c r="E236" s="113">
        <f>领料单!AC27</f>
        <v>0</v>
      </c>
      <c r="F236" s="113">
        <f>领料单!AD27</f>
        <v>0</v>
      </c>
      <c r="G236" s="113"/>
    </row>
    <row r="237" customHeight="1" spans="1:7">
      <c r="A237" s="113">
        <f>领料单!Y28</f>
        <v>0</v>
      </c>
      <c r="B237" s="113">
        <f>领料单!Z28</f>
        <v>0</v>
      </c>
      <c r="C237" s="113">
        <f>领料单!AA28</f>
        <v>0</v>
      </c>
      <c r="D237" s="113">
        <f>领料单!AB28</f>
        <v>0</v>
      </c>
      <c r="E237" s="113">
        <f>领料单!AC28</f>
        <v>0</v>
      </c>
      <c r="F237" s="113">
        <f>领料单!AD28</f>
        <v>0</v>
      </c>
      <c r="G237" s="113"/>
    </row>
    <row r="238" customHeight="1" spans="1:7">
      <c r="A238" s="113">
        <f>领料单!Y29</f>
        <v>0</v>
      </c>
      <c r="B238" s="113">
        <f>领料单!Z29</f>
        <v>0</v>
      </c>
      <c r="C238" s="113">
        <f>领料单!AA29</f>
        <v>0</v>
      </c>
      <c r="D238" s="113">
        <f>领料单!AB29</f>
        <v>0</v>
      </c>
      <c r="E238" s="113">
        <f>领料单!AC29</f>
        <v>0</v>
      </c>
      <c r="F238" s="113">
        <f>领料单!AD29</f>
        <v>0</v>
      </c>
      <c r="G238" s="113"/>
    </row>
    <row r="239" customHeight="1" spans="1:7">
      <c r="A239" s="113">
        <f>领料单!Y30</f>
        <v>0</v>
      </c>
      <c r="B239" s="113">
        <f>领料单!Z30</f>
        <v>0</v>
      </c>
      <c r="C239" s="113">
        <f>领料单!AA30</f>
        <v>0</v>
      </c>
      <c r="D239" s="113">
        <f>领料单!AB30</f>
        <v>0</v>
      </c>
      <c r="E239" s="113">
        <f>领料单!AC30</f>
        <v>0</v>
      </c>
      <c r="F239" s="113">
        <f>领料单!AD30</f>
        <v>0</v>
      </c>
      <c r="G239" s="113"/>
    </row>
    <row r="240" customHeight="1" spans="1:7">
      <c r="A240" s="113">
        <f>领料单!Y31</f>
        <v>0</v>
      </c>
      <c r="B240" s="113">
        <f>领料单!Z31</f>
        <v>0</v>
      </c>
      <c r="C240" s="113">
        <f>领料单!AA31</f>
        <v>0</v>
      </c>
      <c r="D240" s="113">
        <f>领料单!AB31</f>
        <v>0</v>
      </c>
      <c r="E240" s="113">
        <f>领料单!AC31</f>
        <v>0</v>
      </c>
      <c r="F240" s="113">
        <f>领料单!AD31</f>
        <v>0</v>
      </c>
      <c r="G240" s="113"/>
    </row>
    <row r="241" customHeight="1" spans="1:7">
      <c r="A241" s="113">
        <f>领料单!Y32</f>
        <v>0</v>
      </c>
      <c r="B241" s="113">
        <f>领料单!Z32</f>
        <v>0</v>
      </c>
      <c r="C241" s="113">
        <f>领料单!AA32</f>
        <v>0</v>
      </c>
      <c r="D241" s="113">
        <f>领料单!AB32</f>
        <v>0</v>
      </c>
      <c r="E241" s="113">
        <f>领料单!AC32</f>
        <v>0</v>
      </c>
      <c r="F241" s="113">
        <f>领料单!AD32</f>
        <v>0</v>
      </c>
      <c r="G241" s="113"/>
    </row>
    <row r="242" customHeight="1" spans="1:7">
      <c r="A242" s="113">
        <f>领料单!Y33</f>
        <v>0</v>
      </c>
      <c r="B242" s="113">
        <f>领料单!Z33</f>
        <v>0</v>
      </c>
      <c r="C242" s="113">
        <f>领料单!AA33</f>
        <v>0</v>
      </c>
      <c r="D242" s="113">
        <f>领料单!AB33</f>
        <v>0</v>
      </c>
      <c r="E242" s="113">
        <f>领料单!AC33</f>
        <v>0</v>
      </c>
      <c r="F242" s="113">
        <f>领料单!AD33</f>
        <v>0</v>
      </c>
      <c r="G242" s="113"/>
    </row>
    <row r="243" customHeight="1" spans="1:7">
      <c r="A243" s="113">
        <f>领料单!Y34</f>
        <v>0</v>
      </c>
      <c r="B243" s="113">
        <f>领料单!Z34</f>
        <v>0</v>
      </c>
      <c r="C243" s="113">
        <f>领料单!AA34</f>
        <v>0</v>
      </c>
      <c r="D243" s="113">
        <f>领料单!AB34</f>
        <v>0</v>
      </c>
      <c r="E243" s="113">
        <f>领料单!AC34</f>
        <v>0</v>
      </c>
      <c r="F243" s="113">
        <f>领料单!AD34</f>
        <v>0</v>
      </c>
      <c r="G243" s="113"/>
    </row>
    <row r="244" customHeight="1" spans="1:7">
      <c r="A244" s="115" t="s">
        <v>340</v>
      </c>
      <c r="B244" s="116"/>
      <c r="C244" s="116"/>
      <c r="D244" s="116"/>
      <c r="E244" s="117"/>
      <c r="F244" s="118">
        <f>SUM(F232:F243)</f>
        <v>0</v>
      </c>
      <c r="G244" s="114"/>
    </row>
    <row r="245" customHeight="1" spans="1:7">
      <c r="A245" s="119" t="s">
        <v>341</v>
      </c>
      <c r="B245" s="119"/>
      <c r="C245" s="120"/>
      <c r="D245" s="119"/>
      <c r="E245" s="121" t="s">
        <v>342</v>
      </c>
      <c r="F245" s="119"/>
      <c r="G245" s="119"/>
    </row>
    <row r="248" customHeight="1" spans="1:7">
      <c r="A248" s="105"/>
      <c r="B248" s="106"/>
      <c r="C248" s="107" t="s">
        <v>330</v>
      </c>
      <c r="D248" s="107"/>
      <c r="E248" s="107"/>
      <c r="F248" s="105"/>
      <c r="G248" s="105"/>
    </row>
    <row r="249" customHeight="1" spans="1:7">
      <c r="A249" s="108" t="s">
        <v>331</v>
      </c>
      <c r="B249" s="109"/>
      <c r="C249" s="110">
        <v>45716</v>
      </c>
      <c r="D249" s="110"/>
      <c r="E249" s="110"/>
      <c r="F249" s="111" t="s">
        <v>332</v>
      </c>
      <c r="G249" s="112" t="str">
        <f>立项!$A$6</f>
        <v>RD04</v>
      </c>
    </row>
    <row r="250" customHeight="1" spans="1:7">
      <c r="A250" s="113" t="s">
        <v>333</v>
      </c>
      <c r="B250" s="113" t="s">
        <v>334</v>
      </c>
      <c r="C250" s="113" t="s">
        <v>335</v>
      </c>
      <c r="D250" s="113" t="s">
        <v>336</v>
      </c>
      <c r="E250" s="113" t="s">
        <v>337</v>
      </c>
      <c r="F250" s="113" t="s">
        <v>338</v>
      </c>
      <c r="G250" s="113" t="s">
        <v>339</v>
      </c>
    </row>
    <row r="251" customHeight="1" spans="1:7">
      <c r="A251" s="113">
        <f>领料单!AG23</f>
        <v>0</v>
      </c>
      <c r="B251" s="113">
        <f>领料单!AH23</f>
        <v>0</v>
      </c>
      <c r="C251" s="113">
        <f>领料单!AI23</f>
        <v>0</v>
      </c>
      <c r="D251" s="113">
        <f>领料单!AJ23</f>
        <v>0</v>
      </c>
      <c r="E251" s="113">
        <f>领料单!AK23</f>
        <v>0</v>
      </c>
      <c r="F251" s="113">
        <f>领料单!AL23</f>
        <v>0</v>
      </c>
      <c r="G251" s="113"/>
    </row>
    <row r="252" customHeight="1" spans="1:7">
      <c r="A252" s="113">
        <f>领料单!AG25</f>
        <v>0</v>
      </c>
      <c r="B252" s="113">
        <f>领料单!AH25</f>
        <v>0</v>
      </c>
      <c r="C252" s="113">
        <f>领料单!AI25</f>
        <v>0</v>
      </c>
      <c r="D252" s="113">
        <f>领料单!AJ25</f>
        <v>0</v>
      </c>
      <c r="E252" s="113">
        <f>领料单!AK25</f>
        <v>0</v>
      </c>
      <c r="F252" s="113">
        <f>领料单!AL25</f>
        <v>0</v>
      </c>
      <c r="G252" s="113"/>
    </row>
    <row r="253" customHeight="1" spans="1:7">
      <c r="A253" s="113">
        <f>领料单!AG25</f>
        <v>0</v>
      </c>
      <c r="B253" s="113">
        <f>领料单!AH25</f>
        <v>0</v>
      </c>
      <c r="C253" s="113">
        <f>领料单!AI25</f>
        <v>0</v>
      </c>
      <c r="D253" s="113">
        <f>领料单!AJ25</f>
        <v>0</v>
      </c>
      <c r="E253" s="113">
        <f>领料单!AK25</f>
        <v>0</v>
      </c>
      <c r="F253" s="113">
        <f>领料单!AL25</f>
        <v>0</v>
      </c>
      <c r="G253" s="113"/>
    </row>
    <row r="254" customHeight="1" spans="1:7">
      <c r="A254" s="113">
        <f>领料单!AG26</f>
        <v>0</v>
      </c>
      <c r="B254" s="113">
        <f>领料单!AH26</f>
        <v>0</v>
      </c>
      <c r="C254" s="113">
        <f>领料单!AI26</f>
        <v>0</v>
      </c>
      <c r="D254" s="113">
        <f>领料单!AJ26</f>
        <v>0</v>
      </c>
      <c r="E254" s="113">
        <f>领料单!AK26</f>
        <v>0</v>
      </c>
      <c r="F254" s="113">
        <f>领料单!AL26</f>
        <v>0</v>
      </c>
      <c r="G254" s="113"/>
    </row>
    <row r="255" customHeight="1" spans="1:7">
      <c r="A255" s="113">
        <f>领料单!AG27</f>
        <v>0</v>
      </c>
      <c r="B255" s="113">
        <f>领料单!AH27</f>
        <v>0</v>
      </c>
      <c r="C255" s="113">
        <f>领料单!AI27</f>
        <v>0</v>
      </c>
      <c r="D255" s="113">
        <f>领料单!AJ27</f>
        <v>0</v>
      </c>
      <c r="E255" s="113">
        <f>领料单!AK27</f>
        <v>0</v>
      </c>
      <c r="F255" s="113">
        <f>领料单!AL27</f>
        <v>0</v>
      </c>
      <c r="G255" s="113"/>
    </row>
    <row r="256" customHeight="1" spans="1:7">
      <c r="A256" s="113">
        <f>领料单!AG28</f>
        <v>0</v>
      </c>
      <c r="B256" s="113">
        <f>领料单!AH28</f>
        <v>0</v>
      </c>
      <c r="C256" s="113">
        <f>领料单!AI28</f>
        <v>0</v>
      </c>
      <c r="D256" s="113">
        <f>领料单!AJ28</f>
        <v>0</v>
      </c>
      <c r="E256" s="113">
        <f>领料单!AK28</f>
        <v>0</v>
      </c>
      <c r="F256" s="113">
        <f>领料单!AL28</f>
        <v>0</v>
      </c>
      <c r="G256" s="113"/>
    </row>
    <row r="257" customHeight="1" spans="1:7">
      <c r="A257" s="113">
        <f>领料单!AG29</f>
        <v>0</v>
      </c>
      <c r="B257" s="113">
        <f>领料单!AH29</f>
        <v>0</v>
      </c>
      <c r="C257" s="113">
        <f>领料单!AI29</f>
        <v>0</v>
      </c>
      <c r="D257" s="113">
        <f>领料单!AJ29</f>
        <v>0</v>
      </c>
      <c r="E257" s="113">
        <f>领料单!AK29</f>
        <v>0</v>
      </c>
      <c r="F257" s="113">
        <f>领料单!AL29</f>
        <v>0</v>
      </c>
      <c r="G257" s="113"/>
    </row>
    <row r="258" customHeight="1" spans="1:7">
      <c r="A258" s="113">
        <f>领料单!AG30</f>
        <v>0</v>
      </c>
      <c r="B258" s="113">
        <f>领料单!AH30</f>
        <v>0</v>
      </c>
      <c r="C258" s="113">
        <f>领料单!AI30</f>
        <v>0</v>
      </c>
      <c r="D258" s="113">
        <f>领料单!AJ30</f>
        <v>0</v>
      </c>
      <c r="E258" s="113">
        <f>领料单!AK30</f>
        <v>0</v>
      </c>
      <c r="F258" s="113">
        <f>领料单!AL30</f>
        <v>0</v>
      </c>
      <c r="G258" s="113"/>
    </row>
    <row r="259" customHeight="1" spans="1:7">
      <c r="A259" s="113">
        <f>领料单!AG31</f>
        <v>0</v>
      </c>
      <c r="B259" s="113">
        <f>领料单!AH31</f>
        <v>0</v>
      </c>
      <c r="C259" s="113">
        <f>领料单!AI31</f>
        <v>0</v>
      </c>
      <c r="D259" s="113">
        <f>领料单!AJ31</f>
        <v>0</v>
      </c>
      <c r="E259" s="113">
        <f>领料单!AK31</f>
        <v>0</v>
      </c>
      <c r="F259" s="113">
        <f>领料单!AL31</f>
        <v>0</v>
      </c>
      <c r="G259" s="113"/>
    </row>
    <row r="260" customHeight="1" spans="1:7">
      <c r="A260" s="113">
        <f>领料单!AG32</f>
        <v>0</v>
      </c>
      <c r="B260" s="113">
        <f>领料单!AH32</f>
        <v>0</v>
      </c>
      <c r="C260" s="113">
        <f>领料单!AI32</f>
        <v>0</v>
      </c>
      <c r="D260" s="113">
        <f>领料单!AJ32</f>
        <v>0</v>
      </c>
      <c r="E260" s="113">
        <f>领料单!AK32</f>
        <v>0</v>
      </c>
      <c r="F260" s="113">
        <f>领料单!AL32</f>
        <v>0</v>
      </c>
      <c r="G260" s="113"/>
    </row>
    <row r="261" customHeight="1" spans="1:7">
      <c r="A261" s="113">
        <f>领料单!AG33</f>
        <v>0</v>
      </c>
      <c r="B261" s="113">
        <f>领料单!AH33</f>
        <v>0</v>
      </c>
      <c r="C261" s="113">
        <f>领料单!AI33</f>
        <v>0</v>
      </c>
      <c r="D261" s="113">
        <f>领料单!AJ33</f>
        <v>0</v>
      </c>
      <c r="E261" s="113">
        <f>领料单!AK33</f>
        <v>0</v>
      </c>
      <c r="F261" s="113">
        <f>领料单!AL33</f>
        <v>0</v>
      </c>
      <c r="G261" s="113"/>
    </row>
    <row r="262" customHeight="1" spans="1:7">
      <c r="A262" s="113">
        <f>领料单!AG34</f>
        <v>0</v>
      </c>
      <c r="B262" s="113">
        <f>领料单!AH34</f>
        <v>0</v>
      </c>
      <c r="C262" s="113">
        <f>领料单!AI34</f>
        <v>0</v>
      </c>
      <c r="D262" s="113">
        <f>领料单!AJ34</f>
        <v>0</v>
      </c>
      <c r="E262" s="113">
        <f>领料单!AK34</f>
        <v>0</v>
      </c>
      <c r="F262" s="113">
        <f>领料单!AL34</f>
        <v>0</v>
      </c>
      <c r="G262" s="113"/>
    </row>
    <row r="263" customHeight="1" spans="1:7">
      <c r="A263" s="115" t="s">
        <v>340</v>
      </c>
      <c r="B263" s="116"/>
      <c r="C263" s="116"/>
      <c r="D263" s="116"/>
      <c r="E263" s="117"/>
      <c r="F263" s="118">
        <f>SUM(F251:F262)</f>
        <v>0</v>
      </c>
      <c r="G263" s="114"/>
    </row>
    <row r="264" customHeight="1" spans="1:7">
      <c r="A264" s="119" t="s">
        <v>341</v>
      </c>
      <c r="B264" s="119"/>
      <c r="C264" s="120"/>
      <c r="D264" s="119"/>
      <c r="E264" s="121" t="s">
        <v>342</v>
      </c>
      <c r="F264" s="119"/>
      <c r="G264" s="119"/>
    </row>
    <row r="267" customHeight="1" spans="1:7">
      <c r="A267" s="105"/>
      <c r="B267" s="106"/>
      <c r="C267" s="107" t="s">
        <v>330</v>
      </c>
      <c r="D267" s="107"/>
      <c r="E267" s="107"/>
      <c r="F267" s="105"/>
      <c r="G267" s="105"/>
    </row>
    <row r="268" customHeight="1" spans="1:7">
      <c r="A268" s="108" t="s">
        <v>331</v>
      </c>
      <c r="B268" s="109"/>
      <c r="C268" s="110">
        <v>45716</v>
      </c>
      <c r="D268" s="110"/>
      <c r="E268" s="110"/>
      <c r="F268" s="111" t="s">
        <v>332</v>
      </c>
      <c r="G268" s="112" t="str">
        <f>立项!$A$7</f>
        <v>RD05</v>
      </c>
    </row>
    <row r="269" customHeight="1" spans="1:7">
      <c r="A269" s="113" t="s">
        <v>333</v>
      </c>
      <c r="B269" s="113" t="s">
        <v>334</v>
      </c>
      <c r="C269" s="113" t="s">
        <v>335</v>
      </c>
      <c r="D269" s="113" t="s">
        <v>336</v>
      </c>
      <c r="E269" s="113" t="s">
        <v>337</v>
      </c>
      <c r="F269" s="113" t="s">
        <v>338</v>
      </c>
      <c r="G269" s="113" t="s">
        <v>339</v>
      </c>
    </row>
    <row r="270" customHeight="1" spans="1:7">
      <c r="A270" s="113">
        <f>领料单!AO23</f>
        <v>0</v>
      </c>
      <c r="B270" s="113">
        <f>领料单!AP23</f>
        <v>0</v>
      </c>
      <c r="C270" s="113">
        <f>领料单!AQ23</f>
        <v>0</v>
      </c>
      <c r="D270" s="113">
        <f>领料单!AR23</f>
        <v>0</v>
      </c>
      <c r="E270" s="113">
        <f>领料单!AS23</f>
        <v>0</v>
      </c>
      <c r="F270" s="113">
        <f>领料单!AT23</f>
        <v>0</v>
      </c>
      <c r="G270" s="113"/>
    </row>
    <row r="271" customHeight="1" spans="1:7">
      <c r="A271" s="113">
        <f>领料单!AO25</f>
        <v>0</v>
      </c>
      <c r="B271" s="113">
        <f>领料单!AP25</f>
        <v>0</v>
      </c>
      <c r="C271" s="113">
        <f>领料单!AQ25</f>
        <v>0</v>
      </c>
      <c r="D271" s="113">
        <f>领料单!AR25</f>
        <v>0</v>
      </c>
      <c r="E271" s="113">
        <f>领料单!AS25</f>
        <v>0</v>
      </c>
      <c r="F271" s="113">
        <f>领料单!AT25</f>
        <v>0</v>
      </c>
      <c r="G271" s="113"/>
    </row>
    <row r="272" customHeight="1" spans="1:7">
      <c r="A272" s="113">
        <f>领料单!AO25</f>
        <v>0</v>
      </c>
      <c r="B272" s="113">
        <f>领料单!AP25</f>
        <v>0</v>
      </c>
      <c r="C272" s="113">
        <f>领料单!AQ25</f>
        <v>0</v>
      </c>
      <c r="D272" s="113">
        <f>领料单!AR25</f>
        <v>0</v>
      </c>
      <c r="E272" s="113">
        <f>领料单!AS25</f>
        <v>0</v>
      </c>
      <c r="F272" s="113">
        <f>领料单!AT25</f>
        <v>0</v>
      </c>
      <c r="G272" s="113"/>
    </row>
    <row r="273" customHeight="1" spans="1:7">
      <c r="A273" s="113">
        <f>领料单!AO26</f>
        <v>0</v>
      </c>
      <c r="B273" s="113">
        <f>领料单!AP26</f>
        <v>0</v>
      </c>
      <c r="C273" s="113">
        <f>领料单!AQ26</f>
        <v>0</v>
      </c>
      <c r="D273" s="113">
        <f>领料单!AR26</f>
        <v>0</v>
      </c>
      <c r="E273" s="113">
        <f>领料单!AS26</f>
        <v>0</v>
      </c>
      <c r="F273" s="113">
        <f>领料单!AT26</f>
        <v>0</v>
      </c>
      <c r="G273" s="113"/>
    </row>
    <row r="274" customHeight="1" spans="1:7">
      <c r="A274" s="113">
        <f>领料单!AO27</f>
        <v>0</v>
      </c>
      <c r="B274" s="113">
        <f>领料单!AP27</f>
        <v>0</v>
      </c>
      <c r="C274" s="113">
        <f>领料单!AQ27</f>
        <v>0</v>
      </c>
      <c r="D274" s="113">
        <f>领料单!AR27</f>
        <v>0</v>
      </c>
      <c r="E274" s="113">
        <f>领料单!AS27</f>
        <v>0</v>
      </c>
      <c r="F274" s="113">
        <f>领料单!AT27</f>
        <v>0</v>
      </c>
      <c r="G274" s="113"/>
    </row>
    <row r="275" customHeight="1" spans="1:7">
      <c r="A275" s="113">
        <f>领料单!AO28</f>
        <v>0</v>
      </c>
      <c r="B275" s="113">
        <f>领料单!AP28</f>
        <v>0</v>
      </c>
      <c r="C275" s="113">
        <f>领料单!AQ28</f>
        <v>0</v>
      </c>
      <c r="D275" s="113">
        <f>领料单!AR28</f>
        <v>0</v>
      </c>
      <c r="E275" s="113">
        <f>领料单!AS28</f>
        <v>0</v>
      </c>
      <c r="F275" s="113">
        <f>领料单!AT28</f>
        <v>0</v>
      </c>
      <c r="G275" s="113"/>
    </row>
    <row r="276" customHeight="1" spans="1:7">
      <c r="A276" s="113">
        <f>领料单!AO29</f>
        <v>0</v>
      </c>
      <c r="B276" s="113">
        <f>领料单!AP29</f>
        <v>0</v>
      </c>
      <c r="C276" s="113">
        <f>领料单!AQ29</f>
        <v>0</v>
      </c>
      <c r="D276" s="113">
        <f>领料单!AR29</f>
        <v>0</v>
      </c>
      <c r="E276" s="113">
        <f>领料单!AS29</f>
        <v>0</v>
      </c>
      <c r="F276" s="113">
        <f>领料单!AT29</f>
        <v>0</v>
      </c>
      <c r="G276" s="113"/>
    </row>
    <row r="277" customHeight="1" spans="1:7">
      <c r="A277" s="113">
        <f>领料单!AO30</f>
        <v>0</v>
      </c>
      <c r="B277" s="113">
        <f>领料单!AP30</f>
        <v>0</v>
      </c>
      <c r="C277" s="113">
        <f>领料单!AQ30</f>
        <v>0</v>
      </c>
      <c r="D277" s="113">
        <f>领料单!AR30</f>
        <v>0</v>
      </c>
      <c r="E277" s="113">
        <f>领料单!AS30</f>
        <v>0</v>
      </c>
      <c r="F277" s="113">
        <f>领料单!AT30</f>
        <v>0</v>
      </c>
      <c r="G277" s="113"/>
    </row>
    <row r="278" customHeight="1" spans="1:7">
      <c r="A278" s="113">
        <f>领料单!AO31</f>
        <v>0</v>
      </c>
      <c r="B278" s="113">
        <f>领料单!AP31</f>
        <v>0</v>
      </c>
      <c r="C278" s="113">
        <f>领料单!AQ31</f>
        <v>0</v>
      </c>
      <c r="D278" s="113">
        <f>领料单!AR31</f>
        <v>0</v>
      </c>
      <c r="E278" s="113">
        <f>领料单!AS31</f>
        <v>0</v>
      </c>
      <c r="F278" s="113">
        <f>领料单!AT31</f>
        <v>0</v>
      </c>
      <c r="G278" s="113"/>
    </row>
    <row r="279" customHeight="1" spans="1:7">
      <c r="A279" s="113">
        <f>领料单!AO32</f>
        <v>0</v>
      </c>
      <c r="B279" s="113">
        <f>领料单!AP32</f>
        <v>0</v>
      </c>
      <c r="C279" s="113">
        <f>领料单!AQ32</f>
        <v>0</v>
      </c>
      <c r="D279" s="113">
        <f>领料单!AR32</f>
        <v>0</v>
      </c>
      <c r="E279" s="113">
        <f>领料单!AS32</f>
        <v>0</v>
      </c>
      <c r="F279" s="113">
        <f>领料单!AT32</f>
        <v>0</v>
      </c>
      <c r="G279" s="113"/>
    </row>
    <row r="280" customHeight="1" spans="1:7">
      <c r="A280" s="113">
        <f>领料单!AO33</f>
        <v>0</v>
      </c>
      <c r="B280" s="113">
        <f>领料单!AP33</f>
        <v>0</v>
      </c>
      <c r="C280" s="113">
        <f>领料单!AQ33</f>
        <v>0</v>
      </c>
      <c r="D280" s="113">
        <f>领料单!AR33</f>
        <v>0</v>
      </c>
      <c r="E280" s="113">
        <f>领料单!AS33</f>
        <v>0</v>
      </c>
      <c r="F280" s="113">
        <f>领料单!AT33</f>
        <v>0</v>
      </c>
      <c r="G280" s="113"/>
    </row>
    <row r="281" customHeight="1" spans="1:7">
      <c r="A281" s="113">
        <f>领料单!AO34</f>
        <v>0</v>
      </c>
      <c r="B281" s="113">
        <f>领料单!AP34</f>
        <v>0</v>
      </c>
      <c r="C281" s="113">
        <f>领料单!AQ34</f>
        <v>0</v>
      </c>
      <c r="D281" s="113">
        <f>领料单!AR34</f>
        <v>0</v>
      </c>
      <c r="E281" s="113">
        <f>领料单!AS34</f>
        <v>0</v>
      </c>
      <c r="F281" s="113">
        <f>领料单!AT34</f>
        <v>0</v>
      </c>
      <c r="G281" s="113"/>
    </row>
    <row r="282" customHeight="1" spans="1:7">
      <c r="A282" s="115" t="s">
        <v>340</v>
      </c>
      <c r="B282" s="116"/>
      <c r="C282" s="116"/>
      <c r="D282" s="116"/>
      <c r="E282" s="117"/>
      <c r="F282" s="118">
        <f>SUM(F270:F281)</f>
        <v>0</v>
      </c>
      <c r="G282" s="114"/>
    </row>
    <row r="283" customHeight="1" spans="1:7">
      <c r="A283" s="119" t="s">
        <v>341</v>
      </c>
      <c r="B283" s="119"/>
      <c r="C283" s="120"/>
      <c r="D283" s="119"/>
      <c r="E283" s="121" t="s">
        <v>342</v>
      </c>
      <c r="F283" s="119"/>
      <c r="G283" s="119"/>
    </row>
    <row r="286" customHeight="1" spans="1:7">
      <c r="A286" s="105"/>
      <c r="B286" s="106"/>
      <c r="C286" s="107" t="s">
        <v>330</v>
      </c>
      <c r="D286" s="107"/>
      <c r="E286" s="107"/>
      <c r="F286" s="105"/>
      <c r="G286" s="105"/>
    </row>
    <row r="287" customHeight="1" spans="1:7">
      <c r="A287" s="108" t="s">
        <v>331</v>
      </c>
      <c r="B287" s="109"/>
      <c r="C287" s="110">
        <v>45716</v>
      </c>
      <c r="D287" s="110"/>
      <c r="E287" s="110"/>
      <c r="F287" s="111" t="s">
        <v>332</v>
      </c>
      <c r="G287" s="112" t="str">
        <f>立项!$A$8</f>
        <v>RD06</v>
      </c>
    </row>
    <row r="288" customHeight="1" spans="1:7">
      <c r="A288" s="113" t="s">
        <v>333</v>
      </c>
      <c r="B288" s="113" t="s">
        <v>334</v>
      </c>
      <c r="C288" s="113" t="s">
        <v>335</v>
      </c>
      <c r="D288" s="113" t="s">
        <v>336</v>
      </c>
      <c r="E288" s="113" t="s">
        <v>337</v>
      </c>
      <c r="F288" s="113" t="s">
        <v>338</v>
      </c>
      <c r="G288" s="113" t="s">
        <v>339</v>
      </c>
    </row>
    <row r="289" customHeight="1" spans="1:7">
      <c r="A289" s="113">
        <f>领料单!AW23</f>
        <v>0</v>
      </c>
      <c r="B289" s="113">
        <f>领料单!AX23</f>
        <v>0</v>
      </c>
      <c r="C289" s="113">
        <f>领料单!AY23</f>
        <v>0</v>
      </c>
      <c r="D289" s="113">
        <f>领料单!AZ23</f>
        <v>0</v>
      </c>
      <c r="E289" s="113">
        <f>领料单!BA23</f>
        <v>0</v>
      </c>
      <c r="F289" s="113">
        <f>领料单!BB23</f>
        <v>0</v>
      </c>
      <c r="G289" s="113"/>
    </row>
    <row r="290" customHeight="1" spans="1:7">
      <c r="A290" s="113">
        <f>领料单!AW25</f>
        <v>0</v>
      </c>
      <c r="B290" s="113">
        <f>领料单!AX25</f>
        <v>0</v>
      </c>
      <c r="C290" s="113">
        <f>领料单!AY25</f>
        <v>0</v>
      </c>
      <c r="D290" s="113">
        <f>领料单!AZ25</f>
        <v>0</v>
      </c>
      <c r="E290" s="113">
        <f>领料单!BA25</f>
        <v>0</v>
      </c>
      <c r="F290" s="113">
        <f>领料单!BB25</f>
        <v>0</v>
      </c>
      <c r="G290" s="113"/>
    </row>
    <row r="291" customHeight="1" spans="1:7">
      <c r="A291" s="113">
        <f>领料单!AW25</f>
        <v>0</v>
      </c>
      <c r="B291" s="113">
        <f>领料单!AX25</f>
        <v>0</v>
      </c>
      <c r="C291" s="113">
        <f>领料单!AY25</f>
        <v>0</v>
      </c>
      <c r="D291" s="113">
        <f>领料单!AZ25</f>
        <v>0</v>
      </c>
      <c r="E291" s="113">
        <f>领料单!BA25</f>
        <v>0</v>
      </c>
      <c r="F291" s="113">
        <f>领料单!BB25</f>
        <v>0</v>
      </c>
      <c r="G291" s="113"/>
    </row>
    <row r="292" customHeight="1" spans="1:7">
      <c r="A292" s="113">
        <f>领料单!AW26</f>
        <v>0</v>
      </c>
      <c r="B292" s="113">
        <f>领料单!AX26</f>
        <v>0</v>
      </c>
      <c r="C292" s="113">
        <f>领料单!AY26</f>
        <v>0</v>
      </c>
      <c r="D292" s="113">
        <f>领料单!AZ26</f>
        <v>0</v>
      </c>
      <c r="E292" s="113">
        <f>领料单!BA26</f>
        <v>0</v>
      </c>
      <c r="F292" s="113">
        <f>领料单!BB26</f>
        <v>0</v>
      </c>
      <c r="G292" s="113"/>
    </row>
    <row r="293" customHeight="1" spans="1:7">
      <c r="A293" s="113">
        <f>领料单!AW27</f>
        <v>0</v>
      </c>
      <c r="B293" s="113">
        <f>领料单!AX27</f>
        <v>0</v>
      </c>
      <c r="C293" s="113">
        <f>领料单!AY27</f>
        <v>0</v>
      </c>
      <c r="D293" s="113">
        <f>领料单!AZ27</f>
        <v>0</v>
      </c>
      <c r="E293" s="113">
        <f>领料单!BA27</f>
        <v>0</v>
      </c>
      <c r="F293" s="113">
        <f>领料单!BB27</f>
        <v>0</v>
      </c>
      <c r="G293" s="113"/>
    </row>
    <row r="294" customHeight="1" spans="1:7">
      <c r="A294" s="113">
        <f>领料单!AW28</f>
        <v>0</v>
      </c>
      <c r="B294" s="113">
        <f>领料单!AX28</f>
        <v>0</v>
      </c>
      <c r="C294" s="113">
        <f>领料单!AY28</f>
        <v>0</v>
      </c>
      <c r="D294" s="113">
        <f>领料单!AZ28</f>
        <v>0</v>
      </c>
      <c r="E294" s="113">
        <f>领料单!BA28</f>
        <v>0</v>
      </c>
      <c r="F294" s="113">
        <f>领料单!BB28</f>
        <v>0</v>
      </c>
      <c r="G294" s="113"/>
    </row>
    <row r="295" customHeight="1" spans="1:7">
      <c r="A295" s="113">
        <f>领料单!AW29</f>
        <v>0</v>
      </c>
      <c r="B295" s="113">
        <f>领料单!AX29</f>
        <v>0</v>
      </c>
      <c r="C295" s="113">
        <f>领料单!AY29</f>
        <v>0</v>
      </c>
      <c r="D295" s="113">
        <f>领料单!AZ29</f>
        <v>0</v>
      </c>
      <c r="E295" s="113">
        <f>领料单!BA29</f>
        <v>0</v>
      </c>
      <c r="F295" s="113">
        <f>领料单!BB29</f>
        <v>0</v>
      </c>
      <c r="G295" s="113"/>
    </row>
    <row r="296" customHeight="1" spans="1:7">
      <c r="A296" s="113">
        <f>领料单!AW30</f>
        <v>0</v>
      </c>
      <c r="B296" s="113">
        <f>领料单!AX30</f>
        <v>0</v>
      </c>
      <c r="C296" s="113">
        <f>领料单!AY30</f>
        <v>0</v>
      </c>
      <c r="D296" s="113">
        <f>领料单!AZ30</f>
        <v>0</v>
      </c>
      <c r="E296" s="113">
        <f>领料单!BA30</f>
        <v>0</v>
      </c>
      <c r="F296" s="113">
        <f>领料单!BB30</f>
        <v>0</v>
      </c>
      <c r="G296" s="113"/>
    </row>
    <row r="297" customHeight="1" spans="1:7">
      <c r="A297" s="113">
        <f>领料单!AW31</f>
        <v>0</v>
      </c>
      <c r="B297" s="113">
        <f>领料单!AX31</f>
        <v>0</v>
      </c>
      <c r="C297" s="113">
        <f>领料单!AY31</f>
        <v>0</v>
      </c>
      <c r="D297" s="113">
        <f>领料单!AZ31</f>
        <v>0</v>
      </c>
      <c r="E297" s="113">
        <f>领料单!BA31</f>
        <v>0</v>
      </c>
      <c r="F297" s="113">
        <f>领料单!BB31</f>
        <v>0</v>
      </c>
      <c r="G297" s="113"/>
    </row>
    <row r="298" customHeight="1" spans="1:7">
      <c r="A298" s="113">
        <f>领料单!AW32</f>
        <v>0</v>
      </c>
      <c r="B298" s="113">
        <f>领料单!AX32</f>
        <v>0</v>
      </c>
      <c r="C298" s="113">
        <f>领料单!AY32</f>
        <v>0</v>
      </c>
      <c r="D298" s="113">
        <f>领料单!AZ32</f>
        <v>0</v>
      </c>
      <c r="E298" s="113">
        <f>领料单!BA32</f>
        <v>0</v>
      </c>
      <c r="F298" s="113">
        <f>领料单!BB32</f>
        <v>0</v>
      </c>
      <c r="G298" s="113"/>
    </row>
    <row r="299" customHeight="1" spans="1:7">
      <c r="A299" s="113">
        <f>领料单!AW33</f>
        <v>0</v>
      </c>
      <c r="B299" s="113">
        <f>领料单!AX33</f>
        <v>0</v>
      </c>
      <c r="C299" s="113">
        <f>领料单!AY33</f>
        <v>0</v>
      </c>
      <c r="D299" s="113">
        <f>领料单!AZ33</f>
        <v>0</v>
      </c>
      <c r="E299" s="113">
        <f>领料单!BA33</f>
        <v>0</v>
      </c>
      <c r="F299" s="113">
        <f>领料单!BB33</f>
        <v>0</v>
      </c>
      <c r="G299" s="113"/>
    </row>
    <row r="300" customHeight="1" spans="1:7">
      <c r="A300" s="113">
        <f>领料单!AW34</f>
        <v>0</v>
      </c>
      <c r="B300" s="113">
        <f>领料单!AX34</f>
        <v>0</v>
      </c>
      <c r="C300" s="113">
        <f>领料单!AY34</f>
        <v>0</v>
      </c>
      <c r="D300" s="113">
        <f>领料单!AZ34</f>
        <v>0</v>
      </c>
      <c r="E300" s="113">
        <f>领料单!BA34</f>
        <v>0</v>
      </c>
      <c r="F300" s="113">
        <f>领料单!BB34</f>
        <v>0</v>
      </c>
      <c r="G300" s="113"/>
    </row>
    <row r="301" customHeight="1" spans="1:7">
      <c r="A301" s="115" t="s">
        <v>340</v>
      </c>
      <c r="B301" s="116"/>
      <c r="C301" s="116"/>
      <c r="D301" s="116"/>
      <c r="E301" s="117"/>
      <c r="F301" s="118">
        <f>SUM(F289:F300)</f>
        <v>0</v>
      </c>
      <c r="G301" s="114"/>
    </row>
    <row r="302" customHeight="1" spans="1:7">
      <c r="A302" s="119" t="s">
        <v>341</v>
      </c>
      <c r="B302" s="119"/>
      <c r="C302" s="120"/>
      <c r="D302" s="119"/>
      <c r="E302" s="121" t="s">
        <v>342</v>
      </c>
      <c r="F302" s="119"/>
      <c r="G302" s="119"/>
    </row>
    <row r="305" customHeight="1" spans="1:7">
      <c r="A305" s="105"/>
      <c r="B305" s="106"/>
      <c r="C305" s="107" t="s">
        <v>330</v>
      </c>
      <c r="D305" s="107"/>
      <c r="E305" s="107"/>
      <c r="F305" s="105"/>
      <c r="G305" s="105"/>
    </row>
    <row r="306" customHeight="1" spans="1:7">
      <c r="A306" s="108" t="s">
        <v>331</v>
      </c>
      <c r="B306" s="109"/>
      <c r="C306" s="110">
        <v>45716</v>
      </c>
      <c r="D306" s="110"/>
      <c r="E306" s="110"/>
      <c r="F306" s="111" t="s">
        <v>332</v>
      </c>
      <c r="G306" s="112" t="str">
        <f>立项!$A$9</f>
        <v>RD07</v>
      </c>
    </row>
    <row r="307" customHeight="1" spans="1:7">
      <c r="A307" s="113" t="s">
        <v>333</v>
      </c>
      <c r="B307" s="113" t="s">
        <v>334</v>
      </c>
      <c r="C307" s="113" t="s">
        <v>335</v>
      </c>
      <c r="D307" s="113" t="s">
        <v>336</v>
      </c>
      <c r="E307" s="113" t="s">
        <v>337</v>
      </c>
      <c r="F307" s="113" t="s">
        <v>338</v>
      </c>
      <c r="G307" s="113" t="s">
        <v>339</v>
      </c>
    </row>
    <row r="308" customHeight="1" spans="1:7">
      <c r="A308" s="113">
        <f>领料单!BE23</f>
        <v>0</v>
      </c>
      <c r="B308" s="113">
        <f>领料单!BF23</f>
        <v>0</v>
      </c>
      <c r="C308" s="113">
        <f>领料单!BG23</f>
        <v>0</v>
      </c>
      <c r="D308" s="113">
        <f>领料单!BH23</f>
        <v>0</v>
      </c>
      <c r="E308" s="113">
        <f>领料单!BI23</f>
        <v>0</v>
      </c>
      <c r="F308" s="113">
        <f>领料单!BJ23</f>
        <v>0</v>
      </c>
      <c r="G308" s="113"/>
    </row>
    <row r="309" customHeight="1" spans="1:7">
      <c r="A309" s="113">
        <f>领料单!BE25</f>
        <v>0</v>
      </c>
      <c r="B309" s="113">
        <f>领料单!BF25</f>
        <v>0</v>
      </c>
      <c r="C309" s="113">
        <f>领料单!BG25</f>
        <v>0</v>
      </c>
      <c r="D309" s="113">
        <f>领料单!BH25</f>
        <v>0</v>
      </c>
      <c r="E309" s="113">
        <f>领料单!BI25</f>
        <v>0</v>
      </c>
      <c r="F309" s="113">
        <f>领料单!BJ25</f>
        <v>0</v>
      </c>
      <c r="G309" s="113"/>
    </row>
    <row r="310" customHeight="1" spans="1:7">
      <c r="A310" s="113">
        <f>领料单!BE25</f>
        <v>0</v>
      </c>
      <c r="B310" s="113">
        <f>领料单!BF25</f>
        <v>0</v>
      </c>
      <c r="C310" s="113">
        <f>领料单!BG25</f>
        <v>0</v>
      </c>
      <c r="D310" s="113">
        <f>领料单!BH25</f>
        <v>0</v>
      </c>
      <c r="E310" s="113">
        <f>领料单!BI25</f>
        <v>0</v>
      </c>
      <c r="F310" s="113">
        <f>领料单!BJ25</f>
        <v>0</v>
      </c>
      <c r="G310" s="113"/>
    </row>
    <row r="311" customHeight="1" spans="1:7">
      <c r="A311" s="113">
        <f>领料单!BE26</f>
        <v>0</v>
      </c>
      <c r="B311" s="113">
        <f>领料单!BF26</f>
        <v>0</v>
      </c>
      <c r="C311" s="113">
        <f>领料单!BG26</f>
        <v>0</v>
      </c>
      <c r="D311" s="113">
        <f>领料单!BH26</f>
        <v>0</v>
      </c>
      <c r="E311" s="113">
        <f>领料单!BI26</f>
        <v>0</v>
      </c>
      <c r="F311" s="113">
        <f>领料单!BJ26</f>
        <v>0</v>
      </c>
      <c r="G311" s="113"/>
    </row>
    <row r="312" customHeight="1" spans="1:7">
      <c r="A312" s="113">
        <f>领料单!BE27</f>
        <v>0</v>
      </c>
      <c r="B312" s="113">
        <f>领料单!BF27</f>
        <v>0</v>
      </c>
      <c r="C312" s="113">
        <f>领料单!BG27</f>
        <v>0</v>
      </c>
      <c r="D312" s="113">
        <f>领料单!BH27</f>
        <v>0</v>
      </c>
      <c r="E312" s="113">
        <f>领料单!BI27</f>
        <v>0</v>
      </c>
      <c r="F312" s="113">
        <f>领料单!BJ27</f>
        <v>0</v>
      </c>
      <c r="G312" s="113"/>
    </row>
    <row r="313" customHeight="1" spans="1:7">
      <c r="A313" s="113">
        <f>领料单!BE28</f>
        <v>0</v>
      </c>
      <c r="B313" s="113">
        <f>领料单!BF28</f>
        <v>0</v>
      </c>
      <c r="C313" s="113">
        <f>领料单!BG28</f>
        <v>0</v>
      </c>
      <c r="D313" s="113">
        <f>领料单!BH28</f>
        <v>0</v>
      </c>
      <c r="E313" s="113">
        <f>领料单!BI28</f>
        <v>0</v>
      </c>
      <c r="F313" s="113">
        <f>领料单!BJ28</f>
        <v>0</v>
      </c>
      <c r="G313" s="113"/>
    </row>
    <row r="314" customHeight="1" spans="1:7">
      <c r="A314" s="113">
        <f>领料单!BE29</f>
        <v>0</v>
      </c>
      <c r="B314" s="113">
        <f>领料单!BF29</f>
        <v>0</v>
      </c>
      <c r="C314" s="113">
        <f>领料单!BG29</f>
        <v>0</v>
      </c>
      <c r="D314" s="113">
        <f>领料单!BH29</f>
        <v>0</v>
      </c>
      <c r="E314" s="113">
        <f>领料单!BI29</f>
        <v>0</v>
      </c>
      <c r="F314" s="113">
        <f>领料单!BJ29</f>
        <v>0</v>
      </c>
      <c r="G314" s="113"/>
    </row>
    <row r="315" customHeight="1" spans="1:7">
      <c r="A315" s="113">
        <f>领料单!BE30</f>
        <v>0</v>
      </c>
      <c r="B315" s="113">
        <f>领料单!BF30</f>
        <v>0</v>
      </c>
      <c r="C315" s="113">
        <f>领料单!BG30</f>
        <v>0</v>
      </c>
      <c r="D315" s="113">
        <f>领料单!BH30</f>
        <v>0</v>
      </c>
      <c r="E315" s="113">
        <f>领料单!BI30</f>
        <v>0</v>
      </c>
      <c r="F315" s="113">
        <f>领料单!BJ30</f>
        <v>0</v>
      </c>
      <c r="G315" s="113"/>
    </row>
    <row r="316" customHeight="1" spans="1:7">
      <c r="A316" s="113">
        <f>领料单!BE31</f>
        <v>0</v>
      </c>
      <c r="B316" s="113">
        <f>领料单!BF31</f>
        <v>0</v>
      </c>
      <c r="C316" s="113">
        <f>领料单!BG31</f>
        <v>0</v>
      </c>
      <c r="D316" s="113">
        <f>领料单!BH31</f>
        <v>0</v>
      </c>
      <c r="E316" s="113">
        <f>领料单!BI31</f>
        <v>0</v>
      </c>
      <c r="F316" s="113">
        <f>领料单!BJ31</f>
        <v>0</v>
      </c>
      <c r="G316" s="113"/>
    </row>
    <row r="317" customHeight="1" spans="1:7">
      <c r="A317" s="113">
        <f>领料单!BE32</f>
        <v>0</v>
      </c>
      <c r="B317" s="113">
        <f>领料单!BF32</f>
        <v>0</v>
      </c>
      <c r="C317" s="113">
        <f>领料单!BG32</f>
        <v>0</v>
      </c>
      <c r="D317" s="113">
        <f>领料单!BH32</f>
        <v>0</v>
      </c>
      <c r="E317" s="113">
        <f>领料单!BI32</f>
        <v>0</v>
      </c>
      <c r="F317" s="113">
        <f>领料单!BJ32</f>
        <v>0</v>
      </c>
      <c r="G317" s="113"/>
    </row>
    <row r="318" customHeight="1" spans="1:7">
      <c r="A318" s="113">
        <f>领料单!BE33</f>
        <v>0</v>
      </c>
      <c r="B318" s="113">
        <f>领料单!BF33</f>
        <v>0</v>
      </c>
      <c r="C318" s="113">
        <f>领料单!BG33</f>
        <v>0</v>
      </c>
      <c r="D318" s="113">
        <f>领料单!BH33</f>
        <v>0</v>
      </c>
      <c r="E318" s="113">
        <f>领料单!BI33</f>
        <v>0</v>
      </c>
      <c r="F318" s="113">
        <f>领料单!BJ33</f>
        <v>0</v>
      </c>
      <c r="G318" s="113"/>
    </row>
    <row r="319" customHeight="1" spans="1:7">
      <c r="A319" s="113">
        <f>领料单!BE34</f>
        <v>0</v>
      </c>
      <c r="B319" s="113">
        <f>领料单!BF34</f>
        <v>0</v>
      </c>
      <c r="C319" s="113">
        <f>领料单!BG34</f>
        <v>0</v>
      </c>
      <c r="D319" s="113">
        <f>领料单!BH34</f>
        <v>0</v>
      </c>
      <c r="E319" s="113">
        <f>领料单!BI34</f>
        <v>0</v>
      </c>
      <c r="F319" s="113">
        <f>领料单!BJ34</f>
        <v>0</v>
      </c>
      <c r="G319" s="113"/>
    </row>
    <row r="320" customHeight="1" spans="1:7">
      <c r="A320" s="115" t="s">
        <v>340</v>
      </c>
      <c r="B320" s="116"/>
      <c r="C320" s="116"/>
      <c r="D320" s="116"/>
      <c r="E320" s="117"/>
      <c r="F320" s="118">
        <f>SUM(F308:F319)</f>
        <v>0</v>
      </c>
      <c r="G320" s="114"/>
    </row>
    <row r="321" customHeight="1" spans="1:7">
      <c r="A321" s="119" t="s">
        <v>341</v>
      </c>
      <c r="B321" s="119"/>
      <c r="C321" s="120"/>
      <c r="D321" s="119"/>
      <c r="E321" s="121" t="s">
        <v>342</v>
      </c>
      <c r="F321" s="119"/>
      <c r="G321" s="119"/>
    </row>
    <row r="324" customHeight="1" spans="1:7">
      <c r="A324" s="105"/>
      <c r="B324" s="106"/>
      <c r="C324" s="107" t="s">
        <v>330</v>
      </c>
      <c r="D324" s="107"/>
      <c r="E324" s="107"/>
      <c r="F324" s="105"/>
      <c r="G324" s="105"/>
    </row>
    <row r="325" customHeight="1" spans="1:7">
      <c r="A325" s="108" t="s">
        <v>331</v>
      </c>
      <c r="B325" s="109"/>
      <c r="C325" s="110">
        <v>45716</v>
      </c>
      <c r="D325" s="110"/>
      <c r="E325" s="110"/>
      <c r="F325" s="111" t="s">
        <v>332</v>
      </c>
      <c r="G325" s="112" t="str">
        <f>立项!$A$10</f>
        <v>RD08</v>
      </c>
    </row>
    <row r="326" customHeight="1" spans="1:7">
      <c r="A326" s="113" t="s">
        <v>333</v>
      </c>
      <c r="B326" s="113" t="s">
        <v>334</v>
      </c>
      <c r="C326" s="113" t="s">
        <v>335</v>
      </c>
      <c r="D326" s="113" t="s">
        <v>336</v>
      </c>
      <c r="E326" s="113" t="s">
        <v>337</v>
      </c>
      <c r="F326" s="113" t="s">
        <v>338</v>
      </c>
      <c r="G326" s="113" t="s">
        <v>339</v>
      </c>
    </row>
    <row r="327" customHeight="1" spans="1:7">
      <c r="A327" s="113">
        <f>领料单!BM23</f>
        <v>0</v>
      </c>
      <c r="B327" s="113">
        <f>领料单!BN23</f>
        <v>0</v>
      </c>
      <c r="C327" s="113">
        <f>领料单!BO23</f>
        <v>0</v>
      </c>
      <c r="D327" s="113">
        <f>领料单!BP23</f>
        <v>0</v>
      </c>
      <c r="E327" s="113">
        <f>领料单!BQ23</f>
        <v>0</v>
      </c>
      <c r="F327" s="113">
        <f>领料单!BR23</f>
        <v>0</v>
      </c>
      <c r="G327" s="113"/>
    </row>
    <row r="328" customHeight="1" spans="1:7">
      <c r="A328" s="113">
        <f>领料单!BM25</f>
        <v>0</v>
      </c>
      <c r="B328" s="113">
        <f>领料单!BN25</f>
        <v>0</v>
      </c>
      <c r="C328" s="113">
        <f>领料单!BO25</f>
        <v>0</v>
      </c>
      <c r="D328" s="113">
        <f>领料单!BP25</f>
        <v>0</v>
      </c>
      <c r="E328" s="113">
        <f>领料单!BQ25</f>
        <v>0</v>
      </c>
      <c r="F328" s="113">
        <f>领料单!BR25</f>
        <v>0</v>
      </c>
      <c r="G328" s="113"/>
    </row>
    <row r="329" customHeight="1" spans="1:7">
      <c r="A329" s="113">
        <f>领料单!BM25</f>
        <v>0</v>
      </c>
      <c r="B329" s="113">
        <f>领料单!BN25</f>
        <v>0</v>
      </c>
      <c r="C329" s="113">
        <f>领料单!BO25</f>
        <v>0</v>
      </c>
      <c r="D329" s="113">
        <f>领料单!BP25</f>
        <v>0</v>
      </c>
      <c r="E329" s="113">
        <f>领料单!BQ25</f>
        <v>0</v>
      </c>
      <c r="F329" s="113">
        <f>领料单!BR25</f>
        <v>0</v>
      </c>
      <c r="G329" s="113"/>
    </row>
    <row r="330" customHeight="1" spans="1:7">
      <c r="A330" s="113">
        <f>领料单!BM26</f>
        <v>0</v>
      </c>
      <c r="B330" s="113">
        <f>领料单!BN26</f>
        <v>0</v>
      </c>
      <c r="C330" s="113">
        <f>领料单!BO26</f>
        <v>0</v>
      </c>
      <c r="D330" s="113">
        <f>领料单!BP26</f>
        <v>0</v>
      </c>
      <c r="E330" s="113">
        <f>领料单!BQ26</f>
        <v>0</v>
      </c>
      <c r="F330" s="113">
        <f>领料单!BR26</f>
        <v>0</v>
      </c>
      <c r="G330" s="113"/>
    </row>
    <row r="331" customHeight="1" spans="1:7">
      <c r="A331" s="113">
        <f>领料单!BM27</f>
        <v>0</v>
      </c>
      <c r="B331" s="113">
        <f>领料单!BN27</f>
        <v>0</v>
      </c>
      <c r="C331" s="113">
        <f>领料单!BO27</f>
        <v>0</v>
      </c>
      <c r="D331" s="113">
        <f>领料单!BP27</f>
        <v>0</v>
      </c>
      <c r="E331" s="113">
        <f>领料单!BQ27</f>
        <v>0</v>
      </c>
      <c r="F331" s="113">
        <f>领料单!BR27</f>
        <v>0</v>
      </c>
      <c r="G331" s="113"/>
    </row>
    <row r="332" customHeight="1" spans="1:7">
      <c r="A332" s="113">
        <f>领料单!BM28</f>
        <v>0</v>
      </c>
      <c r="B332" s="113">
        <f>领料单!BN28</f>
        <v>0</v>
      </c>
      <c r="C332" s="113">
        <f>领料单!BO28</f>
        <v>0</v>
      </c>
      <c r="D332" s="113">
        <f>领料单!BP28</f>
        <v>0</v>
      </c>
      <c r="E332" s="113">
        <f>领料单!BQ28</f>
        <v>0</v>
      </c>
      <c r="F332" s="113">
        <f>领料单!BR28</f>
        <v>0</v>
      </c>
      <c r="G332" s="113"/>
    </row>
    <row r="333" customHeight="1" spans="1:7">
      <c r="A333" s="113">
        <f>领料单!BM29</f>
        <v>0</v>
      </c>
      <c r="B333" s="113">
        <f>领料单!BN29</f>
        <v>0</v>
      </c>
      <c r="C333" s="113">
        <f>领料单!BO29</f>
        <v>0</v>
      </c>
      <c r="D333" s="113">
        <f>领料单!BP29</f>
        <v>0</v>
      </c>
      <c r="E333" s="113">
        <f>领料单!BQ29</f>
        <v>0</v>
      </c>
      <c r="F333" s="113">
        <f>领料单!BR29</f>
        <v>0</v>
      </c>
      <c r="G333" s="113"/>
    </row>
    <row r="334" customHeight="1" spans="1:7">
      <c r="A334" s="113">
        <f>领料单!BM30</f>
        <v>0</v>
      </c>
      <c r="B334" s="113">
        <f>领料单!BN30</f>
        <v>0</v>
      </c>
      <c r="C334" s="113">
        <f>领料单!BO30</f>
        <v>0</v>
      </c>
      <c r="D334" s="113">
        <f>领料单!BP30</f>
        <v>0</v>
      </c>
      <c r="E334" s="113">
        <f>领料单!BQ30</f>
        <v>0</v>
      </c>
      <c r="F334" s="113">
        <f>领料单!BR30</f>
        <v>0</v>
      </c>
      <c r="G334" s="113"/>
    </row>
    <row r="335" customHeight="1" spans="1:7">
      <c r="A335" s="113">
        <f>领料单!BM31</f>
        <v>0</v>
      </c>
      <c r="B335" s="113">
        <f>领料单!BN31</f>
        <v>0</v>
      </c>
      <c r="C335" s="113">
        <f>领料单!BO31</f>
        <v>0</v>
      </c>
      <c r="D335" s="113">
        <f>领料单!BP31</f>
        <v>0</v>
      </c>
      <c r="E335" s="113">
        <f>领料单!BQ31</f>
        <v>0</v>
      </c>
      <c r="F335" s="113">
        <f>领料单!BR31</f>
        <v>0</v>
      </c>
      <c r="G335" s="113"/>
    </row>
    <row r="336" customHeight="1" spans="1:7">
      <c r="A336" s="113">
        <f>领料单!BM32</f>
        <v>0</v>
      </c>
      <c r="B336" s="113">
        <f>领料单!BN32</f>
        <v>0</v>
      </c>
      <c r="C336" s="113">
        <f>领料单!BO32</f>
        <v>0</v>
      </c>
      <c r="D336" s="113">
        <f>领料单!BP32</f>
        <v>0</v>
      </c>
      <c r="E336" s="113">
        <f>领料单!BQ32</f>
        <v>0</v>
      </c>
      <c r="F336" s="113">
        <f>领料单!BR32</f>
        <v>0</v>
      </c>
      <c r="G336" s="113"/>
    </row>
    <row r="337" customHeight="1" spans="1:7">
      <c r="A337" s="113">
        <f>领料单!BM33</f>
        <v>0</v>
      </c>
      <c r="B337" s="113">
        <f>领料单!BN33</f>
        <v>0</v>
      </c>
      <c r="C337" s="113">
        <f>领料单!BO33</f>
        <v>0</v>
      </c>
      <c r="D337" s="113">
        <f>领料单!BP33</f>
        <v>0</v>
      </c>
      <c r="E337" s="113">
        <f>领料单!BQ33</f>
        <v>0</v>
      </c>
      <c r="F337" s="113">
        <f>领料单!BR33</f>
        <v>0</v>
      </c>
      <c r="G337" s="113"/>
    </row>
    <row r="338" customHeight="1" spans="1:7">
      <c r="A338" s="113">
        <f>领料单!BM34</f>
        <v>0</v>
      </c>
      <c r="B338" s="113">
        <f>领料单!BN34</f>
        <v>0</v>
      </c>
      <c r="C338" s="113">
        <f>领料单!BO34</f>
        <v>0</v>
      </c>
      <c r="D338" s="113">
        <f>领料单!BP34</f>
        <v>0</v>
      </c>
      <c r="E338" s="113">
        <f>领料单!BQ34</f>
        <v>0</v>
      </c>
      <c r="F338" s="113">
        <f>领料单!BR34</f>
        <v>0</v>
      </c>
      <c r="G338" s="113"/>
    </row>
    <row r="339" customHeight="1" spans="1:7">
      <c r="A339" s="115" t="s">
        <v>340</v>
      </c>
      <c r="B339" s="116"/>
      <c r="C339" s="116"/>
      <c r="D339" s="116"/>
      <c r="E339" s="117"/>
      <c r="F339" s="118">
        <f>SUM(F327:F338)</f>
        <v>0</v>
      </c>
      <c r="G339" s="114"/>
    </row>
    <row r="340" customHeight="1" spans="1:7">
      <c r="A340" s="119" t="s">
        <v>341</v>
      </c>
      <c r="B340" s="119"/>
      <c r="C340" s="120"/>
      <c r="D340" s="119"/>
      <c r="E340" s="121" t="s">
        <v>342</v>
      </c>
      <c r="F340" s="119"/>
      <c r="G340" s="119"/>
    </row>
    <row r="343" customHeight="1" spans="1:7">
      <c r="A343" s="105"/>
      <c r="B343" s="106"/>
      <c r="C343" s="107" t="s">
        <v>330</v>
      </c>
      <c r="D343" s="107"/>
      <c r="E343" s="107"/>
      <c r="F343" s="105"/>
      <c r="G343" s="105"/>
    </row>
    <row r="344" customHeight="1" spans="1:7">
      <c r="A344" s="108" t="s">
        <v>331</v>
      </c>
      <c r="B344" s="109"/>
      <c r="C344" s="110">
        <v>45716</v>
      </c>
      <c r="D344" s="110"/>
      <c r="E344" s="110"/>
      <c r="F344" s="111" t="s">
        <v>332</v>
      </c>
      <c r="G344" s="112" t="str">
        <f>立项!$A$11</f>
        <v>RD09</v>
      </c>
    </row>
    <row r="345" customHeight="1" spans="1:7">
      <c r="A345" s="113" t="s">
        <v>333</v>
      </c>
      <c r="B345" s="113" t="s">
        <v>334</v>
      </c>
      <c r="C345" s="113" t="s">
        <v>335</v>
      </c>
      <c r="D345" s="113" t="s">
        <v>336</v>
      </c>
      <c r="E345" s="113" t="s">
        <v>337</v>
      </c>
      <c r="F345" s="113" t="s">
        <v>338</v>
      </c>
      <c r="G345" s="113" t="s">
        <v>339</v>
      </c>
    </row>
    <row r="346" customHeight="1" spans="1:7">
      <c r="A346" s="113">
        <f>领料单!BU23</f>
        <v>0</v>
      </c>
      <c r="B346" s="113">
        <f>领料单!BV23</f>
        <v>0</v>
      </c>
      <c r="C346" s="113">
        <f>领料单!BW23</f>
        <v>0</v>
      </c>
      <c r="D346" s="113">
        <f>领料单!BX23</f>
        <v>0</v>
      </c>
      <c r="E346" s="113">
        <f>领料单!BY23</f>
        <v>0</v>
      </c>
      <c r="F346" s="113">
        <f>领料单!BZ23</f>
        <v>0</v>
      </c>
      <c r="G346" s="113"/>
    </row>
    <row r="347" customHeight="1" spans="1:7">
      <c r="A347" s="113">
        <f>领料单!BU25</f>
        <v>0</v>
      </c>
      <c r="B347" s="113">
        <f>领料单!BV25</f>
        <v>0</v>
      </c>
      <c r="C347" s="113">
        <f>领料单!BW25</f>
        <v>0</v>
      </c>
      <c r="D347" s="113">
        <f>领料单!BX25</f>
        <v>0</v>
      </c>
      <c r="E347" s="113">
        <f>领料单!BY25</f>
        <v>0</v>
      </c>
      <c r="F347" s="113">
        <f>领料单!BZ25</f>
        <v>0</v>
      </c>
      <c r="G347" s="113"/>
    </row>
    <row r="348" customHeight="1" spans="1:7">
      <c r="A348" s="113">
        <f>领料单!BU25</f>
        <v>0</v>
      </c>
      <c r="B348" s="113">
        <f>领料单!BV25</f>
        <v>0</v>
      </c>
      <c r="C348" s="113">
        <f>领料单!BW25</f>
        <v>0</v>
      </c>
      <c r="D348" s="113">
        <f>领料单!BX25</f>
        <v>0</v>
      </c>
      <c r="E348" s="113">
        <f>领料单!BY25</f>
        <v>0</v>
      </c>
      <c r="F348" s="113">
        <f>领料单!BZ25</f>
        <v>0</v>
      </c>
      <c r="G348" s="113"/>
    </row>
    <row r="349" customHeight="1" spans="1:7">
      <c r="A349" s="113">
        <f>领料单!BU26</f>
        <v>0</v>
      </c>
      <c r="B349" s="113">
        <f>领料单!BV26</f>
        <v>0</v>
      </c>
      <c r="C349" s="113">
        <f>领料单!BW26</f>
        <v>0</v>
      </c>
      <c r="D349" s="113">
        <f>领料单!BX26</f>
        <v>0</v>
      </c>
      <c r="E349" s="113">
        <f>领料单!BY26</f>
        <v>0</v>
      </c>
      <c r="F349" s="113">
        <f>领料单!BZ26</f>
        <v>0</v>
      </c>
      <c r="G349" s="113"/>
    </row>
    <row r="350" customHeight="1" spans="1:7">
      <c r="A350" s="113">
        <f>领料单!BU27</f>
        <v>0</v>
      </c>
      <c r="B350" s="113">
        <f>领料单!BV27</f>
        <v>0</v>
      </c>
      <c r="C350" s="113">
        <f>领料单!BW27</f>
        <v>0</v>
      </c>
      <c r="D350" s="113">
        <f>领料单!BX27</f>
        <v>0</v>
      </c>
      <c r="E350" s="113">
        <f>领料单!BY27</f>
        <v>0</v>
      </c>
      <c r="F350" s="113">
        <f>领料单!BZ27</f>
        <v>0</v>
      </c>
      <c r="G350" s="113"/>
    </row>
    <row r="351" customHeight="1" spans="1:7">
      <c r="A351" s="113">
        <f>领料单!BU28</f>
        <v>0</v>
      </c>
      <c r="B351" s="113">
        <f>领料单!BV28</f>
        <v>0</v>
      </c>
      <c r="C351" s="113">
        <f>领料单!BW28</f>
        <v>0</v>
      </c>
      <c r="D351" s="113">
        <f>领料单!BX28</f>
        <v>0</v>
      </c>
      <c r="E351" s="113">
        <f>领料单!BY28</f>
        <v>0</v>
      </c>
      <c r="F351" s="113">
        <f>领料单!BZ28</f>
        <v>0</v>
      </c>
      <c r="G351" s="113"/>
    </row>
    <row r="352" customHeight="1" spans="1:7">
      <c r="A352" s="113">
        <f>领料单!BU29</f>
        <v>0</v>
      </c>
      <c r="B352" s="113">
        <f>领料单!BV29</f>
        <v>0</v>
      </c>
      <c r="C352" s="113">
        <f>领料单!BW29</f>
        <v>0</v>
      </c>
      <c r="D352" s="113">
        <f>领料单!BX29</f>
        <v>0</v>
      </c>
      <c r="E352" s="113">
        <f>领料单!BY29</f>
        <v>0</v>
      </c>
      <c r="F352" s="113">
        <f>领料单!BZ29</f>
        <v>0</v>
      </c>
      <c r="G352" s="113"/>
    </row>
    <row r="353" customHeight="1" spans="1:7">
      <c r="A353" s="113">
        <f>领料单!BU30</f>
        <v>0</v>
      </c>
      <c r="B353" s="113">
        <f>领料单!BV30</f>
        <v>0</v>
      </c>
      <c r="C353" s="113">
        <f>领料单!BW30</f>
        <v>0</v>
      </c>
      <c r="D353" s="113">
        <f>领料单!BX30</f>
        <v>0</v>
      </c>
      <c r="E353" s="113">
        <f>领料单!BY30</f>
        <v>0</v>
      </c>
      <c r="F353" s="113">
        <f>领料单!BZ30</f>
        <v>0</v>
      </c>
      <c r="G353" s="113"/>
    </row>
    <row r="354" customHeight="1" spans="1:7">
      <c r="A354" s="113">
        <f>领料单!BU31</f>
        <v>0</v>
      </c>
      <c r="B354" s="113">
        <f>领料单!BV31</f>
        <v>0</v>
      </c>
      <c r="C354" s="113">
        <f>领料单!BW31</f>
        <v>0</v>
      </c>
      <c r="D354" s="113">
        <f>领料单!BX31</f>
        <v>0</v>
      </c>
      <c r="E354" s="113">
        <f>领料单!BY31</f>
        <v>0</v>
      </c>
      <c r="F354" s="113">
        <f>领料单!BZ31</f>
        <v>0</v>
      </c>
      <c r="G354" s="113"/>
    </row>
    <row r="355" customHeight="1" spans="1:7">
      <c r="A355" s="113">
        <f>领料单!BU32</f>
        <v>0</v>
      </c>
      <c r="B355" s="113">
        <f>领料单!BV32</f>
        <v>0</v>
      </c>
      <c r="C355" s="113">
        <f>领料单!BW32</f>
        <v>0</v>
      </c>
      <c r="D355" s="113">
        <f>领料单!BX32</f>
        <v>0</v>
      </c>
      <c r="E355" s="113">
        <f>领料单!BY32</f>
        <v>0</v>
      </c>
      <c r="F355" s="113">
        <f>领料单!BZ32</f>
        <v>0</v>
      </c>
      <c r="G355" s="113"/>
    </row>
    <row r="356" customHeight="1" spans="1:7">
      <c r="A356" s="113">
        <f>领料单!BU33</f>
        <v>0</v>
      </c>
      <c r="B356" s="113">
        <f>领料单!BV33</f>
        <v>0</v>
      </c>
      <c r="C356" s="113">
        <f>领料单!BW33</f>
        <v>0</v>
      </c>
      <c r="D356" s="113">
        <f>领料单!BX33</f>
        <v>0</v>
      </c>
      <c r="E356" s="113">
        <f>领料单!BY33</f>
        <v>0</v>
      </c>
      <c r="F356" s="113">
        <f>领料单!BZ33</f>
        <v>0</v>
      </c>
      <c r="G356" s="113"/>
    </row>
    <row r="357" customHeight="1" spans="1:7">
      <c r="A357" s="113">
        <f>领料单!BU34</f>
        <v>0</v>
      </c>
      <c r="B357" s="113">
        <f>领料单!BV34</f>
        <v>0</v>
      </c>
      <c r="C357" s="113">
        <f>领料单!BW34</f>
        <v>0</v>
      </c>
      <c r="D357" s="113">
        <f>领料单!BX34</f>
        <v>0</v>
      </c>
      <c r="E357" s="113">
        <f>领料单!BY34</f>
        <v>0</v>
      </c>
      <c r="F357" s="113">
        <f>领料单!BZ34</f>
        <v>0</v>
      </c>
      <c r="G357" s="113"/>
    </row>
    <row r="358" customHeight="1" spans="1:7">
      <c r="A358" s="115" t="s">
        <v>340</v>
      </c>
      <c r="B358" s="116"/>
      <c r="C358" s="116"/>
      <c r="D358" s="116"/>
      <c r="E358" s="117"/>
      <c r="F358" s="118">
        <f>SUM(F346:F357)</f>
        <v>0</v>
      </c>
      <c r="G358" s="114"/>
    </row>
    <row r="359" customHeight="1" spans="1:7">
      <c r="A359" s="119" t="s">
        <v>341</v>
      </c>
      <c r="B359" s="119"/>
      <c r="C359" s="120"/>
      <c r="D359" s="119"/>
      <c r="E359" s="121" t="s">
        <v>342</v>
      </c>
      <c r="F359" s="119"/>
      <c r="G359" s="119"/>
    </row>
    <row r="362" customHeight="1" spans="1:7">
      <c r="A362" s="105"/>
      <c r="B362" s="106"/>
      <c r="C362" s="107" t="s">
        <v>330</v>
      </c>
      <c r="D362" s="107"/>
      <c r="E362" s="107"/>
      <c r="F362" s="105"/>
      <c r="G362" s="105"/>
    </row>
    <row r="363" customHeight="1" spans="1:7">
      <c r="A363" s="108" t="s">
        <v>331</v>
      </c>
      <c r="B363" s="109"/>
      <c r="C363" s="110">
        <v>45716</v>
      </c>
      <c r="D363" s="110"/>
      <c r="E363" s="110"/>
      <c r="F363" s="111" t="s">
        <v>332</v>
      </c>
      <c r="G363" s="112" t="str">
        <f>立项!$A$12</f>
        <v>RD10</v>
      </c>
    </row>
    <row r="364" customHeight="1" spans="1:7">
      <c r="A364" s="113" t="s">
        <v>333</v>
      </c>
      <c r="B364" s="113" t="s">
        <v>334</v>
      </c>
      <c r="C364" s="113" t="s">
        <v>335</v>
      </c>
      <c r="D364" s="113" t="s">
        <v>336</v>
      </c>
      <c r="E364" s="113" t="s">
        <v>337</v>
      </c>
      <c r="F364" s="113" t="s">
        <v>338</v>
      </c>
      <c r="G364" s="113" t="s">
        <v>339</v>
      </c>
    </row>
    <row r="365" customHeight="1" spans="1:7">
      <c r="A365" s="113">
        <f>领料单!CC23</f>
        <v>0</v>
      </c>
      <c r="B365" s="113">
        <f>领料单!CD23</f>
        <v>0</v>
      </c>
      <c r="C365" s="113">
        <f>领料单!CE23</f>
        <v>0</v>
      </c>
      <c r="D365" s="113">
        <f>领料单!CF23</f>
        <v>0</v>
      </c>
      <c r="E365" s="113">
        <f>领料单!CG23</f>
        <v>0</v>
      </c>
      <c r="F365" s="113">
        <f>领料单!CH23</f>
        <v>0</v>
      </c>
      <c r="G365" s="113"/>
    </row>
    <row r="366" customHeight="1" spans="1:7">
      <c r="A366" s="113">
        <f>领料单!CC25</f>
        <v>0</v>
      </c>
      <c r="B366" s="113">
        <f>领料单!CD25</f>
        <v>0</v>
      </c>
      <c r="C366" s="113">
        <f>领料单!CE25</f>
        <v>0</v>
      </c>
      <c r="D366" s="113">
        <f>领料单!CF25</f>
        <v>0</v>
      </c>
      <c r="E366" s="113">
        <f>领料单!CG25</f>
        <v>0</v>
      </c>
      <c r="F366" s="113">
        <f>领料单!CH25</f>
        <v>0</v>
      </c>
      <c r="G366" s="113"/>
    </row>
    <row r="367" customHeight="1" spans="1:7">
      <c r="A367" s="113">
        <f>领料单!CC25</f>
        <v>0</v>
      </c>
      <c r="B367" s="113">
        <f>领料单!CD25</f>
        <v>0</v>
      </c>
      <c r="C367" s="113">
        <f>领料单!CE25</f>
        <v>0</v>
      </c>
      <c r="D367" s="113">
        <f>领料单!CF25</f>
        <v>0</v>
      </c>
      <c r="E367" s="113">
        <f>领料单!CG25</f>
        <v>0</v>
      </c>
      <c r="F367" s="113">
        <f>领料单!CH25</f>
        <v>0</v>
      </c>
      <c r="G367" s="113"/>
    </row>
    <row r="368" customHeight="1" spans="1:7">
      <c r="A368" s="113">
        <f>领料单!CC26</f>
        <v>0</v>
      </c>
      <c r="B368" s="113">
        <f>领料单!CD26</f>
        <v>0</v>
      </c>
      <c r="C368" s="113">
        <f>领料单!CE26</f>
        <v>0</v>
      </c>
      <c r="D368" s="113">
        <f>领料单!CF26</f>
        <v>0</v>
      </c>
      <c r="E368" s="113">
        <f>领料单!CG26</f>
        <v>0</v>
      </c>
      <c r="F368" s="113">
        <f>领料单!CH26</f>
        <v>0</v>
      </c>
      <c r="G368" s="113"/>
    </row>
    <row r="369" customHeight="1" spans="1:7">
      <c r="A369" s="113">
        <f>领料单!CC27</f>
        <v>0</v>
      </c>
      <c r="B369" s="113">
        <f>领料单!CD27</f>
        <v>0</v>
      </c>
      <c r="C369" s="113">
        <f>领料单!CE27</f>
        <v>0</v>
      </c>
      <c r="D369" s="113">
        <f>领料单!CF27</f>
        <v>0</v>
      </c>
      <c r="E369" s="113">
        <f>领料单!CG27</f>
        <v>0</v>
      </c>
      <c r="F369" s="113">
        <f>领料单!CH27</f>
        <v>0</v>
      </c>
      <c r="G369" s="113"/>
    </row>
    <row r="370" customHeight="1" spans="1:7">
      <c r="A370" s="113">
        <f>领料单!CC28</f>
        <v>0</v>
      </c>
      <c r="B370" s="113">
        <f>领料单!CD28</f>
        <v>0</v>
      </c>
      <c r="C370" s="113">
        <f>领料单!CE28</f>
        <v>0</v>
      </c>
      <c r="D370" s="113">
        <f>领料单!CF28</f>
        <v>0</v>
      </c>
      <c r="E370" s="113">
        <f>领料单!CG28</f>
        <v>0</v>
      </c>
      <c r="F370" s="113">
        <f>领料单!CH28</f>
        <v>0</v>
      </c>
      <c r="G370" s="113"/>
    </row>
    <row r="371" customHeight="1" spans="1:7">
      <c r="A371" s="113">
        <f>领料单!CC29</f>
        <v>0</v>
      </c>
      <c r="B371" s="113">
        <f>领料单!CD29</f>
        <v>0</v>
      </c>
      <c r="C371" s="113">
        <f>领料单!CE29</f>
        <v>0</v>
      </c>
      <c r="D371" s="113">
        <f>领料单!CF29</f>
        <v>0</v>
      </c>
      <c r="E371" s="113">
        <f>领料单!CG29</f>
        <v>0</v>
      </c>
      <c r="F371" s="113">
        <f>领料单!CH29</f>
        <v>0</v>
      </c>
      <c r="G371" s="113"/>
    </row>
    <row r="372" customHeight="1" spans="1:7">
      <c r="A372" s="113">
        <f>领料单!CC30</f>
        <v>0</v>
      </c>
      <c r="B372" s="113">
        <f>领料单!CD30</f>
        <v>0</v>
      </c>
      <c r="C372" s="113">
        <f>领料单!CE30</f>
        <v>0</v>
      </c>
      <c r="D372" s="113">
        <f>领料单!CF30</f>
        <v>0</v>
      </c>
      <c r="E372" s="113">
        <f>领料单!CG30</f>
        <v>0</v>
      </c>
      <c r="F372" s="113">
        <f>领料单!CH30</f>
        <v>0</v>
      </c>
      <c r="G372" s="113"/>
    </row>
    <row r="373" customHeight="1" spans="1:7">
      <c r="A373" s="113">
        <f>领料单!CC31</f>
        <v>0</v>
      </c>
      <c r="B373" s="113">
        <f>领料单!CD31</f>
        <v>0</v>
      </c>
      <c r="C373" s="113">
        <f>领料单!CE31</f>
        <v>0</v>
      </c>
      <c r="D373" s="113">
        <f>领料单!CF31</f>
        <v>0</v>
      </c>
      <c r="E373" s="113">
        <f>领料单!CG31</f>
        <v>0</v>
      </c>
      <c r="F373" s="113">
        <f>领料单!CH31</f>
        <v>0</v>
      </c>
      <c r="G373" s="113"/>
    </row>
    <row r="374" customHeight="1" spans="1:7">
      <c r="A374" s="113">
        <f>领料单!CC32</f>
        <v>0</v>
      </c>
      <c r="B374" s="113">
        <f>领料单!CD32</f>
        <v>0</v>
      </c>
      <c r="C374" s="113">
        <f>领料单!CE32</f>
        <v>0</v>
      </c>
      <c r="D374" s="113">
        <f>领料单!CF32</f>
        <v>0</v>
      </c>
      <c r="E374" s="113">
        <f>领料单!CG32</f>
        <v>0</v>
      </c>
      <c r="F374" s="113">
        <f>领料单!CH32</f>
        <v>0</v>
      </c>
      <c r="G374" s="113"/>
    </row>
    <row r="375" customHeight="1" spans="1:7">
      <c r="A375" s="113">
        <f>领料单!CC33</f>
        <v>0</v>
      </c>
      <c r="B375" s="113">
        <f>领料单!CD33</f>
        <v>0</v>
      </c>
      <c r="C375" s="113">
        <f>领料单!CE33</f>
        <v>0</v>
      </c>
      <c r="D375" s="113">
        <f>领料单!CF33</f>
        <v>0</v>
      </c>
      <c r="E375" s="113">
        <f>领料单!CG33</f>
        <v>0</v>
      </c>
      <c r="F375" s="113">
        <f>领料单!CH33</f>
        <v>0</v>
      </c>
      <c r="G375" s="113"/>
    </row>
    <row r="376" customHeight="1" spans="1:7">
      <c r="A376" s="113">
        <f>领料单!CC34</f>
        <v>0</v>
      </c>
      <c r="B376" s="113">
        <f>领料单!CD34</f>
        <v>0</v>
      </c>
      <c r="C376" s="113">
        <f>领料单!CE34</f>
        <v>0</v>
      </c>
      <c r="D376" s="113">
        <f>领料单!CF34</f>
        <v>0</v>
      </c>
      <c r="E376" s="113">
        <f>领料单!CG34</f>
        <v>0</v>
      </c>
      <c r="F376" s="113">
        <f>领料单!CH34</f>
        <v>0</v>
      </c>
      <c r="G376" s="113"/>
    </row>
    <row r="377" customHeight="1" spans="1:7">
      <c r="A377" s="115" t="s">
        <v>340</v>
      </c>
      <c r="B377" s="116"/>
      <c r="C377" s="116"/>
      <c r="D377" s="116"/>
      <c r="E377" s="117"/>
      <c r="F377" s="118">
        <f>SUM(F365:F376)</f>
        <v>0</v>
      </c>
      <c r="G377" s="114"/>
    </row>
    <row r="378" customHeight="1" spans="1:7">
      <c r="A378" s="119" t="s">
        <v>341</v>
      </c>
      <c r="B378" s="119"/>
      <c r="C378" s="120"/>
      <c r="D378" s="119"/>
      <c r="E378" s="121" t="s">
        <v>342</v>
      </c>
      <c r="F378" s="119"/>
      <c r="G378" s="119"/>
    </row>
    <row r="381" customHeight="1" spans="1:7">
      <c r="A381" s="105"/>
      <c r="B381" s="106"/>
      <c r="C381" s="107" t="s">
        <v>330</v>
      </c>
      <c r="D381" s="107"/>
      <c r="E381" s="107"/>
      <c r="F381" s="105"/>
      <c r="G381" s="105"/>
    </row>
    <row r="382" customHeight="1" spans="1:7">
      <c r="A382" s="108" t="s">
        <v>331</v>
      </c>
      <c r="B382" s="109"/>
      <c r="C382" s="110">
        <v>45747</v>
      </c>
      <c r="D382" s="110"/>
      <c r="E382" s="110"/>
      <c r="F382" s="111" t="s">
        <v>332</v>
      </c>
      <c r="G382" s="112" t="str">
        <f>立项!$A$3</f>
        <v>RD01</v>
      </c>
    </row>
    <row r="383" customHeight="1" spans="1:7">
      <c r="A383" s="113" t="s">
        <v>333</v>
      </c>
      <c r="B383" s="113" t="s">
        <v>334</v>
      </c>
      <c r="C383" s="113" t="s">
        <v>335</v>
      </c>
      <c r="D383" s="113" t="s">
        <v>336</v>
      </c>
      <c r="E383" s="113" t="s">
        <v>337</v>
      </c>
      <c r="F383" s="113" t="s">
        <v>338</v>
      </c>
      <c r="G383" s="113" t="s">
        <v>339</v>
      </c>
    </row>
    <row r="384" customHeight="1" spans="1:7">
      <c r="A384" s="113">
        <f>领料单!I42</f>
        <v>0</v>
      </c>
      <c r="B384" s="113">
        <f>领料单!J42</f>
        <v>0</v>
      </c>
      <c r="C384" s="113">
        <f>领料单!K42</f>
        <v>0</v>
      </c>
      <c r="D384" s="113">
        <f>领料单!L42</f>
        <v>0</v>
      </c>
      <c r="E384" s="113">
        <f>领料单!M42</f>
        <v>0</v>
      </c>
      <c r="F384" s="113">
        <f>领料单!N42</f>
        <v>0</v>
      </c>
      <c r="G384" s="113"/>
    </row>
    <row r="385" customHeight="1" spans="1:7">
      <c r="A385" s="113">
        <f>领料单!I43</f>
        <v>0</v>
      </c>
      <c r="B385" s="113">
        <f>领料单!J43</f>
        <v>0</v>
      </c>
      <c r="C385" s="113">
        <f>领料单!K43</f>
        <v>0</v>
      </c>
      <c r="D385" s="113">
        <f>领料单!L43</f>
        <v>0</v>
      </c>
      <c r="E385" s="113">
        <f>领料单!M43</f>
        <v>0</v>
      </c>
      <c r="F385" s="113">
        <f>领料单!N43</f>
        <v>0</v>
      </c>
      <c r="G385" s="113"/>
    </row>
    <row r="386" customHeight="1" spans="1:7">
      <c r="A386" s="113">
        <f>领料单!I44</f>
        <v>0</v>
      </c>
      <c r="B386" s="113">
        <f>领料单!J44</f>
        <v>0</v>
      </c>
      <c r="C386" s="113">
        <f>领料单!K44</f>
        <v>0</v>
      </c>
      <c r="D386" s="113">
        <f>领料单!L44</f>
        <v>0</v>
      </c>
      <c r="E386" s="113">
        <f>领料单!M44</f>
        <v>0</v>
      </c>
      <c r="F386" s="113">
        <f>领料单!N44</f>
        <v>0</v>
      </c>
      <c r="G386" s="113"/>
    </row>
    <row r="387" customHeight="1" spans="1:7">
      <c r="A387" s="113">
        <f>领料单!I45</f>
        <v>0</v>
      </c>
      <c r="B387" s="113">
        <f>领料单!J45</f>
        <v>0</v>
      </c>
      <c r="C387" s="113">
        <f>领料单!K45</f>
        <v>0</v>
      </c>
      <c r="D387" s="113">
        <f>领料单!L45</f>
        <v>0</v>
      </c>
      <c r="E387" s="113">
        <f>领料单!M45</f>
        <v>0</v>
      </c>
      <c r="F387" s="113">
        <f>领料单!N45</f>
        <v>0</v>
      </c>
      <c r="G387" s="113"/>
    </row>
    <row r="388" customHeight="1" spans="1:7">
      <c r="A388" s="113">
        <f>领料单!I46</f>
        <v>0</v>
      </c>
      <c r="B388" s="113">
        <f>领料单!J46</f>
        <v>0</v>
      </c>
      <c r="C388" s="113">
        <f>领料单!K46</f>
        <v>0</v>
      </c>
      <c r="D388" s="113">
        <f>领料单!L46</f>
        <v>0</v>
      </c>
      <c r="E388" s="113">
        <f>领料单!M46</f>
        <v>0</v>
      </c>
      <c r="F388" s="113">
        <f>领料单!N46</f>
        <v>0</v>
      </c>
      <c r="G388" s="113"/>
    </row>
    <row r="389" customHeight="1" spans="1:7">
      <c r="A389" s="113">
        <f>领料单!I47</f>
        <v>0</v>
      </c>
      <c r="B389" s="113">
        <f>领料单!J47</f>
        <v>0</v>
      </c>
      <c r="C389" s="113">
        <f>领料单!K47</f>
        <v>0</v>
      </c>
      <c r="D389" s="113">
        <f>领料单!L47</f>
        <v>0</v>
      </c>
      <c r="E389" s="113">
        <f>领料单!M47</f>
        <v>0</v>
      </c>
      <c r="F389" s="113">
        <f>领料单!N47</f>
        <v>0</v>
      </c>
      <c r="G389" s="113"/>
    </row>
    <row r="390" customHeight="1" spans="1:7">
      <c r="A390" s="113">
        <f>领料单!I48</f>
        <v>0</v>
      </c>
      <c r="B390" s="113">
        <f>领料单!J48</f>
        <v>0</v>
      </c>
      <c r="C390" s="113">
        <f>领料单!K48</f>
        <v>0</v>
      </c>
      <c r="D390" s="113">
        <f>领料单!L48</f>
        <v>0</v>
      </c>
      <c r="E390" s="113">
        <f>领料单!M48</f>
        <v>0</v>
      </c>
      <c r="F390" s="113">
        <f>领料单!N48</f>
        <v>0</v>
      </c>
      <c r="G390" s="113"/>
    </row>
    <row r="391" customHeight="1" spans="1:7">
      <c r="A391" s="113">
        <f>领料单!I49</f>
        <v>0</v>
      </c>
      <c r="B391" s="113">
        <f>领料单!J49</f>
        <v>0</v>
      </c>
      <c r="C391" s="113">
        <f>领料单!K49</f>
        <v>0</v>
      </c>
      <c r="D391" s="113">
        <f>领料单!L49</f>
        <v>0</v>
      </c>
      <c r="E391" s="113">
        <f>领料单!M49</f>
        <v>0</v>
      </c>
      <c r="F391" s="113">
        <f>领料单!N49</f>
        <v>0</v>
      </c>
      <c r="G391" s="113"/>
    </row>
    <row r="392" customHeight="1" spans="1:7">
      <c r="A392" s="113">
        <f>领料单!I50</f>
        <v>0</v>
      </c>
      <c r="B392" s="113">
        <f>领料单!J50</f>
        <v>0</v>
      </c>
      <c r="C392" s="113">
        <f>领料单!K50</f>
        <v>0</v>
      </c>
      <c r="D392" s="113">
        <f>领料单!L50</f>
        <v>0</v>
      </c>
      <c r="E392" s="113">
        <f>领料单!M50</f>
        <v>0</v>
      </c>
      <c r="F392" s="113">
        <f>领料单!N50</f>
        <v>0</v>
      </c>
      <c r="G392" s="113"/>
    </row>
    <row r="393" customHeight="1" spans="1:7">
      <c r="A393" s="113">
        <f>领料单!I51</f>
        <v>0</v>
      </c>
      <c r="B393" s="113">
        <f>领料单!J51</f>
        <v>0</v>
      </c>
      <c r="C393" s="113">
        <f>领料单!K51</f>
        <v>0</v>
      </c>
      <c r="D393" s="113">
        <f>领料单!L51</f>
        <v>0</v>
      </c>
      <c r="E393" s="113">
        <f>领料单!M51</f>
        <v>0</v>
      </c>
      <c r="F393" s="113">
        <f>领料单!N51</f>
        <v>0</v>
      </c>
      <c r="G393" s="113"/>
    </row>
    <row r="394" customHeight="1" spans="1:7">
      <c r="A394" s="113">
        <f>领料单!I52</f>
        <v>0</v>
      </c>
      <c r="B394" s="113">
        <f>领料单!J52</f>
        <v>0</v>
      </c>
      <c r="C394" s="113">
        <f>领料单!K52</f>
        <v>0</v>
      </c>
      <c r="D394" s="113">
        <f>领料单!L52</f>
        <v>0</v>
      </c>
      <c r="E394" s="113">
        <f>领料单!M52</f>
        <v>0</v>
      </c>
      <c r="F394" s="113">
        <f>领料单!N52</f>
        <v>0</v>
      </c>
      <c r="G394" s="113"/>
    </row>
    <row r="395" customHeight="1" spans="1:7">
      <c r="A395" s="113">
        <f>领料单!I53</f>
        <v>0</v>
      </c>
      <c r="B395" s="113">
        <f>领料单!J53</f>
        <v>0</v>
      </c>
      <c r="C395" s="113">
        <f>领料单!K53</f>
        <v>0</v>
      </c>
      <c r="D395" s="113">
        <f>领料单!L53</f>
        <v>0</v>
      </c>
      <c r="E395" s="113">
        <f>领料单!M53</f>
        <v>0</v>
      </c>
      <c r="F395" s="113">
        <f>领料单!N53</f>
        <v>0</v>
      </c>
      <c r="G395" s="113"/>
    </row>
    <row r="396" customHeight="1" spans="1:7">
      <c r="A396" s="115" t="s">
        <v>340</v>
      </c>
      <c r="B396" s="116"/>
      <c r="C396" s="116"/>
      <c r="D396" s="116"/>
      <c r="E396" s="117"/>
      <c r="F396" s="118">
        <f>SUM(F384:F395)</f>
        <v>0</v>
      </c>
      <c r="G396" s="114"/>
    </row>
    <row r="397" customHeight="1" spans="1:7">
      <c r="A397" s="119" t="s">
        <v>341</v>
      </c>
      <c r="B397" s="119"/>
      <c r="C397" s="120"/>
      <c r="D397" s="119"/>
      <c r="E397" s="121" t="s">
        <v>342</v>
      </c>
      <c r="F397" s="119"/>
      <c r="G397" s="119"/>
    </row>
    <row r="400" customHeight="1" spans="1:7">
      <c r="A400" s="105"/>
      <c r="B400" s="106"/>
      <c r="C400" s="107" t="s">
        <v>330</v>
      </c>
      <c r="D400" s="107"/>
      <c r="E400" s="107"/>
      <c r="F400" s="105"/>
      <c r="G400" s="105"/>
    </row>
    <row r="401" customHeight="1" spans="1:7">
      <c r="A401" s="108" t="s">
        <v>331</v>
      </c>
      <c r="B401" s="109"/>
      <c r="C401" s="110">
        <v>45747</v>
      </c>
      <c r="D401" s="110"/>
      <c r="E401" s="110"/>
      <c r="F401" s="111" t="s">
        <v>332</v>
      </c>
      <c r="G401" s="112" t="str">
        <f>立项!$A$4</f>
        <v>RD02</v>
      </c>
    </row>
    <row r="402" customHeight="1" spans="1:7">
      <c r="A402" s="113" t="s">
        <v>333</v>
      </c>
      <c r="B402" s="113" t="s">
        <v>334</v>
      </c>
      <c r="C402" s="113" t="s">
        <v>335</v>
      </c>
      <c r="D402" s="113" t="s">
        <v>336</v>
      </c>
      <c r="E402" s="113" t="s">
        <v>337</v>
      </c>
      <c r="F402" s="113" t="s">
        <v>338</v>
      </c>
      <c r="G402" s="113" t="s">
        <v>339</v>
      </c>
    </row>
    <row r="403" customHeight="1" spans="1:7">
      <c r="A403" s="113">
        <f>领料单!Q42</f>
        <v>0</v>
      </c>
      <c r="B403" s="113">
        <f>领料单!R42</f>
        <v>0</v>
      </c>
      <c r="C403" s="113">
        <f>领料单!S42</f>
        <v>0</v>
      </c>
      <c r="D403" s="113">
        <f>领料单!T42</f>
        <v>0</v>
      </c>
      <c r="E403" s="113">
        <f>领料单!U42</f>
        <v>0</v>
      </c>
      <c r="F403" s="113">
        <f>领料单!V42</f>
        <v>0</v>
      </c>
      <c r="G403" s="113"/>
    </row>
    <row r="404" customHeight="1" spans="1:7">
      <c r="A404" s="113">
        <f>领料单!Q43</f>
        <v>0</v>
      </c>
      <c r="B404" s="113">
        <f>领料单!R43</f>
        <v>0</v>
      </c>
      <c r="C404" s="113">
        <f>领料单!S43</f>
        <v>0</v>
      </c>
      <c r="D404" s="113">
        <f>领料单!T43</f>
        <v>0</v>
      </c>
      <c r="E404" s="113">
        <f>领料单!U43</f>
        <v>0</v>
      </c>
      <c r="F404" s="113">
        <f>领料单!V43</f>
        <v>0</v>
      </c>
      <c r="G404" s="113"/>
    </row>
    <row r="405" customHeight="1" spans="1:7">
      <c r="A405" s="113">
        <f>领料单!Q44</f>
        <v>0</v>
      </c>
      <c r="B405" s="113">
        <f>领料单!R44</f>
        <v>0</v>
      </c>
      <c r="C405" s="113">
        <f>领料单!S44</f>
        <v>0</v>
      </c>
      <c r="D405" s="113">
        <f>领料单!T44</f>
        <v>0</v>
      </c>
      <c r="E405" s="113">
        <f>领料单!U44</f>
        <v>0</v>
      </c>
      <c r="F405" s="113">
        <f>领料单!V44</f>
        <v>0</v>
      </c>
      <c r="G405" s="113"/>
    </row>
    <row r="406" customHeight="1" spans="1:7">
      <c r="A406" s="113">
        <f>领料单!Q45</f>
        <v>0</v>
      </c>
      <c r="B406" s="113">
        <f>领料单!R45</f>
        <v>0</v>
      </c>
      <c r="C406" s="113">
        <f>领料单!S45</f>
        <v>0</v>
      </c>
      <c r="D406" s="113">
        <f>领料单!T45</f>
        <v>0</v>
      </c>
      <c r="E406" s="113">
        <f>领料单!U45</f>
        <v>0</v>
      </c>
      <c r="F406" s="113">
        <f>领料单!V45</f>
        <v>0</v>
      </c>
      <c r="G406" s="113"/>
    </row>
    <row r="407" customHeight="1" spans="1:7">
      <c r="A407" s="113">
        <f>领料单!Q46</f>
        <v>0</v>
      </c>
      <c r="B407" s="113">
        <f>领料单!R46</f>
        <v>0</v>
      </c>
      <c r="C407" s="113">
        <f>领料单!S46</f>
        <v>0</v>
      </c>
      <c r="D407" s="113">
        <f>领料单!T46</f>
        <v>0</v>
      </c>
      <c r="E407" s="113">
        <f>领料单!U46</f>
        <v>0</v>
      </c>
      <c r="F407" s="113">
        <f>领料单!V46</f>
        <v>0</v>
      </c>
      <c r="G407" s="113"/>
    </row>
    <row r="408" customHeight="1" spans="1:7">
      <c r="A408" s="113">
        <f>领料单!Q47</f>
        <v>0</v>
      </c>
      <c r="B408" s="113">
        <f>领料单!R47</f>
        <v>0</v>
      </c>
      <c r="C408" s="113">
        <f>领料单!S47</f>
        <v>0</v>
      </c>
      <c r="D408" s="113">
        <f>领料单!T47</f>
        <v>0</v>
      </c>
      <c r="E408" s="113">
        <f>领料单!U47</f>
        <v>0</v>
      </c>
      <c r="F408" s="113">
        <f>领料单!V47</f>
        <v>0</v>
      </c>
      <c r="G408" s="113"/>
    </row>
    <row r="409" customHeight="1" spans="1:7">
      <c r="A409" s="113">
        <f>领料单!Q48</f>
        <v>0</v>
      </c>
      <c r="B409" s="113">
        <f>领料单!R48</f>
        <v>0</v>
      </c>
      <c r="C409" s="113">
        <f>领料单!S48</f>
        <v>0</v>
      </c>
      <c r="D409" s="113">
        <f>领料单!T48</f>
        <v>0</v>
      </c>
      <c r="E409" s="113">
        <f>领料单!U48</f>
        <v>0</v>
      </c>
      <c r="F409" s="113">
        <f>领料单!V48</f>
        <v>0</v>
      </c>
      <c r="G409" s="113"/>
    </row>
    <row r="410" customHeight="1" spans="1:7">
      <c r="A410" s="113">
        <f>领料单!Q49</f>
        <v>0</v>
      </c>
      <c r="B410" s="113">
        <f>领料单!R49</f>
        <v>0</v>
      </c>
      <c r="C410" s="113">
        <f>领料单!S49</f>
        <v>0</v>
      </c>
      <c r="D410" s="113">
        <f>领料单!T49</f>
        <v>0</v>
      </c>
      <c r="E410" s="113">
        <f>领料单!U49</f>
        <v>0</v>
      </c>
      <c r="F410" s="113">
        <f>领料单!V49</f>
        <v>0</v>
      </c>
      <c r="G410" s="113"/>
    </row>
    <row r="411" customHeight="1" spans="1:7">
      <c r="A411" s="113">
        <f>领料单!Q50</f>
        <v>0</v>
      </c>
      <c r="B411" s="113">
        <f>领料单!R50</f>
        <v>0</v>
      </c>
      <c r="C411" s="113">
        <f>领料单!S50</f>
        <v>0</v>
      </c>
      <c r="D411" s="113">
        <f>领料单!T50</f>
        <v>0</v>
      </c>
      <c r="E411" s="113">
        <f>领料单!U50</f>
        <v>0</v>
      </c>
      <c r="F411" s="113">
        <f>领料单!V50</f>
        <v>0</v>
      </c>
      <c r="G411" s="113"/>
    </row>
    <row r="412" customHeight="1" spans="1:7">
      <c r="A412" s="113">
        <f>领料单!Q51</f>
        <v>0</v>
      </c>
      <c r="B412" s="113">
        <f>领料单!R51</f>
        <v>0</v>
      </c>
      <c r="C412" s="113">
        <f>领料单!S51</f>
        <v>0</v>
      </c>
      <c r="D412" s="113">
        <f>领料单!T51</f>
        <v>0</v>
      </c>
      <c r="E412" s="113">
        <f>领料单!U51</f>
        <v>0</v>
      </c>
      <c r="F412" s="113">
        <f>领料单!V51</f>
        <v>0</v>
      </c>
      <c r="G412" s="113"/>
    </row>
    <row r="413" customHeight="1" spans="1:7">
      <c r="A413" s="113">
        <f>领料单!Q52</f>
        <v>0</v>
      </c>
      <c r="B413" s="113">
        <f>领料单!R52</f>
        <v>0</v>
      </c>
      <c r="C413" s="113">
        <f>领料单!S52</f>
        <v>0</v>
      </c>
      <c r="D413" s="113">
        <f>领料单!T52</f>
        <v>0</v>
      </c>
      <c r="E413" s="113">
        <f>领料单!U52</f>
        <v>0</v>
      </c>
      <c r="F413" s="113">
        <f>领料单!V52</f>
        <v>0</v>
      </c>
      <c r="G413" s="113"/>
    </row>
    <row r="414" customHeight="1" spans="1:7">
      <c r="A414" s="113">
        <f>领料单!Q53</f>
        <v>0</v>
      </c>
      <c r="B414" s="113">
        <f>领料单!R53</f>
        <v>0</v>
      </c>
      <c r="C414" s="113">
        <f>领料单!S53</f>
        <v>0</v>
      </c>
      <c r="D414" s="113">
        <f>领料单!T53</f>
        <v>0</v>
      </c>
      <c r="E414" s="113">
        <f>领料单!U53</f>
        <v>0</v>
      </c>
      <c r="F414" s="113">
        <f>领料单!V53</f>
        <v>0</v>
      </c>
      <c r="G414" s="113"/>
    </row>
    <row r="415" customHeight="1" spans="1:7">
      <c r="A415" s="115" t="s">
        <v>340</v>
      </c>
      <c r="B415" s="116"/>
      <c r="C415" s="116"/>
      <c r="D415" s="116"/>
      <c r="E415" s="117"/>
      <c r="F415" s="118">
        <f>SUM(F403:F414)</f>
        <v>0</v>
      </c>
      <c r="G415" s="114"/>
    </row>
    <row r="416" customHeight="1" spans="1:7">
      <c r="A416" s="119" t="s">
        <v>341</v>
      </c>
      <c r="B416" s="119"/>
      <c r="C416" s="120"/>
      <c r="D416" s="119"/>
      <c r="E416" s="121" t="s">
        <v>342</v>
      </c>
      <c r="F416" s="119"/>
      <c r="G416" s="119"/>
    </row>
    <row r="419" customHeight="1" spans="1:7">
      <c r="A419" s="105"/>
      <c r="B419" s="106"/>
      <c r="C419" s="107" t="s">
        <v>330</v>
      </c>
      <c r="D419" s="107"/>
      <c r="E419" s="107"/>
      <c r="F419" s="105"/>
      <c r="G419" s="105"/>
    </row>
    <row r="420" customHeight="1" spans="1:7">
      <c r="A420" s="108" t="s">
        <v>331</v>
      </c>
      <c r="B420" s="109"/>
      <c r="C420" s="110">
        <v>45747</v>
      </c>
      <c r="D420" s="110"/>
      <c r="E420" s="110"/>
      <c r="F420" s="111" t="s">
        <v>332</v>
      </c>
      <c r="G420" s="112" t="str">
        <f>立项!$A$5</f>
        <v>RD03</v>
      </c>
    </row>
    <row r="421" customHeight="1" spans="1:7">
      <c r="A421" s="113" t="s">
        <v>333</v>
      </c>
      <c r="B421" s="113" t="s">
        <v>334</v>
      </c>
      <c r="C421" s="113" t="s">
        <v>335</v>
      </c>
      <c r="D421" s="113" t="s">
        <v>336</v>
      </c>
      <c r="E421" s="113" t="s">
        <v>337</v>
      </c>
      <c r="F421" s="113" t="s">
        <v>338</v>
      </c>
      <c r="G421" s="113" t="s">
        <v>339</v>
      </c>
    </row>
    <row r="422" customHeight="1" spans="1:7">
      <c r="A422" s="113">
        <f>领料单!Y42</f>
        <v>0</v>
      </c>
      <c r="B422" s="113">
        <f>领料单!Z42</f>
        <v>0</v>
      </c>
      <c r="C422" s="113">
        <f>领料单!AA42</f>
        <v>0</v>
      </c>
      <c r="D422" s="113">
        <f>领料单!AB42</f>
        <v>0</v>
      </c>
      <c r="E422" s="113">
        <f>领料单!AC42</f>
        <v>0</v>
      </c>
      <c r="F422" s="113">
        <f>领料单!AD42</f>
        <v>0</v>
      </c>
      <c r="G422" s="113"/>
    </row>
    <row r="423" customHeight="1" spans="1:7">
      <c r="A423" s="113">
        <f>领料单!Y43</f>
        <v>0</v>
      </c>
      <c r="B423" s="113">
        <f>领料单!Z43</f>
        <v>0</v>
      </c>
      <c r="C423" s="113">
        <f>领料单!AA43</f>
        <v>0</v>
      </c>
      <c r="D423" s="113">
        <f>领料单!AB43</f>
        <v>0</v>
      </c>
      <c r="E423" s="113">
        <f>领料单!AC43</f>
        <v>0</v>
      </c>
      <c r="F423" s="113">
        <f>领料单!AD43</f>
        <v>0</v>
      </c>
      <c r="G423" s="113"/>
    </row>
    <row r="424" customHeight="1" spans="1:7">
      <c r="A424" s="113">
        <f>领料单!Y44</f>
        <v>0</v>
      </c>
      <c r="B424" s="113">
        <f>领料单!Z44</f>
        <v>0</v>
      </c>
      <c r="C424" s="113">
        <f>领料单!AA44</f>
        <v>0</v>
      </c>
      <c r="D424" s="113">
        <f>领料单!AB44</f>
        <v>0</v>
      </c>
      <c r="E424" s="113">
        <f>领料单!AC44</f>
        <v>0</v>
      </c>
      <c r="F424" s="113">
        <f>领料单!AD44</f>
        <v>0</v>
      </c>
      <c r="G424" s="113"/>
    </row>
    <row r="425" customHeight="1" spans="1:7">
      <c r="A425" s="113">
        <f>领料单!Y45</f>
        <v>0</v>
      </c>
      <c r="B425" s="113">
        <f>领料单!Z45</f>
        <v>0</v>
      </c>
      <c r="C425" s="113">
        <f>领料单!AA45</f>
        <v>0</v>
      </c>
      <c r="D425" s="113">
        <f>领料单!AB45</f>
        <v>0</v>
      </c>
      <c r="E425" s="113">
        <f>领料单!AC45</f>
        <v>0</v>
      </c>
      <c r="F425" s="113">
        <f>领料单!AD45</f>
        <v>0</v>
      </c>
      <c r="G425" s="113"/>
    </row>
    <row r="426" customHeight="1" spans="1:7">
      <c r="A426" s="113">
        <f>领料单!Y46</f>
        <v>0</v>
      </c>
      <c r="B426" s="113">
        <f>领料单!Z46</f>
        <v>0</v>
      </c>
      <c r="C426" s="113">
        <f>领料单!AA46</f>
        <v>0</v>
      </c>
      <c r="D426" s="113">
        <f>领料单!AB46</f>
        <v>0</v>
      </c>
      <c r="E426" s="113">
        <f>领料单!AC46</f>
        <v>0</v>
      </c>
      <c r="F426" s="113">
        <f>领料单!AD46</f>
        <v>0</v>
      </c>
      <c r="G426" s="113"/>
    </row>
    <row r="427" customHeight="1" spans="1:7">
      <c r="A427" s="113">
        <f>领料单!Y47</f>
        <v>0</v>
      </c>
      <c r="B427" s="113">
        <f>领料单!Z47</f>
        <v>0</v>
      </c>
      <c r="C427" s="113">
        <f>领料单!AA47</f>
        <v>0</v>
      </c>
      <c r="D427" s="113">
        <f>领料单!AB47</f>
        <v>0</v>
      </c>
      <c r="E427" s="113">
        <f>领料单!AC47</f>
        <v>0</v>
      </c>
      <c r="F427" s="113">
        <f>领料单!AD47</f>
        <v>0</v>
      </c>
      <c r="G427" s="113"/>
    </row>
    <row r="428" customHeight="1" spans="1:7">
      <c r="A428" s="113">
        <f>领料单!Y48</f>
        <v>0</v>
      </c>
      <c r="B428" s="113">
        <f>领料单!Z48</f>
        <v>0</v>
      </c>
      <c r="C428" s="113">
        <f>领料单!AA48</f>
        <v>0</v>
      </c>
      <c r="D428" s="113">
        <f>领料单!AB48</f>
        <v>0</v>
      </c>
      <c r="E428" s="113">
        <f>领料单!AC48</f>
        <v>0</v>
      </c>
      <c r="F428" s="113">
        <f>领料单!AD48</f>
        <v>0</v>
      </c>
      <c r="G428" s="113"/>
    </row>
    <row r="429" customHeight="1" spans="1:7">
      <c r="A429" s="113">
        <f>领料单!Y49</f>
        <v>0</v>
      </c>
      <c r="B429" s="113">
        <f>领料单!Z49</f>
        <v>0</v>
      </c>
      <c r="C429" s="113">
        <f>领料单!AA49</f>
        <v>0</v>
      </c>
      <c r="D429" s="113">
        <f>领料单!AB49</f>
        <v>0</v>
      </c>
      <c r="E429" s="113">
        <f>领料单!AC49</f>
        <v>0</v>
      </c>
      <c r="F429" s="113">
        <f>领料单!AD49</f>
        <v>0</v>
      </c>
      <c r="G429" s="113"/>
    </row>
    <row r="430" customHeight="1" spans="1:7">
      <c r="A430" s="113">
        <f>领料单!Y50</f>
        <v>0</v>
      </c>
      <c r="B430" s="113">
        <f>领料单!Z50</f>
        <v>0</v>
      </c>
      <c r="C430" s="113">
        <f>领料单!AA50</f>
        <v>0</v>
      </c>
      <c r="D430" s="113">
        <f>领料单!AB50</f>
        <v>0</v>
      </c>
      <c r="E430" s="113">
        <f>领料单!AC50</f>
        <v>0</v>
      </c>
      <c r="F430" s="113">
        <f>领料单!AD50</f>
        <v>0</v>
      </c>
      <c r="G430" s="113"/>
    </row>
    <row r="431" customHeight="1" spans="1:7">
      <c r="A431" s="113">
        <f>领料单!Y51</f>
        <v>0</v>
      </c>
      <c r="B431" s="113">
        <f>领料单!Z51</f>
        <v>0</v>
      </c>
      <c r="C431" s="113">
        <f>领料单!AA51</f>
        <v>0</v>
      </c>
      <c r="D431" s="113">
        <f>领料单!AB51</f>
        <v>0</v>
      </c>
      <c r="E431" s="113">
        <f>领料单!AC51</f>
        <v>0</v>
      </c>
      <c r="F431" s="113">
        <f>领料单!AD51</f>
        <v>0</v>
      </c>
      <c r="G431" s="113"/>
    </row>
    <row r="432" customHeight="1" spans="1:7">
      <c r="A432" s="113">
        <f>领料单!Y52</f>
        <v>0</v>
      </c>
      <c r="B432" s="113">
        <f>领料单!Z52</f>
        <v>0</v>
      </c>
      <c r="C432" s="113">
        <f>领料单!AA52</f>
        <v>0</v>
      </c>
      <c r="D432" s="113">
        <f>领料单!AB52</f>
        <v>0</v>
      </c>
      <c r="E432" s="113">
        <f>领料单!AC52</f>
        <v>0</v>
      </c>
      <c r="F432" s="113">
        <f>领料单!AD52</f>
        <v>0</v>
      </c>
      <c r="G432" s="113"/>
    </row>
    <row r="433" customHeight="1" spans="1:7">
      <c r="A433" s="113">
        <f>领料单!Y53</f>
        <v>0</v>
      </c>
      <c r="B433" s="113">
        <f>领料单!Z53</f>
        <v>0</v>
      </c>
      <c r="C433" s="113">
        <f>领料单!AA53</f>
        <v>0</v>
      </c>
      <c r="D433" s="113">
        <f>领料单!AB53</f>
        <v>0</v>
      </c>
      <c r="E433" s="113">
        <f>领料单!AC53</f>
        <v>0</v>
      </c>
      <c r="F433" s="113">
        <f>领料单!AD53</f>
        <v>0</v>
      </c>
      <c r="G433" s="113"/>
    </row>
    <row r="434" customHeight="1" spans="1:7">
      <c r="A434" s="115" t="s">
        <v>340</v>
      </c>
      <c r="B434" s="116"/>
      <c r="C434" s="116"/>
      <c r="D434" s="116"/>
      <c r="E434" s="117"/>
      <c r="F434" s="118">
        <f>SUM(F422:F433)</f>
        <v>0</v>
      </c>
      <c r="G434" s="114"/>
    </row>
    <row r="435" customHeight="1" spans="1:7">
      <c r="A435" s="119" t="s">
        <v>341</v>
      </c>
      <c r="B435" s="119"/>
      <c r="C435" s="120"/>
      <c r="D435" s="119"/>
      <c r="E435" s="121" t="s">
        <v>342</v>
      </c>
      <c r="F435" s="119"/>
      <c r="G435" s="119"/>
    </row>
    <row r="438" customHeight="1" spans="1:7">
      <c r="A438" s="105"/>
      <c r="B438" s="106"/>
      <c r="C438" s="107" t="s">
        <v>330</v>
      </c>
      <c r="D438" s="107"/>
      <c r="E438" s="107"/>
      <c r="F438" s="105"/>
      <c r="G438" s="105"/>
    </row>
    <row r="439" customHeight="1" spans="1:7">
      <c r="A439" s="108" t="s">
        <v>331</v>
      </c>
      <c r="B439" s="109"/>
      <c r="C439" s="110">
        <v>45747</v>
      </c>
      <c r="D439" s="110"/>
      <c r="E439" s="110"/>
      <c r="F439" s="111" t="s">
        <v>332</v>
      </c>
      <c r="G439" s="112" t="str">
        <f>立项!$A$6</f>
        <v>RD04</v>
      </c>
    </row>
    <row r="440" customHeight="1" spans="1:7">
      <c r="A440" s="113" t="s">
        <v>333</v>
      </c>
      <c r="B440" s="113" t="s">
        <v>334</v>
      </c>
      <c r="C440" s="113" t="s">
        <v>335</v>
      </c>
      <c r="D440" s="113" t="s">
        <v>336</v>
      </c>
      <c r="E440" s="113" t="s">
        <v>337</v>
      </c>
      <c r="F440" s="113" t="s">
        <v>338</v>
      </c>
      <c r="G440" s="113" t="s">
        <v>339</v>
      </c>
    </row>
    <row r="441" customHeight="1" spans="1:7">
      <c r="A441" s="113">
        <f>领料单!AG42</f>
        <v>0</v>
      </c>
      <c r="B441" s="113">
        <f>领料单!AH42</f>
        <v>0</v>
      </c>
      <c r="C441" s="113">
        <f>领料单!AI42</f>
        <v>0</v>
      </c>
      <c r="D441" s="113">
        <f>领料单!AJ42</f>
        <v>0</v>
      </c>
      <c r="E441" s="113">
        <f>领料单!AK42</f>
        <v>0</v>
      </c>
      <c r="F441" s="113">
        <f>领料单!AL42</f>
        <v>0</v>
      </c>
      <c r="G441" s="113"/>
    </row>
    <row r="442" customHeight="1" spans="1:7">
      <c r="A442" s="113">
        <f>领料单!AG43</f>
        <v>0</v>
      </c>
      <c r="B442" s="113">
        <f>领料单!AH43</f>
        <v>0</v>
      </c>
      <c r="C442" s="113">
        <f>领料单!AI43</f>
        <v>0</v>
      </c>
      <c r="D442" s="113">
        <f>领料单!AJ43</f>
        <v>0</v>
      </c>
      <c r="E442" s="113">
        <f>领料单!AK43</f>
        <v>0</v>
      </c>
      <c r="F442" s="113">
        <f>领料单!AL43</f>
        <v>0</v>
      </c>
      <c r="G442" s="113"/>
    </row>
    <row r="443" customHeight="1" spans="1:7">
      <c r="A443" s="113">
        <f>领料单!AG44</f>
        <v>0</v>
      </c>
      <c r="B443" s="113">
        <f>领料单!AH44</f>
        <v>0</v>
      </c>
      <c r="C443" s="113">
        <f>领料单!AI44</f>
        <v>0</v>
      </c>
      <c r="D443" s="113">
        <f>领料单!AJ44</f>
        <v>0</v>
      </c>
      <c r="E443" s="113">
        <f>领料单!AK44</f>
        <v>0</v>
      </c>
      <c r="F443" s="113">
        <f>领料单!AL44</f>
        <v>0</v>
      </c>
      <c r="G443" s="113"/>
    </row>
    <row r="444" customHeight="1" spans="1:7">
      <c r="A444" s="113">
        <f>领料单!AG45</f>
        <v>0</v>
      </c>
      <c r="B444" s="113">
        <f>领料单!AH45</f>
        <v>0</v>
      </c>
      <c r="C444" s="113">
        <f>领料单!AI45</f>
        <v>0</v>
      </c>
      <c r="D444" s="113">
        <f>领料单!AJ45</f>
        <v>0</v>
      </c>
      <c r="E444" s="113">
        <f>领料单!AK45</f>
        <v>0</v>
      </c>
      <c r="F444" s="113">
        <f>领料单!AL45</f>
        <v>0</v>
      </c>
      <c r="G444" s="113"/>
    </row>
    <row r="445" customHeight="1" spans="1:7">
      <c r="A445" s="113">
        <f>领料单!AG46</f>
        <v>0</v>
      </c>
      <c r="B445" s="113">
        <f>领料单!AH46</f>
        <v>0</v>
      </c>
      <c r="C445" s="113">
        <f>领料单!AI46</f>
        <v>0</v>
      </c>
      <c r="D445" s="113">
        <f>领料单!AJ46</f>
        <v>0</v>
      </c>
      <c r="E445" s="113">
        <f>领料单!AK46</f>
        <v>0</v>
      </c>
      <c r="F445" s="113">
        <f>领料单!AL46</f>
        <v>0</v>
      </c>
      <c r="G445" s="113"/>
    </row>
    <row r="446" customHeight="1" spans="1:7">
      <c r="A446" s="113">
        <f>领料单!AG47</f>
        <v>0</v>
      </c>
      <c r="B446" s="113">
        <f>领料单!AH47</f>
        <v>0</v>
      </c>
      <c r="C446" s="113">
        <f>领料单!AI47</f>
        <v>0</v>
      </c>
      <c r="D446" s="113">
        <f>领料单!AJ47</f>
        <v>0</v>
      </c>
      <c r="E446" s="113">
        <f>领料单!AK47</f>
        <v>0</v>
      </c>
      <c r="F446" s="113">
        <f>领料单!AL47</f>
        <v>0</v>
      </c>
      <c r="G446" s="113"/>
    </row>
    <row r="447" customHeight="1" spans="1:7">
      <c r="A447" s="113">
        <f>领料单!AG48</f>
        <v>0</v>
      </c>
      <c r="B447" s="113">
        <f>领料单!AH48</f>
        <v>0</v>
      </c>
      <c r="C447" s="113">
        <f>领料单!AI48</f>
        <v>0</v>
      </c>
      <c r="D447" s="113">
        <f>领料单!AJ48</f>
        <v>0</v>
      </c>
      <c r="E447" s="113">
        <f>领料单!AK48</f>
        <v>0</v>
      </c>
      <c r="F447" s="113">
        <f>领料单!AL48</f>
        <v>0</v>
      </c>
      <c r="G447" s="113"/>
    </row>
    <row r="448" customHeight="1" spans="1:7">
      <c r="A448" s="113">
        <f>领料单!AG49</f>
        <v>0</v>
      </c>
      <c r="B448" s="113">
        <f>领料单!AH49</f>
        <v>0</v>
      </c>
      <c r="C448" s="113">
        <f>领料单!AI49</f>
        <v>0</v>
      </c>
      <c r="D448" s="113">
        <f>领料单!AJ49</f>
        <v>0</v>
      </c>
      <c r="E448" s="113">
        <f>领料单!AK49</f>
        <v>0</v>
      </c>
      <c r="F448" s="113">
        <f>领料单!AL49</f>
        <v>0</v>
      </c>
      <c r="G448" s="113"/>
    </row>
    <row r="449" customHeight="1" spans="1:7">
      <c r="A449" s="113">
        <f>领料单!AG50</f>
        <v>0</v>
      </c>
      <c r="B449" s="113">
        <f>领料单!AH50</f>
        <v>0</v>
      </c>
      <c r="C449" s="113">
        <f>领料单!AI50</f>
        <v>0</v>
      </c>
      <c r="D449" s="113">
        <f>领料单!AJ50</f>
        <v>0</v>
      </c>
      <c r="E449" s="113">
        <f>领料单!AK50</f>
        <v>0</v>
      </c>
      <c r="F449" s="113">
        <f>领料单!AL50</f>
        <v>0</v>
      </c>
      <c r="G449" s="113"/>
    </row>
    <row r="450" customHeight="1" spans="1:7">
      <c r="A450" s="113">
        <f>领料单!AG51</f>
        <v>0</v>
      </c>
      <c r="B450" s="113">
        <f>领料单!AH51</f>
        <v>0</v>
      </c>
      <c r="C450" s="113">
        <f>领料单!AI51</f>
        <v>0</v>
      </c>
      <c r="D450" s="113">
        <f>领料单!AJ51</f>
        <v>0</v>
      </c>
      <c r="E450" s="113">
        <f>领料单!AK51</f>
        <v>0</v>
      </c>
      <c r="F450" s="113">
        <f>领料单!AL51</f>
        <v>0</v>
      </c>
      <c r="G450" s="113"/>
    </row>
    <row r="451" customHeight="1" spans="1:7">
      <c r="A451" s="113">
        <f>领料单!AG52</f>
        <v>0</v>
      </c>
      <c r="B451" s="113">
        <f>领料单!AH52</f>
        <v>0</v>
      </c>
      <c r="C451" s="113">
        <f>领料单!AI52</f>
        <v>0</v>
      </c>
      <c r="D451" s="113">
        <f>领料单!AJ52</f>
        <v>0</v>
      </c>
      <c r="E451" s="113">
        <f>领料单!AK52</f>
        <v>0</v>
      </c>
      <c r="F451" s="113">
        <f>领料单!AL52</f>
        <v>0</v>
      </c>
      <c r="G451" s="113"/>
    </row>
    <row r="452" customHeight="1" spans="1:7">
      <c r="A452" s="113">
        <f>领料单!AG53</f>
        <v>0</v>
      </c>
      <c r="B452" s="113">
        <f>领料单!AH53</f>
        <v>0</v>
      </c>
      <c r="C452" s="113">
        <f>领料单!AI53</f>
        <v>0</v>
      </c>
      <c r="D452" s="113">
        <f>领料单!AJ53</f>
        <v>0</v>
      </c>
      <c r="E452" s="113">
        <f>领料单!AK53</f>
        <v>0</v>
      </c>
      <c r="F452" s="113">
        <f>领料单!AL53</f>
        <v>0</v>
      </c>
      <c r="G452" s="113"/>
    </row>
    <row r="453" customHeight="1" spans="1:7">
      <c r="A453" s="115" t="s">
        <v>340</v>
      </c>
      <c r="B453" s="116"/>
      <c r="C453" s="116"/>
      <c r="D453" s="116"/>
      <c r="E453" s="117"/>
      <c r="F453" s="118">
        <f>SUM(F441:F452)</f>
        <v>0</v>
      </c>
      <c r="G453" s="114"/>
    </row>
    <row r="454" customHeight="1" spans="1:7">
      <c r="A454" s="119" t="s">
        <v>341</v>
      </c>
      <c r="B454" s="119"/>
      <c r="C454" s="120"/>
      <c r="D454" s="119"/>
      <c r="E454" s="121" t="s">
        <v>342</v>
      </c>
      <c r="F454" s="119"/>
      <c r="G454" s="119"/>
    </row>
    <row r="457" customHeight="1" spans="1:7">
      <c r="A457" s="105"/>
      <c r="B457" s="106"/>
      <c r="C457" s="107" t="s">
        <v>330</v>
      </c>
      <c r="D457" s="107"/>
      <c r="E457" s="107"/>
      <c r="F457" s="105"/>
      <c r="G457" s="105"/>
    </row>
    <row r="458" customHeight="1" spans="1:7">
      <c r="A458" s="108" t="s">
        <v>331</v>
      </c>
      <c r="B458" s="109"/>
      <c r="C458" s="110">
        <v>45747</v>
      </c>
      <c r="D458" s="110"/>
      <c r="E458" s="110"/>
      <c r="F458" s="111" t="s">
        <v>332</v>
      </c>
      <c r="G458" s="112" t="str">
        <f>立项!$A$7</f>
        <v>RD05</v>
      </c>
    </row>
    <row r="459" customHeight="1" spans="1:7">
      <c r="A459" s="113" t="s">
        <v>333</v>
      </c>
      <c r="B459" s="113" t="s">
        <v>334</v>
      </c>
      <c r="C459" s="113" t="s">
        <v>335</v>
      </c>
      <c r="D459" s="113" t="s">
        <v>336</v>
      </c>
      <c r="E459" s="113" t="s">
        <v>337</v>
      </c>
      <c r="F459" s="113" t="s">
        <v>338</v>
      </c>
      <c r="G459" s="113" t="s">
        <v>339</v>
      </c>
    </row>
    <row r="460" customHeight="1" spans="1:7">
      <c r="A460" s="113">
        <f>领料单!AO42</f>
        <v>0</v>
      </c>
      <c r="B460" s="113">
        <f>领料单!AP42</f>
        <v>0</v>
      </c>
      <c r="C460" s="113">
        <f>领料单!AQ42</f>
        <v>0</v>
      </c>
      <c r="D460" s="113">
        <f>领料单!AR42</f>
        <v>0</v>
      </c>
      <c r="E460" s="113">
        <f>领料单!AS42</f>
        <v>0</v>
      </c>
      <c r="F460" s="113">
        <f>领料单!AT42</f>
        <v>0</v>
      </c>
      <c r="G460" s="113"/>
    </row>
    <row r="461" customHeight="1" spans="1:7">
      <c r="A461" s="113">
        <f>领料单!AO43</f>
        <v>0</v>
      </c>
      <c r="B461" s="113">
        <f>领料单!AP43</f>
        <v>0</v>
      </c>
      <c r="C461" s="113">
        <f>领料单!AQ43</f>
        <v>0</v>
      </c>
      <c r="D461" s="113">
        <f>领料单!AR43</f>
        <v>0</v>
      </c>
      <c r="E461" s="113">
        <f>领料单!AS43</f>
        <v>0</v>
      </c>
      <c r="F461" s="113">
        <f>领料单!AT43</f>
        <v>0</v>
      </c>
      <c r="G461" s="113"/>
    </row>
    <row r="462" customHeight="1" spans="1:7">
      <c r="A462" s="113">
        <f>领料单!AO44</f>
        <v>0</v>
      </c>
      <c r="B462" s="113">
        <f>领料单!AP44</f>
        <v>0</v>
      </c>
      <c r="C462" s="113">
        <f>领料单!AQ44</f>
        <v>0</v>
      </c>
      <c r="D462" s="113">
        <f>领料单!AR44</f>
        <v>0</v>
      </c>
      <c r="E462" s="113">
        <f>领料单!AS44</f>
        <v>0</v>
      </c>
      <c r="F462" s="113">
        <f>领料单!AT44</f>
        <v>0</v>
      </c>
      <c r="G462" s="113"/>
    </row>
    <row r="463" customHeight="1" spans="1:7">
      <c r="A463" s="113">
        <f>领料单!AO45</f>
        <v>0</v>
      </c>
      <c r="B463" s="113">
        <f>领料单!AP45</f>
        <v>0</v>
      </c>
      <c r="C463" s="113">
        <f>领料单!AQ45</f>
        <v>0</v>
      </c>
      <c r="D463" s="113">
        <f>领料单!AR45</f>
        <v>0</v>
      </c>
      <c r="E463" s="113">
        <f>领料单!AS45</f>
        <v>0</v>
      </c>
      <c r="F463" s="113">
        <f>领料单!AT45</f>
        <v>0</v>
      </c>
      <c r="G463" s="113"/>
    </row>
    <row r="464" customHeight="1" spans="1:7">
      <c r="A464" s="113">
        <f>领料单!AO46</f>
        <v>0</v>
      </c>
      <c r="B464" s="113">
        <f>领料单!AP46</f>
        <v>0</v>
      </c>
      <c r="C464" s="113">
        <f>领料单!AQ46</f>
        <v>0</v>
      </c>
      <c r="D464" s="113">
        <f>领料单!AR46</f>
        <v>0</v>
      </c>
      <c r="E464" s="113">
        <f>领料单!AS46</f>
        <v>0</v>
      </c>
      <c r="F464" s="113">
        <f>领料单!AT46</f>
        <v>0</v>
      </c>
      <c r="G464" s="113"/>
    </row>
    <row r="465" customHeight="1" spans="1:7">
      <c r="A465" s="113">
        <f>领料单!AO47</f>
        <v>0</v>
      </c>
      <c r="B465" s="113">
        <f>领料单!AP47</f>
        <v>0</v>
      </c>
      <c r="C465" s="113">
        <f>领料单!AQ47</f>
        <v>0</v>
      </c>
      <c r="D465" s="113">
        <f>领料单!AR47</f>
        <v>0</v>
      </c>
      <c r="E465" s="113">
        <f>领料单!AS47</f>
        <v>0</v>
      </c>
      <c r="F465" s="113">
        <f>领料单!AT47</f>
        <v>0</v>
      </c>
      <c r="G465" s="113"/>
    </row>
    <row r="466" customHeight="1" spans="1:7">
      <c r="A466" s="113">
        <f>领料单!AO48</f>
        <v>0</v>
      </c>
      <c r="B466" s="113">
        <f>领料单!AP48</f>
        <v>0</v>
      </c>
      <c r="C466" s="113">
        <f>领料单!AQ48</f>
        <v>0</v>
      </c>
      <c r="D466" s="113">
        <f>领料单!AR48</f>
        <v>0</v>
      </c>
      <c r="E466" s="113">
        <f>领料单!AS48</f>
        <v>0</v>
      </c>
      <c r="F466" s="113">
        <f>领料单!AT48</f>
        <v>0</v>
      </c>
      <c r="G466" s="113"/>
    </row>
    <row r="467" customHeight="1" spans="1:7">
      <c r="A467" s="113">
        <f>领料单!AO49</f>
        <v>0</v>
      </c>
      <c r="B467" s="113">
        <f>领料单!AP49</f>
        <v>0</v>
      </c>
      <c r="C467" s="113">
        <f>领料单!AQ49</f>
        <v>0</v>
      </c>
      <c r="D467" s="113">
        <f>领料单!AR49</f>
        <v>0</v>
      </c>
      <c r="E467" s="113">
        <f>领料单!AS49</f>
        <v>0</v>
      </c>
      <c r="F467" s="113">
        <f>领料单!AT49</f>
        <v>0</v>
      </c>
      <c r="G467" s="113"/>
    </row>
    <row r="468" customHeight="1" spans="1:7">
      <c r="A468" s="113">
        <f>领料单!AO50</f>
        <v>0</v>
      </c>
      <c r="B468" s="113">
        <f>领料单!AP50</f>
        <v>0</v>
      </c>
      <c r="C468" s="113">
        <f>领料单!AQ50</f>
        <v>0</v>
      </c>
      <c r="D468" s="113">
        <f>领料单!AR50</f>
        <v>0</v>
      </c>
      <c r="E468" s="113">
        <f>领料单!AS50</f>
        <v>0</v>
      </c>
      <c r="F468" s="113">
        <f>领料单!AT50</f>
        <v>0</v>
      </c>
      <c r="G468" s="113"/>
    </row>
    <row r="469" customHeight="1" spans="1:7">
      <c r="A469" s="113">
        <f>领料单!AO51</f>
        <v>0</v>
      </c>
      <c r="B469" s="113">
        <f>领料单!AP51</f>
        <v>0</v>
      </c>
      <c r="C469" s="113">
        <f>领料单!AQ51</f>
        <v>0</v>
      </c>
      <c r="D469" s="113">
        <f>领料单!AR51</f>
        <v>0</v>
      </c>
      <c r="E469" s="113">
        <f>领料单!AS51</f>
        <v>0</v>
      </c>
      <c r="F469" s="113">
        <f>领料单!AT51</f>
        <v>0</v>
      </c>
      <c r="G469" s="113"/>
    </row>
    <row r="470" customHeight="1" spans="1:7">
      <c r="A470" s="113">
        <f>领料单!AO52</f>
        <v>0</v>
      </c>
      <c r="B470" s="113">
        <f>领料单!AP52</f>
        <v>0</v>
      </c>
      <c r="C470" s="113">
        <f>领料单!AQ52</f>
        <v>0</v>
      </c>
      <c r="D470" s="113">
        <f>领料单!AR52</f>
        <v>0</v>
      </c>
      <c r="E470" s="113">
        <f>领料单!AS52</f>
        <v>0</v>
      </c>
      <c r="F470" s="113">
        <f>领料单!AT52</f>
        <v>0</v>
      </c>
      <c r="G470" s="113"/>
    </row>
    <row r="471" customHeight="1" spans="1:7">
      <c r="A471" s="113">
        <f>领料单!AO53</f>
        <v>0</v>
      </c>
      <c r="B471" s="113">
        <f>领料单!AP53</f>
        <v>0</v>
      </c>
      <c r="C471" s="113">
        <f>领料单!AQ53</f>
        <v>0</v>
      </c>
      <c r="D471" s="113">
        <f>领料单!AR53</f>
        <v>0</v>
      </c>
      <c r="E471" s="113">
        <f>领料单!AS53</f>
        <v>0</v>
      </c>
      <c r="F471" s="113">
        <f>领料单!AT53</f>
        <v>0</v>
      </c>
      <c r="G471" s="113"/>
    </row>
    <row r="472" customHeight="1" spans="1:7">
      <c r="A472" s="115" t="s">
        <v>340</v>
      </c>
      <c r="B472" s="116"/>
      <c r="C472" s="116"/>
      <c r="D472" s="116"/>
      <c r="E472" s="117"/>
      <c r="F472" s="118">
        <f>SUM(F460:F471)</f>
        <v>0</v>
      </c>
      <c r="G472" s="114"/>
    </row>
    <row r="473" customHeight="1" spans="1:7">
      <c r="A473" s="119" t="s">
        <v>341</v>
      </c>
      <c r="B473" s="119"/>
      <c r="C473" s="120"/>
      <c r="D473" s="119"/>
      <c r="E473" s="121" t="s">
        <v>342</v>
      </c>
      <c r="F473" s="119"/>
      <c r="G473" s="119"/>
    </row>
    <row r="476" customHeight="1" spans="1:7">
      <c r="A476" s="105"/>
      <c r="B476" s="106"/>
      <c r="C476" s="107" t="s">
        <v>330</v>
      </c>
      <c r="D476" s="107"/>
      <c r="E476" s="107"/>
      <c r="F476" s="105"/>
      <c r="G476" s="105"/>
    </row>
    <row r="477" customHeight="1" spans="1:7">
      <c r="A477" s="108" t="s">
        <v>331</v>
      </c>
      <c r="B477" s="109"/>
      <c r="C477" s="110">
        <v>45747</v>
      </c>
      <c r="D477" s="110"/>
      <c r="E477" s="110"/>
      <c r="F477" s="111" t="s">
        <v>332</v>
      </c>
      <c r="G477" s="112" t="str">
        <f>立项!$A$8</f>
        <v>RD06</v>
      </c>
    </row>
    <row r="478" customHeight="1" spans="1:7">
      <c r="A478" s="113" t="s">
        <v>333</v>
      </c>
      <c r="B478" s="113" t="s">
        <v>334</v>
      </c>
      <c r="C478" s="113" t="s">
        <v>335</v>
      </c>
      <c r="D478" s="113" t="s">
        <v>336</v>
      </c>
      <c r="E478" s="113" t="s">
        <v>337</v>
      </c>
      <c r="F478" s="113" t="s">
        <v>338</v>
      </c>
      <c r="G478" s="113" t="s">
        <v>339</v>
      </c>
    </row>
    <row r="479" customHeight="1" spans="1:7">
      <c r="A479" s="113">
        <f>领料单!AW42</f>
        <v>0</v>
      </c>
      <c r="B479" s="113">
        <f>领料单!AX42</f>
        <v>0</v>
      </c>
      <c r="C479" s="113">
        <f>领料单!AY42</f>
        <v>0</v>
      </c>
      <c r="D479" s="113">
        <f>领料单!AZ42</f>
        <v>0</v>
      </c>
      <c r="E479" s="113">
        <f>领料单!BA42</f>
        <v>0</v>
      </c>
      <c r="F479" s="113">
        <f>领料单!BB42</f>
        <v>0</v>
      </c>
      <c r="G479" s="113"/>
    </row>
    <row r="480" customHeight="1" spans="1:7">
      <c r="A480" s="113">
        <f>领料单!AW43</f>
        <v>0</v>
      </c>
      <c r="B480" s="113">
        <f>领料单!AX43</f>
        <v>0</v>
      </c>
      <c r="C480" s="113">
        <f>领料单!AY43</f>
        <v>0</v>
      </c>
      <c r="D480" s="113">
        <f>领料单!AZ43</f>
        <v>0</v>
      </c>
      <c r="E480" s="113">
        <f>领料单!BA43</f>
        <v>0</v>
      </c>
      <c r="F480" s="113">
        <f>领料单!BB43</f>
        <v>0</v>
      </c>
      <c r="G480" s="113"/>
    </row>
    <row r="481" customHeight="1" spans="1:7">
      <c r="A481" s="113">
        <f>领料单!AW44</f>
        <v>0</v>
      </c>
      <c r="B481" s="113">
        <f>领料单!AX44</f>
        <v>0</v>
      </c>
      <c r="C481" s="113">
        <f>领料单!AY44</f>
        <v>0</v>
      </c>
      <c r="D481" s="113">
        <f>领料单!AZ44</f>
        <v>0</v>
      </c>
      <c r="E481" s="113">
        <f>领料单!BA44</f>
        <v>0</v>
      </c>
      <c r="F481" s="113">
        <f>领料单!BB44</f>
        <v>0</v>
      </c>
      <c r="G481" s="113"/>
    </row>
    <row r="482" customHeight="1" spans="1:7">
      <c r="A482" s="113">
        <f>领料单!AW45</f>
        <v>0</v>
      </c>
      <c r="B482" s="113">
        <f>领料单!AX45</f>
        <v>0</v>
      </c>
      <c r="C482" s="113">
        <f>领料单!AY45</f>
        <v>0</v>
      </c>
      <c r="D482" s="113">
        <f>领料单!AZ45</f>
        <v>0</v>
      </c>
      <c r="E482" s="113">
        <f>领料单!BA45</f>
        <v>0</v>
      </c>
      <c r="F482" s="113">
        <f>领料单!BB45</f>
        <v>0</v>
      </c>
      <c r="G482" s="113"/>
    </row>
    <row r="483" customHeight="1" spans="1:7">
      <c r="A483" s="113">
        <f>领料单!AW46</f>
        <v>0</v>
      </c>
      <c r="B483" s="113">
        <f>领料单!AX46</f>
        <v>0</v>
      </c>
      <c r="C483" s="113">
        <f>领料单!AY46</f>
        <v>0</v>
      </c>
      <c r="D483" s="113">
        <f>领料单!AZ46</f>
        <v>0</v>
      </c>
      <c r="E483" s="113">
        <f>领料单!BA46</f>
        <v>0</v>
      </c>
      <c r="F483" s="113">
        <f>领料单!BB46</f>
        <v>0</v>
      </c>
      <c r="G483" s="113"/>
    </row>
    <row r="484" customHeight="1" spans="1:7">
      <c r="A484" s="113">
        <f>领料单!AW47</f>
        <v>0</v>
      </c>
      <c r="B484" s="113">
        <f>领料单!AX47</f>
        <v>0</v>
      </c>
      <c r="C484" s="113">
        <f>领料单!AY47</f>
        <v>0</v>
      </c>
      <c r="D484" s="113">
        <f>领料单!AZ47</f>
        <v>0</v>
      </c>
      <c r="E484" s="113">
        <f>领料单!BA47</f>
        <v>0</v>
      </c>
      <c r="F484" s="113">
        <f>领料单!BB47</f>
        <v>0</v>
      </c>
      <c r="G484" s="113"/>
    </row>
    <row r="485" customHeight="1" spans="1:7">
      <c r="A485" s="113">
        <f>领料单!AW48</f>
        <v>0</v>
      </c>
      <c r="B485" s="113">
        <f>领料单!AX48</f>
        <v>0</v>
      </c>
      <c r="C485" s="113">
        <f>领料单!AY48</f>
        <v>0</v>
      </c>
      <c r="D485" s="113">
        <f>领料单!AZ48</f>
        <v>0</v>
      </c>
      <c r="E485" s="113">
        <f>领料单!BA48</f>
        <v>0</v>
      </c>
      <c r="F485" s="113">
        <f>领料单!BB48</f>
        <v>0</v>
      </c>
      <c r="G485" s="113"/>
    </row>
    <row r="486" customHeight="1" spans="1:7">
      <c r="A486" s="113">
        <f>领料单!AW49</f>
        <v>0</v>
      </c>
      <c r="B486" s="113">
        <f>领料单!AX49</f>
        <v>0</v>
      </c>
      <c r="C486" s="113">
        <f>领料单!AY49</f>
        <v>0</v>
      </c>
      <c r="D486" s="113">
        <f>领料单!AZ49</f>
        <v>0</v>
      </c>
      <c r="E486" s="113">
        <f>领料单!BA49</f>
        <v>0</v>
      </c>
      <c r="F486" s="113">
        <f>领料单!BB49</f>
        <v>0</v>
      </c>
      <c r="G486" s="113"/>
    </row>
    <row r="487" customHeight="1" spans="1:7">
      <c r="A487" s="113">
        <f>领料单!AW50</f>
        <v>0</v>
      </c>
      <c r="B487" s="113">
        <f>领料单!AX50</f>
        <v>0</v>
      </c>
      <c r="C487" s="113">
        <f>领料单!AY50</f>
        <v>0</v>
      </c>
      <c r="D487" s="113">
        <f>领料单!AZ50</f>
        <v>0</v>
      </c>
      <c r="E487" s="113">
        <f>领料单!BA50</f>
        <v>0</v>
      </c>
      <c r="F487" s="113">
        <f>领料单!BB50</f>
        <v>0</v>
      </c>
      <c r="G487" s="113"/>
    </row>
    <row r="488" customHeight="1" spans="1:7">
      <c r="A488" s="113">
        <f>领料单!AW51</f>
        <v>0</v>
      </c>
      <c r="B488" s="113">
        <f>领料单!AX51</f>
        <v>0</v>
      </c>
      <c r="C488" s="113">
        <f>领料单!AY51</f>
        <v>0</v>
      </c>
      <c r="D488" s="113">
        <f>领料单!AZ51</f>
        <v>0</v>
      </c>
      <c r="E488" s="113">
        <f>领料单!BA51</f>
        <v>0</v>
      </c>
      <c r="F488" s="113">
        <f>领料单!BB51</f>
        <v>0</v>
      </c>
      <c r="G488" s="113"/>
    </row>
    <row r="489" customHeight="1" spans="1:7">
      <c r="A489" s="113">
        <f>领料单!AW52</f>
        <v>0</v>
      </c>
      <c r="B489" s="113">
        <f>领料单!AX52</f>
        <v>0</v>
      </c>
      <c r="C489" s="113">
        <f>领料单!AY52</f>
        <v>0</v>
      </c>
      <c r="D489" s="113">
        <f>领料单!AZ52</f>
        <v>0</v>
      </c>
      <c r="E489" s="113">
        <f>领料单!BA52</f>
        <v>0</v>
      </c>
      <c r="F489" s="113">
        <f>领料单!BB52</f>
        <v>0</v>
      </c>
      <c r="G489" s="113"/>
    </row>
    <row r="490" customHeight="1" spans="1:7">
      <c r="A490" s="113">
        <f>领料单!AW53</f>
        <v>0</v>
      </c>
      <c r="B490" s="113">
        <f>领料单!AX53</f>
        <v>0</v>
      </c>
      <c r="C490" s="113">
        <f>领料单!AY53</f>
        <v>0</v>
      </c>
      <c r="D490" s="113">
        <f>领料单!AZ53</f>
        <v>0</v>
      </c>
      <c r="E490" s="113">
        <f>领料单!BA53</f>
        <v>0</v>
      </c>
      <c r="F490" s="113">
        <f>领料单!BB53</f>
        <v>0</v>
      </c>
      <c r="G490" s="113"/>
    </row>
    <row r="491" customHeight="1" spans="1:7">
      <c r="A491" s="115" t="s">
        <v>340</v>
      </c>
      <c r="B491" s="116"/>
      <c r="C491" s="116"/>
      <c r="D491" s="116"/>
      <c r="E491" s="117"/>
      <c r="F491" s="118">
        <f>SUM(F479:F490)</f>
        <v>0</v>
      </c>
      <c r="G491" s="114"/>
    </row>
    <row r="492" customHeight="1" spans="1:7">
      <c r="A492" s="119" t="s">
        <v>341</v>
      </c>
      <c r="B492" s="119"/>
      <c r="C492" s="120"/>
      <c r="D492" s="119"/>
      <c r="E492" s="121" t="s">
        <v>342</v>
      </c>
      <c r="F492" s="119"/>
      <c r="G492" s="119"/>
    </row>
    <row r="495" customHeight="1" spans="1:7">
      <c r="A495" s="105"/>
      <c r="B495" s="106"/>
      <c r="C495" s="107" t="s">
        <v>330</v>
      </c>
      <c r="D495" s="107"/>
      <c r="E495" s="107"/>
      <c r="F495" s="105"/>
      <c r="G495" s="105"/>
    </row>
    <row r="496" customHeight="1" spans="1:7">
      <c r="A496" s="108" t="s">
        <v>331</v>
      </c>
      <c r="B496" s="109"/>
      <c r="C496" s="110">
        <v>45747</v>
      </c>
      <c r="D496" s="110"/>
      <c r="E496" s="110"/>
      <c r="F496" s="111" t="s">
        <v>332</v>
      </c>
      <c r="G496" s="112" t="str">
        <f>立项!$A$9</f>
        <v>RD07</v>
      </c>
    </row>
    <row r="497" customHeight="1" spans="1:7">
      <c r="A497" s="113" t="s">
        <v>333</v>
      </c>
      <c r="B497" s="113" t="s">
        <v>334</v>
      </c>
      <c r="C497" s="113" t="s">
        <v>335</v>
      </c>
      <c r="D497" s="113" t="s">
        <v>336</v>
      </c>
      <c r="E497" s="113" t="s">
        <v>337</v>
      </c>
      <c r="F497" s="113" t="s">
        <v>338</v>
      </c>
      <c r="G497" s="113" t="s">
        <v>339</v>
      </c>
    </row>
    <row r="498" customHeight="1" spans="1:7">
      <c r="A498" s="113">
        <f>领料单!BE42</f>
        <v>0</v>
      </c>
      <c r="B498" s="113">
        <f>领料单!BF42</f>
        <v>0</v>
      </c>
      <c r="C498" s="113">
        <f>领料单!BG42</f>
        <v>0</v>
      </c>
      <c r="D498" s="113">
        <f>领料单!BH42</f>
        <v>0</v>
      </c>
      <c r="E498" s="113">
        <f>领料单!BI42</f>
        <v>0</v>
      </c>
      <c r="F498" s="113">
        <f>领料单!BJ42</f>
        <v>0</v>
      </c>
      <c r="G498" s="113"/>
    </row>
    <row r="499" customHeight="1" spans="1:7">
      <c r="A499" s="113">
        <f>领料单!BE43</f>
        <v>0</v>
      </c>
      <c r="B499" s="113">
        <f>领料单!BF43</f>
        <v>0</v>
      </c>
      <c r="C499" s="113">
        <f>领料单!BG43</f>
        <v>0</v>
      </c>
      <c r="D499" s="113">
        <f>领料单!BH43</f>
        <v>0</v>
      </c>
      <c r="E499" s="113">
        <f>领料单!BI43</f>
        <v>0</v>
      </c>
      <c r="F499" s="113">
        <f>领料单!BJ43</f>
        <v>0</v>
      </c>
      <c r="G499" s="113"/>
    </row>
    <row r="500" customHeight="1" spans="1:7">
      <c r="A500" s="113">
        <f>领料单!BE44</f>
        <v>0</v>
      </c>
      <c r="B500" s="113">
        <f>领料单!BF44</f>
        <v>0</v>
      </c>
      <c r="C500" s="113">
        <f>领料单!BG44</f>
        <v>0</v>
      </c>
      <c r="D500" s="113">
        <f>领料单!BH44</f>
        <v>0</v>
      </c>
      <c r="E500" s="113">
        <f>领料单!BI44</f>
        <v>0</v>
      </c>
      <c r="F500" s="113">
        <f>领料单!BJ44</f>
        <v>0</v>
      </c>
      <c r="G500" s="113"/>
    </row>
    <row r="501" customHeight="1" spans="1:7">
      <c r="A501" s="113">
        <f>领料单!BE45</f>
        <v>0</v>
      </c>
      <c r="B501" s="113">
        <f>领料单!BF45</f>
        <v>0</v>
      </c>
      <c r="C501" s="113">
        <f>领料单!BG45</f>
        <v>0</v>
      </c>
      <c r="D501" s="113">
        <f>领料单!BH45</f>
        <v>0</v>
      </c>
      <c r="E501" s="113">
        <f>领料单!BI45</f>
        <v>0</v>
      </c>
      <c r="F501" s="113">
        <f>领料单!BJ45</f>
        <v>0</v>
      </c>
      <c r="G501" s="113"/>
    </row>
    <row r="502" customHeight="1" spans="1:7">
      <c r="A502" s="113">
        <f>领料单!BE46</f>
        <v>0</v>
      </c>
      <c r="B502" s="113">
        <f>领料单!BF46</f>
        <v>0</v>
      </c>
      <c r="C502" s="113">
        <f>领料单!BG46</f>
        <v>0</v>
      </c>
      <c r="D502" s="113">
        <f>领料单!BH46</f>
        <v>0</v>
      </c>
      <c r="E502" s="113">
        <f>领料单!BI46</f>
        <v>0</v>
      </c>
      <c r="F502" s="113">
        <f>领料单!BJ46</f>
        <v>0</v>
      </c>
      <c r="G502" s="113"/>
    </row>
    <row r="503" customHeight="1" spans="1:7">
      <c r="A503" s="113">
        <f>领料单!BE47</f>
        <v>0</v>
      </c>
      <c r="B503" s="113">
        <f>领料单!BF47</f>
        <v>0</v>
      </c>
      <c r="C503" s="113">
        <f>领料单!BG47</f>
        <v>0</v>
      </c>
      <c r="D503" s="113">
        <f>领料单!BH47</f>
        <v>0</v>
      </c>
      <c r="E503" s="113">
        <f>领料单!BI47</f>
        <v>0</v>
      </c>
      <c r="F503" s="113">
        <f>领料单!BJ47</f>
        <v>0</v>
      </c>
      <c r="G503" s="113"/>
    </row>
    <row r="504" customHeight="1" spans="1:7">
      <c r="A504" s="113">
        <f>领料单!BE48</f>
        <v>0</v>
      </c>
      <c r="B504" s="113">
        <f>领料单!BF48</f>
        <v>0</v>
      </c>
      <c r="C504" s="113">
        <f>领料单!BG48</f>
        <v>0</v>
      </c>
      <c r="D504" s="113">
        <f>领料单!BH48</f>
        <v>0</v>
      </c>
      <c r="E504" s="113">
        <f>领料单!BI48</f>
        <v>0</v>
      </c>
      <c r="F504" s="113">
        <f>领料单!BJ48</f>
        <v>0</v>
      </c>
      <c r="G504" s="113"/>
    </row>
    <row r="505" customHeight="1" spans="1:7">
      <c r="A505" s="113">
        <f>领料单!BE49</f>
        <v>0</v>
      </c>
      <c r="B505" s="113">
        <f>领料单!BF49</f>
        <v>0</v>
      </c>
      <c r="C505" s="113">
        <f>领料单!BG49</f>
        <v>0</v>
      </c>
      <c r="D505" s="113">
        <f>领料单!BH49</f>
        <v>0</v>
      </c>
      <c r="E505" s="113">
        <f>领料单!BI49</f>
        <v>0</v>
      </c>
      <c r="F505" s="113">
        <f>领料单!BJ49</f>
        <v>0</v>
      </c>
      <c r="G505" s="113"/>
    </row>
    <row r="506" customHeight="1" spans="1:7">
      <c r="A506" s="113">
        <f>领料单!BE50</f>
        <v>0</v>
      </c>
      <c r="B506" s="113">
        <f>领料单!BF50</f>
        <v>0</v>
      </c>
      <c r="C506" s="113">
        <f>领料单!BG50</f>
        <v>0</v>
      </c>
      <c r="D506" s="113">
        <f>领料单!BH50</f>
        <v>0</v>
      </c>
      <c r="E506" s="113">
        <f>领料单!BI50</f>
        <v>0</v>
      </c>
      <c r="F506" s="113">
        <f>领料单!BJ50</f>
        <v>0</v>
      </c>
      <c r="G506" s="113"/>
    </row>
    <row r="507" customHeight="1" spans="1:7">
      <c r="A507" s="113">
        <f>领料单!BE51</f>
        <v>0</v>
      </c>
      <c r="B507" s="113">
        <f>领料单!BF51</f>
        <v>0</v>
      </c>
      <c r="C507" s="113">
        <f>领料单!BG51</f>
        <v>0</v>
      </c>
      <c r="D507" s="113">
        <f>领料单!BH51</f>
        <v>0</v>
      </c>
      <c r="E507" s="113">
        <f>领料单!BI51</f>
        <v>0</v>
      </c>
      <c r="F507" s="113">
        <f>领料单!BJ51</f>
        <v>0</v>
      </c>
      <c r="G507" s="113"/>
    </row>
    <row r="508" customHeight="1" spans="1:7">
      <c r="A508" s="113">
        <f>领料单!BE52</f>
        <v>0</v>
      </c>
      <c r="B508" s="113">
        <f>领料单!BF52</f>
        <v>0</v>
      </c>
      <c r="C508" s="113">
        <f>领料单!BG52</f>
        <v>0</v>
      </c>
      <c r="D508" s="113">
        <f>领料单!BH52</f>
        <v>0</v>
      </c>
      <c r="E508" s="113">
        <f>领料单!BI52</f>
        <v>0</v>
      </c>
      <c r="F508" s="113">
        <f>领料单!BJ52</f>
        <v>0</v>
      </c>
      <c r="G508" s="113"/>
    </row>
    <row r="509" customHeight="1" spans="1:7">
      <c r="A509" s="113">
        <f>领料单!BE53</f>
        <v>0</v>
      </c>
      <c r="B509" s="113">
        <f>领料单!BF53</f>
        <v>0</v>
      </c>
      <c r="C509" s="113">
        <f>领料单!BG53</f>
        <v>0</v>
      </c>
      <c r="D509" s="113">
        <f>领料单!BH53</f>
        <v>0</v>
      </c>
      <c r="E509" s="113">
        <f>领料单!BI53</f>
        <v>0</v>
      </c>
      <c r="F509" s="113">
        <f>领料单!BJ53</f>
        <v>0</v>
      </c>
      <c r="G509" s="113"/>
    </row>
    <row r="510" customHeight="1" spans="1:7">
      <c r="A510" s="115" t="s">
        <v>340</v>
      </c>
      <c r="B510" s="116"/>
      <c r="C510" s="116"/>
      <c r="D510" s="116"/>
      <c r="E510" s="117"/>
      <c r="F510" s="118">
        <f>SUM(F498:F509)</f>
        <v>0</v>
      </c>
      <c r="G510" s="114"/>
    </row>
    <row r="511" customHeight="1" spans="1:7">
      <c r="A511" s="119" t="s">
        <v>341</v>
      </c>
      <c r="B511" s="119"/>
      <c r="C511" s="120"/>
      <c r="D511" s="119"/>
      <c r="E511" s="121" t="s">
        <v>342</v>
      </c>
      <c r="F511" s="119"/>
      <c r="G511" s="119"/>
    </row>
    <row r="514" customHeight="1" spans="1:7">
      <c r="A514" s="105"/>
      <c r="B514" s="106"/>
      <c r="C514" s="107" t="s">
        <v>330</v>
      </c>
      <c r="D514" s="107"/>
      <c r="E514" s="107"/>
      <c r="F514" s="105"/>
      <c r="G514" s="105"/>
    </row>
    <row r="515" customHeight="1" spans="1:7">
      <c r="A515" s="108" t="s">
        <v>331</v>
      </c>
      <c r="B515" s="109"/>
      <c r="C515" s="110">
        <v>45747</v>
      </c>
      <c r="D515" s="110"/>
      <c r="E515" s="110"/>
      <c r="F515" s="111" t="s">
        <v>332</v>
      </c>
      <c r="G515" s="112" t="str">
        <f>立项!$A$10</f>
        <v>RD08</v>
      </c>
    </row>
    <row r="516" customHeight="1" spans="1:7">
      <c r="A516" s="113" t="s">
        <v>333</v>
      </c>
      <c r="B516" s="113" t="s">
        <v>334</v>
      </c>
      <c r="C516" s="113" t="s">
        <v>335</v>
      </c>
      <c r="D516" s="113" t="s">
        <v>336</v>
      </c>
      <c r="E516" s="113" t="s">
        <v>337</v>
      </c>
      <c r="F516" s="113" t="s">
        <v>338</v>
      </c>
      <c r="G516" s="113" t="s">
        <v>339</v>
      </c>
    </row>
    <row r="517" customHeight="1" spans="1:7">
      <c r="A517" s="113">
        <f>领料单!BM42</f>
        <v>0</v>
      </c>
      <c r="B517" s="113">
        <f>领料单!BN42</f>
        <v>0</v>
      </c>
      <c r="C517" s="113">
        <f>领料单!BO42</f>
        <v>0</v>
      </c>
      <c r="D517" s="113">
        <f>领料单!BP42</f>
        <v>0</v>
      </c>
      <c r="E517" s="113">
        <f>领料单!BQ42</f>
        <v>0</v>
      </c>
      <c r="F517" s="113">
        <f>领料单!BR42</f>
        <v>0</v>
      </c>
      <c r="G517" s="113"/>
    </row>
    <row r="518" customHeight="1" spans="1:7">
      <c r="A518" s="113">
        <f>领料单!BM43</f>
        <v>0</v>
      </c>
      <c r="B518" s="113">
        <f>领料单!BN43</f>
        <v>0</v>
      </c>
      <c r="C518" s="113">
        <f>领料单!BO43</f>
        <v>0</v>
      </c>
      <c r="D518" s="113">
        <f>领料单!BP43</f>
        <v>0</v>
      </c>
      <c r="E518" s="113">
        <f>领料单!BQ43</f>
        <v>0</v>
      </c>
      <c r="F518" s="113">
        <f>领料单!BR43</f>
        <v>0</v>
      </c>
      <c r="G518" s="113"/>
    </row>
    <row r="519" customHeight="1" spans="1:7">
      <c r="A519" s="113">
        <f>领料单!BM44</f>
        <v>0</v>
      </c>
      <c r="B519" s="113">
        <f>领料单!BN44</f>
        <v>0</v>
      </c>
      <c r="C519" s="113">
        <f>领料单!BO44</f>
        <v>0</v>
      </c>
      <c r="D519" s="113">
        <f>领料单!BP44</f>
        <v>0</v>
      </c>
      <c r="E519" s="113">
        <f>领料单!BQ44</f>
        <v>0</v>
      </c>
      <c r="F519" s="113">
        <f>领料单!BR44</f>
        <v>0</v>
      </c>
      <c r="G519" s="113"/>
    </row>
    <row r="520" customHeight="1" spans="1:7">
      <c r="A520" s="113">
        <f>领料单!BM45</f>
        <v>0</v>
      </c>
      <c r="B520" s="113">
        <f>领料单!BN45</f>
        <v>0</v>
      </c>
      <c r="C520" s="113">
        <f>领料单!BO45</f>
        <v>0</v>
      </c>
      <c r="D520" s="113">
        <f>领料单!BP45</f>
        <v>0</v>
      </c>
      <c r="E520" s="113">
        <f>领料单!BQ45</f>
        <v>0</v>
      </c>
      <c r="F520" s="113">
        <f>领料单!BR45</f>
        <v>0</v>
      </c>
      <c r="G520" s="113"/>
    </row>
    <row r="521" customHeight="1" spans="1:7">
      <c r="A521" s="113">
        <f>领料单!BM46</f>
        <v>0</v>
      </c>
      <c r="B521" s="113">
        <f>领料单!BN46</f>
        <v>0</v>
      </c>
      <c r="C521" s="113">
        <f>领料单!BO46</f>
        <v>0</v>
      </c>
      <c r="D521" s="113">
        <f>领料单!BP46</f>
        <v>0</v>
      </c>
      <c r="E521" s="113">
        <f>领料单!BQ46</f>
        <v>0</v>
      </c>
      <c r="F521" s="113">
        <f>领料单!BR46</f>
        <v>0</v>
      </c>
      <c r="G521" s="113"/>
    </row>
    <row r="522" customHeight="1" spans="1:7">
      <c r="A522" s="113">
        <f>领料单!BM47</f>
        <v>0</v>
      </c>
      <c r="B522" s="113">
        <f>领料单!BN47</f>
        <v>0</v>
      </c>
      <c r="C522" s="113">
        <f>领料单!BO47</f>
        <v>0</v>
      </c>
      <c r="D522" s="113">
        <f>领料单!BP47</f>
        <v>0</v>
      </c>
      <c r="E522" s="113">
        <f>领料单!BQ47</f>
        <v>0</v>
      </c>
      <c r="F522" s="113">
        <f>领料单!BR47</f>
        <v>0</v>
      </c>
      <c r="G522" s="113"/>
    </row>
    <row r="523" customHeight="1" spans="1:7">
      <c r="A523" s="113">
        <f>领料单!BM48</f>
        <v>0</v>
      </c>
      <c r="B523" s="113">
        <f>领料单!BN48</f>
        <v>0</v>
      </c>
      <c r="C523" s="113">
        <f>领料单!BO48</f>
        <v>0</v>
      </c>
      <c r="D523" s="113">
        <f>领料单!BP48</f>
        <v>0</v>
      </c>
      <c r="E523" s="113">
        <f>领料单!BQ48</f>
        <v>0</v>
      </c>
      <c r="F523" s="113">
        <f>领料单!BR48</f>
        <v>0</v>
      </c>
      <c r="G523" s="113"/>
    </row>
    <row r="524" customHeight="1" spans="1:7">
      <c r="A524" s="113">
        <f>领料单!BM49</f>
        <v>0</v>
      </c>
      <c r="B524" s="113">
        <f>领料单!BN49</f>
        <v>0</v>
      </c>
      <c r="C524" s="113">
        <f>领料单!BO49</f>
        <v>0</v>
      </c>
      <c r="D524" s="113">
        <f>领料单!BP49</f>
        <v>0</v>
      </c>
      <c r="E524" s="113">
        <f>领料单!BQ49</f>
        <v>0</v>
      </c>
      <c r="F524" s="113">
        <f>领料单!BR49</f>
        <v>0</v>
      </c>
      <c r="G524" s="113"/>
    </row>
    <row r="525" customHeight="1" spans="1:7">
      <c r="A525" s="113">
        <f>领料单!BM50</f>
        <v>0</v>
      </c>
      <c r="B525" s="113">
        <f>领料单!BN50</f>
        <v>0</v>
      </c>
      <c r="C525" s="113">
        <f>领料单!BO50</f>
        <v>0</v>
      </c>
      <c r="D525" s="113">
        <f>领料单!BP50</f>
        <v>0</v>
      </c>
      <c r="E525" s="113">
        <f>领料单!BQ50</f>
        <v>0</v>
      </c>
      <c r="F525" s="113">
        <f>领料单!BR50</f>
        <v>0</v>
      </c>
      <c r="G525" s="113"/>
    </row>
    <row r="526" customHeight="1" spans="1:7">
      <c r="A526" s="113">
        <f>领料单!BM51</f>
        <v>0</v>
      </c>
      <c r="B526" s="113">
        <f>领料单!BN51</f>
        <v>0</v>
      </c>
      <c r="C526" s="113">
        <f>领料单!BO51</f>
        <v>0</v>
      </c>
      <c r="D526" s="113">
        <f>领料单!BP51</f>
        <v>0</v>
      </c>
      <c r="E526" s="113">
        <f>领料单!BQ51</f>
        <v>0</v>
      </c>
      <c r="F526" s="113">
        <f>领料单!BR51</f>
        <v>0</v>
      </c>
      <c r="G526" s="113"/>
    </row>
    <row r="527" customHeight="1" spans="1:7">
      <c r="A527" s="113">
        <f>领料单!BM52</f>
        <v>0</v>
      </c>
      <c r="B527" s="113">
        <f>领料单!BN52</f>
        <v>0</v>
      </c>
      <c r="C527" s="113">
        <f>领料单!BO52</f>
        <v>0</v>
      </c>
      <c r="D527" s="113">
        <f>领料单!BP52</f>
        <v>0</v>
      </c>
      <c r="E527" s="113">
        <f>领料单!BQ52</f>
        <v>0</v>
      </c>
      <c r="F527" s="113">
        <f>领料单!BR52</f>
        <v>0</v>
      </c>
      <c r="G527" s="113"/>
    </row>
    <row r="528" customHeight="1" spans="1:7">
      <c r="A528" s="113">
        <f>领料单!BM53</f>
        <v>0</v>
      </c>
      <c r="B528" s="113">
        <f>领料单!BN53</f>
        <v>0</v>
      </c>
      <c r="C528" s="113">
        <f>领料单!BO53</f>
        <v>0</v>
      </c>
      <c r="D528" s="113">
        <f>领料单!BP53</f>
        <v>0</v>
      </c>
      <c r="E528" s="113">
        <f>领料单!BQ53</f>
        <v>0</v>
      </c>
      <c r="F528" s="113">
        <f>领料单!BR53</f>
        <v>0</v>
      </c>
      <c r="G528" s="113"/>
    </row>
    <row r="529" customHeight="1" spans="1:7">
      <c r="A529" s="115" t="s">
        <v>340</v>
      </c>
      <c r="B529" s="116"/>
      <c r="C529" s="116"/>
      <c r="D529" s="116"/>
      <c r="E529" s="117"/>
      <c r="F529" s="118">
        <f>SUM(F517:F528)</f>
        <v>0</v>
      </c>
      <c r="G529" s="114"/>
    </row>
    <row r="530" customHeight="1" spans="1:7">
      <c r="A530" s="119" t="s">
        <v>341</v>
      </c>
      <c r="B530" s="119"/>
      <c r="C530" s="120"/>
      <c r="D530" s="119"/>
      <c r="E530" s="121" t="s">
        <v>342</v>
      </c>
      <c r="F530" s="119"/>
      <c r="G530" s="119"/>
    </row>
    <row r="533" customHeight="1" spans="1:7">
      <c r="A533" s="105"/>
      <c r="B533" s="106"/>
      <c r="C533" s="107" t="s">
        <v>330</v>
      </c>
      <c r="D533" s="107"/>
      <c r="E533" s="107"/>
      <c r="F533" s="105"/>
      <c r="G533" s="105"/>
    </row>
    <row r="534" customHeight="1" spans="1:7">
      <c r="A534" s="108" t="s">
        <v>331</v>
      </c>
      <c r="B534" s="109"/>
      <c r="C534" s="110">
        <v>45747</v>
      </c>
      <c r="D534" s="110"/>
      <c r="E534" s="110"/>
      <c r="F534" s="111" t="s">
        <v>332</v>
      </c>
      <c r="G534" s="112" t="str">
        <f>立项!$A$11</f>
        <v>RD09</v>
      </c>
    </row>
    <row r="535" customHeight="1" spans="1:7">
      <c r="A535" s="113" t="s">
        <v>333</v>
      </c>
      <c r="B535" s="113" t="s">
        <v>334</v>
      </c>
      <c r="C535" s="113" t="s">
        <v>335</v>
      </c>
      <c r="D535" s="113" t="s">
        <v>336</v>
      </c>
      <c r="E535" s="113" t="s">
        <v>337</v>
      </c>
      <c r="F535" s="113" t="s">
        <v>338</v>
      </c>
      <c r="G535" s="113" t="s">
        <v>339</v>
      </c>
    </row>
    <row r="536" customHeight="1" spans="1:7">
      <c r="A536" s="113">
        <f>领料单!BU42</f>
        <v>0</v>
      </c>
      <c r="B536" s="113">
        <f>领料单!BV42</f>
        <v>0</v>
      </c>
      <c r="C536" s="113">
        <f>领料单!BW42</f>
        <v>0</v>
      </c>
      <c r="D536" s="113">
        <f>领料单!BX42</f>
        <v>0</v>
      </c>
      <c r="E536" s="113">
        <f>领料单!BY42</f>
        <v>0</v>
      </c>
      <c r="F536" s="113">
        <f>领料单!BZ42</f>
        <v>0</v>
      </c>
      <c r="G536" s="113"/>
    </row>
    <row r="537" customHeight="1" spans="1:7">
      <c r="A537" s="113">
        <f>领料单!BU43</f>
        <v>0</v>
      </c>
      <c r="B537" s="113">
        <f>领料单!BV43</f>
        <v>0</v>
      </c>
      <c r="C537" s="113">
        <f>领料单!BW43</f>
        <v>0</v>
      </c>
      <c r="D537" s="113">
        <f>领料单!BX43</f>
        <v>0</v>
      </c>
      <c r="E537" s="113">
        <f>领料单!BY43</f>
        <v>0</v>
      </c>
      <c r="F537" s="113">
        <f>领料单!BZ43</f>
        <v>0</v>
      </c>
      <c r="G537" s="113"/>
    </row>
    <row r="538" customHeight="1" spans="1:7">
      <c r="A538" s="113">
        <f>领料单!BU44</f>
        <v>0</v>
      </c>
      <c r="B538" s="113">
        <f>领料单!BV44</f>
        <v>0</v>
      </c>
      <c r="C538" s="113">
        <f>领料单!BW44</f>
        <v>0</v>
      </c>
      <c r="D538" s="113">
        <f>领料单!BX44</f>
        <v>0</v>
      </c>
      <c r="E538" s="113">
        <f>领料单!BY44</f>
        <v>0</v>
      </c>
      <c r="F538" s="113">
        <f>领料单!BZ44</f>
        <v>0</v>
      </c>
      <c r="G538" s="113"/>
    </row>
    <row r="539" customHeight="1" spans="1:7">
      <c r="A539" s="113">
        <f>领料单!BU45</f>
        <v>0</v>
      </c>
      <c r="B539" s="113">
        <f>领料单!BV45</f>
        <v>0</v>
      </c>
      <c r="C539" s="113">
        <f>领料单!BW45</f>
        <v>0</v>
      </c>
      <c r="D539" s="113">
        <f>领料单!BX45</f>
        <v>0</v>
      </c>
      <c r="E539" s="113">
        <f>领料单!BY45</f>
        <v>0</v>
      </c>
      <c r="F539" s="113">
        <f>领料单!BZ45</f>
        <v>0</v>
      </c>
      <c r="G539" s="113"/>
    </row>
    <row r="540" customHeight="1" spans="1:7">
      <c r="A540" s="113">
        <f>领料单!BU46</f>
        <v>0</v>
      </c>
      <c r="B540" s="113">
        <f>领料单!BV46</f>
        <v>0</v>
      </c>
      <c r="C540" s="113">
        <f>领料单!BW46</f>
        <v>0</v>
      </c>
      <c r="D540" s="113">
        <f>领料单!BX46</f>
        <v>0</v>
      </c>
      <c r="E540" s="113">
        <f>领料单!BY46</f>
        <v>0</v>
      </c>
      <c r="F540" s="113">
        <f>领料单!BZ46</f>
        <v>0</v>
      </c>
      <c r="G540" s="113"/>
    </row>
    <row r="541" customHeight="1" spans="1:7">
      <c r="A541" s="113">
        <f>领料单!BU47</f>
        <v>0</v>
      </c>
      <c r="B541" s="113">
        <f>领料单!BV47</f>
        <v>0</v>
      </c>
      <c r="C541" s="113">
        <f>领料单!BW47</f>
        <v>0</v>
      </c>
      <c r="D541" s="113">
        <f>领料单!BX47</f>
        <v>0</v>
      </c>
      <c r="E541" s="113">
        <f>领料单!BY47</f>
        <v>0</v>
      </c>
      <c r="F541" s="113">
        <f>领料单!BZ47</f>
        <v>0</v>
      </c>
      <c r="G541" s="113"/>
    </row>
    <row r="542" customHeight="1" spans="1:7">
      <c r="A542" s="113">
        <f>领料单!BU48</f>
        <v>0</v>
      </c>
      <c r="B542" s="113">
        <f>领料单!BV48</f>
        <v>0</v>
      </c>
      <c r="C542" s="113">
        <f>领料单!BW48</f>
        <v>0</v>
      </c>
      <c r="D542" s="113">
        <f>领料单!BX48</f>
        <v>0</v>
      </c>
      <c r="E542" s="113">
        <f>领料单!BY48</f>
        <v>0</v>
      </c>
      <c r="F542" s="113">
        <f>领料单!BZ48</f>
        <v>0</v>
      </c>
      <c r="G542" s="113"/>
    </row>
    <row r="543" customHeight="1" spans="1:7">
      <c r="A543" s="113">
        <f>领料单!BU49</f>
        <v>0</v>
      </c>
      <c r="B543" s="113">
        <f>领料单!BV49</f>
        <v>0</v>
      </c>
      <c r="C543" s="113">
        <f>领料单!BW49</f>
        <v>0</v>
      </c>
      <c r="D543" s="113">
        <f>领料单!BX49</f>
        <v>0</v>
      </c>
      <c r="E543" s="113">
        <f>领料单!BY49</f>
        <v>0</v>
      </c>
      <c r="F543" s="113">
        <f>领料单!BZ49</f>
        <v>0</v>
      </c>
      <c r="G543" s="113"/>
    </row>
    <row r="544" customHeight="1" spans="1:7">
      <c r="A544" s="113">
        <f>领料单!BU50</f>
        <v>0</v>
      </c>
      <c r="B544" s="113">
        <f>领料单!BV50</f>
        <v>0</v>
      </c>
      <c r="C544" s="113">
        <f>领料单!BW50</f>
        <v>0</v>
      </c>
      <c r="D544" s="113">
        <f>领料单!BX50</f>
        <v>0</v>
      </c>
      <c r="E544" s="113">
        <f>领料单!BY50</f>
        <v>0</v>
      </c>
      <c r="F544" s="113">
        <f>领料单!BZ50</f>
        <v>0</v>
      </c>
      <c r="G544" s="113"/>
    </row>
    <row r="545" customHeight="1" spans="1:7">
      <c r="A545" s="113">
        <f>领料单!BU51</f>
        <v>0</v>
      </c>
      <c r="B545" s="113">
        <f>领料单!BV51</f>
        <v>0</v>
      </c>
      <c r="C545" s="113">
        <f>领料单!BW51</f>
        <v>0</v>
      </c>
      <c r="D545" s="113">
        <f>领料单!BX51</f>
        <v>0</v>
      </c>
      <c r="E545" s="113">
        <f>领料单!BY51</f>
        <v>0</v>
      </c>
      <c r="F545" s="113">
        <f>领料单!BZ51</f>
        <v>0</v>
      </c>
      <c r="G545" s="113"/>
    </row>
    <row r="546" customHeight="1" spans="1:7">
      <c r="A546" s="113">
        <f>领料单!BU52</f>
        <v>0</v>
      </c>
      <c r="B546" s="113">
        <f>领料单!BV52</f>
        <v>0</v>
      </c>
      <c r="C546" s="113">
        <f>领料单!BW52</f>
        <v>0</v>
      </c>
      <c r="D546" s="113">
        <f>领料单!BX52</f>
        <v>0</v>
      </c>
      <c r="E546" s="113">
        <f>领料单!BY52</f>
        <v>0</v>
      </c>
      <c r="F546" s="113">
        <f>领料单!BZ52</f>
        <v>0</v>
      </c>
      <c r="G546" s="113"/>
    </row>
    <row r="547" customHeight="1" spans="1:7">
      <c r="A547" s="113">
        <f>领料单!BU53</f>
        <v>0</v>
      </c>
      <c r="B547" s="113">
        <f>领料单!BV53</f>
        <v>0</v>
      </c>
      <c r="C547" s="113">
        <f>领料单!BW53</f>
        <v>0</v>
      </c>
      <c r="D547" s="113">
        <f>领料单!BX53</f>
        <v>0</v>
      </c>
      <c r="E547" s="113">
        <f>领料单!BY53</f>
        <v>0</v>
      </c>
      <c r="F547" s="113">
        <f>领料单!BZ53</f>
        <v>0</v>
      </c>
      <c r="G547" s="113"/>
    </row>
    <row r="548" customHeight="1" spans="1:7">
      <c r="A548" s="115" t="s">
        <v>340</v>
      </c>
      <c r="B548" s="116"/>
      <c r="C548" s="116"/>
      <c r="D548" s="116"/>
      <c r="E548" s="117"/>
      <c r="F548" s="118">
        <f>SUM(F536:F547)</f>
        <v>0</v>
      </c>
      <c r="G548" s="114"/>
    </row>
    <row r="549" customHeight="1" spans="1:7">
      <c r="A549" s="119" t="s">
        <v>341</v>
      </c>
      <c r="B549" s="119"/>
      <c r="C549" s="120"/>
      <c r="D549" s="119"/>
      <c r="E549" s="121" t="s">
        <v>342</v>
      </c>
      <c r="F549" s="119"/>
      <c r="G549" s="119"/>
    </row>
    <row r="552" customHeight="1" spans="1:7">
      <c r="A552" s="105"/>
      <c r="B552" s="106"/>
      <c r="C552" s="107" t="s">
        <v>330</v>
      </c>
      <c r="D552" s="107"/>
      <c r="E552" s="107"/>
      <c r="F552" s="105"/>
      <c r="G552" s="105"/>
    </row>
    <row r="553" customHeight="1" spans="1:7">
      <c r="A553" s="108" t="s">
        <v>331</v>
      </c>
      <c r="B553" s="109"/>
      <c r="C553" s="110">
        <v>45747</v>
      </c>
      <c r="D553" s="110"/>
      <c r="E553" s="110"/>
      <c r="F553" s="111" t="s">
        <v>332</v>
      </c>
      <c r="G553" s="112" t="str">
        <f>立项!$A$12</f>
        <v>RD10</v>
      </c>
    </row>
    <row r="554" customHeight="1" spans="1:7">
      <c r="A554" s="113" t="s">
        <v>333</v>
      </c>
      <c r="B554" s="113" t="s">
        <v>334</v>
      </c>
      <c r="C554" s="113" t="s">
        <v>335</v>
      </c>
      <c r="D554" s="113" t="s">
        <v>336</v>
      </c>
      <c r="E554" s="113" t="s">
        <v>337</v>
      </c>
      <c r="F554" s="113" t="s">
        <v>338</v>
      </c>
      <c r="G554" s="113" t="s">
        <v>339</v>
      </c>
    </row>
    <row r="555" customHeight="1" spans="1:7">
      <c r="A555" s="113">
        <f>领料单!CC42</f>
        <v>0</v>
      </c>
      <c r="B555" s="113">
        <f>领料单!CD42</f>
        <v>0</v>
      </c>
      <c r="C555" s="113">
        <f>领料单!CE42</f>
        <v>0</v>
      </c>
      <c r="D555" s="113">
        <f>领料单!CF42</f>
        <v>0</v>
      </c>
      <c r="E555" s="113">
        <f>领料单!CG42</f>
        <v>0</v>
      </c>
      <c r="F555" s="113">
        <f>领料单!CH42</f>
        <v>0</v>
      </c>
      <c r="G555" s="113"/>
    </row>
    <row r="556" customHeight="1" spans="1:7">
      <c r="A556" s="113">
        <f>领料单!CC43</f>
        <v>0</v>
      </c>
      <c r="B556" s="113">
        <f>领料单!CD43</f>
        <v>0</v>
      </c>
      <c r="C556" s="113">
        <f>领料单!CE43</f>
        <v>0</v>
      </c>
      <c r="D556" s="113">
        <f>领料单!CF43</f>
        <v>0</v>
      </c>
      <c r="E556" s="113">
        <f>领料单!CG43</f>
        <v>0</v>
      </c>
      <c r="F556" s="113">
        <f>领料单!CH43</f>
        <v>0</v>
      </c>
      <c r="G556" s="113"/>
    </row>
    <row r="557" customHeight="1" spans="1:7">
      <c r="A557" s="113">
        <f>领料单!CC44</f>
        <v>0</v>
      </c>
      <c r="B557" s="113">
        <f>领料单!CD44</f>
        <v>0</v>
      </c>
      <c r="C557" s="113">
        <f>领料单!CE44</f>
        <v>0</v>
      </c>
      <c r="D557" s="113">
        <f>领料单!CF44</f>
        <v>0</v>
      </c>
      <c r="E557" s="113">
        <f>领料单!CG44</f>
        <v>0</v>
      </c>
      <c r="F557" s="113">
        <f>领料单!CH44</f>
        <v>0</v>
      </c>
      <c r="G557" s="113"/>
    </row>
    <row r="558" customHeight="1" spans="1:7">
      <c r="A558" s="113">
        <f>领料单!CC45</f>
        <v>0</v>
      </c>
      <c r="B558" s="113">
        <f>领料单!CD45</f>
        <v>0</v>
      </c>
      <c r="C558" s="113">
        <f>领料单!CE45</f>
        <v>0</v>
      </c>
      <c r="D558" s="113">
        <f>领料单!CF45</f>
        <v>0</v>
      </c>
      <c r="E558" s="113">
        <f>领料单!CG45</f>
        <v>0</v>
      </c>
      <c r="F558" s="113">
        <f>领料单!CH45</f>
        <v>0</v>
      </c>
      <c r="G558" s="113"/>
    </row>
    <row r="559" customHeight="1" spans="1:7">
      <c r="A559" s="113">
        <f>领料单!CC46</f>
        <v>0</v>
      </c>
      <c r="B559" s="113">
        <f>领料单!CD46</f>
        <v>0</v>
      </c>
      <c r="C559" s="113">
        <f>领料单!CE46</f>
        <v>0</v>
      </c>
      <c r="D559" s="113">
        <f>领料单!CF46</f>
        <v>0</v>
      </c>
      <c r="E559" s="113">
        <f>领料单!CG46</f>
        <v>0</v>
      </c>
      <c r="F559" s="113">
        <f>领料单!CH46</f>
        <v>0</v>
      </c>
      <c r="G559" s="113"/>
    </row>
    <row r="560" customHeight="1" spans="1:7">
      <c r="A560" s="113">
        <f>领料单!CC47</f>
        <v>0</v>
      </c>
      <c r="B560" s="113">
        <f>领料单!CD47</f>
        <v>0</v>
      </c>
      <c r="C560" s="113">
        <f>领料单!CE47</f>
        <v>0</v>
      </c>
      <c r="D560" s="113">
        <f>领料单!CF47</f>
        <v>0</v>
      </c>
      <c r="E560" s="113">
        <f>领料单!CG47</f>
        <v>0</v>
      </c>
      <c r="F560" s="113">
        <f>领料单!CH47</f>
        <v>0</v>
      </c>
      <c r="G560" s="113"/>
    </row>
    <row r="561" customHeight="1" spans="1:7">
      <c r="A561" s="113">
        <f>领料单!CC48</f>
        <v>0</v>
      </c>
      <c r="B561" s="113">
        <f>领料单!CD48</f>
        <v>0</v>
      </c>
      <c r="C561" s="113">
        <f>领料单!CE48</f>
        <v>0</v>
      </c>
      <c r="D561" s="113">
        <f>领料单!CF48</f>
        <v>0</v>
      </c>
      <c r="E561" s="113">
        <f>领料单!CG48</f>
        <v>0</v>
      </c>
      <c r="F561" s="113">
        <f>领料单!CH48</f>
        <v>0</v>
      </c>
      <c r="G561" s="113"/>
    </row>
    <row r="562" customHeight="1" spans="1:7">
      <c r="A562" s="113">
        <f>领料单!CC49</f>
        <v>0</v>
      </c>
      <c r="B562" s="113">
        <f>领料单!CD49</f>
        <v>0</v>
      </c>
      <c r="C562" s="113">
        <f>领料单!CE49</f>
        <v>0</v>
      </c>
      <c r="D562" s="113">
        <f>领料单!CF49</f>
        <v>0</v>
      </c>
      <c r="E562" s="113">
        <f>领料单!CG49</f>
        <v>0</v>
      </c>
      <c r="F562" s="113">
        <f>领料单!CH49</f>
        <v>0</v>
      </c>
      <c r="G562" s="113"/>
    </row>
    <row r="563" customHeight="1" spans="1:7">
      <c r="A563" s="113">
        <f>领料单!CC50</f>
        <v>0</v>
      </c>
      <c r="B563" s="113">
        <f>领料单!CD50</f>
        <v>0</v>
      </c>
      <c r="C563" s="113">
        <f>领料单!CE50</f>
        <v>0</v>
      </c>
      <c r="D563" s="113">
        <f>领料单!CF50</f>
        <v>0</v>
      </c>
      <c r="E563" s="113">
        <f>领料单!CG50</f>
        <v>0</v>
      </c>
      <c r="F563" s="113">
        <f>领料单!CH50</f>
        <v>0</v>
      </c>
      <c r="G563" s="113"/>
    </row>
    <row r="564" customHeight="1" spans="1:7">
      <c r="A564" s="113">
        <f>领料单!CC51</f>
        <v>0</v>
      </c>
      <c r="B564" s="113">
        <f>领料单!CD51</f>
        <v>0</v>
      </c>
      <c r="C564" s="113">
        <f>领料单!CE51</f>
        <v>0</v>
      </c>
      <c r="D564" s="113">
        <f>领料单!CF51</f>
        <v>0</v>
      </c>
      <c r="E564" s="113">
        <f>领料单!CG51</f>
        <v>0</v>
      </c>
      <c r="F564" s="113">
        <f>领料单!CH51</f>
        <v>0</v>
      </c>
      <c r="G564" s="113"/>
    </row>
    <row r="565" customHeight="1" spans="1:7">
      <c r="A565" s="113">
        <f>领料单!CC52</f>
        <v>0</v>
      </c>
      <c r="B565" s="113">
        <f>领料单!CD52</f>
        <v>0</v>
      </c>
      <c r="C565" s="113">
        <f>领料单!CE52</f>
        <v>0</v>
      </c>
      <c r="D565" s="113">
        <f>领料单!CF52</f>
        <v>0</v>
      </c>
      <c r="E565" s="113">
        <f>领料单!CG52</f>
        <v>0</v>
      </c>
      <c r="F565" s="113">
        <f>领料单!CH52</f>
        <v>0</v>
      </c>
      <c r="G565" s="113"/>
    </row>
    <row r="566" customHeight="1" spans="1:7">
      <c r="A566" s="113">
        <f>领料单!CC53</f>
        <v>0</v>
      </c>
      <c r="B566" s="113">
        <f>领料单!CD53</f>
        <v>0</v>
      </c>
      <c r="C566" s="113">
        <f>领料单!CE53</f>
        <v>0</v>
      </c>
      <c r="D566" s="113">
        <f>领料单!CF53</f>
        <v>0</v>
      </c>
      <c r="E566" s="113">
        <f>领料单!CG53</f>
        <v>0</v>
      </c>
      <c r="F566" s="113">
        <f>领料单!CH53</f>
        <v>0</v>
      </c>
      <c r="G566" s="113"/>
    </row>
    <row r="567" customHeight="1" spans="1:7">
      <c r="A567" s="115" t="s">
        <v>340</v>
      </c>
      <c r="B567" s="116"/>
      <c r="C567" s="116"/>
      <c r="D567" s="116"/>
      <c r="E567" s="117"/>
      <c r="F567" s="118">
        <f>SUM(F555:F566)</f>
        <v>0</v>
      </c>
      <c r="G567" s="114"/>
    </row>
    <row r="568" customHeight="1" spans="1:7">
      <c r="A568" s="119" t="s">
        <v>341</v>
      </c>
      <c r="B568" s="119"/>
      <c r="C568" s="120"/>
      <c r="D568" s="119"/>
      <c r="E568" s="121" t="s">
        <v>342</v>
      </c>
      <c r="F568" s="119"/>
      <c r="G568" s="119"/>
    </row>
    <row r="571" customHeight="1" spans="1:7">
      <c r="A571" s="105"/>
      <c r="B571" s="106"/>
      <c r="C571" s="107" t="s">
        <v>330</v>
      </c>
      <c r="D571" s="107"/>
      <c r="E571" s="107"/>
      <c r="F571" s="105"/>
      <c r="G571" s="105"/>
    </row>
    <row r="572" customHeight="1" spans="1:7">
      <c r="A572" s="108" t="s">
        <v>331</v>
      </c>
      <c r="B572" s="109"/>
      <c r="C572" s="110">
        <v>45777</v>
      </c>
      <c r="D572" s="110"/>
      <c r="E572" s="110"/>
      <c r="F572" s="111" t="s">
        <v>332</v>
      </c>
      <c r="G572" s="112" t="str">
        <f>立项!$A$3</f>
        <v>RD01</v>
      </c>
    </row>
    <row r="573" customHeight="1" spans="1:7">
      <c r="A573" s="113" t="s">
        <v>333</v>
      </c>
      <c r="B573" s="113" t="s">
        <v>334</v>
      </c>
      <c r="C573" s="113" t="s">
        <v>335</v>
      </c>
      <c r="D573" s="113" t="s">
        <v>336</v>
      </c>
      <c r="E573" s="113" t="s">
        <v>337</v>
      </c>
      <c r="F573" s="113" t="s">
        <v>338</v>
      </c>
      <c r="G573" s="113" t="s">
        <v>339</v>
      </c>
    </row>
    <row r="574" customHeight="1" spans="1:7">
      <c r="A574" s="113">
        <f>领料单!I61</f>
        <v>0</v>
      </c>
      <c r="B574" s="113">
        <f>领料单!J61</f>
        <v>0</v>
      </c>
      <c r="C574" s="113">
        <f>领料单!K61</f>
        <v>0</v>
      </c>
      <c r="D574" s="113">
        <f>领料单!L61</f>
        <v>0</v>
      </c>
      <c r="E574" s="113">
        <f>领料单!M61</f>
        <v>0</v>
      </c>
      <c r="F574" s="113">
        <f>领料单!N61</f>
        <v>0</v>
      </c>
      <c r="G574" s="113"/>
    </row>
    <row r="575" customHeight="1" spans="1:7">
      <c r="A575" s="113">
        <f>领料单!I62</f>
        <v>0</v>
      </c>
      <c r="B575" s="113">
        <f>领料单!J62</f>
        <v>0</v>
      </c>
      <c r="C575" s="113">
        <f>领料单!K62</f>
        <v>0</v>
      </c>
      <c r="D575" s="113">
        <f>领料单!L62</f>
        <v>0</v>
      </c>
      <c r="E575" s="113">
        <f>领料单!M62</f>
        <v>0</v>
      </c>
      <c r="F575" s="113">
        <f>领料单!N62</f>
        <v>0</v>
      </c>
      <c r="G575" s="113"/>
    </row>
    <row r="576" customHeight="1" spans="1:7">
      <c r="A576" s="113">
        <f>领料单!I63</f>
        <v>0</v>
      </c>
      <c r="B576" s="113">
        <f>领料单!J63</f>
        <v>0</v>
      </c>
      <c r="C576" s="113">
        <f>领料单!K63</f>
        <v>0</v>
      </c>
      <c r="D576" s="113">
        <f>领料单!L63</f>
        <v>0</v>
      </c>
      <c r="E576" s="113">
        <f>领料单!M63</f>
        <v>0</v>
      </c>
      <c r="F576" s="113">
        <f>领料单!N63</f>
        <v>0</v>
      </c>
      <c r="G576" s="113"/>
    </row>
    <row r="577" customHeight="1" spans="1:7">
      <c r="A577" s="113">
        <f>领料单!I64</f>
        <v>0</v>
      </c>
      <c r="B577" s="113">
        <f>领料单!J64</f>
        <v>0</v>
      </c>
      <c r="C577" s="113">
        <f>领料单!K64</f>
        <v>0</v>
      </c>
      <c r="D577" s="113">
        <f>领料单!L64</f>
        <v>0</v>
      </c>
      <c r="E577" s="113">
        <f>领料单!M64</f>
        <v>0</v>
      </c>
      <c r="F577" s="113">
        <f>领料单!N64</f>
        <v>0</v>
      </c>
      <c r="G577" s="113"/>
    </row>
    <row r="578" customHeight="1" spans="1:7">
      <c r="A578" s="113">
        <f>领料单!I65</f>
        <v>0</v>
      </c>
      <c r="B578" s="113">
        <f>领料单!J65</f>
        <v>0</v>
      </c>
      <c r="C578" s="113">
        <f>领料单!K65</f>
        <v>0</v>
      </c>
      <c r="D578" s="113">
        <f>领料单!L65</f>
        <v>0</v>
      </c>
      <c r="E578" s="113">
        <f>领料单!M65</f>
        <v>0</v>
      </c>
      <c r="F578" s="113">
        <f>领料单!N65</f>
        <v>0</v>
      </c>
      <c r="G578" s="113"/>
    </row>
    <row r="579" customHeight="1" spans="1:7">
      <c r="A579" s="113">
        <f>领料单!I66</f>
        <v>0</v>
      </c>
      <c r="B579" s="113">
        <f>领料单!J66</f>
        <v>0</v>
      </c>
      <c r="C579" s="113">
        <f>领料单!K66</f>
        <v>0</v>
      </c>
      <c r="D579" s="113">
        <f>领料单!L66</f>
        <v>0</v>
      </c>
      <c r="E579" s="113">
        <f>领料单!M66</f>
        <v>0</v>
      </c>
      <c r="F579" s="113">
        <f>领料单!N66</f>
        <v>0</v>
      </c>
      <c r="G579" s="113"/>
    </row>
    <row r="580" customHeight="1" spans="1:7">
      <c r="A580" s="113">
        <f>领料单!I67</f>
        <v>0</v>
      </c>
      <c r="B580" s="113">
        <f>领料单!J67</f>
        <v>0</v>
      </c>
      <c r="C580" s="113">
        <f>领料单!K67</f>
        <v>0</v>
      </c>
      <c r="D580" s="113">
        <f>领料单!L67</f>
        <v>0</v>
      </c>
      <c r="E580" s="113">
        <f>领料单!M67</f>
        <v>0</v>
      </c>
      <c r="F580" s="113">
        <f>领料单!N67</f>
        <v>0</v>
      </c>
      <c r="G580" s="113"/>
    </row>
    <row r="581" customHeight="1" spans="1:7">
      <c r="A581" s="113">
        <f>领料单!I68</f>
        <v>0</v>
      </c>
      <c r="B581" s="113">
        <f>领料单!J68</f>
        <v>0</v>
      </c>
      <c r="C581" s="113">
        <f>领料单!K68</f>
        <v>0</v>
      </c>
      <c r="D581" s="113">
        <f>领料单!L68</f>
        <v>0</v>
      </c>
      <c r="E581" s="113">
        <f>领料单!M68</f>
        <v>0</v>
      </c>
      <c r="F581" s="113">
        <f>领料单!N68</f>
        <v>0</v>
      </c>
      <c r="G581" s="113"/>
    </row>
    <row r="582" customHeight="1" spans="1:7">
      <c r="A582" s="113">
        <f>领料单!I69</f>
        <v>0</v>
      </c>
      <c r="B582" s="113">
        <f>领料单!J69</f>
        <v>0</v>
      </c>
      <c r="C582" s="113">
        <f>领料单!K69</f>
        <v>0</v>
      </c>
      <c r="D582" s="113">
        <f>领料单!L69</f>
        <v>0</v>
      </c>
      <c r="E582" s="113">
        <f>领料单!M69</f>
        <v>0</v>
      </c>
      <c r="F582" s="113">
        <f>领料单!N69</f>
        <v>0</v>
      </c>
      <c r="G582" s="113"/>
    </row>
    <row r="583" customHeight="1" spans="1:7">
      <c r="A583" s="113">
        <f>领料单!I70</f>
        <v>0</v>
      </c>
      <c r="B583" s="113">
        <f>领料单!J70</f>
        <v>0</v>
      </c>
      <c r="C583" s="113">
        <f>领料单!K70</f>
        <v>0</v>
      </c>
      <c r="D583" s="113">
        <f>领料单!L70</f>
        <v>0</v>
      </c>
      <c r="E583" s="113">
        <f>领料单!M70</f>
        <v>0</v>
      </c>
      <c r="F583" s="113">
        <f>领料单!N70</f>
        <v>0</v>
      </c>
      <c r="G583" s="113"/>
    </row>
    <row r="584" customHeight="1" spans="1:7">
      <c r="A584" s="113">
        <f>领料单!I71</f>
        <v>0</v>
      </c>
      <c r="B584" s="113">
        <f>领料单!J71</f>
        <v>0</v>
      </c>
      <c r="C584" s="113">
        <f>领料单!K71</f>
        <v>0</v>
      </c>
      <c r="D584" s="113">
        <f>领料单!L71</f>
        <v>0</v>
      </c>
      <c r="E584" s="113">
        <f>领料单!M71</f>
        <v>0</v>
      </c>
      <c r="F584" s="113">
        <f>领料单!N71</f>
        <v>0</v>
      </c>
      <c r="G584" s="113"/>
    </row>
    <row r="585" customHeight="1" spans="1:7">
      <c r="A585" s="113">
        <f>领料单!I72</f>
        <v>0</v>
      </c>
      <c r="B585" s="113">
        <f>领料单!J72</f>
        <v>0</v>
      </c>
      <c r="C585" s="113">
        <f>领料单!K72</f>
        <v>0</v>
      </c>
      <c r="D585" s="113">
        <f>领料单!L72</f>
        <v>0</v>
      </c>
      <c r="E585" s="113">
        <f>领料单!M72</f>
        <v>0</v>
      </c>
      <c r="F585" s="113">
        <f>领料单!N72</f>
        <v>0</v>
      </c>
      <c r="G585" s="113"/>
    </row>
    <row r="586" customHeight="1" spans="1:7">
      <c r="A586" s="115" t="s">
        <v>340</v>
      </c>
      <c r="B586" s="116"/>
      <c r="C586" s="116"/>
      <c r="D586" s="116"/>
      <c r="E586" s="117"/>
      <c r="F586" s="118">
        <f>SUM(F574:F585)</f>
        <v>0</v>
      </c>
      <c r="G586" s="114"/>
    </row>
    <row r="587" customHeight="1" spans="1:7">
      <c r="A587" s="119" t="s">
        <v>341</v>
      </c>
      <c r="B587" s="119"/>
      <c r="C587" s="120"/>
      <c r="D587" s="119"/>
      <c r="E587" s="121" t="s">
        <v>342</v>
      </c>
      <c r="F587" s="119"/>
      <c r="G587" s="119"/>
    </row>
    <row r="590" customHeight="1" spans="1:7">
      <c r="A590" s="105"/>
      <c r="B590" s="106"/>
      <c r="C590" s="107" t="s">
        <v>330</v>
      </c>
      <c r="D590" s="107"/>
      <c r="E590" s="107"/>
      <c r="F590" s="105"/>
      <c r="G590" s="105"/>
    </row>
    <row r="591" customHeight="1" spans="1:7">
      <c r="A591" s="108" t="s">
        <v>331</v>
      </c>
      <c r="B591" s="109"/>
      <c r="C591" s="110">
        <v>45777</v>
      </c>
      <c r="D591" s="110"/>
      <c r="E591" s="110"/>
      <c r="F591" s="111" t="s">
        <v>332</v>
      </c>
      <c r="G591" s="112" t="str">
        <f>立项!$A$4</f>
        <v>RD02</v>
      </c>
    </row>
    <row r="592" customHeight="1" spans="1:7">
      <c r="A592" s="113" t="s">
        <v>333</v>
      </c>
      <c r="B592" s="113" t="s">
        <v>334</v>
      </c>
      <c r="C592" s="113" t="s">
        <v>335</v>
      </c>
      <c r="D592" s="113" t="s">
        <v>336</v>
      </c>
      <c r="E592" s="113" t="s">
        <v>337</v>
      </c>
      <c r="F592" s="113" t="s">
        <v>338</v>
      </c>
      <c r="G592" s="113" t="s">
        <v>339</v>
      </c>
    </row>
    <row r="593" customHeight="1" spans="1:7">
      <c r="A593" s="113">
        <f>领料单!Q61</f>
        <v>0</v>
      </c>
      <c r="B593" s="113">
        <f>领料单!R61</f>
        <v>0</v>
      </c>
      <c r="C593" s="113">
        <f>领料单!S61</f>
        <v>0</v>
      </c>
      <c r="D593" s="113">
        <f>领料单!T61</f>
        <v>0</v>
      </c>
      <c r="E593" s="113">
        <f>领料单!U61</f>
        <v>0</v>
      </c>
      <c r="F593" s="113">
        <f>领料单!V61</f>
        <v>0</v>
      </c>
      <c r="G593" s="113"/>
    </row>
    <row r="594" customHeight="1" spans="1:7">
      <c r="A594" s="113">
        <f>领料单!Q62</f>
        <v>0</v>
      </c>
      <c r="B594" s="113">
        <f>领料单!R62</f>
        <v>0</v>
      </c>
      <c r="C594" s="113">
        <f>领料单!S62</f>
        <v>0</v>
      </c>
      <c r="D594" s="113">
        <f>领料单!T62</f>
        <v>0</v>
      </c>
      <c r="E594" s="113">
        <f>领料单!U62</f>
        <v>0</v>
      </c>
      <c r="F594" s="113">
        <f>领料单!V62</f>
        <v>0</v>
      </c>
      <c r="G594" s="113"/>
    </row>
    <row r="595" customHeight="1" spans="1:7">
      <c r="A595" s="113">
        <f>领料单!Q63</f>
        <v>0</v>
      </c>
      <c r="B595" s="113">
        <f>领料单!R63</f>
        <v>0</v>
      </c>
      <c r="C595" s="113">
        <f>领料单!S63</f>
        <v>0</v>
      </c>
      <c r="D595" s="113">
        <f>领料单!T63</f>
        <v>0</v>
      </c>
      <c r="E595" s="113">
        <f>领料单!U63</f>
        <v>0</v>
      </c>
      <c r="F595" s="113">
        <f>领料单!V63</f>
        <v>0</v>
      </c>
      <c r="G595" s="113"/>
    </row>
    <row r="596" customHeight="1" spans="1:7">
      <c r="A596" s="113">
        <f>领料单!Q64</f>
        <v>0</v>
      </c>
      <c r="B596" s="113">
        <f>领料单!R64</f>
        <v>0</v>
      </c>
      <c r="C596" s="113">
        <f>领料单!S64</f>
        <v>0</v>
      </c>
      <c r="D596" s="113">
        <f>领料单!T64</f>
        <v>0</v>
      </c>
      <c r="E596" s="113">
        <f>领料单!U64</f>
        <v>0</v>
      </c>
      <c r="F596" s="113">
        <f>领料单!V64</f>
        <v>0</v>
      </c>
      <c r="G596" s="113"/>
    </row>
    <row r="597" customHeight="1" spans="1:7">
      <c r="A597" s="113">
        <f>领料单!Q65</f>
        <v>0</v>
      </c>
      <c r="B597" s="113">
        <f>领料单!R65</f>
        <v>0</v>
      </c>
      <c r="C597" s="113">
        <f>领料单!S65</f>
        <v>0</v>
      </c>
      <c r="D597" s="113">
        <f>领料单!T65</f>
        <v>0</v>
      </c>
      <c r="E597" s="113">
        <f>领料单!U65</f>
        <v>0</v>
      </c>
      <c r="F597" s="113">
        <f>领料单!V65</f>
        <v>0</v>
      </c>
      <c r="G597" s="113"/>
    </row>
    <row r="598" customHeight="1" spans="1:7">
      <c r="A598" s="113">
        <f>领料单!Q66</f>
        <v>0</v>
      </c>
      <c r="B598" s="113">
        <f>领料单!R66</f>
        <v>0</v>
      </c>
      <c r="C598" s="113">
        <f>领料单!S66</f>
        <v>0</v>
      </c>
      <c r="D598" s="113">
        <f>领料单!T66</f>
        <v>0</v>
      </c>
      <c r="E598" s="113">
        <f>领料单!U66</f>
        <v>0</v>
      </c>
      <c r="F598" s="113">
        <f>领料单!V66</f>
        <v>0</v>
      </c>
      <c r="G598" s="113"/>
    </row>
    <row r="599" customHeight="1" spans="1:7">
      <c r="A599" s="113">
        <f>领料单!Q67</f>
        <v>0</v>
      </c>
      <c r="B599" s="113">
        <f>领料单!R67</f>
        <v>0</v>
      </c>
      <c r="C599" s="113">
        <f>领料单!S67</f>
        <v>0</v>
      </c>
      <c r="D599" s="113">
        <f>领料单!T67</f>
        <v>0</v>
      </c>
      <c r="E599" s="113">
        <f>领料单!U67</f>
        <v>0</v>
      </c>
      <c r="F599" s="113">
        <f>领料单!V67</f>
        <v>0</v>
      </c>
      <c r="G599" s="113"/>
    </row>
    <row r="600" customHeight="1" spans="1:7">
      <c r="A600" s="113">
        <f>领料单!Q68</f>
        <v>0</v>
      </c>
      <c r="B600" s="113">
        <f>领料单!R68</f>
        <v>0</v>
      </c>
      <c r="C600" s="113">
        <f>领料单!S68</f>
        <v>0</v>
      </c>
      <c r="D600" s="113">
        <f>领料单!T68</f>
        <v>0</v>
      </c>
      <c r="E600" s="113">
        <f>领料单!U68</f>
        <v>0</v>
      </c>
      <c r="F600" s="113">
        <f>领料单!V68</f>
        <v>0</v>
      </c>
      <c r="G600" s="113"/>
    </row>
    <row r="601" customHeight="1" spans="1:7">
      <c r="A601" s="113">
        <f>领料单!Q69</f>
        <v>0</v>
      </c>
      <c r="B601" s="113">
        <f>领料单!R69</f>
        <v>0</v>
      </c>
      <c r="C601" s="113">
        <f>领料单!S69</f>
        <v>0</v>
      </c>
      <c r="D601" s="113">
        <f>领料单!T69</f>
        <v>0</v>
      </c>
      <c r="E601" s="113">
        <f>领料单!U69</f>
        <v>0</v>
      </c>
      <c r="F601" s="113">
        <f>领料单!V69</f>
        <v>0</v>
      </c>
      <c r="G601" s="113"/>
    </row>
    <row r="602" customHeight="1" spans="1:7">
      <c r="A602" s="113">
        <f>领料单!Q70</f>
        <v>0</v>
      </c>
      <c r="B602" s="113">
        <f>领料单!R70</f>
        <v>0</v>
      </c>
      <c r="C602" s="113">
        <f>领料单!S70</f>
        <v>0</v>
      </c>
      <c r="D602" s="113">
        <f>领料单!T70</f>
        <v>0</v>
      </c>
      <c r="E602" s="113">
        <f>领料单!U70</f>
        <v>0</v>
      </c>
      <c r="F602" s="113">
        <f>领料单!V70</f>
        <v>0</v>
      </c>
      <c r="G602" s="113"/>
    </row>
    <row r="603" customHeight="1" spans="1:7">
      <c r="A603" s="113">
        <f>领料单!Q71</f>
        <v>0</v>
      </c>
      <c r="B603" s="113">
        <f>领料单!R71</f>
        <v>0</v>
      </c>
      <c r="C603" s="113">
        <f>领料单!S71</f>
        <v>0</v>
      </c>
      <c r="D603" s="113">
        <f>领料单!T71</f>
        <v>0</v>
      </c>
      <c r="E603" s="113">
        <f>领料单!U71</f>
        <v>0</v>
      </c>
      <c r="F603" s="113">
        <f>领料单!V71</f>
        <v>0</v>
      </c>
      <c r="G603" s="113"/>
    </row>
    <row r="604" customHeight="1" spans="1:7">
      <c r="A604" s="113">
        <f>领料单!Q72</f>
        <v>0</v>
      </c>
      <c r="B604" s="113">
        <f>领料单!R72</f>
        <v>0</v>
      </c>
      <c r="C604" s="113">
        <f>领料单!S72</f>
        <v>0</v>
      </c>
      <c r="D604" s="113">
        <f>领料单!T72</f>
        <v>0</v>
      </c>
      <c r="E604" s="113">
        <f>领料单!U72</f>
        <v>0</v>
      </c>
      <c r="F604" s="113">
        <f>领料单!V72</f>
        <v>0</v>
      </c>
      <c r="G604" s="113"/>
    </row>
    <row r="605" customHeight="1" spans="1:7">
      <c r="A605" s="115" t="s">
        <v>340</v>
      </c>
      <c r="B605" s="116"/>
      <c r="C605" s="116"/>
      <c r="D605" s="116"/>
      <c r="E605" s="117"/>
      <c r="F605" s="118">
        <f>SUM(F593:F604)</f>
        <v>0</v>
      </c>
      <c r="G605" s="114"/>
    </row>
    <row r="606" customHeight="1" spans="1:7">
      <c r="A606" s="119" t="s">
        <v>341</v>
      </c>
      <c r="B606" s="119"/>
      <c r="C606" s="120"/>
      <c r="D606" s="119"/>
      <c r="E606" s="121" t="s">
        <v>342</v>
      </c>
      <c r="F606" s="119"/>
      <c r="G606" s="119"/>
    </row>
    <row r="609" customHeight="1" spans="1:7">
      <c r="A609" s="105"/>
      <c r="B609" s="106"/>
      <c r="C609" s="107" t="s">
        <v>330</v>
      </c>
      <c r="D609" s="107"/>
      <c r="E609" s="107"/>
      <c r="F609" s="105"/>
      <c r="G609" s="105"/>
    </row>
    <row r="610" customHeight="1" spans="1:7">
      <c r="A610" s="108" t="s">
        <v>331</v>
      </c>
      <c r="B610" s="109"/>
      <c r="C610" s="110">
        <v>45777</v>
      </c>
      <c r="D610" s="110"/>
      <c r="E610" s="110"/>
      <c r="F610" s="111" t="s">
        <v>332</v>
      </c>
      <c r="G610" s="112" t="str">
        <f>立项!$A$5</f>
        <v>RD03</v>
      </c>
    </row>
    <row r="611" customHeight="1" spans="1:7">
      <c r="A611" s="113" t="s">
        <v>333</v>
      </c>
      <c r="B611" s="113" t="s">
        <v>334</v>
      </c>
      <c r="C611" s="113" t="s">
        <v>335</v>
      </c>
      <c r="D611" s="113" t="s">
        <v>336</v>
      </c>
      <c r="E611" s="113" t="s">
        <v>337</v>
      </c>
      <c r="F611" s="113" t="s">
        <v>338</v>
      </c>
      <c r="G611" s="113" t="s">
        <v>339</v>
      </c>
    </row>
    <row r="612" customHeight="1" spans="1:7">
      <c r="A612" s="113">
        <f>领料单!Y61</f>
        <v>0</v>
      </c>
      <c r="B612" s="113">
        <f>领料单!Z61</f>
        <v>0</v>
      </c>
      <c r="C612" s="113">
        <f>领料单!AA61</f>
        <v>0</v>
      </c>
      <c r="D612" s="113">
        <f>领料单!AB61</f>
        <v>0</v>
      </c>
      <c r="E612" s="113">
        <f>领料单!AC61</f>
        <v>0</v>
      </c>
      <c r="F612" s="113">
        <f>领料单!AD61</f>
        <v>0</v>
      </c>
      <c r="G612" s="113"/>
    </row>
    <row r="613" customHeight="1" spans="1:7">
      <c r="A613" s="113">
        <f>领料单!Y62</f>
        <v>0</v>
      </c>
      <c r="B613" s="113">
        <f>领料单!Z62</f>
        <v>0</v>
      </c>
      <c r="C613" s="113">
        <f>领料单!AA62</f>
        <v>0</v>
      </c>
      <c r="D613" s="113">
        <f>领料单!AB62</f>
        <v>0</v>
      </c>
      <c r="E613" s="113">
        <f>领料单!AC62</f>
        <v>0</v>
      </c>
      <c r="F613" s="113">
        <f>领料单!AD62</f>
        <v>0</v>
      </c>
      <c r="G613" s="113"/>
    </row>
    <row r="614" customHeight="1" spans="1:7">
      <c r="A614" s="113">
        <f>领料单!Y63</f>
        <v>0</v>
      </c>
      <c r="B614" s="113">
        <f>领料单!Z63</f>
        <v>0</v>
      </c>
      <c r="C614" s="113">
        <f>领料单!AA63</f>
        <v>0</v>
      </c>
      <c r="D614" s="113">
        <f>领料单!AB63</f>
        <v>0</v>
      </c>
      <c r="E614" s="113">
        <f>领料单!AC63</f>
        <v>0</v>
      </c>
      <c r="F614" s="113">
        <f>领料单!AD63</f>
        <v>0</v>
      </c>
      <c r="G614" s="113"/>
    </row>
    <row r="615" customHeight="1" spans="1:7">
      <c r="A615" s="113">
        <f>领料单!Y64</f>
        <v>0</v>
      </c>
      <c r="B615" s="113">
        <f>领料单!Z64</f>
        <v>0</v>
      </c>
      <c r="C615" s="113">
        <f>领料单!AA64</f>
        <v>0</v>
      </c>
      <c r="D615" s="113">
        <f>领料单!AB64</f>
        <v>0</v>
      </c>
      <c r="E615" s="113">
        <f>领料单!AC64</f>
        <v>0</v>
      </c>
      <c r="F615" s="113">
        <f>领料单!AD64</f>
        <v>0</v>
      </c>
      <c r="G615" s="113"/>
    </row>
    <row r="616" customHeight="1" spans="1:7">
      <c r="A616" s="113">
        <f>领料单!Y65</f>
        <v>0</v>
      </c>
      <c r="B616" s="113">
        <f>领料单!Z65</f>
        <v>0</v>
      </c>
      <c r="C616" s="113">
        <f>领料单!AA65</f>
        <v>0</v>
      </c>
      <c r="D616" s="113">
        <f>领料单!AB65</f>
        <v>0</v>
      </c>
      <c r="E616" s="113">
        <f>领料单!AC65</f>
        <v>0</v>
      </c>
      <c r="F616" s="113">
        <f>领料单!AD65</f>
        <v>0</v>
      </c>
      <c r="G616" s="113"/>
    </row>
    <row r="617" customHeight="1" spans="1:7">
      <c r="A617" s="113">
        <f>领料单!Y66</f>
        <v>0</v>
      </c>
      <c r="B617" s="113">
        <f>领料单!Z66</f>
        <v>0</v>
      </c>
      <c r="C617" s="113">
        <f>领料单!AA66</f>
        <v>0</v>
      </c>
      <c r="D617" s="113">
        <f>领料单!AB66</f>
        <v>0</v>
      </c>
      <c r="E617" s="113">
        <f>领料单!AC66</f>
        <v>0</v>
      </c>
      <c r="F617" s="113">
        <f>领料单!AD66</f>
        <v>0</v>
      </c>
      <c r="G617" s="113"/>
    </row>
    <row r="618" customHeight="1" spans="1:7">
      <c r="A618" s="113">
        <f>领料单!Y67</f>
        <v>0</v>
      </c>
      <c r="B618" s="113">
        <f>领料单!Z67</f>
        <v>0</v>
      </c>
      <c r="C618" s="113">
        <f>领料单!AA67</f>
        <v>0</v>
      </c>
      <c r="D618" s="113">
        <f>领料单!AB67</f>
        <v>0</v>
      </c>
      <c r="E618" s="113">
        <f>领料单!AC67</f>
        <v>0</v>
      </c>
      <c r="F618" s="113">
        <f>领料单!AD67</f>
        <v>0</v>
      </c>
      <c r="G618" s="113"/>
    </row>
    <row r="619" customHeight="1" spans="1:7">
      <c r="A619" s="113">
        <f>领料单!Y68</f>
        <v>0</v>
      </c>
      <c r="B619" s="113">
        <f>领料单!Z68</f>
        <v>0</v>
      </c>
      <c r="C619" s="113">
        <f>领料单!AA68</f>
        <v>0</v>
      </c>
      <c r="D619" s="113">
        <f>领料单!AB68</f>
        <v>0</v>
      </c>
      <c r="E619" s="113">
        <f>领料单!AC68</f>
        <v>0</v>
      </c>
      <c r="F619" s="113">
        <f>领料单!AD68</f>
        <v>0</v>
      </c>
      <c r="G619" s="113"/>
    </row>
    <row r="620" customHeight="1" spans="1:7">
      <c r="A620" s="113">
        <f>领料单!Y69</f>
        <v>0</v>
      </c>
      <c r="B620" s="113">
        <f>领料单!Z69</f>
        <v>0</v>
      </c>
      <c r="C620" s="113">
        <f>领料单!AA69</f>
        <v>0</v>
      </c>
      <c r="D620" s="113">
        <f>领料单!AB69</f>
        <v>0</v>
      </c>
      <c r="E620" s="113">
        <f>领料单!AC69</f>
        <v>0</v>
      </c>
      <c r="F620" s="113">
        <f>领料单!AD69</f>
        <v>0</v>
      </c>
      <c r="G620" s="113"/>
    </row>
    <row r="621" customHeight="1" spans="1:7">
      <c r="A621" s="113">
        <f>领料单!Y70</f>
        <v>0</v>
      </c>
      <c r="B621" s="113">
        <f>领料单!Z70</f>
        <v>0</v>
      </c>
      <c r="C621" s="113">
        <f>领料单!AA70</f>
        <v>0</v>
      </c>
      <c r="D621" s="113">
        <f>领料单!AB70</f>
        <v>0</v>
      </c>
      <c r="E621" s="113">
        <f>领料单!AC70</f>
        <v>0</v>
      </c>
      <c r="F621" s="113">
        <f>领料单!AD70</f>
        <v>0</v>
      </c>
      <c r="G621" s="113"/>
    </row>
    <row r="622" customHeight="1" spans="1:7">
      <c r="A622" s="113">
        <f>领料单!Y71</f>
        <v>0</v>
      </c>
      <c r="B622" s="113">
        <f>领料单!Z71</f>
        <v>0</v>
      </c>
      <c r="C622" s="113">
        <f>领料单!AA71</f>
        <v>0</v>
      </c>
      <c r="D622" s="113">
        <f>领料单!AB71</f>
        <v>0</v>
      </c>
      <c r="E622" s="113">
        <f>领料单!AC71</f>
        <v>0</v>
      </c>
      <c r="F622" s="113">
        <f>领料单!AD71</f>
        <v>0</v>
      </c>
      <c r="G622" s="113"/>
    </row>
    <row r="623" customHeight="1" spans="1:7">
      <c r="A623" s="113">
        <f>领料单!Y72</f>
        <v>0</v>
      </c>
      <c r="B623" s="113">
        <f>领料单!Z72</f>
        <v>0</v>
      </c>
      <c r="C623" s="113">
        <f>领料单!AA72</f>
        <v>0</v>
      </c>
      <c r="D623" s="113">
        <f>领料单!AB72</f>
        <v>0</v>
      </c>
      <c r="E623" s="113">
        <f>领料单!AC72</f>
        <v>0</v>
      </c>
      <c r="F623" s="113">
        <f>领料单!AD72</f>
        <v>0</v>
      </c>
      <c r="G623" s="113"/>
    </row>
    <row r="624" customHeight="1" spans="1:7">
      <c r="A624" s="115" t="s">
        <v>340</v>
      </c>
      <c r="B624" s="116"/>
      <c r="C624" s="116"/>
      <c r="D624" s="116"/>
      <c r="E624" s="117"/>
      <c r="F624" s="118">
        <f>SUM(F612:F623)</f>
        <v>0</v>
      </c>
      <c r="G624" s="114"/>
    </row>
    <row r="625" customHeight="1" spans="1:7">
      <c r="A625" s="119" t="s">
        <v>341</v>
      </c>
      <c r="B625" s="119"/>
      <c r="C625" s="120"/>
      <c r="D625" s="119"/>
      <c r="E625" s="121" t="s">
        <v>342</v>
      </c>
      <c r="F625" s="119"/>
      <c r="G625" s="119"/>
    </row>
    <row r="628" customHeight="1" spans="1:7">
      <c r="A628" s="105"/>
      <c r="B628" s="106"/>
      <c r="C628" s="107" t="s">
        <v>330</v>
      </c>
      <c r="D628" s="107"/>
      <c r="E628" s="107"/>
      <c r="F628" s="105"/>
      <c r="G628" s="105"/>
    </row>
    <row r="629" customHeight="1" spans="1:7">
      <c r="A629" s="108" t="s">
        <v>331</v>
      </c>
      <c r="B629" s="109"/>
      <c r="C629" s="110">
        <v>45777</v>
      </c>
      <c r="D629" s="110"/>
      <c r="E629" s="110"/>
      <c r="F629" s="111" t="s">
        <v>332</v>
      </c>
      <c r="G629" s="112" t="str">
        <f>立项!$A$6</f>
        <v>RD04</v>
      </c>
    </row>
    <row r="630" customHeight="1" spans="1:7">
      <c r="A630" s="113" t="s">
        <v>333</v>
      </c>
      <c r="B630" s="113" t="s">
        <v>334</v>
      </c>
      <c r="C630" s="113" t="s">
        <v>335</v>
      </c>
      <c r="D630" s="113" t="s">
        <v>336</v>
      </c>
      <c r="E630" s="113" t="s">
        <v>337</v>
      </c>
      <c r="F630" s="113" t="s">
        <v>338</v>
      </c>
      <c r="G630" s="113" t="s">
        <v>339</v>
      </c>
    </row>
    <row r="631" customHeight="1" spans="1:7">
      <c r="A631" s="113">
        <f>领料单!AG61</f>
        <v>0</v>
      </c>
      <c r="B631" s="113">
        <f>领料单!AH61</f>
        <v>0</v>
      </c>
      <c r="C631" s="113">
        <f>领料单!AI61</f>
        <v>0</v>
      </c>
      <c r="D631" s="113">
        <f>领料单!AJ61</f>
        <v>0</v>
      </c>
      <c r="E631" s="113">
        <f>领料单!AK61</f>
        <v>0</v>
      </c>
      <c r="F631" s="113">
        <f>领料单!AL61</f>
        <v>0</v>
      </c>
      <c r="G631" s="113"/>
    </row>
    <row r="632" customHeight="1" spans="1:7">
      <c r="A632" s="113">
        <f>领料单!AG62</f>
        <v>0</v>
      </c>
      <c r="B632" s="113">
        <f>领料单!AH62</f>
        <v>0</v>
      </c>
      <c r="C632" s="113">
        <f>领料单!AI62</f>
        <v>0</v>
      </c>
      <c r="D632" s="113">
        <f>领料单!AJ62</f>
        <v>0</v>
      </c>
      <c r="E632" s="113">
        <f>领料单!AK62</f>
        <v>0</v>
      </c>
      <c r="F632" s="113">
        <f>领料单!AL62</f>
        <v>0</v>
      </c>
      <c r="G632" s="113"/>
    </row>
    <row r="633" customHeight="1" spans="1:7">
      <c r="A633" s="113">
        <f>领料单!AG63</f>
        <v>0</v>
      </c>
      <c r="B633" s="113">
        <f>领料单!AH63</f>
        <v>0</v>
      </c>
      <c r="C633" s="113">
        <f>领料单!AI63</f>
        <v>0</v>
      </c>
      <c r="D633" s="113">
        <f>领料单!AJ63</f>
        <v>0</v>
      </c>
      <c r="E633" s="113">
        <f>领料单!AK63</f>
        <v>0</v>
      </c>
      <c r="F633" s="113">
        <f>领料单!AL63</f>
        <v>0</v>
      </c>
      <c r="G633" s="113"/>
    </row>
    <row r="634" customHeight="1" spans="1:7">
      <c r="A634" s="113">
        <f>领料单!AG64</f>
        <v>0</v>
      </c>
      <c r="B634" s="113">
        <f>领料单!AH64</f>
        <v>0</v>
      </c>
      <c r="C634" s="113">
        <f>领料单!AI64</f>
        <v>0</v>
      </c>
      <c r="D634" s="113">
        <f>领料单!AJ64</f>
        <v>0</v>
      </c>
      <c r="E634" s="113">
        <f>领料单!AK64</f>
        <v>0</v>
      </c>
      <c r="F634" s="113">
        <f>领料单!AL64</f>
        <v>0</v>
      </c>
      <c r="G634" s="113"/>
    </row>
    <row r="635" customHeight="1" spans="1:7">
      <c r="A635" s="113">
        <f>领料单!AG65</f>
        <v>0</v>
      </c>
      <c r="B635" s="113">
        <f>领料单!AH65</f>
        <v>0</v>
      </c>
      <c r="C635" s="113">
        <f>领料单!AI65</f>
        <v>0</v>
      </c>
      <c r="D635" s="113">
        <f>领料单!AJ65</f>
        <v>0</v>
      </c>
      <c r="E635" s="113">
        <f>领料单!AK65</f>
        <v>0</v>
      </c>
      <c r="F635" s="113">
        <f>领料单!AL65</f>
        <v>0</v>
      </c>
      <c r="G635" s="113"/>
    </row>
    <row r="636" customHeight="1" spans="1:7">
      <c r="A636" s="113">
        <f>领料单!AG66</f>
        <v>0</v>
      </c>
      <c r="B636" s="113">
        <f>领料单!AH66</f>
        <v>0</v>
      </c>
      <c r="C636" s="113">
        <f>领料单!AI66</f>
        <v>0</v>
      </c>
      <c r="D636" s="113">
        <f>领料单!AJ66</f>
        <v>0</v>
      </c>
      <c r="E636" s="113">
        <f>领料单!AK66</f>
        <v>0</v>
      </c>
      <c r="F636" s="113">
        <f>领料单!AL66</f>
        <v>0</v>
      </c>
      <c r="G636" s="113"/>
    </row>
    <row r="637" customHeight="1" spans="1:7">
      <c r="A637" s="113">
        <f>领料单!AG67</f>
        <v>0</v>
      </c>
      <c r="B637" s="113">
        <f>领料单!AH67</f>
        <v>0</v>
      </c>
      <c r="C637" s="113">
        <f>领料单!AI67</f>
        <v>0</v>
      </c>
      <c r="D637" s="113">
        <f>领料单!AJ67</f>
        <v>0</v>
      </c>
      <c r="E637" s="113">
        <f>领料单!AK67</f>
        <v>0</v>
      </c>
      <c r="F637" s="113">
        <f>领料单!AL67</f>
        <v>0</v>
      </c>
      <c r="G637" s="113"/>
    </row>
    <row r="638" customHeight="1" spans="1:7">
      <c r="A638" s="113">
        <f>领料单!AG68</f>
        <v>0</v>
      </c>
      <c r="B638" s="113">
        <f>领料单!AH68</f>
        <v>0</v>
      </c>
      <c r="C638" s="113">
        <f>领料单!AI68</f>
        <v>0</v>
      </c>
      <c r="D638" s="113">
        <f>领料单!AJ68</f>
        <v>0</v>
      </c>
      <c r="E638" s="113">
        <f>领料单!AK68</f>
        <v>0</v>
      </c>
      <c r="F638" s="113">
        <f>领料单!AL68</f>
        <v>0</v>
      </c>
      <c r="G638" s="113"/>
    </row>
    <row r="639" customHeight="1" spans="1:7">
      <c r="A639" s="113">
        <f>领料单!AG69</f>
        <v>0</v>
      </c>
      <c r="B639" s="113">
        <f>领料单!AH69</f>
        <v>0</v>
      </c>
      <c r="C639" s="113">
        <f>领料单!AI69</f>
        <v>0</v>
      </c>
      <c r="D639" s="113">
        <f>领料单!AJ69</f>
        <v>0</v>
      </c>
      <c r="E639" s="113">
        <f>领料单!AK69</f>
        <v>0</v>
      </c>
      <c r="F639" s="113">
        <f>领料单!AL69</f>
        <v>0</v>
      </c>
      <c r="G639" s="113"/>
    </row>
    <row r="640" customHeight="1" spans="1:7">
      <c r="A640" s="113">
        <f>领料单!AG70</f>
        <v>0</v>
      </c>
      <c r="B640" s="113">
        <f>领料单!AH70</f>
        <v>0</v>
      </c>
      <c r="C640" s="113">
        <f>领料单!AI70</f>
        <v>0</v>
      </c>
      <c r="D640" s="113">
        <f>领料单!AJ70</f>
        <v>0</v>
      </c>
      <c r="E640" s="113">
        <f>领料单!AK70</f>
        <v>0</v>
      </c>
      <c r="F640" s="113">
        <f>领料单!AL70</f>
        <v>0</v>
      </c>
      <c r="G640" s="113"/>
    </row>
    <row r="641" customHeight="1" spans="1:7">
      <c r="A641" s="113">
        <f>领料单!AG71</f>
        <v>0</v>
      </c>
      <c r="B641" s="113">
        <f>领料单!AH71</f>
        <v>0</v>
      </c>
      <c r="C641" s="113">
        <f>领料单!AI71</f>
        <v>0</v>
      </c>
      <c r="D641" s="113">
        <f>领料单!AJ71</f>
        <v>0</v>
      </c>
      <c r="E641" s="113">
        <f>领料单!AK71</f>
        <v>0</v>
      </c>
      <c r="F641" s="113">
        <f>领料单!AL71</f>
        <v>0</v>
      </c>
      <c r="G641" s="113"/>
    </row>
    <row r="642" customHeight="1" spans="1:7">
      <c r="A642" s="113">
        <f>领料单!AG72</f>
        <v>0</v>
      </c>
      <c r="B642" s="113">
        <f>领料单!AH72</f>
        <v>0</v>
      </c>
      <c r="C642" s="113">
        <f>领料单!AI72</f>
        <v>0</v>
      </c>
      <c r="D642" s="113">
        <f>领料单!AJ72</f>
        <v>0</v>
      </c>
      <c r="E642" s="113">
        <f>领料单!AK72</f>
        <v>0</v>
      </c>
      <c r="F642" s="113">
        <f>领料单!AL72</f>
        <v>0</v>
      </c>
      <c r="G642" s="113"/>
    </row>
    <row r="643" customHeight="1" spans="1:7">
      <c r="A643" s="115" t="s">
        <v>340</v>
      </c>
      <c r="B643" s="116"/>
      <c r="C643" s="116"/>
      <c r="D643" s="116"/>
      <c r="E643" s="117"/>
      <c r="F643" s="118">
        <f>SUM(F631:F642)</f>
        <v>0</v>
      </c>
      <c r="G643" s="114"/>
    </row>
    <row r="644" customHeight="1" spans="1:7">
      <c r="A644" s="119" t="s">
        <v>341</v>
      </c>
      <c r="B644" s="119"/>
      <c r="C644" s="120"/>
      <c r="D644" s="119"/>
      <c r="E644" s="121" t="s">
        <v>342</v>
      </c>
      <c r="F644" s="119"/>
      <c r="G644" s="119"/>
    </row>
    <row r="647" customHeight="1" spans="1:7">
      <c r="A647" s="105"/>
      <c r="B647" s="106"/>
      <c r="C647" s="107" t="s">
        <v>330</v>
      </c>
      <c r="D647" s="107"/>
      <c r="E647" s="107"/>
      <c r="F647" s="105"/>
      <c r="G647" s="105"/>
    </row>
    <row r="648" customHeight="1" spans="1:7">
      <c r="A648" s="108" t="s">
        <v>331</v>
      </c>
      <c r="B648" s="109"/>
      <c r="C648" s="110">
        <v>45777</v>
      </c>
      <c r="D648" s="110"/>
      <c r="E648" s="110"/>
      <c r="F648" s="111" t="s">
        <v>332</v>
      </c>
      <c r="G648" s="112" t="str">
        <f>立项!$A$7</f>
        <v>RD05</v>
      </c>
    </row>
    <row r="649" customHeight="1" spans="1:7">
      <c r="A649" s="113" t="s">
        <v>333</v>
      </c>
      <c r="B649" s="113" t="s">
        <v>334</v>
      </c>
      <c r="C649" s="113" t="s">
        <v>335</v>
      </c>
      <c r="D649" s="113" t="s">
        <v>336</v>
      </c>
      <c r="E649" s="113" t="s">
        <v>337</v>
      </c>
      <c r="F649" s="113" t="s">
        <v>338</v>
      </c>
      <c r="G649" s="113" t="s">
        <v>339</v>
      </c>
    </row>
    <row r="650" customHeight="1" spans="1:7">
      <c r="A650" s="113">
        <f>领料单!AO61</f>
        <v>0</v>
      </c>
      <c r="B650" s="113">
        <f>领料单!AP61</f>
        <v>0</v>
      </c>
      <c r="C650" s="113">
        <f>领料单!AQ61</f>
        <v>0</v>
      </c>
      <c r="D650" s="113">
        <f>领料单!AR61</f>
        <v>0</v>
      </c>
      <c r="E650" s="113">
        <f>领料单!AS61</f>
        <v>0</v>
      </c>
      <c r="F650" s="113">
        <f>领料单!AT61</f>
        <v>0</v>
      </c>
      <c r="G650" s="113"/>
    </row>
    <row r="651" customHeight="1" spans="1:7">
      <c r="A651" s="113">
        <f>领料单!AO62</f>
        <v>0</v>
      </c>
      <c r="B651" s="113">
        <f>领料单!AP62</f>
        <v>0</v>
      </c>
      <c r="C651" s="113">
        <f>领料单!AQ62</f>
        <v>0</v>
      </c>
      <c r="D651" s="113">
        <f>领料单!AR62</f>
        <v>0</v>
      </c>
      <c r="E651" s="113">
        <f>领料单!AS62</f>
        <v>0</v>
      </c>
      <c r="F651" s="113">
        <f>领料单!AT62</f>
        <v>0</v>
      </c>
      <c r="G651" s="113"/>
    </row>
    <row r="652" customHeight="1" spans="1:7">
      <c r="A652" s="113">
        <f>领料单!AO63</f>
        <v>0</v>
      </c>
      <c r="B652" s="113">
        <f>领料单!AP63</f>
        <v>0</v>
      </c>
      <c r="C652" s="113">
        <f>领料单!AQ63</f>
        <v>0</v>
      </c>
      <c r="D652" s="113">
        <f>领料单!AR63</f>
        <v>0</v>
      </c>
      <c r="E652" s="113">
        <f>领料单!AS63</f>
        <v>0</v>
      </c>
      <c r="F652" s="113">
        <f>领料单!AT63</f>
        <v>0</v>
      </c>
      <c r="G652" s="113"/>
    </row>
    <row r="653" customHeight="1" spans="1:7">
      <c r="A653" s="113">
        <f>领料单!AO64</f>
        <v>0</v>
      </c>
      <c r="B653" s="113">
        <f>领料单!AP64</f>
        <v>0</v>
      </c>
      <c r="C653" s="113">
        <f>领料单!AQ64</f>
        <v>0</v>
      </c>
      <c r="D653" s="113">
        <f>领料单!AR64</f>
        <v>0</v>
      </c>
      <c r="E653" s="113">
        <f>领料单!AS64</f>
        <v>0</v>
      </c>
      <c r="F653" s="113">
        <f>领料单!AT64</f>
        <v>0</v>
      </c>
      <c r="G653" s="113"/>
    </row>
    <row r="654" customHeight="1" spans="1:7">
      <c r="A654" s="113">
        <f>领料单!AO65</f>
        <v>0</v>
      </c>
      <c r="B654" s="113">
        <f>领料单!AP65</f>
        <v>0</v>
      </c>
      <c r="C654" s="113">
        <f>领料单!AQ65</f>
        <v>0</v>
      </c>
      <c r="D654" s="113">
        <f>领料单!AR65</f>
        <v>0</v>
      </c>
      <c r="E654" s="113">
        <f>领料单!AS65</f>
        <v>0</v>
      </c>
      <c r="F654" s="113">
        <f>领料单!AT65</f>
        <v>0</v>
      </c>
      <c r="G654" s="113"/>
    </row>
    <row r="655" customHeight="1" spans="1:7">
      <c r="A655" s="113">
        <f>领料单!AO66</f>
        <v>0</v>
      </c>
      <c r="B655" s="113">
        <f>领料单!AP66</f>
        <v>0</v>
      </c>
      <c r="C655" s="113">
        <f>领料单!AQ66</f>
        <v>0</v>
      </c>
      <c r="D655" s="113">
        <f>领料单!AR66</f>
        <v>0</v>
      </c>
      <c r="E655" s="113">
        <f>领料单!AS66</f>
        <v>0</v>
      </c>
      <c r="F655" s="113">
        <f>领料单!AT66</f>
        <v>0</v>
      </c>
      <c r="G655" s="113"/>
    </row>
    <row r="656" customHeight="1" spans="1:7">
      <c r="A656" s="113">
        <f>领料单!AO67</f>
        <v>0</v>
      </c>
      <c r="B656" s="113">
        <f>领料单!AP67</f>
        <v>0</v>
      </c>
      <c r="C656" s="113">
        <f>领料单!AQ67</f>
        <v>0</v>
      </c>
      <c r="D656" s="113">
        <f>领料单!AR67</f>
        <v>0</v>
      </c>
      <c r="E656" s="113">
        <f>领料单!AS67</f>
        <v>0</v>
      </c>
      <c r="F656" s="113">
        <f>领料单!AT67</f>
        <v>0</v>
      </c>
      <c r="G656" s="113"/>
    </row>
    <row r="657" customHeight="1" spans="1:7">
      <c r="A657" s="113">
        <f>领料单!AO68</f>
        <v>0</v>
      </c>
      <c r="B657" s="113">
        <f>领料单!AP68</f>
        <v>0</v>
      </c>
      <c r="C657" s="113">
        <f>领料单!AQ68</f>
        <v>0</v>
      </c>
      <c r="D657" s="113">
        <f>领料单!AR68</f>
        <v>0</v>
      </c>
      <c r="E657" s="113">
        <f>领料单!AS68</f>
        <v>0</v>
      </c>
      <c r="F657" s="113">
        <f>领料单!AT68</f>
        <v>0</v>
      </c>
      <c r="G657" s="113"/>
    </row>
    <row r="658" customHeight="1" spans="1:7">
      <c r="A658" s="113">
        <f>领料单!AO69</f>
        <v>0</v>
      </c>
      <c r="B658" s="113">
        <f>领料单!AP69</f>
        <v>0</v>
      </c>
      <c r="C658" s="113">
        <f>领料单!AQ69</f>
        <v>0</v>
      </c>
      <c r="D658" s="113">
        <f>领料单!AR69</f>
        <v>0</v>
      </c>
      <c r="E658" s="113">
        <f>领料单!AS69</f>
        <v>0</v>
      </c>
      <c r="F658" s="113">
        <f>领料单!AT69</f>
        <v>0</v>
      </c>
      <c r="G658" s="113"/>
    </row>
    <row r="659" customHeight="1" spans="1:7">
      <c r="A659" s="113">
        <f>领料单!AO70</f>
        <v>0</v>
      </c>
      <c r="B659" s="113">
        <f>领料单!AP70</f>
        <v>0</v>
      </c>
      <c r="C659" s="113">
        <f>领料单!AQ70</f>
        <v>0</v>
      </c>
      <c r="D659" s="113">
        <f>领料单!AR70</f>
        <v>0</v>
      </c>
      <c r="E659" s="113">
        <f>领料单!AS70</f>
        <v>0</v>
      </c>
      <c r="F659" s="113">
        <f>领料单!AT70</f>
        <v>0</v>
      </c>
      <c r="G659" s="113"/>
    </row>
    <row r="660" customHeight="1" spans="1:7">
      <c r="A660" s="113">
        <f>领料单!AO71</f>
        <v>0</v>
      </c>
      <c r="B660" s="113">
        <f>领料单!AP71</f>
        <v>0</v>
      </c>
      <c r="C660" s="113">
        <f>领料单!AQ71</f>
        <v>0</v>
      </c>
      <c r="D660" s="113">
        <f>领料单!AR71</f>
        <v>0</v>
      </c>
      <c r="E660" s="113">
        <f>领料单!AS71</f>
        <v>0</v>
      </c>
      <c r="F660" s="113">
        <f>领料单!AT71</f>
        <v>0</v>
      </c>
      <c r="G660" s="113"/>
    </row>
    <row r="661" customHeight="1" spans="1:7">
      <c r="A661" s="113">
        <f>领料单!AO72</f>
        <v>0</v>
      </c>
      <c r="B661" s="113">
        <f>领料单!AP72</f>
        <v>0</v>
      </c>
      <c r="C661" s="113">
        <f>领料单!AQ72</f>
        <v>0</v>
      </c>
      <c r="D661" s="113">
        <f>领料单!AR72</f>
        <v>0</v>
      </c>
      <c r="E661" s="113">
        <f>领料单!AS72</f>
        <v>0</v>
      </c>
      <c r="F661" s="113">
        <f>领料单!AT72</f>
        <v>0</v>
      </c>
      <c r="G661" s="113"/>
    </row>
    <row r="662" customHeight="1" spans="1:7">
      <c r="A662" s="115" t="s">
        <v>340</v>
      </c>
      <c r="B662" s="116"/>
      <c r="C662" s="116"/>
      <c r="D662" s="116"/>
      <c r="E662" s="117"/>
      <c r="F662" s="118">
        <f>SUM(F650:F661)</f>
        <v>0</v>
      </c>
      <c r="G662" s="114"/>
    </row>
    <row r="663" customHeight="1" spans="1:7">
      <c r="A663" s="119" t="s">
        <v>341</v>
      </c>
      <c r="B663" s="119"/>
      <c r="C663" s="120"/>
      <c r="D663" s="119"/>
      <c r="E663" s="121" t="s">
        <v>342</v>
      </c>
      <c r="F663" s="119"/>
      <c r="G663" s="119"/>
    </row>
    <row r="666" customHeight="1" spans="1:7">
      <c r="A666" s="105"/>
      <c r="B666" s="106"/>
      <c r="C666" s="107" t="s">
        <v>330</v>
      </c>
      <c r="D666" s="107"/>
      <c r="E666" s="107"/>
      <c r="F666" s="105"/>
      <c r="G666" s="105"/>
    </row>
    <row r="667" customHeight="1" spans="1:7">
      <c r="A667" s="108" t="s">
        <v>331</v>
      </c>
      <c r="B667" s="109"/>
      <c r="C667" s="110">
        <v>45777</v>
      </c>
      <c r="D667" s="110"/>
      <c r="E667" s="110"/>
      <c r="F667" s="111" t="s">
        <v>332</v>
      </c>
      <c r="G667" s="112" t="str">
        <f>立项!$A$8</f>
        <v>RD06</v>
      </c>
    </row>
    <row r="668" customHeight="1" spans="1:7">
      <c r="A668" s="113" t="s">
        <v>333</v>
      </c>
      <c r="B668" s="113" t="s">
        <v>334</v>
      </c>
      <c r="C668" s="113" t="s">
        <v>335</v>
      </c>
      <c r="D668" s="113" t="s">
        <v>336</v>
      </c>
      <c r="E668" s="113" t="s">
        <v>337</v>
      </c>
      <c r="F668" s="113" t="s">
        <v>338</v>
      </c>
      <c r="G668" s="113" t="s">
        <v>339</v>
      </c>
    </row>
    <row r="669" customHeight="1" spans="1:7">
      <c r="A669" s="113">
        <f>领料单!AW61</f>
        <v>0</v>
      </c>
      <c r="B669" s="113">
        <f>领料单!AX61</f>
        <v>0</v>
      </c>
      <c r="C669" s="113">
        <f>领料单!AY61</f>
        <v>0</v>
      </c>
      <c r="D669" s="113">
        <f>领料单!AZ61</f>
        <v>0</v>
      </c>
      <c r="E669" s="113">
        <f>领料单!BA61</f>
        <v>0</v>
      </c>
      <c r="F669" s="113">
        <f>领料单!BB61</f>
        <v>0</v>
      </c>
      <c r="G669" s="113"/>
    </row>
    <row r="670" customHeight="1" spans="1:7">
      <c r="A670" s="113">
        <f>领料单!AW62</f>
        <v>0</v>
      </c>
      <c r="B670" s="113">
        <f>领料单!AX62</f>
        <v>0</v>
      </c>
      <c r="C670" s="113">
        <f>领料单!AY62</f>
        <v>0</v>
      </c>
      <c r="D670" s="113">
        <f>领料单!AZ62</f>
        <v>0</v>
      </c>
      <c r="E670" s="113">
        <f>领料单!BA62</f>
        <v>0</v>
      </c>
      <c r="F670" s="113">
        <f>领料单!BB62</f>
        <v>0</v>
      </c>
      <c r="G670" s="113"/>
    </row>
    <row r="671" customHeight="1" spans="1:7">
      <c r="A671" s="113">
        <f>领料单!AW63</f>
        <v>0</v>
      </c>
      <c r="B671" s="113">
        <f>领料单!AX63</f>
        <v>0</v>
      </c>
      <c r="C671" s="113">
        <f>领料单!AY63</f>
        <v>0</v>
      </c>
      <c r="D671" s="113">
        <f>领料单!AZ63</f>
        <v>0</v>
      </c>
      <c r="E671" s="113">
        <f>领料单!BA63</f>
        <v>0</v>
      </c>
      <c r="F671" s="113">
        <f>领料单!BB63</f>
        <v>0</v>
      </c>
      <c r="G671" s="113"/>
    </row>
    <row r="672" customHeight="1" spans="1:7">
      <c r="A672" s="113">
        <f>领料单!AW64</f>
        <v>0</v>
      </c>
      <c r="B672" s="113">
        <f>领料单!AX64</f>
        <v>0</v>
      </c>
      <c r="C672" s="113">
        <f>领料单!AY64</f>
        <v>0</v>
      </c>
      <c r="D672" s="113">
        <f>领料单!AZ64</f>
        <v>0</v>
      </c>
      <c r="E672" s="113">
        <f>领料单!BA64</f>
        <v>0</v>
      </c>
      <c r="F672" s="113">
        <f>领料单!BB64</f>
        <v>0</v>
      </c>
      <c r="G672" s="113"/>
    </row>
    <row r="673" customHeight="1" spans="1:7">
      <c r="A673" s="113">
        <f>领料单!AW65</f>
        <v>0</v>
      </c>
      <c r="B673" s="113">
        <f>领料单!AX65</f>
        <v>0</v>
      </c>
      <c r="C673" s="113">
        <f>领料单!AY65</f>
        <v>0</v>
      </c>
      <c r="D673" s="113">
        <f>领料单!AZ65</f>
        <v>0</v>
      </c>
      <c r="E673" s="113">
        <f>领料单!BA65</f>
        <v>0</v>
      </c>
      <c r="F673" s="113">
        <f>领料单!BB65</f>
        <v>0</v>
      </c>
      <c r="G673" s="113"/>
    </row>
    <row r="674" customHeight="1" spans="1:7">
      <c r="A674" s="113">
        <f>领料单!AW66</f>
        <v>0</v>
      </c>
      <c r="B674" s="113">
        <f>领料单!AX66</f>
        <v>0</v>
      </c>
      <c r="C674" s="113">
        <f>领料单!AY66</f>
        <v>0</v>
      </c>
      <c r="D674" s="113">
        <f>领料单!AZ66</f>
        <v>0</v>
      </c>
      <c r="E674" s="113">
        <f>领料单!BA66</f>
        <v>0</v>
      </c>
      <c r="F674" s="113">
        <f>领料单!BB66</f>
        <v>0</v>
      </c>
      <c r="G674" s="113"/>
    </row>
    <row r="675" customHeight="1" spans="1:7">
      <c r="A675" s="113">
        <f>领料单!AW67</f>
        <v>0</v>
      </c>
      <c r="B675" s="113">
        <f>领料单!AX67</f>
        <v>0</v>
      </c>
      <c r="C675" s="113">
        <f>领料单!AY67</f>
        <v>0</v>
      </c>
      <c r="D675" s="113">
        <f>领料单!AZ67</f>
        <v>0</v>
      </c>
      <c r="E675" s="113">
        <f>领料单!BA67</f>
        <v>0</v>
      </c>
      <c r="F675" s="113">
        <f>领料单!BB67</f>
        <v>0</v>
      </c>
      <c r="G675" s="113"/>
    </row>
    <row r="676" customHeight="1" spans="1:7">
      <c r="A676" s="113">
        <f>领料单!AW68</f>
        <v>0</v>
      </c>
      <c r="B676" s="113">
        <f>领料单!AX68</f>
        <v>0</v>
      </c>
      <c r="C676" s="113">
        <f>领料单!AY68</f>
        <v>0</v>
      </c>
      <c r="D676" s="113">
        <f>领料单!AZ68</f>
        <v>0</v>
      </c>
      <c r="E676" s="113">
        <f>领料单!BA68</f>
        <v>0</v>
      </c>
      <c r="F676" s="113">
        <f>领料单!BB68</f>
        <v>0</v>
      </c>
      <c r="G676" s="113"/>
    </row>
    <row r="677" customHeight="1" spans="1:7">
      <c r="A677" s="113">
        <f>领料单!AW69</f>
        <v>0</v>
      </c>
      <c r="B677" s="113">
        <f>领料单!AX69</f>
        <v>0</v>
      </c>
      <c r="C677" s="113">
        <f>领料单!AY69</f>
        <v>0</v>
      </c>
      <c r="D677" s="113">
        <f>领料单!AZ69</f>
        <v>0</v>
      </c>
      <c r="E677" s="113">
        <f>领料单!BA69</f>
        <v>0</v>
      </c>
      <c r="F677" s="113">
        <f>领料单!BB69</f>
        <v>0</v>
      </c>
      <c r="G677" s="113"/>
    </row>
    <row r="678" customHeight="1" spans="1:7">
      <c r="A678" s="113">
        <f>领料单!AW70</f>
        <v>0</v>
      </c>
      <c r="B678" s="113">
        <f>领料单!AX70</f>
        <v>0</v>
      </c>
      <c r="C678" s="113">
        <f>领料单!AY70</f>
        <v>0</v>
      </c>
      <c r="D678" s="113">
        <f>领料单!AZ70</f>
        <v>0</v>
      </c>
      <c r="E678" s="113">
        <f>领料单!BA70</f>
        <v>0</v>
      </c>
      <c r="F678" s="113">
        <f>领料单!BB70</f>
        <v>0</v>
      </c>
      <c r="G678" s="113"/>
    </row>
    <row r="679" customHeight="1" spans="1:7">
      <c r="A679" s="113">
        <f>领料单!AW71</f>
        <v>0</v>
      </c>
      <c r="B679" s="113">
        <f>领料单!AX71</f>
        <v>0</v>
      </c>
      <c r="C679" s="113">
        <f>领料单!AY71</f>
        <v>0</v>
      </c>
      <c r="D679" s="113">
        <f>领料单!AZ71</f>
        <v>0</v>
      </c>
      <c r="E679" s="113">
        <f>领料单!BA71</f>
        <v>0</v>
      </c>
      <c r="F679" s="113">
        <f>领料单!BB71</f>
        <v>0</v>
      </c>
      <c r="G679" s="113"/>
    </row>
    <row r="680" customHeight="1" spans="1:7">
      <c r="A680" s="113">
        <f>领料单!AW72</f>
        <v>0</v>
      </c>
      <c r="B680" s="113">
        <f>领料单!AX72</f>
        <v>0</v>
      </c>
      <c r="C680" s="113">
        <f>领料单!AY72</f>
        <v>0</v>
      </c>
      <c r="D680" s="113">
        <f>领料单!AZ72</f>
        <v>0</v>
      </c>
      <c r="E680" s="113">
        <f>领料单!BA72</f>
        <v>0</v>
      </c>
      <c r="F680" s="113">
        <f>领料单!BB72</f>
        <v>0</v>
      </c>
      <c r="G680" s="113"/>
    </row>
    <row r="681" customHeight="1" spans="1:7">
      <c r="A681" s="115" t="s">
        <v>340</v>
      </c>
      <c r="B681" s="116"/>
      <c r="C681" s="116"/>
      <c r="D681" s="116"/>
      <c r="E681" s="117"/>
      <c r="F681" s="118">
        <f>SUM(F669:F680)</f>
        <v>0</v>
      </c>
      <c r="G681" s="114"/>
    </row>
    <row r="682" customHeight="1" spans="1:7">
      <c r="A682" s="119" t="s">
        <v>341</v>
      </c>
      <c r="B682" s="119"/>
      <c r="C682" s="120"/>
      <c r="D682" s="119"/>
      <c r="E682" s="121" t="s">
        <v>342</v>
      </c>
      <c r="F682" s="119"/>
      <c r="G682" s="119"/>
    </row>
    <row r="685" customHeight="1" spans="1:7">
      <c r="A685" s="105"/>
      <c r="B685" s="106"/>
      <c r="C685" s="107" t="s">
        <v>330</v>
      </c>
      <c r="D685" s="107"/>
      <c r="E685" s="107"/>
      <c r="F685" s="105"/>
      <c r="G685" s="105"/>
    </row>
    <row r="686" customHeight="1" spans="1:7">
      <c r="A686" s="108" t="s">
        <v>331</v>
      </c>
      <c r="B686" s="109"/>
      <c r="C686" s="110">
        <v>45777</v>
      </c>
      <c r="D686" s="110"/>
      <c r="E686" s="110"/>
      <c r="F686" s="111" t="s">
        <v>332</v>
      </c>
      <c r="G686" s="112" t="str">
        <f>立项!$A$9</f>
        <v>RD07</v>
      </c>
    </row>
    <row r="687" customHeight="1" spans="1:7">
      <c r="A687" s="113" t="s">
        <v>333</v>
      </c>
      <c r="B687" s="113" t="s">
        <v>334</v>
      </c>
      <c r="C687" s="113" t="s">
        <v>335</v>
      </c>
      <c r="D687" s="113" t="s">
        <v>336</v>
      </c>
      <c r="E687" s="113" t="s">
        <v>337</v>
      </c>
      <c r="F687" s="113" t="s">
        <v>338</v>
      </c>
      <c r="G687" s="113" t="s">
        <v>339</v>
      </c>
    </row>
    <row r="688" customHeight="1" spans="1:7">
      <c r="A688" s="113">
        <f>领料单!BE61</f>
        <v>0</v>
      </c>
      <c r="B688" s="113">
        <f>领料单!BF61</f>
        <v>0</v>
      </c>
      <c r="C688" s="113">
        <f>领料单!BG61</f>
        <v>0</v>
      </c>
      <c r="D688" s="113">
        <f>领料单!BH61</f>
        <v>0</v>
      </c>
      <c r="E688" s="113">
        <f>领料单!BI61</f>
        <v>0</v>
      </c>
      <c r="F688" s="113">
        <f>领料单!BJ61</f>
        <v>0</v>
      </c>
      <c r="G688" s="113"/>
    </row>
    <row r="689" customHeight="1" spans="1:7">
      <c r="A689" s="113">
        <f>领料单!BE62</f>
        <v>0</v>
      </c>
      <c r="B689" s="113">
        <f>领料单!BF62</f>
        <v>0</v>
      </c>
      <c r="C689" s="113">
        <f>领料单!BG62</f>
        <v>0</v>
      </c>
      <c r="D689" s="113">
        <f>领料单!BH62</f>
        <v>0</v>
      </c>
      <c r="E689" s="113">
        <f>领料单!BI62</f>
        <v>0</v>
      </c>
      <c r="F689" s="113">
        <f>领料单!BJ62</f>
        <v>0</v>
      </c>
      <c r="G689" s="113"/>
    </row>
    <row r="690" customHeight="1" spans="1:7">
      <c r="A690" s="113">
        <f>领料单!BE63</f>
        <v>0</v>
      </c>
      <c r="B690" s="113">
        <f>领料单!BF63</f>
        <v>0</v>
      </c>
      <c r="C690" s="113">
        <f>领料单!BG63</f>
        <v>0</v>
      </c>
      <c r="D690" s="113">
        <f>领料单!BH63</f>
        <v>0</v>
      </c>
      <c r="E690" s="113">
        <f>领料单!BI63</f>
        <v>0</v>
      </c>
      <c r="F690" s="113">
        <f>领料单!BJ63</f>
        <v>0</v>
      </c>
      <c r="G690" s="113"/>
    </row>
    <row r="691" customHeight="1" spans="1:7">
      <c r="A691" s="113">
        <f>领料单!BE64</f>
        <v>0</v>
      </c>
      <c r="B691" s="113">
        <f>领料单!BF64</f>
        <v>0</v>
      </c>
      <c r="C691" s="113">
        <f>领料单!BG64</f>
        <v>0</v>
      </c>
      <c r="D691" s="113">
        <f>领料单!BH64</f>
        <v>0</v>
      </c>
      <c r="E691" s="113">
        <f>领料单!BI64</f>
        <v>0</v>
      </c>
      <c r="F691" s="113">
        <f>领料单!BJ64</f>
        <v>0</v>
      </c>
      <c r="G691" s="113"/>
    </row>
    <row r="692" customHeight="1" spans="1:7">
      <c r="A692" s="113">
        <f>领料单!BE65</f>
        <v>0</v>
      </c>
      <c r="B692" s="113">
        <f>领料单!BF65</f>
        <v>0</v>
      </c>
      <c r="C692" s="113">
        <f>领料单!BG65</f>
        <v>0</v>
      </c>
      <c r="D692" s="113">
        <f>领料单!BH65</f>
        <v>0</v>
      </c>
      <c r="E692" s="113">
        <f>领料单!BI65</f>
        <v>0</v>
      </c>
      <c r="F692" s="113">
        <f>领料单!BJ65</f>
        <v>0</v>
      </c>
      <c r="G692" s="113"/>
    </row>
    <row r="693" customHeight="1" spans="1:7">
      <c r="A693" s="113">
        <f>领料单!BE66</f>
        <v>0</v>
      </c>
      <c r="B693" s="113">
        <f>领料单!BF66</f>
        <v>0</v>
      </c>
      <c r="C693" s="113">
        <f>领料单!BG66</f>
        <v>0</v>
      </c>
      <c r="D693" s="113">
        <f>领料单!BH66</f>
        <v>0</v>
      </c>
      <c r="E693" s="113">
        <f>领料单!BI66</f>
        <v>0</v>
      </c>
      <c r="F693" s="113">
        <f>领料单!BJ66</f>
        <v>0</v>
      </c>
      <c r="G693" s="113"/>
    </row>
    <row r="694" customHeight="1" spans="1:7">
      <c r="A694" s="113">
        <f>领料单!BE67</f>
        <v>0</v>
      </c>
      <c r="B694" s="113">
        <f>领料单!BF67</f>
        <v>0</v>
      </c>
      <c r="C694" s="113">
        <f>领料单!BG67</f>
        <v>0</v>
      </c>
      <c r="D694" s="113">
        <f>领料单!BH67</f>
        <v>0</v>
      </c>
      <c r="E694" s="113">
        <f>领料单!BI67</f>
        <v>0</v>
      </c>
      <c r="F694" s="113">
        <f>领料单!BJ67</f>
        <v>0</v>
      </c>
      <c r="G694" s="113"/>
    </row>
    <row r="695" customHeight="1" spans="1:7">
      <c r="A695" s="113">
        <f>领料单!BE68</f>
        <v>0</v>
      </c>
      <c r="B695" s="113">
        <f>领料单!BF68</f>
        <v>0</v>
      </c>
      <c r="C695" s="113">
        <f>领料单!BG68</f>
        <v>0</v>
      </c>
      <c r="D695" s="113">
        <f>领料单!BH68</f>
        <v>0</v>
      </c>
      <c r="E695" s="113">
        <f>领料单!BI68</f>
        <v>0</v>
      </c>
      <c r="F695" s="113">
        <f>领料单!BJ68</f>
        <v>0</v>
      </c>
      <c r="G695" s="113"/>
    </row>
    <row r="696" customHeight="1" spans="1:7">
      <c r="A696" s="113">
        <f>领料单!BE69</f>
        <v>0</v>
      </c>
      <c r="B696" s="113">
        <f>领料单!BF69</f>
        <v>0</v>
      </c>
      <c r="C696" s="113">
        <f>领料单!BG69</f>
        <v>0</v>
      </c>
      <c r="D696" s="113">
        <f>领料单!BH69</f>
        <v>0</v>
      </c>
      <c r="E696" s="113">
        <f>领料单!BI69</f>
        <v>0</v>
      </c>
      <c r="F696" s="113">
        <f>领料单!BJ69</f>
        <v>0</v>
      </c>
      <c r="G696" s="113"/>
    </row>
    <row r="697" customHeight="1" spans="1:7">
      <c r="A697" s="113">
        <f>领料单!BE70</f>
        <v>0</v>
      </c>
      <c r="B697" s="113">
        <f>领料单!BF70</f>
        <v>0</v>
      </c>
      <c r="C697" s="113">
        <f>领料单!BG70</f>
        <v>0</v>
      </c>
      <c r="D697" s="113">
        <f>领料单!BH70</f>
        <v>0</v>
      </c>
      <c r="E697" s="113">
        <f>领料单!BI70</f>
        <v>0</v>
      </c>
      <c r="F697" s="113">
        <f>领料单!BJ70</f>
        <v>0</v>
      </c>
      <c r="G697" s="113"/>
    </row>
    <row r="698" customHeight="1" spans="1:7">
      <c r="A698" s="113">
        <f>领料单!BE71</f>
        <v>0</v>
      </c>
      <c r="B698" s="113">
        <f>领料单!BF71</f>
        <v>0</v>
      </c>
      <c r="C698" s="113">
        <f>领料单!BG71</f>
        <v>0</v>
      </c>
      <c r="D698" s="113">
        <f>领料单!BH71</f>
        <v>0</v>
      </c>
      <c r="E698" s="113">
        <f>领料单!BI71</f>
        <v>0</v>
      </c>
      <c r="F698" s="113">
        <f>领料单!BJ71</f>
        <v>0</v>
      </c>
      <c r="G698" s="113"/>
    </row>
    <row r="699" customHeight="1" spans="1:7">
      <c r="A699" s="113">
        <f>领料单!BE72</f>
        <v>0</v>
      </c>
      <c r="B699" s="113">
        <f>领料单!BF72</f>
        <v>0</v>
      </c>
      <c r="C699" s="113">
        <f>领料单!BG72</f>
        <v>0</v>
      </c>
      <c r="D699" s="113">
        <f>领料单!BH72</f>
        <v>0</v>
      </c>
      <c r="E699" s="113">
        <f>领料单!BI72</f>
        <v>0</v>
      </c>
      <c r="F699" s="113">
        <f>领料单!BJ72</f>
        <v>0</v>
      </c>
      <c r="G699" s="113"/>
    </row>
    <row r="700" customHeight="1" spans="1:7">
      <c r="A700" s="115" t="s">
        <v>340</v>
      </c>
      <c r="B700" s="116"/>
      <c r="C700" s="116"/>
      <c r="D700" s="116"/>
      <c r="E700" s="117"/>
      <c r="F700" s="118">
        <f>SUM(F688:F699)</f>
        <v>0</v>
      </c>
      <c r="G700" s="114"/>
    </row>
    <row r="701" customHeight="1" spans="1:7">
      <c r="A701" s="119" t="s">
        <v>341</v>
      </c>
      <c r="B701" s="119"/>
      <c r="C701" s="120"/>
      <c r="D701" s="119"/>
      <c r="E701" s="121" t="s">
        <v>342</v>
      </c>
      <c r="F701" s="119"/>
      <c r="G701" s="119"/>
    </row>
    <row r="704" customHeight="1" spans="1:7">
      <c r="A704" s="105"/>
      <c r="B704" s="106"/>
      <c r="C704" s="107" t="s">
        <v>330</v>
      </c>
      <c r="D704" s="107"/>
      <c r="E704" s="107"/>
      <c r="F704" s="105"/>
      <c r="G704" s="105"/>
    </row>
    <row r="705" customHeight="1" spans="1:7">
      <c r="A705" s="108" t="s">
        <v>331</v>
      </c>
      <c r="B705" s="109"/>
      <c r="C705" s="110">
        <v>45777</v>
      </c>
      <c r="D705" s="110"/>
      <c r="E705" s="110"/>
      <c r="F705" s="111" t="s">
        <v>332</v>
      </c>
      <c r="G705" s="112" t="str">
        <f>立项!$A$10</f>
        <v>RD08</v>
      </c>
    </row>
    <row r="706" customHeight="1" spans="1:7">
      <c r="A706" s="113" t="s">
        <v>333</v>
      </c>
      <c r="B706" s="113" t="s">
        <v>334</v>
      </c>
      <c r="C706" s="113" t="s">
        <v>335</v>
      </c>
      <c r="D706" s="113" t="s">
        <v>336</v>
      </c>
      <c r="E706" s="113" t="s">
        <v>337</v>
      </c>
      <c r="F706" s="113" t="s">
        <v>338</v>
      </c>
      <c r="G706" s="113" t="s">
        <v>339</v>
      </c>
    </row>
    <row r="707" customHeight="1" spans="1:7">
      <c r="A707" s="113">
        <f>领料单!BM61</f>
        <v>0</v>
      </c>
      <c r="B707" s="113">
        <f>领料单!BN61</f>
        <v>0</v>
      </c>
      <c r="C707" s="113">
        <f>领料单!BO61</f>
        <v>0</v>
      </c>
      <c r="D707" s="113">
        <f>领料单!BP61</f>
        <v>0</v>
      </c>
      <c r="E707" s="113">
        <f>领料单!BQ61</f>
        <v>0</v>
      </c>
      <c r="F707" s="113">
        <f>领料单!BR61</f>
        <v>0</v>
      </c>
      <c r="G707" s="113"/>
    </row>
    <row r="708" customHeight="1" spans="1:7">
      <c r="A708" s="113">
        <f>领料单!BM62</f>
        <v>0</v>
      </c>
      <c r="B708" s="113">
        <f>领料单!BN62</f>
        <v>0</v>
      </c>
      <c r="C708" s="113">
        <f>领料单!BO62</f>
        <v>0</v>
      </c>
      <c r="D708" s="113">
        <f>领料单!BP62</f>
        <v>0</v>
      </c>
      <c r="E708" s="113">
        <f>领料单!BQ62</f>
        <v>0</v>
      </c>
      <c r="F708" s="113">
        <f>领料单!BR62</f>
        <v>0</v>
      </c>
      <c r="G708" s="113"/>
    </row>
    <row r="709" customHeight="1" spans="1:7">
      <c r="A709" s="113">
        <f>领料单!BM63</f>
        <v>0</v>
      </c>
      <c r="B709" s="113">
        <f>领料单!BN63</f>
        <v>0</v>
      </c>
      <c r="C709" s="113">
        <f>领料单!BO63</f>
        <v>0</v>
      </c>
      <c r="D709" s="113">
        <f>领料单!BP63</f>
        <v>0</v>
      </c>
      <c r="E709" s="113">
        <f>领料单!BQ63</f>
        <v>0</v>
      </c>
      <c r="F709" s="113">
        <f>领料单!BR63</f>
        <v>0</v>
      </c>
      <c r="G709" s="113"/>
    </row>
    <row r="710" customHeight="1" spans="1:7">
      <c r="A710" s="113">
        <f>领料单!BM64</f>
        <v>0</v>
      </c>
      <c r="B710" s="113">
        <f>领料单!BN64</f>
        <v>0</v>
      </c>
      <c r="C710" s="113">
        <f>领料单!BO64</f>
        <v>0</v>
      </c>
      <c r="D710" s="113">
        <f>领料单!BP64</f>
        <v>0</v>
      </c>
      <c r="E710" s="113">
        <f>领料单!BQ64</f>
        <v>0</v>
      </c>
      <c r="F710" s="113">
        <f>领料单!BR64</f>
        <v>0</v>
      </c>
      <c r="G710" s="113"/>
    </row>
    <row r="711" customHeight="1" spans="1:7">
      <c r="A711" s="113">
        <f>领料单!BM65</f>
        <v>0</v>
      </c>
      <c r="B711" s="113">
        <f>领料单!BN65</f>
        <v>0</v>
      </c>
      <c r="C711" s="113">
        <f>领料单!BO65</f>
        <v>0</v>
      </c>
      <c r="D711" s="113">
        <f>领料单!BP65</f>
        <v>0</v>
      </c>
      <c r="E711" s="113">
        <f>领料单!BQ65</f>
        <v>0</v>
      </c>
      <c r="F711" s="113">
        <f>领料单!BR65</f>
        <v>0</v>
      </c>
      <c r="G711" s="113"/>
    </row>
    <row r="712" customHeight="1" spans="1:7">
      <c r="A712" s="113">
        <f>领料单!BM66</f>
        <v>0</v>
      </c>
      <c r="B712" s="113">
        <f>领料单!BN66</f>
        <v>0</v>
      </c>
      <c r="C712" s="113">
        <f>领料单!BO66</f>
        <v>0</v>
      </c>
      <c r="D712" s="113">
        <f>领料单!BP66</f>
        <v>0</v>
      </c>
      <c r="E712" s="113">
        <f>领料单!BQ66</f>
        <v>0</v>
      </c>
      <c r="F712" s="113">
        <f>领料单!BR66</f>
        <v>0</v>
      </c>
      <c r="G712" s="113"/>
    </row>
    <row r="713" customHeight="1" spans="1:7">
      <c r="A713" s="113">
        <f>领料单!BM67</f>
        <v>0</v>
      </c>
      <c r="B713" s="113">
        <f>领料单!BN67</f>
        <v>0</v>
      </c>
      <c r="C713" s="113">
        <f>领料单!BO67</f>
        <v>0</v>
      </c>
      <c r="D713" s="113">
        <f>领料单!BP67</f>
        <v>0</v>
      </c>
      <c r="E713" s="113">
        <f>领料单!BQ67</f>
        <v>0</v>
      </c>
      <c r="F713" s="113">
        <f>领料单!BR67</f>
        <v>0</v>
      </c>
      <c r="G713" s="113"/>
    </row>
    <row r="714" customHeight="1" spans="1:7">
      <c r="A714" s="113">
        <f>领料单!BM68</f>
        <v>0</v>
      </c>
      <c r="B714" s="113">
        <f>领料单!BN68</f>
        <v>0</v>
      </c>
      <c r="C714" s="113">
        <f>领料单!BO68</f>
        <v>0</v>
      </c>
      <c r="D714" s="113">
        <f>领料单!BP68</f>
        <v>0</v>
      </c>
      <c r="E714" s="113">
        <f>领料单!BQ68</f>
        <v>0</v>
      </c>
      <c r="F714" s="113">
        <f>领料单!BR68</f>
        <v>0</v>
      </c>
      <c r="G714" s="113"/>
    </row>
    <row r="715" customHeight="1" spans="1:7">
      <c r="A715" s="113">
        <f>领料单!BM69</f>
        <v>0</v>
      </c>
      <c r="B715" s="113">
        <f>领料单!BN69</f>
        <v>0</v>
      </c>
      <c r="C715" s="113">
        <f>领料单!BO69</f>
        <v>0</v>
      </c>
      <c r="D715" s="113">
        <f>领料单!BP69</f>
        <v>0</v>
      </c>
      <c r="E715" s="113">
        <f>领料单!BQ69</f>
        <v>0</v>
      </c>
      <c r="F715" s="113">
        <f>领料单!BR69</f>
        <v>0</v>
      </c>
      <c r="G715" s="113"/>
    </row>
    <row r="716" customHeight="1" spans="1:7">
      <c r="A716" s="113">
        <f>领料单!BM70</f>
        <v>0</v>
      </c>
      <c r="B716" s="113">
        <f>领料单!BN70</f>
        <v>0</v>
      </c>
      <c r="C716" s="113">
        <f>领料单!BO70</f>
        <v>0</v>
      </c>
      <c r="D716" s="113">
        <f>领料单!BP70</f>
        <v>0</v>
      </c>
      <c r="E716" s="113">
        <f>领料单!BQ70</f>
        <v>0</v>
      </c>
      <c r="F716" s="113">
        <f>领料单!BR70</f>
        <v>0</v>
      </c>
      <c r="G716" s="113"/>
    </row>
    <row r="717" customHeight="1" spans="1:7">
      <c r="A717" s="113">
        <f>领料单!BM71</f>
        <v>0</v>
      </c>
      <c r="B717" s="113">
        <f>领料单!BN71</f>
        <v>0</v>
      </c>
      <c r="C717" s="113">
        <f>领料单!BO71</f>
        <v>0</v>
      </c>
      <c r="D717" s="113">
        <f>领料单!BP71</f>
        <v>0</v>
      </c>
      <c r="E717" s="113">
        <f>领料单!BQ71</f>
        <v>0</v>
      </c>
      <c r="F717" s="113">
        <f>领料单!BR71</f>
        <v>0</v>
      </c>
      <c r="G717" s="113"/>
    </row>
    <row r="718" customHeight="1" spans="1:7">
      <c r="A718" s="113">
        <f>领料单!BM72</f>
        <v>0</v>
      </c>
      <c r="B718" s="113">
        <f>领料单!BN72</f>
        <v>0</v>
      </c>
      <c r="C718" s="113">
        <f>领料单!BO72</f>
        <v>0</v>
      </c>
      <c r="D718" s="113">
        <f>领料单!BP72</f>
        <v>0</v>
      </c>
      <c r="E718" s="113">
        <f>领料单!BQ72</f>
        <v>0</v>
      </c>
      <c r="F718" s="113">
        <f>领料单!BR72</f>
        <v>0</v>
      </c>
      <c r="G718" s="113"/>
    </row>
    <row r="719" customHeight="1" spans="1:7">
      <c r="A719" s="115" t="s">
        <v>340</v>
      </c>
      <c r="B719" s="116"/>
      <c r="C719" s="116"/>
      <c r="D719" s="116"/>
      <c r="E719" s="117"/>
      <c r="F719" s="118">
        <f>SUM(F707:F718)</f>
        <v>0</v>
      </c>
      <c r="G719" s="114"/>
    </row>
    <row r="720" customHeight="1" spans="1:7">
      <c r="A720" s="119" t="s">
        <v>341</v>
      </c>
      <c r="B720" s="119"/>
      <c r="C720" s="120"/>
      <c r="D720" s="119"/>
      <c r="E720" s="121" t="s">
        <v>342</v>
      </c>
      <c r="F720" s="119"/>
      <c r="G720" s="119"/>
    </row>
    <row r="723" customHeight="1" spans="1:7">
      <c r="A723" s="105"/>
      <c r="B723" s="106"/>
      <c r="C723" s="107" t="s">
        <v>330</v>
      </c>
      <c r="D723" s="107"/>
      <c r="E723" s="107"/>
      <c r="F723" s="105"/>
      <c r="G723" s="105"/>
    </row>
    <row r="724" customHeight="1" spans="1:7">
      <c r="A724" s="108" t="s">
        <v>331</v>
      </c>
      <c r="B724" s="109"/>
      <c r="C724" s="110">
        <v>45777</v>
      </c>
      <c r="D724" s="110"/>
      <c r="E724" s="110"/>
      <c r="F724" s="111" t="s">
        <v>332</v>
      </c>
      <c r="G724" s="112" t="str">
        <f>立项!$A$11</f>
        <v>RD09</v>
      </c>
    </row>
    <row r="725" customHeight="1" spans="1:7">
      <c r="A725" s="113" t="s">
        <v>333</v>
      </c>
      <c r="B725" s="113" t="s">
        <v>334</v>
      </c>
      <c r="C725" s="113" t="s">
        <v>335</v>
      </c>
      <c r="D725" s="113" t="s">
        <v>336</v>
      </c>
      <c r="E725" s="113" t="s">
        <v>337</v>
      </c>
      <c r="F725" s="113" t="s">
        <v>338</v>
      </c>
      <c r="G725" s="113" t="s">
        <v>339</v>
      </c>
    </row>
    <row r="726" customHeight="1" spans="1:7">
      <c r="A726" s="113">
        <f>领料单!BU61</f>
        <v>0</v>
      </c>
      <c r="B726" s="113">
        <f>领料单!BV61</f>
        <v>0</v>
      </c>
      <c r="C726" s="113">
        <f>领料单!BW61</f>
        <v>0</v>
      </c>
      <c r="D726" s="113">
        <f>领料单!BX61</f>
        <v>0</v>
      </c>
      <c r="E726" s="113">
        <f>领料单!BY61</f>
        <v>0</v>
      </c>
      <c r="F726" s="113">
        <f>领料单!BZ61</f>
        <v>0</v>
      </c>
      <c r="G726" s="113"/>
    </row>
    <row r="727" customHeight="1" spans="1:7">
      <c r="A727" s="113">
        <f>领料单!BU62</f>
        <v>0</v>
      </c>
      <c r="B727" s="113">
        <f>领料单!BV62</f>
        <v>0</v>
      </c>
      <c r="C727" s="113">
        <f>领料单!BW62</f>
        <v>0</v>
      </c>
      <c r="D727" s="113">
        <f>领料单!BX62</f>
        <v>0</v>
      </c>
      <c r="E727" s="113">
        <f>领料单!BY62</f>
        <v>0</v>
      </c>
      <c r="F727" s="113">
        <f>领料单!BZ62</f>
        <v>0</v>
      </c>
      <c r="G727" s="113"/>
    </row>
    <row r="728" customHeight="1" spans="1:7">
      <c r="A728" s="113">
        <f>领料单!BU63</f>
        <v>0</v>
      </c>
      <c r="B728" s="113">
        <f>领料单!BV63</f>
        <v>0</v>
      </c>
      <c r="C728" s="113">
        <f>领料单!BW63</f>
        <v>0</v>
      </c>
      <c r="D728" s="113">
        <f>领料单!BX63</f>
        <v>0</v>
      </c>
      <c r="E728" s="113">
        <f>领料单!BY63</f>
        <v>0</v>
      </c>
      <c r="F728" s="113">
        <f>领料单!BZ63</f>
        <v>0</v>
      </c>
      <c r="G728" s="113"/>
    </row>
    <row r="729" customHeight="1" spans="1:7">
      <c r="A729" s="113">
        <f>领料单!BU64</f>
        <v>0</v>
      </c>
      <c r="B729" s="113">
        <f>领料单!BV64</f>
        <v>0</v>
      </c>
      <c r="C729" s="113">
        <f>领料单!BW64</f>
        <v>0</v>
      </c>
      <c r="D729" s="113">
        <f>领料单!BX64</f>
        <v>0</v>
      </c>
      <c r="E729" s="113">
        <f>领料单!BY64</f>
        <v>0</v>
      </c>
      <c r="F729" s="113">
        <f>领料单!BZ64</f>
        <v>0</v>
      </c>
      <c r="G729" s="113"/>
    </row>
    <row r="730" customHeight="1" spans="1:7">
      <c r="A730" s="113">
        <f>领料单!BU65</f>
        <v>0</v>
      </c>
      <c r="B730" s="113">
        <f>领料单!BV65</f>
        <v>0</v>
      </c>
      <c r="C730" s="113">
        <f>领料单!BW65</f>
        <v>0</v>
      </c>
      <c r="D730" s="113">
        <f>领料单!BX65</f>
        <v>0</v>
      </c>
      <c r="E730" s="113">
        <f>领料单!BY65</f>
        <v>0</v>
      </c>
      <c r="F730" s="113">
        <f>领料单!BZ65</f>
        <v>0</v>
      </c>
      <c r="G730" s="113"/>
    </row>
    <row r="731" customHeight="1" spans="1:7">
      <c r="A731" s="113">
        <f>领料单!BU66</f>
        <v>0</v>
      </c>
      <c r="B731" s="113">
        <f>领料单!BV66</f>
        <v>0</v>
      </c>
      <c r="C731" s="113">
        <f>领料单!BW66</f>
        <v>0</v>
      </c>
      <c r="D731" s="113">
        <f>领料单!BX66</f>
        <v>0</v>
      </c>
      <c r="E731" s="113">
        <f>领料单!BY66</f>
        <v>0</v>
      </c>
      <c r="F731" s="113">
        <f>领料单!BZ66</f>
        <v>0</v>
      </c>
      <c r="G731" s="113"/>
    </row>
    <row r="732" customHeight="1" spans="1:7">
      <c r="A732" s="113">
        <f>领料单!BU67</f>
        <v>0</v>
      </c>
      <c r="B732" s="113">
        <f>领料单!BV67</f>
        <v>0</v>
      </c>
      <c r="C732" s="113">
        <f>领料单!BW67</f>
        <v>0</v>
      </c>
      <c r="D732" s="113">
        <f>领料单!BX67</f>
        <v>0</v>
      </c>
      <c r="E732" s="113">
        <f>领料单!BY67</f>
        <v>0</v>
      </c>
      <c r="F732" s="113">
        <f>领料单!BZ67</f>
        <v>0</v>
      </c>
      <c r="G732" s="113"/>
    </row>
    <row r="733" customHeight="1" spans="1:7">
      <c r="A733" s="113">
        <f>领料单!BU68</f>
        <v>0</v>
      </c>
      <c r="B733" s="113">
        <f>领料单!BV68</f>
        <v>0</v>
      </c>
      <c r="C733" s="113">
        <f>领料单!BW68</f>
        <v>0</v>
      </c>
      <c r="D733" s="113">
        <f>领料单!BX68</f>
        <v>0</v>
      </c>
      <c r="E733" s="113">
        <f>领料单!BY68</f>
        <v>0</v>
      </c>
      <c r="F733" s="113">
        <f>领料单!BZ68</f>
        <v>0</v>
      </c>
      <c r="G733" s="113"/>
    </row>
    <row r="734" customHeight="1" spans="1:7">
      <c r="A734" s="113">
        <f>领料单!BU69</f>
        <v>0</v>
      </c>
      <c r="B734" s="113">
        <f>领料单!BV69</f>
        <v>0</v>
      </c>
      <c r="C734" s="113">
        <f>领料单!BW69</f>
        <v>0</v>
      </c>
      <c r="D734" s="113">
        <f>领料单!BX69</f>
        <v>0</v>
      </c>
      <c r="E734" s="113">
        <f>领料单!BY69</f>
        <v>0</v>
      </c>
      <c r="F734" s="113">
        <f>领料单!BZ69</f>
        <v>0</v>
      </c>
      <c r="G734" s="113"/>
    </row>
    <row r="735" customHeight="1" spans="1:7">
      <c r="A735" s="113">
        <f>领料单!BU70</f>
        <v>0</v>
      </c>
      <c r="B735" s="113">
        <f>领料单!BV70</f>
        <v>0</v>
      </c>
      <c r="C735" s="113">
        <f>领料单!BW70</f>
        <v>0</v>
      </c>
      <c r="D735" s="113">
        <f>领料单!BX70</f>
        <v>0</v>
      </c>
      <c r="E735" s="113">
        <f>领料单!BY70</f>
        <v>0</v>
      </c>
      <c r="F735" s="113">
        <f>领料单!BZ70</f>
        <v>0</v>
      </c>
      <c r="G735" s="113"/>
    </row>
    <row r="736" customHeight="1" spans="1:7">
      <c r="A736" s="113">
        <f>领料单!BU71</f>
        <v>0</v>
      </c>
      <c r="B736" s="113">
        <f>领料单!BV71</f>
        <v>0</v>
      </c>
      <c r="C736" s="113">
        <f>领料单!BW71</f>
        <v>0</v>
      </c>
      <c r="D736" s="113">
        <f>领料单!BX71</f>
        <v>0</v>
      </c>
      <c r="E736" s="113">
        <f>领料单!BY71</f>
        <v>0</v>
      </c>
      <c r="F736" s="113">
        <f>领料单!BZ71</f>
        <v>0</v>
      </c>
      <c r="G736" s="113"/>
    </row>
    <row r="737" customHeight="1" spans="1:7">
      <c r="A737" s="113">
        <f>领料单!BU72</f>
        <v>0</v>
      </c>
      <c r="B737" s="113">
        <f>领料单!BV72</f>
        <v>0</v>
      </c>
      <c r="C737" s="113">
        <f>领料单!BW72</f>
        <v>0</v>
      </c>
      <c r="D737" s="113">
        <f>领料单!BX72</f>
        <v>0</v>
      </c>
      <c r="E737" s="113">
        <f>领料单!BY72</f>
        <v>0</v>
      </c>
      <c r="F737" s="113">
        <f>领料单!BZ72</f>
        <v>0</v>
      </c>
      <c r="G737" s="113"/>
    </row>
    <row r="738" customHeight="1" spans="1:7">
      <c r="A738" s="115" t="s">
        <v>340</v>
      </c>
      <c r="B738" s="116"/>
      <c r="C738" s="116"/>
      <c r="D738" s="116"/>
      <c r="E738" s="117"/>
      <c r="F738" s="118">
        <f>SUM(F726:F737)</f>
        <v>0</v>
      </c>
      <c r="G738" s="114"/>
    </row>
    <row r="739" customHeight="1" spans="1:7">
      <c r="A739" s="119" t="s">
        <v>341</v>
      </c>
      <c r="B739" s="119"/>
      <c r="C739" s="120"/>
      <c r="D739" s="119"/>
      <c r="E739" s="121" t="s">
        <v>342</v>
      </c>
      <c r="F739" s="119"/>
      <c r="G739" s="119"/>
    </row>
    <row r="742" customHeight="1" spans="1:7">
      <c r="A742" s="105"/>
      <c r="B742" s="106"/>
      <c r="C742" s="107" t="s">
        <v>330</v>
      </c>
      <c r="D742" s="107"/>
      <c r="E742" s="107"/>
      <c r="F742" s="105"/>
      <c r="G742" s="105"/>
    </row>
    <row r="743" customHeight="1" spans="1:7">
      <c r="A743" s="108" t="s">
        <v>331</v>
      </c>
      <c r="B743" s="109"/>
      <c r="C743" s="110">
        <v>45777</v>
      </c>
      <c r="D743" s="110"/>
      <c r="E743" s="110"/>
      <c r="F743" s="111" t="s">
        <v>332</v>
      </c>
      <c r="G743" s="112" t="str">
        <f>立项!$A$12</f>
        <v>RD10</v>
      </c>
    </row>
    <row r="744" customHeight="1" spans="1:7">
      <c r="A744" s="113" t="s">
        <v>333</v>
      </c>
      <c r="B744" s="113" t="s">
        <v>334</v>
      </c>
      <c r="C744" s="113" t="s">
        <v>335</v>
      </c>
      <c r="D744" s="113" t="s">
        <v>336</v>
      </c>
      <c r="E744" s="113" t="s">
        <v>337</v>
      </c>
      <c r="F744" s="113" t="s">
        <v>338</v>
      </c>
      <c r="G744" s="113" t="s">
        <v>339</v>
      </c>
    </row>
    <row r="745" customHeight="1" spans="1:7">
      <c r="A745" s="113">
        <f>领料单!CC61</f>
        <v>0</v>
      </c>
      <c r="B745" s="113">
        <f>领料单!CD61</f>
        <v>0</v>
      </c>
      <c r="C745" s="113">
        <f>领料单!CE61</f>
        <v>0</v>
      </c>
      <c r="D745" s="113">
        <f>领料单!CF61</f>
        <v>0</v>
      </c>
      <c r="E745" s="113">
        <f>领料单!CG61</f>
        <v>0</v>
      </c>
      <c r="F745" s="113">
        <f>领料单!CH61</f>
        <v>0</v>
      </c>
      <c r="G745" s="113"/>
    </row>
    <row r="746" customHeight="1" spans="1:7">
      <c r="A746" s="113">
        <f>领料单!CC62</f>
        <v>0</v>
      </c>
      <c r="B746" s="113">
        <f>领料单!CD62</f>
        <v>0</v>
      </c>
      <c r="C746" s="113">
        <f>领料单!CE62</f>
        <v>0</v>
      </c>
      <c r="D746" s="113">
        <f>领料单!CF62</f>
        <v>0</v>
      </c>
      <c r="E746" s="113">
        <f>领料单!CG62</f>
        <v>0</v>
      </c>
      <c r="F746" s="113">
        <f>领料单!CH62</f>
        <v>0</v>
      </c>
      <c r="G746" s="113"/>
    </row>
    <row r="747" customHeight="1" spans="1:7">
      <c r="A747" s="113">
        <f>领料单!CC63</f>
        <v>0</v>
      </c>
      <c r="B747" s="113">
        <f>领料单!CD63</f>
        <v>0</v>
      </c>
      <c r="C747" s="113">
        <f>领料单!CE63</f>
        <v>0</v>
      </c>
      <c r="D747" s="113">
        <f>领料单!CF63</f>
        <v>0</v>
      </c>
      <c r="E747" s="113">
        <f>领料单!CG63</f>
        <v>0</v>
      </c>
      <c r="F747" s="113">
        <f>领料单!CH63</f>
        <v>0</v>
      </c>
      <c r="G747" s="113"/>
    </row>
    <row r="748" customHeight="1" spans="1:7">
      <c r="A748" s="113">
        <f>领料单!CC64</f>
        <v>0</v>
      </c>
      <c r="B748" s="113">
        <f>领料单!CD64</f>
        <v>0</v>
      </c>
      <c r="C748" s="113">
        <f>领料单!CE64</f>
        <v>0</v>
      </c>
      <c r="D748" s="113">
        <f>领料单!CF64</f>
        <v>0</v>
      </c>
      <c r="E748" s="113">
        <f>领料单!CG64</f>
        <v>0</v>
      </c>
      <c r="F748" s="113">
        <f>领料单!CH64</f>
        <v>0</v>
      </c>
      <c r="G748" s="113"/>
    </row>
    <row r="749" customHeight="1" spans="1:7">
      <c r="A749" s="113">
        <f>领料单!CC65</f>
        <v>0</v>
      </c>
      <c r="B749" s="113">
        <f>领料单!CD65</f>
        <v>0</v>
      </c>
      <c r="C749" s="113">
        <f>领料单!CE65</f>
        <v>0</v>
      </c>
      <c r="D749" s="113">
        <f>领料单!CF65</f>
        <v>0</v>
      </c>
      <c r="E749" s="113">
        <f>领料单!CG65</f>
        <v>0</v>
      </c>
      <c r="F749" s="113">
        <f>领料单!CH65</f>
        <v>0</v>
      </c>
      <c r="G749" s="113"/>
    </row>
    <row r="750" customHeight="1" spans="1:7">
      <c r="A750" s="113">
        <f>领料单!CC66</f>
        <v>0</v>
      </c>
      <c r="B750" s="113">
        <f>领料单!CD66</f>
        <v>0</v>
      </c>
      <c r="C750" s="113">
        <f>领料单!CE66</f>
        <v>0</v>
      </c>
      <c r="D750" s="113">
        <f>领料单!CF66</f>
        <v>0</v>
      </c>
      <c r="E750" s="113">
        <f>领料单!CG66</f>
        <v>0</v>
      </c>
      <c r="F750" s="113">
        <f>领料单!CH66</f>
        <v>0</v>
      </c>
      <c r="G750" s="113"/>
    </row>
    <row r="751" customHeight="1" spans="1:7">
      <c r="A751" s="113">
        <f>领料单!CC67</f>
        <v>0</v>
      </c>
      <c r="B751" s="113">
        <f>领料单!CD67</f>
        <v>0</v>
      </c>
      <c r="C751" s="113">
        <f>领料单!CE67</f>
        <v>0</v>
      </c>
      <c r="D751" s="113">
        <f>领料单!CF67</f>
        <v>0</v>
      </c>
      <c r="E751" s="113">
        <f>领料单!CG67</f>
        <v>0</v>
      </c>
      <c r="F751" s="113">
        <f>领料单!CH67</f>
        <v>0</v>
      </c>
      <c r="G751" s="113"/>
    </row>
    <row r="752" customHeight="1" spans="1:7">
      <c r="A752" s="113">
        <f>领料单!CC68</f>
        <v>0</v>
      </c>
      <c r="B752" s="113">
        <f>领料单!CD68</f>
        <v>0</v>
      </c>
      <c r="C752" s="113">
        <f>领料单!CE68</f>
        <v>0</v>
      </c>
      <c r="D752" s="113">
        <f>领料单!CF68</f>
        <v>0</v>
      </c>
      <c r="E752" s="113">
        <f>领料单!CG68</f>
        <v>0</v>
      </c>
      <c r="F752" s="113">
        <f>领料单!CH68</f>
        <v>0</v>
      </c>
      <c r="G752" s="113"/>
    </row>
    <row r="753" customHeight="1" spans="1:7">
      <c r="A753" s="113">
        <f>领料单!CC69</f>
        <v>0</v>
      </c>
      <c r="B753" s="113">
        <f>领料单!CD69</f>
        <v>0</v>
      </c>
      <c r="C753" s="113">
        <f>领料单!CE69</f>
        <v>0</v>
      </c>
      <c r="D753" s="113">
        <f>领料单!CF69</f>
        <v>0</v>
      </c>
      <c r="E753" s="113">
        <f>领料单!CG69</f>
        <v>0</v>
      </c>
      <c r="F753" s="113">
        <f>领料单!CH69</f>
        <v>0</v>
      </c>
      <c r="G753" s="113"/>
    </row>
    <row r="754" customHeight="1" spans="1:7">
      <c r="A754" s="113">
        <f>领料单!CC70</f>
        <v>0</v>
      </c>
      <c r="B754" s="113">
        <f>领料单!CD70</f>
        <v>0</v>
      </c>
      <c r="C754" s="113">
        <f>领料单!CE70</f>
        <v>0</v>
      </c>
      <c r="D754" s="113">
        <f>领料单!CF70</f>
        <v>0</v>
      </c>
      <c r="E754" s="113">
        <f>领料单!CG70</f>
        <v>0</v>
      </c>
      <c r="F754" s="113">
        <f>领料单!CH70</f>
        <v>0</v>
      </c>
      <c r="G754" s="113"/>
    </row>
    <row r="755" customHeight="1" spans="1:7">
      <c r="A755" s="113">
        <f>领料单!CC71</f>
        <v>0</v>
      </c>
      <c r="B755" s="113">
        <f>领料单!CD71</f>
        <v>0</v>
      </c>
      <c r="C755" s="113">
        <f>领料单!CE71</f>
        <v>0</v>
      </c>
      <c r="D755" s="113">
        <f>领料单!CF71</f>
        <v>0</v>
      </c>
      <c r="E755" s="113">
        <f>领料单!CG71</f>
        <v>0</v>
      </c>
      <c r="F755" s="113">
        <f>领料单!CH71</f>
        <v>0</v>
      </c>
      <c r="G755" s="113"/>
    </row>
    <row r="756" customHeight="1" spans="1:7">
      <c r="A756" s="113">
        <f>领料单!CC72</f>
        <v>0</v>
      </c>
      <c r="B756" s="113">
        <f>领料单!CD72</f>
        <v>0</v>
      </c>
      <c r="C756" s="113">
        <f>领料单!CE72</f>
        <v>0</v>
      </c>
      <c r="D756" s="113">
        <f>领料单!CF72</f>
        <v>0</v>
      </c>
      <c r="E756" s="113">
        <f>领料单!CG72</f>
        <v>0</v>
      </c>
      <c r="F756" s="113">
        <f>领料单!CH72</f>
        <v>0</v>
      </c>
      <c r="G756" s="113"/>
    </row>
    <row r="757" customHeight="1" spans="1:7">
      <c r="A757" s="115" t="s">
        <v>340</v>
      </c>
      <c r="B757" s="116"/>
      <c r="C757" s="116"/>
      <c r="D757" s="116"/>
      <c r="E757" s="117"/>
      <c r="F757" s="118">
        <f>SUM(F745:F756)</f>
        <v>0</v>
      </c>
      <c r="G757" s="114"/>
    </row>
    <row r="758" customHeight="1" spans="1:7">
      <c r="A758" s="119" t="s">
        <v>341</v>
      </c>
      <c r="B758" s="119"/>
      <c r="C758" s="120"/>
      <c r="D758" s="119"/>
      <c r="E758" s="121" t="s">
        <v>342</v>
      </c>
      <c r="F758" s="119"/>
      <c r="G758" s="119"/>
    </row>
    <row r="761" customHeight="1" spans="1:7">
      <c r="A761" s="105"/>
      <c r="B761" s="106"/>
      <c r="C761" s="107" t="s">
        <v>330</v>
      </c>
      <c r="D761" s="107"/>
      <c r="E761" s="107"/>
      <c r="F761" s="105"/>
      <c r="G761" s="105"/>
    </row>
    <row r="762" customHeight="1" spans="1:7">
      <c r="A762" s="108" t="s">
        <v>331</v>
      </c>
      <c r="B762" s="109"/>
      <c r="C762" s="110">
        <v>45808</v>
      </c>
      <c r="D762" s="110"/>
      <c r="E762" s="110"/>
      <c r="F762" s="111" t="s">
        <v>332</v>
      </c>
      <c r="G762" s="112" t="str">
        <f>立项!$A$3</f>
        <v>RD01</v>
      </c>
    </row>
    <row r="763" customHeight="1" spans="1:7">
      <c r="A763" s="113" t="s">
        <v>333</v>
      </c>
      <c r="B763" s="113" t="s">
        <v>334</v>
      </c>
      <c r="C763" s="113" t="s">
        <v>335</v>
      </c>
      <c r="D763" s="113" t="s">
        <v>336</v>
      </c>
      <c r="E763" s="113" t="s">
        <v>337</v>
      </c>
      <c r="F763" s="113" t="s">
        <v>338</v>
      </c>
      <c r="G763" s="113" t="s">
        <v>339</v>
      </c>
    </row>
    <row r="764" customHeight="1" spans="1:7">
      <c r="A764" s="113">
        <f>领料单!I80</f>
        <v>0</v>
      </c>
      <c r="B764" s="113">
        <f>领料单!J80</f>
        <v>0</v>
      </c>
      <c r="C764" s="113">
        <f>领料单!K80</f>
        <v>0</v>
      </c>
      <c r="D764" s="113">
        <f>领料单!L80</f>
        <v>0</v>
      </c>
      <c r="E764" s="113">
        <f>领料单!M80</f>
        <v>0</v>
      </c>
      <c r="F764" s="113">
        <f>领料单!N80</f>
        <v>0</v>
      </c>
      <c r="G764" s="113"/>
    </row>
    <row r="765" customHeight="1" spans="1:7">
      <c r="A765" s="113">
        <f>领料单!I81</f>
        <v>0</v>
      </c>
      <c r="B765" s="113">
        <f>领料单!J81</f>
        <v>0</v>
      </c>
      <c r="C765" s="113">
        <f>领料单!K81</f>
        <v>0</v>
      </c>
      <c r="D765" s="113">
        <f>领料单!L81</f>
        <v>0</v>
      </c>
      <c r="E765" s="113">
        <f>领料单!M81</f>
        <v>0</v>
      </c>
      <c r="F765" s="113">
        <f>领料单!N81</f>
        <v>0</v>
      </c>
      <c r="G765" s="113"/>
    </row>
    <row r="766" customHeight="1" spans="1:7">
      <c r="A766" s="113">
        <f>领料单!I82</f>
        <v>0</v>
      </c>
      <c r="B766" s="113">
        <f>领料单!J82</f>
        <v>0</v>
      </c>
      <c r="C766" s="113">
        <f>领料单!K82</f>
        <v>0</v>
      </c>
      <c r="D766" s="113">
        <f>领料单!L82</f>
        <v>0</v>
      </c>
      <c r="E766" s="113">
        <f>领料单!M82</f>
        <v>0</v>
      </c>
      <c r="F766" s="113">
        <f>领料单!N82</f>
        <v>0</v>
      </c>
      <c r="G766" s="113"/>
    </row>
    <row r="767" customHeight="1" spans="1:7">
      <c r="A767" s="113">
        <f>领料单!I83</f>
        <v>0</v>
      </c>
      <c r="B767" s="113">
        <f>领料单!J83</f>
        <v>0</v>
      </c>
      <c r="C767" s="113">
        <f>领料单!K83</f>
        <v>0</v>
      </c>
      <c r="D767" s="113">
        <f>领料单!L83</f>
        <v>0</v>
      </c>
      <c r="E767" s="113">
        <f>领料单!M83</f>
        <v>0</v>
      </c>
      <c r="F767" s="113">
        <f>领料单!N83</f>
        <v>0</v>
      </c>
      <c r="G767" s="113"/>
    </row>
    <row r="768" customHeight="1" spans="1:7">
      <c r="A768" s="113">
        <f>领料单!I84</f>
        <v>0</v>
      </c>
      <c r="B768" s="113">
        <f>领料单!J84</f>
        <v>0</v>
      </c>
      <c r="C768" s="113">
        <f>领料单!K84</f>
        <v>0</v>
      </c>
      <c r="D768" s="113">
        <f>领料单!L84</f>
        <v>0</v>
      </c>
      <c r="E768" s="113">
        <f>领料单!M84</f>
        <v>0</v>
      </c>
      <c r="F768" s="113">
        <f>领料单!N84</f>
        <v>0</v>
      </c>
      <c r="G768" s="113"/>
    </row>
    <row r="769" customHeight="1" spans="1:7">
      <c r="A769" s="113">
        <f>领料单!I85</f>
        <v>0</v>
      </c>
      <c r="B769" s="113">
        <f>领料单!J85</f>
        <v>0</v>
      </c>
      <c r="C769" s="113">
        <f>领料单!K85</f>
        <v>0</v>
      </c>
      <c r="D769" s="113">
        <f>领料单!L85</f>
        <v>0</v>
      </c>
      <c r="E769" s="113">
        <f>领料单!M85</f>
        <v>0</v>
      </c>
      <c r="F769" s="113">
        <f>领料单!N85</f>
        <v>0</v>
      </c>
      <c r="G769" s="113"/>
    </row>
    <row r="770" customHeight="1" spans="1:7">
      <c r="A770" s="113">
        <f>领料单!I86</f>
        <v>0</v>
      </c>
      <c r="B770" s="113">
        <f>领料单!J86</f>
        <v>0</v>
      </c>
      <c r="C770" s="113">
        <f>领料单!K86</f>
        <v>0</v>
      </c>
      <c r="D770" s="113">
        <f>领料单!L86</f>
        <v>0</v>
      </c>
      <c r="E770" s="113">
        <f>领料单!M86</f>
        <v>0</v>
      </c>
      <c r="F770" s="113">
        <f>领料单!N86</f>
        <v>0</v>
      </c>
      <c r="G770" s="113"/>
    </row>
    <row r="771" customHeight="1" spans="1:7">
      <c r="A771" s="113">
        <f>领料单!I87</f>
        <v>0</v>
      </c>
      <c r="B771" s="113">
        <f>领料单!J87</f>
        <v>0</v>
      </c>
      <c r="C771" s="113">
        <f>领料单!K87</f>
        <v>0</v>
      </c>
      <c r="D771" s="113">
        <f>领料单!L87</f>
        <v>0</v>
      </c>
      <c r="E771" s="113">
        <f>领料单!M87</f>
        <v>0</v>
      </c>
      <c r="F771" s="113">
        <f>领料单!N87</f>
        <v>0</v>
      </c>
      <c r="G771" s="113"/>
    </row>
    <row r="772" customHeight="1" spans="1:7">
      <c r="A772" s="113">
        <f>领料单!I88</f>
        <v>0</v>
      </c>
      <c r="B772" s="113">
        <f>领料单!J88</f>
        <v>0</v>
      </c>
      <c r="C772" s="113">
        <f>领料单!K88</f>
        <v>0</v>
      </c>
      <c r="D772" s="113">
        <f>领料单!L88</f>
        <v>0</v>
      </c>
      <c r="E772" s="113">
        <f>领料单!M88</f>
        <v>0</v>
      </c>
      <c r="F772" s="113">
        <f>领料单!N88</f>
        <v>0</v>
      </c>
      <c r="G772" s="113"/>
    </row>
    <row r="773" customHeight="1" spans="1:7">
      <c r="A773" s="113">
        <f>领料单!I89</f>
        <v>0</v>
      </c>
      <c r="B773" s="113">
        <f>领料单!J89</f>
        <v>0</v>
      </c>
      <c r="C773" s="113">
        <f>领料单!K89</f>
        <v>0</v>
      </c>
      <c r="D773" s="113">
        <f>领料单!L89</f>
        <v>0</v>
      </c>
      <c r="E773" s="113">
        <f>领料单!M89</f>
        <v>0</v>
      </c>
      <c r="F773" s="113">
        <f>领料单!N89</f>
        <v>0</v>
      </c>
      <c r="G773" s="113"/>
    </row>
    <row r="774" customHeight="1" spans="1:7">
      <c r="A774" s="113">
        <f>领料单!I90</f>
        <v>0</v>
      </c>
      <c r="B774" s="113">
        <f>领料单!J90</f>
        <v>0</v>
      </c>
      <c r="C774" s="113">
        <f>领料单!K90</f>
        <v>0</v>
      </c>
      <c r="D774" s="113">
        <f>领料单!L90</f>
        <v>0</v>
      </c>
      <c r="E774" s="113">
        <f>领料单!M90</f>
        <v>0</v>
      </c>
      <c r="F774" s="113">
        <f>领料单!N90</f>
        <v>0</v>
      </c>
      <c r="G774" s="113"/>
    </row>
    <row r="775" customHeight="1" spans="1:7">
      <c r="A775" s="113">
        <f>领料单!I91</f>
        <v>0</v>
      </c>
      <c r="B775" s="113">
        <f>领料单!J91</f>
        <v>0</v>
      </c>
      <c r="C775" s="113">
        <f>领料单!K91</f>
        <v>0</v>
      </c>
      <c r="D775" s="113">
        <f>领料单!L91</f>
        <v>0</v>
      </c>
      <c r="E775" s="113">
        <f>领料单!M91</f>
        <v>0</v>
      </c>
      <c r="F775" s="113">
        <f>领料单!N91</f>
        <v>0</v>
      </c>
      <c r="G775" s="113"/>
    </row>
    <row r="776" customHeight="1" spans="1:7">
      <c r="A776" s="115" t="s">
        <v>340</v>
      </c>
      <c r="B776" s="116"/>
      <c r="C776" s="116"/>
      <c r="D776" s="116"/>
      <c r="E776" s="117"/>
      <c r="F776" s="118">
        <f>SUM(F764:F775)</f>
        <v>0</v>
      </c>
      <c r="G776" s="114"/>
    </row>
    <row r="777" customHeight="1" spans="1:7">
      <c r="A777" s="119" t="s">
        <v>341</v>
      </c>
      <c r="B777" s="119"/>
      <c r="C777" s="120"/>
      <c r="D777" s="119"/>
      <c r="E777" s="121" t="s">
        <v>342</v>
      </c>
      <c r="F777" s="119"/>
      <c r="G777" s="119"/>
    </row>
    <row r="780" customHeight="1" spans="1:7">
      <c r="A780" s="105"/>
      <c r="B780" s="106"/>
      <c r="C780" s="107" t="s">
        <v>330</v>
      </c>
      <c r="D780" s="107"/>
      <c r="E780" s="107"/>
      <c r="F780" s="105"/>
      <c r="G780" s="105"/>
    </row>
    <row r="781" customHeight="1" spans="1:7">
      <c r="A781" s="108" t="s">
        <v>331</v>
      </c>
      <c r="B781" s="109"/>
      <c r="C781" s="110">
        <v>45808</v>
      </c>
      <c r="D781" s="110"/>
      <c r="E781" s="110"/>
      <c r="F781" s="111" t="s">
        <v>332</v>
      </c>
      <c r="G781" s="112" t="str">
        <f>立项!$A$4</f>
        <v>RD02</v>
      </c>
    </row>
    <row r="782" customHeight="1" spans="1:7">
      <c r="A782" s="113" t="s">
        <v>333</v>
      </c>
      <c r="B782" s="113" t="s">
        <v>334</v>
      </c>
      <c r="C782" s="113" t="s">
        <v>335</v>
      </c>
      <c r="D782" s="113" t="s">
        <v>336</v>
      </c>
      <c r="E782" s="113" t="s">
        <v>337</v>
      </c>
      <c r="F782" s="113" t="s">
        <v>338</v>
      </c>
      <c r="G782" s="113" t="s">
        <v>339</v>
      </c>
    </row>
    <row r="783" customHeight="1" spans="1:7">
      <c r="A783" s="113">
        <f>领料单!Q80</f>
        <v>0</v>
      </c>
      <c r="B783" s="113">
        <f>领料单!R80</f>
        <v>0</v>
      </c>
      <c r="C783" s="113">
        <f>领料单!S80</f>
        <v>0</v>
      </c>
      <c r="D783" s="113">
        <f>领料单!T80</f>
        <v>0</v>
      </c>
      <c r="E783" s="113">
        <f>领料单!U80</f>
        <v>0</v>
      </c>
      <c r="F783" s="113">
        <f>领料单!V80</f>
        <v>0</v>
      </c>
      <c r="G783" s="113"/>
    </row>
    <row r="784" customHeight="1" spans="1:7">
      <c r="A784" s="113">
        <f>领料单!Q81</f>
        <v>0</v>
      </c>
      <c r="B784" s="113">
        <f>领料单!R81</f>
        <v>0</v>
      </c>
      <c r="C784" s="113">
        <f>领料单!S81</f>
        <v>0</v>
      </c>
      <c r="D784" s="113">
        <f>领料单!T81</f>
        <v>0</v>
      </c>
      <c r="E784" s="113">
        <f>领料单!U81</f>
        <v>0</v>
      </c>
      <c r="F784" s="113">
        <f>领料单!V81</f>
        <v>0</v>
      </c>
      <c r="G784" s="113"/>
    </row>
    <row r="785" customHeight="1" spans="1:7">
      <c r="A785" s="113">
        <f>领料单!Q82</f>
        <v>0</v>
      </c>
      <c r="B785" s="113">
        <f>领料单!R82</f>
        <v>0</v>
      </c>
      <c r="C785" s="113">
        <f>领料单!S82</f>
        <v>0</v>
      </c>
      <c r="D785" s="113">
        <f>领料单!T82</f>
        <v>0</v>
      </c>
      <c r="E785" s="113">
        <f>领料单!U82</f>
        <v>0</v>
      </c>
      <c r="F785" s="113">
        <f>领料单!V82</f>
        <v>0</v>
      </c>
      <c r="G785" s="113"/>
    </row>
    <row r="786" customHeight="1" spans="1:7">
      <c r="A786" s="113">
        <f>领料单!Q83</f>
        <v>0</v>
      </c>
      <c r="B786" s="113">
        <f>领料单!R83</f>
        <v>0</v>
      </c>
      <c r="C786" s="113">
        <f>领料单!S83</f>
        <v>0</v>
      </c>
      <c r="D786" s="113">
        <f>领料单!T83</f>
        <v>0</v>
      </c>
      <c r="E786" s="113">
        <f>领料单!U83</f>
        <v>0</v>
      </c>
      <c r="F786" s="113">
        <f>领料单!V83</f>
        <v>0</v>
      </c>
      <c r="G786" s="113"/>
    </row>
    <row r="787" customHeight="1" spans="1:7">
      <c r="A787" s="113">
        <f>领料单!Q84</f>
        <v>0</v>
      </c>
      <c r="B787" s="113">
        <f>领料单!R84</f>
        <v>0</v>
      </c>
      <c r="C787" s="113">
        <f>领料单!S84</f>
        <v>0</v>
      </c>
      <c r="D787" s="113">
        <f>领料单!T84</f>
        <v>0</v>
      </c>
      <c r="E787" s="113">
        <f>领料单!U84</f>
        <v>0</v>
      </c>
      <c r="F787" s="113">
        <f>领料单!V84</f>
        <v>0</v>
      </c>
      <c r="G787" s="113"/>
    </row>
    <row r="788" customHeight="1" spans="1:7">
      <c r="A788" s="113">
        <f>领料单!Q85</f>
        <v>0</v>
      </c>
      <c r="B788" s="113">
        <f>领料单!R85</f>
        <v>0</v>
      </c>
      <c r="C788" s="113">
        <f>领料单!S85</f>
        <v>0</v>
      </c>
      <c r="D788" s="113">
        <f>领料单!T85</f>
        <v>0</v>
      </c>
      <c r="E788" s="113">
        <f>领料单!U85</f>
        <v>0</v>
      </c>
      <c r="F788" s="113">
        <f>领料单!V85</f>
        <v>0</v>
      </c>
      <c r="G788" s="113"/>
    </row>
    <row r="789" customHeight="1" spans="1:7">
      <c r="A789" s="113">
        <f>领料单!Q86</f>
        <v>0</v>
      </c>
      <c r="B789" s="113">
        <f>领料单!R86</f>
        <v>0</v>
      </c>
      <c r="C789" s="113">
        <f>领料单!S86</f>
        <v>0</v>
      </c>
      <c r="D789" s="113">
        <f>领料单!T86</f>
        <v>0</v>
      </c>
      <c r="E789" s="113">
        <f>领料单!U86</f>
        <v>0</v>
      </c>
      <c r="F789" s="113">
        <f>领料单!V86</f>
        <v>0</v>
      </c>
      <c r="G789" s="113"/>
    </row>
    <row r="790" customHeight="1" spans="1:7">
      <c r="A790" s="113">
        <f>领料单!Q87</f>
        <v>0</v>
      </c>
      <c r="B790" s="113">
        <f>领料单!R87</f>
        <v>0</v>
      </c>
      <c r="C790" s="113">
        <f>领料单!S87</f>
        <v>0</v>
      </c>
      <c r="D790" s="113">
        <f>领料单!T87</f>
        <v>0</v>
      </c>
      <c r="E790" s="113">
        <f>领料单!U87</f>
        <v>0</v>
      </c>
      <c r="F790" s="113">
        <f>领料单!V87</f>
        <v>0</v>
      </c>
      <c r="G790" s="113"/>
    </row>
    <row r="791" customHeight="1" spans="1:7">
      <c r="A791" s="113">
        <f>领料单!Q88</f>
        <v>0</v>
      </c>
      <c r="B791" s="113">
        <f>领料单!R88</f>
        <v>0</v>
      </c>
      <c r="C791" s="113">
        <f>领料单!S88</f>
        <v>0</v>
      </c>
      <c r="D791" s="113">
        <f>领料单!T88</f>
        <v>0</v>
      </c>
      <c r="E791" s="113">
        <f>领料单!U88</f>
        <v>0</v>
      </c>
      <c r="F791" s="113">
        <f>领料单!V88</f>
        <v>0</v>
      </c>
      <c r="G791" s="113"/>
    </row>
    <row r="792" customHeight="1" spans="1:7">
      <c r="A792" s="113">
        <f>领料单!Q89</f>
        <v>0</v>
      </c>
      <c r="B792" s="113">
        <f>领料单!R89</f>
        <v>0</v>
      </c>
      <c r="C792" s="113">
        <f>领料单!S89</f>
        <v>0</v>
      </c>
      <c r="D792" s="113">
        <f>领料单!T89</f>
        <v>0</v>
      </c>
      <c r="E792" s="113">
        <f>领料单!U89</f>
        <v>0</v>
      </c>
      <c r="F792" s="113">
        <f>领料单!V89</f>
        <v>0</v>
      </c>
      <c r="G792" s="113"/>
    </row>
    <row r="793" customHeight="1" spans="1:7">
      <c r="A793" s="113">
        <f>领料单!Q90</f>
        <v>0</v>
      </c>
      <c r="B793" s="113">
        <f>领料单!R90</f>
        <v>0</v>
      </c>
      <c r="C793" s="113">
        <f>领料单!S90</f>
        <v>0</v>
      </c>
      <c r="D793" s="113">
        <f>领料单!T90</f>
        <v>0</v>
      </c>
      <c r="E793" s="113">
        <f>领料单!U90</f>
        <v>0</v>
      </c>
      <c r="F793" s="113">
        <f>领料单!V90</f>
        <v>0</v>
      </c>
      <c r="G793" s="113"/>
    </row>
    <row r="794" customHeight="1" spans="1:7">
      <c r="A794" s="113">
        <f>领料单!Q91</f>
        <v>0</v>
      </c>
      <c r="B794" s="113">
        <f>领料单!R91</f>
        <v>0</v>
      </c>
      <c r="C794" s="113">
        <f>领料单!S91</f>
        <v>0</v>
      </c>
      <c r="D794" s="113">
        <f>领料单!T91</f>
        <v>0</v>
      </c>
      <c r="E794" s="113">
        <f>领料单!U91</f>
        <v>0</v>
      </c>
      <c r="F794" s="113">
        <f>领料单!V91</f>
        <v>0</v>
      </c>
      <c r="G794" s="113"/>
    </row>
    <row r="795" customHeight="1" spans="1:7">
      <c r="A795" s="115" t="s">
        <v>340</v>
      </c>
      <c r="B795" s="116"/>
      <c r="C795" s="116"/>
      <c r="D795" s="116"/>
      <c r="E795" s="117"/>
      <c r="F795" s="118">
        <f>SUM(F783:F794)</f>
        <v>0</v>
      </c>
      <c r="G795" s="114"/>
    </row>
    <row r="796" customHeight="1" spans="1:7">
      <c r="A796" s="119" t="s">
        <v>341</v>
      </c>
      <c r="B796" s="119"/>
      <c r="C796" s="120"/>
      <c r="D796" s="119"/>
      <c r="E796" s="121" t="s">
        <v>342</v>
      </c>
      <c r="F796" s="119"/>
      <c r="G796" s="119"/>
    </row>
    <row r="799" customHeight="1" spans="1:7">
      <c r="A799" s="105"/>
      <c r="B799" s="106"/>
      <c r="C799" s="107" t="s">
        <v>330</v>
      </c>
      <c r="D799" s="107"/>
      <c r="E799" s="107"/>
      <c r="F799" s="105"/>
      <c r="G799" s="105"/>
    </row>
    <row r="800" customHeight="1" spans="1:7">
      <c r="A800" s="108" t="s">
        <v>331</v>
      </c>
      <c r="B800" s="109"/>
      <c r="C800" s="110">
        <v>45808</v>
      </c>
      <c r="D800" s="110"/>
      <c r="E800" s="110"/>
      <c r="F800" s="111" t="s">
        <v>332</v>
      </c>
      <c r="G800" s="112" t="str">
        <f>立项!$A$5</f>
        <v>RD03</v>
      </c>
    </row>
    <row r="801" customHeight="1" spans="1:7">
      <c r="A801" s="113" t="s">
        <v>333</v>
      </c>
      <c r="B801" s="113" t="s">
        <v>334</v>
      </c>
      <c r="C801" s="113" t="s">
        <v>335</v>
      </c>
      <c r="D801" s="113" t="s">
        <v>336</v>
      </c>
      <c r="E801" s="113" t="s">
        <v>337</v>
      </c>
      <c r="F801" s="113" t="s">
        <v>338</v>
      </c>
      <c r="G801" s="113" t="s">
        <v>339</v>
      </c>
    </row>
    <row r="802" customHeight="1" spans="1:7">
      <c r="A802" s="113">
        <f>领料单!Y80</f>
        <v>0</v>
      </c>
      <c r="B802" s="113">
        <f>领料单!Z80</f>
        <v>0</v>
      </c>
      <c r="C802" s="113">
        <f>领料单!AA80</f>
        <v>0</v>
      </c>
      <c r="D802" s="113">
        <f>领料单!AB80</f>
        <v>0</v>
      </c>
      <c r="E802" s="113">
        <f>领料单!AC80</f>
        <v>0</v>
      </c>
      <c r="F802" s="113">
        <f>领料单!AD80</f>
        <v>0</v>
      </c>
      <c r="G802" s="113"/>
    </row>
    <row r="803" customHeight="1" spans="1:7">
      <c r="A803" s="113">
        <f>领料单!Y81</f>
        <v>0</v>
      </c>
      <c r="B803" s="113">
        <f>领料单!Z81</f>
        <v>0</v>
      </c>
      <c r="C803" s="113">
        <f>领料单!AA81</f>
        <v>0</v>
      </c>
      <c r="D803" s="113">
        <f>领料单!AB81</f>
        <v>0</v>
      </c>
      <c r="E803" s="113">
        <f>领料单!AC81</f>
        <v>0</v>
      </c>
      <c r="F803" s="113">
        <f>领料单!AD81</f>
        <v>0</v>
      </c>
      <c r="G803" s="113"/>
    </row>
    <row r="804" customHeight="1" spans="1:7">
      <c r="A804" s="113">
        <f>领料单!Y82</f>
        <v>0</v>
      </c>
      <c r="B804" s="113">
        <f>领料单!Z82</f>
        <v>0</v>
      </c>
      <c r="C804" s="113">
        <f>领料单!AA82</f>
        <v>0</v>
      </c>
      <c r="D804" s="113">
        <f>领料单!AB82</f>
        <v>0</v>
      </c>
      <c r="E804" s="113">
        <f>领料单!AC82</f>
        <v>0</v>
      </c>
      <c r="F804" s="113">
        <f>领料单!AD82</f>
        <v>0</v>
      </c>
      <c r="G804" s="113"/>
    </row>
    <row r="805" customHeight="1" spans="1:7">
      <c r="A805" s="113">
        <f>领料单!Y83</f>
        <v>0</v>
      </c>
      <c r="B805" s="113">
        <f>领料单!Z83</f>
        <v>0</v>
      </c>
      <c r="C805" s="113">
        <f>领料单!AA83</f>
        <v>0</v>
      </c>
      <c r="D805" s="113">
        <f>领料单!AB83</f>
        <v>0</v>
      </c>
      <c r="E805" s="113">
        <f>领料单!AC83</f>
        <v>0</v>
      </c>
      <c r="F805" s="113">
        <f>领料单!AD83</f>
        <v>0</v>
      </c>
      <c r="G805" s="113"/>
    </row>
    <row r="806" customHeight="1" spans="1:7">
      <c r="A806" s="113">
        <f>领料单!Y84</f>
        <v>0</v>
      </c>
      <c r="B806" s="113">
        <f>领料单!Z84</f>
        <v>0</v>
      </c>
      <c r="C806" s="113">
        <f>领料单!AA84</f>
        <v>0</v>
      </c>
      <c r="D806" s="113">
        <f>领料单!AB84</f>
        <v>0</v>
      </c>
      <c r="E806" s="113">
        <f>领料单!AC84</f>
        <v>0</v>
      </c>
      <c r="F806" s="113">
        <f>领料单!AD84</f>
        <v>0</v>
      </c>
      <c r="G806" s="113"/>
    </row>
    <row r="807" customHeight="1" spans="1:7">
      <c r="A807" s="113">
        <f>领料单!Y85</f>
        <v>0</v>
      </c>
      <c r="B807" s="113">
        <f>领料单!Z85</f>
        <v>0</v>
      </c>
      <c r="C807" s="113">
        <f>领料单!AA85</f>
        <v>0</v>
      </c>
      <c r="D807" s="113">
        <f>领料单!AB85</f>
        <v>0</v>
      </c>
      <c r="E807" s="113">
        <f>领料单!AC85</f>
        <v>0</v>
      </c>
      <c r="F807" s="113">
        <f>领料单!AD85</f>
        <v>0</v>
      </c>
      <c r="G807" s="113"/>
    </row>
    <row r="808" customHeight="1" spans="1:7">
      <c r="A808" s="113">
        <f>领料单!Y86</f>
        <v>0</v>
      </c>
      <c r="B808" s="113">
        <f>领料单!Z86</f>
        <v>0</v>
      </c>
      <c r="C808" s="113">
        <f>领料单!AA86</f>
        <v>0</v>
      </c>
      <c r="D808" s="113">
        <f>领料单!AB86</f>
        <v>0</v>
      </c>
      <c r="E808" s="113">
        <f>领料单!AC86</f>
        <v>0</v>
      </c>
      <c r="F808" s="113">
        <f>领料单!AD86</f>
        <v>0</v>
      </c>
      <c r="G808" s="113"/>
    </row>
    <row r="809" customHeight="1" spans="1:7">
      <c r="A809" s="113">
        <f>领料单!Y87</f>
        <v>0</v>
      </c>
      <c r="B809" s="113">
        <f>领料单!Z87</f>
        <v>0</v>
      </c>
      <c r="C809" s="113">
        <f>领料单!AA87</f>
        <v>0</v>
      </c>
      <c r="D809" s="113">
        <f>领料单!AB87</f>
        <v>0</v>
      </c>
      <c r="E809" s="113">
        <f>领料单!AC87</f>
        <v>0</v>
      </c>
      <c r="F809" s="113">
        <f>领料单!AD87</f>
        <v>0</v>
      </c>
      <c r="G809" s="113"/>
    </row>
    <row r="810" customHeight="1" spans="1:7">
      <c r="A810" s="113">
        <f>领料单!Y88</f>
        <v>0</v>
      </c>
      <c r="B810" s="113">
        <f>领料单!Z88</f>
        <v>0</v>
      </c>
      <c r="C810" s="113">
        <f>领料单!AA88</f>
        <v>0</v>
      </c>
      <c r="D810" s="113">
        <f>领料单!AB88</f>
        <v>0</v>
      </c>
      <c r="E810" s="113">
        <f>领料单!AC88</f>
        <v>0</v>
      </c>
      <c r="F810" s="113">
        <f>领料单!AD88</f>
        <v>0</v>
      </c>
      <c r="G810" s="113"/>
    </row>
    <row r="811" customHeight="1" spans="1:7">
      <c r="A811" s="113">
        <f>领料单!Y89</f>
        <v>0</v>
      </c>
      <c r="B811" s="113">
        <f>领料单!Z89</f>
        <v>0</v>
      </c>
      <c r="C811" s="113">
        <f>领料单!AA89</f>
        <v>0</v>
      </c>
      <c r="D811" s="113">
        <f>领料单!AB89</f>
        <v>0</v>
      </c>
      <c r="E811" s="113">
        <f>领料单!AC89</f>
        <v>0</v>
      </c>
      <c r="F811" s="113">
        <f>领料单!AD89</f>
        <v>0</v>
      </c>
      <c r="G811" s="113"/>
    </row>
    <row r="812" customHeight="1" spans="1:7">
      <c r="A812" s="113">
        <f>领料单!Y90</f>
        <v>0</v>
      </c>
      <c r="B812" s="113">
        <f>领料单!Z90</f>
        <v>0</v>
      </c>
      <c r="C812" s="113">
        <f>领料单!AA90</f>
        <v>0</v>
      </c>
      <c r="D812" s="113">
        <f>领料单!AB90</f>
        <v>0</v>
      </c>
      <c r="E812" s="113">
        <f>领料单!AC90</f>
        <v>0</v>
      </c>
      <c r="F812" s="113">
        <f>领料单!AD90</f>
        <v>0</v>
      </c>
      <c r="G812" s="113"/>
    </row>
    <row r="813" customHeight="1" spans="1:7">
      <c r="A813" s="113">
        <f>领料单!Y91</f>
        <v>0</v>
      </c>
      <c r="B813" s="113">
        <f>领料单!Z91</f>
        <v>0</v>
      </c>
      <c r="C813" s="113">
        <f>领料单!AA91</f>
        <v>0</v>
      </c>
      <c r="D813" s="113">
        <f>领料单!AB91</f>
        <v>0</v>
      </c>
      <c r="E813" s="113">
        <f>领料单!AC91</f>
        <v>0</v>
      </c>
      <c r="F813" s="113">
        <f>领料单!AD91</f>
        <v>0</v>
      </c>
      <c r="G813" s="113"/>
    </row>
    <row r="814" customHeight="1" spans="1:7">
      <c r="A814" s="115" t="s">
        <v>340</v>
      </c>
      <c r="B814" s="116"/>
      <c r="C814" s="116"/>
      <c r="D814" s="116"/>
      <c r="E814" s="117"/>
      <c r="F814" s="118">
        <f>SUM(F802:F813)</f>
        <v>0</v>
      </c>
      <c r="G814" s="114"/>
    </row>
    <row r="815" customHeight="1" spans="1:7">
      <c r="A815" s="119" t="s">
        <v>341</v>
      </c>
      <c r="B815" s="119"/>
      <c r="C815" s="120"/>
      <c r="D815" s="119"/>
      <c r="E815" s="121" t="s">
        <v>342</v>
      </c>
      <c r="F815" s="119"/>
      <c r="G815" s="119"/>
    </row>
    <row r="818" customHeight="1" spans="1:7">
      <c r="A818" s="105"/>
      <c r="B818" s="106"/>
      <c r="C818" s="107" t="s">
        <v>330</v>
      </c>
      <c r="D818" s="107"/>
      <c r="E818" s="107"/>
      <c r="F818" s="105"/>
      <c r="G818" s="105"/>
    </row>
    <row r="819" customHeight="1" spans="1:7">
      <c r="A819" s="108" t="s">
        <v>331</v>
      </c>
      <c r="B819" s="109"/>
      <c r="C819" s="110">
        <v>45808</v>
      </c>
      <c r="D819" s="110"/>
      <c r="E819" s="110"/>
      <c r="F819" s="111" t="s">
        <v>332</v>
      </c>
      <c r="G819" s="112" t="str">
        <f>立项!$A$6</f>
        <v>RD04</v>
      </c>
    </row>
    <row r="820" customHeight="1" spans="1:7">
      <c r="A820" s="113" t="s">
        <v>333</v>
      </c>
      <c r="B820" s="113" t="s">
        <v>334</v>
      </c>
      <c r="C820" s="113" t="s">
        <v>335</v>
      </c>
      <c r="D820" s="113" t="s">
        <v>336</v>
      </c>
      <c r="E820" s="113" t="s">
        <v>337</v>
      </c>
      <c r="F820" s="113" t="s">
        <v>338</v>
      </c>
      <c r="G820" s="113" t="s">
        <v>339</v>
      </c>
    </row>
    <row r="821" customHeight="1" spans="1:7">
      <c r="A821" s="113">
        <f>领料单!AG80</f>
        <v>0</v>
      </c>
      <c r="B821" s="113">
        <f>领料单!AH80</f>
        <v>0</v>
      </c>
      <c r="C821" s="113">
        <f>领料单!AI80</f>
        <v>0</v>
      </c>
      <c r="D821" s="113">
        <f>领料单!AJ80</f>
        <v>0</v>
      </c>
      <c r="E821" s="113">
        <f>领料单!AK80</f>
        <v>0</v>
      </c>
      <c r="F821" s="113">
        <f>领料单!AL80</f>
        <v>0</v>
      </c>
      <c r="G821" s="113"/>
    </row>
    <row r="822" customHeight="1" spans="1:7">
      <c r="A822" s="113">
        <f>领料单!AG81</f>
        <v>0</v>
      </c>
      <c r="B822" s="113">
        <f>领料单!AH81</f>
        <v>0</v>
      </c>
      <c r="C822" s="113">
        <f>领料单!AI81</f>
        <v>0</v>
      </c>
      <c r="D822" s="113">
        <f>领料单!AJ81</f>
        <v>0</v>
      </c>
      <c r="E822" s="113">
        <f>领料单!AK81</f>
        <v>0</v>
      </c>
      <c r="F822" s="113">
        <f>领料单!AL81</f>
        <v>0</v>
      </c>
      <c r="G822" s="113"/>
    </row>
    <row r="823" customHeight="1" spans="1:7">
      <c r="A823" s="113">
        <f>领料单!AG82</f>
        <v>0</v>
      </c>
      <c r="B823" s="113">
        <f>领料单!AH82</f>
        <v>0</v>
      </c>
      <c r="C823" s="113">
        <f>领料单!AI82</f>
        <v>0</v>
      </c>
      <c r="D823" s="113">
        <f>领料单!AJ82</f>
        <v>0</v>
      </c>
      <c r="E823" s="113">
        <f>领料单!AK82</f>
        <v>0</v>
      </c>
      <c r="F823" s="113">
        <f>领料单!AL82</f>
        <v>0</v>
      </c>
      <c r="G823" s="113"/>
    </row>
    <row r="824" customHeight="1" spans="1:7">
      <c r="A824" s="113">
        <f>领料单!AG83</f>
        <v>0</v>
      </c>
      <c r="B824" s="113">
        <f>领料单!AH83</f>
        <v>0</v>
      </c>
      <c r="C824" s="113">
        <f>领料单!AI83</f>
        <v>0</v>
      </c>
      <c r="D824" s="113">
        <f>领料单!AJ83</f>
        <v>0</v>
      </c>
      <c r="E824" s="113">
        <f>领料单!AK83</f>
        <v>0</v>
      </c>
      <c r="F824" s="113">
        <f>领料单!AL83</f>
        <v>0</v>
      </c>
      <c r="G824" s="113"/>
    </row>
    <row r="825" customHeight="1" spans="1:7">
      <c r="A825" s="113">
        <f>领料单!AG84</f>
        <v>0</v>
      </c>
      <c r="B825" s="113">
        <f>领料单!AH84</f>
        <v>0</v>
      </c>
      <c r="C825" s="113">
        <f>领料单!AI84</f>
        <v>0</v>
      </c>
      <c r="D825" s="113">
        <f>领料单!AJ84</f>
        <v>0</v>
      </c>
      <c r="E825" s="113">
        <f>领料单!AK84</f>
        <v>0</v>
      </c>
      <c r="F825" s="113">
        <f>领料单!AL84</f>
        <v>0</v>
      </c>
      <c r="G825" s="113"/>
    </row>
    <row r="826" customHeight="1" spans="1:7">
      <c r="A826" s="113">
        <f>领料单!AG85</f>
        <v>0</v>
      </c>
      <c r="B826" s="113">
        <f>领料单!AH85</f>
        <v>0</v>
      </c>
      <c r="C826" s="113">
        <f>领料单!AI85</f>
        <v>0</v>
      </c>
      <c r="D826" s="113">
        <f>领料单!AJ85</f>
        <v>0</v>
      </c>
      <c r="E826" s="113">
        <f>领料单!AK85</f>
        <v>0</v>
      </c>
      <c r="F826" s="113">
        <f>领料单!AL85</f>
        <v>0</v>
      </c>
      <c r="G826" s="113"/>
    </row>
    <row r="827" customHeight="1" spans="1:7">
      <c r="A827" s="113">
        <f>领料单!AG86</f>
        <v>0</v>
      </c>
      <c r="B827" s="113">
        <f>领料单!AH86</f>
        <v>0</v>
      </c>
      <c r="C827" s="113">
        <f>领料单!AI86</f>
        <v>0</v>
      </c>
      <c r="D827" s="113">
        <f>领料单!AJ86</f>
        <v>0</v>
      </c>
      <c r="E827" s="113">
        <f>领料单!AK86</f>
        <v>0</v>
      </c>
      <c r="F827" s="113">
        <f>领料单!AL86</f>
        <v>0</v>
      </c>
      <c r="G827" s="113"/>
    </row>
    <row r="828" customHeight="1" spans="1:7">
      <c r="A828" s="113">
        <f>领料单!AG87</f>
        <v>0</v>
      </c>
      <c r="B828" s="113">
        <f>领料单!AH87</f>
        <v>0</v>
      </c>
      <c r="C828" s="113">
        <f>领料单!AI87</f>
        <v>0</v>
      </c>
      <c r="D828" s="113">
        <f>领料单!AJ87</f>
        <v>0</v>
      </c>
      <c r="E828" s="113">
        <f>领料单!AK87</f>
        <v>0</v>
      </c>
      <c r="F828" s="113">
        <f>领料单!AL87</f>
        <v>0</v>
      </c>
      <c r="G828" s="113"/>
    </row>
    <row r="829" customHeight="1" spans="1:7">
      <c r="A829" s="113">
        <f>领料单!AG88</f>
        <v>0</v>
      </c>
      <c r="B829" s="113">
        <f>领料单!AH88</f>
        <v>0</v>
      </c>
      <c r="C829" s="113">
        <f>领料单!AI88</f>
        <v>0</v>
      </c>
      <c r="D829" s="113">
        <f>领料单!AJ88</f>
        <v>0</v>
      </c>
      <c r="E829" s="113">
        <f>领料单!AK88</f>
        <v>0</v>
      </c>
      <c r="F829" s="113">
        <f>领料单!AL88</f>
        <v>0</v>
      </c>
      <c r="G829" s="113"/>
    </row>
    <row r="830" customHeight="1" spans="1:7">
      <c r="A830" s="113">
        <f>领料单!AG89</f>
        <v>0</v>
      </c>
      <c r="B830" s="113">
        <f>领料单!AH89</f>
        <v>0</v>
      </c>
      <c r="C830" s="113">
        <f>领料单!AI89</f>
        <v>0</v>
      </c>
      <c r="D830" s="113">
        <f>领料单!AJ89</f>
        <v>0</v>
      </c>
      <c r="E830" s="113">
        <f>领料单!AK89</f>
        <v>0</v>
      </c>
      <c r="F830" s="113">
        <f>领料单!AL89</f>
        <v>0</v>
      </c>
      <c r="G830" s="113"/>
    </row>
    <row r="831" customHeight="1" spans="1:7">
      <c r="A831" s="113">
        <f>领料单!AG90</f>
        <v>0</v>
      </c>
      <c r="B831" s="113">
        <f>领料单!AH90</f>
        <v>0</v>
      </c>
      <c r="C831" s="113">
        <f>领料单!AI90</f>
        <v>0</v>
      </c>
      <c r="D831" s="113">
        <f>领料单!AJ90</f>
        <v>0</v>
      </c>
      <c r="E831" s="113">
        <f>领料单!AK90</f>
        <v>0</v>
      </c>
      <c r="F831" s="113">
        <f>领料单!AL90</f>
        <v>0</v>
      </c>
      <c r="G831" s="113"/>
    </row>
    <row r="832" customHeight="1" spans="1:7">
      <c r="A832" s="113">
        <f>领料单!AG91</f>
        <v>0</v>
      </c>
      <c r="B832" s="113">
        <f>领料单!AH91</f>
        <v>0</v>
      </c>
      <c r="C832" s="113">
        <f>领料单!AI91</f>
        <v>0</v>
      </c>
      <c r="D832" s="113">
        <f>领料单!AJ91</f>
        <v>0</v>
      </c>
      <c r="E832" s="113">
        <f>领料单!AK91</f>
        <v>0</v>
      </c>
      <c r="F832" s="113">
        <f>领料单!AL91</f>
        <v>0</v>
      </c>
      <c r="G832" s="113"/>
    </row>
    <row r="833" customHeight="1" spans="1:7">
      <c r="A833" s="115" t="s">
        <v>340</v>
      </c>
      <c r="B833" s="116"/>
      <c r="C833" s="116"/>
      <c r="D833" s="116"/>
      <c r="E833" s="117"/>
      <c r="F833" s="118">
        <f>SUM(F821:F832)</f>
        <v>0</v>
      </c>
      <c r="G833" s="114"/>
    </row>
    <row r="834" customHeight="1" spans="1:7">
      <c r="A834" s="119" t="s">
        <v>341</v>
      </c>
      <c r="B834" s="119"/>
      <c r="C834" s="120"/>
      <c r="D834" s="119"/>
      <c r="E834" s="121" t="s">
        <v>342</v>
      </c>
      <c r="F834" s="119"/>
      <c r="G834" s="119"/>
    </row>
    <row r="837" customHeight="1" spans="1:7">
      <c r="A837" s="105"/>
      <c r="B837" s="106"/>
      <c r="C837" s="107" t="s">
        <v>330</v>
      </c>
      <c r="D837" s="107"/>
      <c r="E837" s="107"/>
      <c r="F837" s="105"/>
      <c r="G837" s="105"/>
    </row>
    <row r="838" customHeight="1" spans="1:7">
      <c r="A838" s="108" t="s">
        <v>331</v>
      </c>
      <c r="B838" s="109"/>
      <c r="C838" s="110">
        <v>45808</v>
      </c>
      <c r="D838" s="110"/>
      <c r="E838" s="110"/>
      <c r="F838" s="111" t="s">
        <v>332</v>
      </c>
      <c r="G838" s="112" t="str">
        <f>立项!$A$7</f>
        <v>RD05</v>
      </c>
    </row>
    <row r="839" customHeight="1" spans="1:7">
      <c r="A839" s="113" t="s">
        <v>333</v>
      </c>
      <c r="B839" s="113" t="s">
        <v>334</v>
      </c>
      <c r="C839" s="113" t="s">
        <v>335</v>
      </c>
      <c r="D839" s="113" t="s">
        <v>336</v>
      </c>
      <c r="E839" s="113" t="s">
        <v>337</v>
      </c>
      <c r="F839" s="113" t="s">
        <v>338</v>
      </c>
      <c r="G839" s="113" t="s">
        <v>339</v>
      </c>
    </row>
    <row r="840" customHeight="1" spans="1:7">
      <c r="A840" s="113">
        <f>领料单!AO80</f>
        <v>0</v>
      </c>
      <c r="B840" s="113">
        <f>领料单!AP80</f>
        <v>0</v>
      </c>
      <c r="C840" s="113">
        <f>领料单!AQ80</f>
        <v>0</v>
      </c>
      <c r="D840" s="113">
        <f>领料单!AR80</f>
        <v>0</v>
      </c>
      <c r="E840" s="113">
        <f>领料单!AS80</f>
        <v>0</v>
      </c>
      <c r="F840" s="113">
        <f>领料单!AT80</f>
        <v>0</v>
      </c>
      <c r="G840" s="113"/>
    </row>
    <row r="841" customHeight="1" spans="1:7">
      <c r="A841" s="113">
        <f>领料单!AO81</f>
        <v>0</v>
      </c>
      <c r="B841" s="113">
        <f>领料单!AP81</f>
        <v>0</v>
      </c>
      <c r="C841" s="113">
        <f>领料单!AQ81</f>
        <v>0</v>
      </c>
      <c r="D841" s="113">
        <f>领料单!AR81</f>
        <v>0</v>
      </c>
      <c r="E841" s="113">
        <f>领料单!AS81</f>
        <v>0</v>
      </c>
      <c r="F841" s="113">
        <f>领料单!AT81</f>
        <v>0</v>
      </c>
      <c r="G841" s="113"/>
    </row>
    <row r="842" customHeight="1" spans="1:7">
      <c r="A842" s="113">
        <f>领料单!AO82</f>
        <v>0</v>
      </c>
      <c r="B842" s="113">
        <f>领料单!AP82</f>
        <v>0</v>
      </c>
      <c r="C842" s="113">
        <f>领料单!AQ82</f>
        <v>0</v>
      </c>
      <c r="D842" s="113">
        <f>领料单!AR82</f>
        <v>0</v>
      </c>
      <c r="E842" s="113">
        <f>领料单!AS82</f>
        <v>0</v>
      </c>
      <c r="F842" s="113">
        <f>领料单!AT82</f>
        <v>0</v>
      </c>
      <c r="G842" s="113"/>
    </row>
    <row r="843" customHeight="1" spans="1:7">
      <c r="A843" s="113">
        <f>领料单!AO83</f>
        <v>0</v>
      </c>
      <c r="B843" s="113">
        <f>领料单!AP83</f>
        <v>0</v>
      </c>
      <c r="C843" s="113">
        <f>领料单!AQ83</f>
        <v>0</v>
      </c>
      <c r="D843" s="113">
        <f>领料单!AR83</f>
        <v>0</v>
      </c>
      <c r="E843" s="113">
        <f>领料单!AS83</f>
        <v>0</v>
      </c>
      <c r="F843" s="113">
        <f>领料单!AT83</f>
        <v>0</v>
      </c>
      <c r="G843" s="113"/>
    </row>
    <row r="844" customHeight="1" spans="1:7">
      <c r="A844" s="113">
        <f>领料单!AO84</f>
        <v>0</v>
      </c>
      <c r="B844" s="113">
        <f>领料单!AP84</f>
        <v>0</v>
      </c>
      <c r="C844" s="113">
        <f>领料单!AQ84</f>
        <v>0</v>
      </c>
      <c r="D844" s="113">
        <f>领料单!AR84</f>
        <v>0</v>
      </c>
      <c r="E844" s="113">
        <f>领料单!AS84</f>
        <v>0</v>
      </c>
      <c r="F844" s="113">
        <f>领料单!AT84</f>
        <v>0</v>
      </c>
      <c r="G844" s="113"/>
    </row>
    <row r="845" customHeight="1" spans="1:7">
      <c r="A845" s="113">
        <f>领料单!AO85</f>
        <v>0</v>
      </c>
      <c r="B845" s="113">
        <f>领料单!AP85</f>
        <v>0</v>
      </c>
      <c r="C845" s="113">
        <f>领料单!AQ85</f>
        <v>0</v>
      </c>
      <c r="D845" s="113">
        <f>领料单!AR85</f>
        <v>0</v>
      </c>
      <c r="E845" s="113">
        <f>领料单!AS85</f>
        <v>0</v>
      </c>
      <c r="F845" s="113">
        <f>领料单!AT85</f>
        <v>0</v>
      </c>
      <c r="G845" s="113"/>
    </row>
    <row r="846" customHeight="1" spans="1:7">
      <c r="A846" s="113">
        <f>领料单!AO86</f>
        <v>0</v>
      </c>
      <c r="B846" s="113">
        <f>领料单!AP86</f>
        <v>0</v>
      </c>
      <c r="C846" s="113">
        <f>领料单!AQ86</f>
        <v>0</v>
      </c>
      <c r="D846" s="113">
        <f>领料单!AR86</f>
        <v>0</v>
      </c>
      <c r="E846" s="113">
        <f>领料单!AS86</f>
        <v>0</v>
      </c>
      <c r="F846" s="113">
        <f>领料单!AT86</f>
        <v>0</v>
      </c>
      <c r="G846" s="113"/>
    </row>
    <row r="847" customHeight="1" spans="1:7">
      <c r="A847" s="113">
        <f>领料单!AO87</f>
        <v>0</v>
      </c>
      <c r="B847" s="113">
        <f>领料单!AP87</f>
        <v>0</v>
      </c>
      <c r="C847" s="113">
        <f>领料单!AQ87</f>
        <v>0</v>
      </c>
      <c r="D847" s="113">
        <f>领料单!AR87</f>
        <v>0</v>
      </c>
      <c r="E847" s="113">
        <f>领料单!AS87</f>
        <v>0</v>
      </c>
      <c r="F847" s="113">
        <f>领料单!AT87</f>
        <v>0</v>
      </c>
      <c r="G847" s="113"/>
    </row>
    <row r="848" customHeight="1" spans="1:7">
      <c r="A848" s="113">
        <f>领料单!AO88</f>
        <v>0</v>
      </c>
      <c r="B848" s="113">
        <f>领料单!AP88</f>
        <v>0</v>
      </c>
      <c r="C848" s="113">
        <f>领料单!AQ88</f>
        <v>0</v>
      </c>
      <c r="D848" s="113">
        <f>领料单!AR88</f>
        <v>0</v>
      </c>
      <c r="E848" s="113">
        <f>领料单!AS88</f>
        <v>0</v>
      </c>
      <c r="F848" s="113">
        <f>领料单!AT88</f>
        <v>0</v>
      </c>
      <c r="G848" s="113"/>
    </row>
    <row r="849" customHeight="1" spans="1:7">
      <c r="A849" s="113">
        <f>领料单!AO89</f>
        <v>0</v>
      </c>
      <c r="B849" s="113">
        <f>领料单!AP89</f>
        <v>0</v>
      </c>
      <c r="C849" s="113">
        <f>领料单!AQ89</f>
        <v>0</v>
      </c>
      <c r="D849" s="113">
        <f>领料单!AR89</f>
        <v>0</v>
      </c>
      <c r="E849" s="113">
        <f>领料单!AS89</f>
        <v>0</v>
      </c>
      <c r="F849" s="113">
        <f>领料单!AT89</f>
        <v>0</v>
      </c>
      <c r="G849" s="113"/>
    </row>
    <row r="850" customHeight="1" spans="1:7">
      <c r="A850" s="113">
        <f>领料单!AO90</f>
        <v>0</v>
      </c>
      <c r="B850" s="113">
        <f>领料单!AP90</f>
        <v>0</v>
      </c>
      <c r="C850" s="113">
        <f>领料单!AQ90</f>
        <v>0</v>
      </c>
      <c r="D850" s="113">
        <f>领料单!AR90</f>
        <v>0</v>
      </c>
      <c r="E850" s="113">
        <f>领料单!AS90</f>
        <v>0</v>
      </c>
      <c r="F850" s="113">
        <f>领料单!AT90</f>
        <v>0</v>
      </c>
      <c r="G850" s="113"/>
    </row>
    <row r="851" customHeight="1" spans="1:7">
      <c r="A851" s="113">
        <f>领料单!AO91</f>
        <v>0</v>
      </c>
      <c r="B851" s="113">
        <f>领料单!AP91</f>
        <v>0</v>
      </c>
      <c r="C851" s="113">
        <f>领料单!AQ91</f>
        <v>0</v>
      </c>
      <c r="D851" s="113">
        <f>领料单!AR91</f>
        <v>0</v>
      </c>
      <c r="E851" s="113">
        <f>领料单!AS91</f>
        <v>0</v>
      </c>
      <c r="F851" s="113">
        <f>领料单!AT91</f>
        <v>0</v>
      </c>
      <c r="G851" s="113"/>
    </row>
    <row r="852" customHeight="1" spans="1:7">
      <c r="A852" s="115" t="s">
        <v>340</v>
      </c>
      <c r="B852" s="116"/>
      <c r="C852" s="116"/>
      <c r="D852" s="116"/>
      <c r="E852" s="117"/>
      <c r="F852" s="118">
        <f>SUM(F840:F851)</f>
        <v>0</v>
      </c>
      <c r="G852" s="114"/>
    </row>
    <row r="853" customHeight="1" spans="1:7">
      <c r="A853" s="119" t="s">
        <v>341</v>
      </c>
      <c r="B853" s="119"/>
      <c r="C853" s="120"/>
      <c r="D853" s="119"/>
      <c r="E853" s="121" t="s">
        <v>342</v>
      </c>
      <c r="F853" s="119"/>
      <c r="G853" s="119"/>
    </row>
    <row r="856" customHeight="1" spans="1:7">
      <c r="A856" s="105"/>
      <c r="B856" s="106"/>
      <c r="C856" s="107" t="s">
        <v>330</v>
      </c>
      <c r="D856" s="107"/>
      <c r="E856" s="107"/>
      <c r="F856" s="105"/>
      <c r="G856" s="105"/>
    </row>
    <row r="857" customHeight="1" spans="1:7">
      <c r="A857" s="108" t="s">
        <v>331</v>
      </c>
      <c r="B857" s="109"/>
      <c r="C857" s="110">
        <v>45808</v>
      </c>
      <c r="D857" s="110"/>
      <c r="E857" s="110"/>
      <c r="F857" s="111" t="s">
        <v>332</v>
      </c>
      <c r="G857" s="112" t="str">
        <f>立项!$A$8</f>
        <v>RD06</v>
      </c>
    </row>
    <row r="858" customHeight="1" spans="1:7">
      <c r="A858" s="113" t="s">
        <v>333</v>
      </c>
      <c r="B858" s="113" t="s">
        <v>334</v>
      </c>
      <c r="C858" s="113" t="s">
        <v>335</v>
      </c>
      <c r="D858" s="113" t="s">
        <v>336</v>
      </c>
      <c r="E858" s="113" t="s">
        <v>337</v>
      </c>
      <c r="F858" s="113" t="s">
        <v>338</v>
      </c>
      <c r="G858" s="113" t="s">
        <v>339</v>
      </c>
    </row>
    <row r="859" customHeight="1" spans="1:7">
      <c r="A859" s="113">
        <f>领料单!AW80</f>
        <v>0</v>
      </c>
      <c r="B859" s="113">
        <f>领料单!AX80</f>
        <v>0</v>
      </c>
      <c r="C859" s="113">
        <f>领料单!AY80</f>
        <v>0</v>
      </c>
      <c r="D859" s="113">
        <f>领料单!AZ80</f>
        <v>0</v>
      </c>
      <c r="E859" s="113">
        <f>领料单!BA80</f>
        <v>0</v>
      </c>
      <c r="F859" s="113">
        <f>领料单!BB80</f>
        <v>0</v>
      </c>
      <c r="G859" s="113"/>
    </row>
    <row r="860" customHeight="1" spans="1:7">
      <c r="A860" s="113">
        <f>领料单!AW81</f>
        <v>0</v>
      </c>
      <c r="B860" s="113">
        <f>领料单!AX81</f>
        <v>0</v>
      </c>
      <c r="C860" s="113">
        <f>领料单!AY81</f>
        <v>0</v>
      </c>
      <c r="D860" s="113">
        <f>领料单!AZ81</f>
        <v>0</v>
      </c>
      <c r="E860" s="113">
        <f>领料单!BA81</f>
        <v>0</v>
      </c>
      <c r="F860" s="113">
        <f>领料单!BB81</f>
        <v>0</v>
      </c>
      <c r="G860" s="113"/>
    </row>
    <row r="861" customHeight="1" spans="1:7">
      <c r="A861" s="113">
        <f>领料单!AW82</f>
        <v>0</v>
      </c>
      <c r="B861" s="113">
        <f>领料单!AX82</f>
        <v>0</v>
      </c>
      <c r="C861" s="113">
        <f>领料单!AY82</f>
        <v>0</v>
      </c>
      <c r="D861" s="113">
        <f>领料单!AZ82</f>
        <v>0</v>
      </c>
      <c r="E861" s="113">
        <f>领料单!BA82</f>
        <v>0</v>
      </c>
      <c r="F861" s="113">
        <f>领料单!BB82</f>
        <v>0</v>
      </c>
      <c r="G861" s="113"/>
    </row>
    <row r="862" customHeight="1" spans="1:7">
      <c r="A862" s="113">
        <f>领料单!AW83</f>
        <v>0</v>
      </c>
      <c r="B862" s="113">
        <f>领料单!AX83</f>
        <v>0</v>
      </c>
      <c r="C862" s="113">
        <f>领料单!AY83</f>
        <v>0</v>
      </c>
      <c r="D862" s="113">
        <f>领料单!AZ83</f>
        <v>0</v>
      </c>
      <c r="E862" s="113">
        <f>领料单!BA83</f>
        <v>0</v>
      </c>
      <c r="F862" s="113">
        <f>领料单!BB83</f>
        <v>0</v>
      </c>
      <c r="G862" s="113"/>
    </row>
    <row r="863" customHeight="1" spans="1:7">
      <c r="A863" s="113">
        <f>领料单!AW84</f>
        <v>0</v>
      </c>
      <c r="B863" s="113">
        <f>领料单!AX84</f>
        <v>0</v>
      </c>
      <c r="C863" s="113">
        <f>领料单!AY84</f>
        <v>0</v>
      </c>
      <c r="D863" s="113">
        <f>领料单!AZ84</f>
        <v>0</v>
      </c>
      <c r="E863" s="113">
        <f>领料单!BA84</f>
        <v>0</v>
      </c>
      <c r="F863" s="113">
        <f>领料单!BB84</f>
        <v>0</v>
      </c>
      <c r="G863" s="113"/>
    </row>
    <row r="864" customHeight="1" spans="1:7">
      <c r="A864" s="113">
        <f>领料单!AW85</f>
        <v>0</v>
      </c>
      <c r="B864" s="113">
        <f>领料单!AX85</f>
        <v>0</v>
      </c>
      <c r="C864" s="113">
        <f>领料单!AY85</f>
        <v>0</v>
      </c>
      <c r="D864" s="113">
        <f>领料单!AZ85</f>
        <v>0</v>
      </c>
      <c r="E864" s="113">
        <f>领料单!BA85</f>
        <v>0</v>
      </c>
      <c r="F864" s="113">
        <f>领料单!BB85</f>
        <v>0</v>
      </c>
      <c r="G864" s="113"/>
    </row>
    <row r="865" customHeight="1" spans="1:7">
      <c r="A865" s="113">
        <f>领料单!AW86</f>
        <v>0</v>
      </c>
      <c r="B865" s="113">
        <f>领料单!AX86</f>
        <v>0</v>
      </c>
      <c r="C865" s="113">
        <f>领料单!AY86</f>
        <v>0</v>
      </c>
      <c r="D865" s="113">
        <f>领料单!AZ86</f>
        <v>0</v>
      </c>
      <c r="E865" s="113">
        <f>领料单!BA86</f>
        <v>0</v>
      </c>
      <c r="F865" s="113">
        <f>领料单!BB86</f>
        <v>0</v>
      </c>
      <c r="G865" s="113"/>
    </row>
    <row r="866" customHeight="1" spans="1:7">
      <c r="A866" s="113">
        <f>领料单!AW87</f>
        <v>0</v>
      </c>
      <c r="B866" s="113">
        <f>领料单!AX87</f>
        <v>0</v>
      </c>
      <c r="C866" s="113">
        <f>领料单!AY87</f>
        <v>0</v>
      </c>
      <c r="D866" s="113">
        <f>领料单!AZ87</f>
        <v>0</v>
      </c>
      <c r="E866" s="113">
        <f>领料单!BA87</f>
        <v>0</v>
      </c>
      <c r="F866" s="113">
        <f>领料单!BB87</f>
        <v>0</v>
      </c>
      <c r="G866" s="113"/>
    </row>
    <row r="867" customHeight="1" spans="1:7">
      <c r="A867" s="113">
        <f>领料单!AW88</f>
        <v>0</v>
      </c>
      <c r="B867" s="113">
        <f>领料单!AX88</f>
        <v>0</v>
      </c>
      <c r="C867" s="113">
        <f>领料单!AY88</f>
        <v>0</v>
      </c>
      <c r="D867" s="113">
        <f>领料单!AZ88</f>
        <v>0</v>
      </c>
      <c r="E867" s="113">
        <f>领料单!BA88</f>
        <v>0</v>
      </c>
      <c r="F867" s="113">
        <f>领料单!BB88</f>
        <v>0</v>
      </c>
      <c r="G867" s="113"/>
    </row>
    <row r="868" customHeight="1" spans="1:7">
      <c r="A868" s="113">
        <f>领料单!AW89</f>
        <v>0</v>
      </c>
      <c r="B868" s="113">
        <f>领料单!AX89</f>
        <v>0</v>
      </c>
      <c r="C868" s="113">
        <f>领料单!AY89</f>
        <v>0</v>
      </c>
      <c r="D868" s="113">
        <f>领料单!AZ89</f>
        <v>0</v>
      </c>
      <c r="E868" s="113">
        <f>领料单!BA89</f>
        <v>0</v>
      </c>
      <c r="F868" s="113">
        <f>领料单!BB89</f>
        <v>0</v>
      </c>
      <c r="G868" s="113"/>
    </row>
    <row r="869" customHeight="1" spans="1:7">
      <c r="A869" s="113">
        <f>领料单!AW90</f>
        <v>0</v>
      </c>
      <c r="B869" s="113">
        <f>领料单!AX90</f>
        <v>0</v>
      </c>
      <c r="C869" s="113">
        <f>领料单!AY90</f>
        <v>0</v>
      </c>
      <c r="D869" s="113">
        <f>领料单!AZ90</f>
        <v>0</v>
      </c>
      <c r="E869" s="113">
        <f>领料单!BA90</f>
        <v>0</v>
      </c>
      <c r="F869" s="113">
        <f>领料单!BB90</f>
        <v>0</v>
      </c>
      <c r="G869" s="113"/>
    </row>
    <row r="870" customHeight="1" spans="1:7">
      <c r="A870" s="113">
        <f>领料单!AW91</f>
        <v>0</v>
      </c>
      <c r="B870" s="113">
        <f>领料单!AX91</f>
        <v>0</v>
      </c>
      <c r="C870" s="113">
        <f>领料单!AY91</f>
        <v>0</v>
      </c>
      <c r="D870" s="113">
        <f>领料单!AZ91</f>
        <v>0</v>
      </c>
      <c r="E870" s="113">
        <f>领料单!BA91</f>
        <v>0</v>
      </c>
      <c r="F870" s="113">
        <f>领料单!BB91</f>
        <v>0</v>
      </c>
      <c r="G870" s="113"/>
    </row>
    <row r="871" customHeight="1" spans="1:7">
      <c r="A871" s="115" t="s">
        <v>340</v>
      </c>
      <c r="B871" s="116"/>
      <c r="C871" s="116"/>
      <c r="D871" s="116"/>
      <c r="E871" s="117"/>
      <c r="F871" s="118">
        <f>SUM(F859:F870)</f>
        <v>0</v>
      </c>
      <c r="G871" s="114"/>
    </row>
    <row r="872" customHeight="1" spans="1:7">
      <c r="A872" s="119" t="s">
        <v>341</v>
      </c>
      <c r="B872" s="119"/>
      <c r="C872" s="120"/>
      <c r="D872" s="119"/>
      <c r="E872" s="121" t="s">
        <v>342</v>
      </c>
      <c r="F872" s="119"/>
      <c r="G872" s="119"/>
    </row>
    <row r="875" customHeight="1" spans="1:7">
      <c r="A875" s="105"/>
      <c r="B875" s="106"/>
      <c r="C875" s="107" t="s">
        <v>330</v>
      </c>
      <c r="D875" s="107"/>
      <c r="E875" s="107"/>
      <c r="F875" s="105"/>
      <c r="G875" s="105"/>
    </row>
    <row r="876" customHeight="1" spans="1:7">
      <c r="A876" s="108" t="s">
        <v>331</v>
      </c>
      <c r="B876" s="109"/>
      <c r="C876" s="110">
        <v>45808</v>
      </c>
      <c r="D876" s="110"/>
      <c r="E876" s="110"/>
      <c r="F876" s="111" t="s">
        <v>332</v>
      </c>
      <c r="G876" s="112" t="str">
        <f>立项!$A$9</f>
        <v>RD07</v>
      </c>
    </row>
    <row r="877" customHeight="1" spans="1:7">
      <c r="A877" s="113" t="s">
        <v>333</v>
      </c>
      <c r="B877" s="113" t="s">
        <v>334</v>
      </c>
      <c r="C877" s="113" t="s">
        <v>335</v>
      </c>
      <c r="D877" s="113" t="s">
        <v>336</v>
      </c>
      <c r="E877" s="113" t="s">
        <v>337</v>
      </c>
      <c r="F877" s="113" t="s">
        <v>338</v>
      </c>
      <c r="G877" s="113" t="s">
        <v>339</v>
      </c>
    </row>
    <row r="878" customHeight="1" spans="1:7">
      <c r="A878" s="113">
        <f>领料单!BE80</f>
        <v>0</v>
      </c>
      <c r="B878" s="113">
        <f>领料单!BF80</f>
        <v>0</v>
      </c>
      <c r="C878" s="113">
        <f>领料单!BG80</f>
        <v>0</v>
      </c>
      <c r="D878" s="113">
        <f>领料单!BH80</f>
        <v>0</v>
      </c>
      <c r="E878" s="113">
        <f>领料单!BI80</f>
        <v>0</v>
      </c>
      <c r="F878" s="113">
        <f>领料单!BJ80</f>
        <v>0</v>
      </c>
      <c r="G878" s="113"/>
    </row>
    <row r="879" customHeight="1" spans="1:7">
      <c r="A879" s="113">
        <f>领料单!BE81</f>
        <v>0</v>
      </c>
      <c r="B879" s="113">
        <f>领料单!BF81</f>
        <v>0</v>
      </c>
      <c r="C879" s="113">
        <f>领料单!BG81</f>
        <v>0</v>
      </c>
      <c r="D879" s="113">
        <f>领料单!BH81</f>
        <v>0</v>
      </c>
      <c r="E879" s="113">
        <f>领料单!BI81</f>
        <v>0</v>
      </c>
      <c r="F879" s="113">
        <f>领料单!BJ81</f>
        <v>0</v>
      </c>
      <c r="G879" s="113"/>
    </row>
    <row r="880" customHeight="1" spans="1:7">
      <c r="A880" s="113">
        <f>领料单!BE82</f>
        <v>0</v>
      </c>
      <c r="B880" s="113">
        <f>领料单!BF82</f>
        <v>0</v>
      </c>
      <c r="C880" s="113">
        <f>领料单!BG82</f>
        <v>0</v>
      </c>
      <c r="D880" s="113">
        <f>领料单!BH82</f>
        <v>0</v>
      </c>
      <c r="E880" s="113">
        <f>领料单!BI82</f>
        <v>0</v>
      </c>
      <c r="F880" s="113">
        <f>领料单!BJ82</f>
        <v>0</v>
      </c>
      <c r="G880" s="113"/>
    </row>
    <row r="881" customHeight="1" spans="1:7">
      <c r="A881" s="113">
        <f>领料单!BE83</f>
        <v>0</v>
      </c>
      <c r="B881" s="113">
        <f>领料单!BF83</f>
        <v>0</v>
      </c>
      <c r="C881" s="113">
        <f>领料单!BG83</f>
        <v>0</v>
      </c>
      <c r="D881" s="113">
        <f>领料单!BH83</f>
        <v>0</v>
      </c>
      <c r="E881" s="113">
        <f>领料单!BI83</f>
        <v>0</v>
      </c>
      <c r="F881" s="113">
        <f>领料单!BJ83</f>
        <v>0</v>
      </c>
      <c r="G881" s="113"/>
    </row>
    <row r="882" customHeight="1" spans="1:7">
      <c r="A882" s="113">
        <f>领料单!BE84</f>
        <v>0</v>
      </c>
      <c r="B882" s="113">
        <f>领料单!BF84</f>
        <v>0</v>
      </c>
      <c r="C882" s="113">
        <f>领料单!BG84</f>
        <v>0</v>
      </c>
      <c r="D882" s="113">
        <f>领料单!BH84</f>
        <v>0</v>
      </c>
      <c r="E882" s="113">
        <f>领料单!BI84</f>
        <v>0</v>
      </c>
      <c r="F882" s="113">
        <f>领料单!BJ84</f>
        <v>0</v>
      </c>
      <c r="G882" s="113"/>
    </row>
    <row r="883" customHeight="1" spans="1:7">
      <c r="A883" s="113">
        <f>领料单!BE85</f>
        <v>0</v>
      </c>
      <c r="B883" s="113">
        <f>领料单!BF85</f>
        <v>0</v>
      </c>
      <c r="C883" s="113">
        <f>领料单!BG85</f>
        <v>0</v>
      </c>
      <c r="D883" s="113">
        <f>领料单!BH85</f>
        <v>0</v>
      </c>
      <c r="E883" s="113">
        <f>领料单!BI85</f>
        <v>0</v>
      </c>
      <c r="F883" s="113">
        <f>领料单!BJ85</f>
        <v>0</v>
      </c>
      <c r="G883" s="113"/>
    </row>
    <row r="884" customHeight="1" spans="1:7">
      <c r="A884" s="113">
        <f>领料单!BE86</f>
        <v>0</v>
      </c>
      <c r="B884" s="113">
        <f>领料单!BF86</f>
        <v>0</v>
      </c>
      <c r="C884" s="113">
        <f>领料单!BG86</f>
        <v>0</v>
      </c>
      <c r="D884" s="113">
        <f>领料单!BH86</f>
        <v>0</v>
      </c>
      <c r="E884" s="113">
        <f>领料单!BI86</f>
        <v>0</v>
      </c>
      <c r="F884" s="113">
        <f>领料单!BJ86</f>
        <v>0</v>
      </c>
      <c r="G884" s="113"/>
    </row>
    <row r="885" customHeight="1" spans="1:7">
      <c r="A885" s="113">
        <f>领料单!BE87</f>
        <v>0</v>
      </c>
      <c r="B885" s="113">
        <f>领料单!BF87</f>
        <v>0</v>
      </c>
      <c r="C885" s="113">
        <f>领料单!BG87</f>
        <v>0</v>
      </c>
      <c r="D885" s="113">
        <f>领料单!BH87</f>
        <v>0</v>
      </c>
      <c r="E885" s="113">
        <f>领料单!BI87</f>
        <v>0</v>
      </c>
      <c r="F885" s="113">
        <f>领料单!BJ87</f>
        <v>0</v>
      </c>
      <c r="G885" s="113"/>
    </row>
    <row r="886" customHeight="1" spans="1:7">
      <c r="A886" s="113">
        <f>领料单!BE88</f>
        <v>0</v>
      </c>
      <c r="B886" s="113">
        <f>领料单!BF88</f>
        <v>0</v>
      </c>
      <c r="C886" s="113">
        <f>领料单!BG88</f>
        <v>0</v>
      </c>
      <c r="D886" s="113">
        <f>领料单!BH88</f>
        <v>0</v>
      </c>
      <c r="E886" s="113">
        <f>领料单!BI88</f>
        <v>0</v>
      </c>
      <c r="F886" s="113">
        <f>领料单!BJ88</f>
        <v>0</v>
      </c>
      <c r="G886" s="113"/>
    </row>
    <row r="887" customHeight="1" spans="1:7">
      <c r="A887" s="113">
        <f>领料单!BE89</f>
        <v>0</v>
      </c>
      <c r="B887" s="113">
        <f>领料单!BF89</f>
        <v>0</v>
      </c>
      <c r="C887" s="113">
        <f>领料单!BG89</f>
        <v>0</v>
      </c>
      <c r="D887" s="113">
        <f>领料单!BH89</f>
        <v>0</v>
      </c>
      <c r="E887" s="113">
        <f>领料单!BI89</f>
        <v>0</v>
      </c>
      <c r="F887" s="113">
        <f>领料单!BJ89</f>
        <v>0</v>
      </c>
      <c r="G887" s="113"/>
    </row>
    <row r="888" customHeight="1" spans="1:7">
      <c r="A888" s="113">
        <f>领料单!BE90</f>
        <v>0</v>
      </c>
      <c r="B888" s="113">
        <f>领料单!BF90</f>
        <v>0</v>
      </c>
      <c r="C888" s="113">
        <f>领料单!BG90</f>
        <v>0</v>
      </c>
      <c r="D888" s="113">
        <f>领料单!BH90</f>
        <v>0</v>
      </c>
      <c r="E888" s="113">
        <f>领料单!BI90</f>
        <v>0</v>
      </c>
      <c r="F888" s="113">
        <f>领料单!BJ90</f>
        <v>0</v>
      </c>
      <c r="G888" s="113"/>
    </row>
    <row r="889" customHeight="1" spans="1:7">
      <c r="A889" s="113">
        <f>领料单!BE91</f>
        <v>0</v>
      </c>
      <c r="B889" s="113">
        <f>领料单!BF91</f>
        <v>0</v>
      </c>
      <c r="C889" s="113">
        <f>领料单!BG91</f>
        <v>0</v>
      </c>
      <c r="D889" s="113">
        <f>领料单!BH91</f>
        <v>0</v>
      </c>
      <c r="E889" s="113">
        <f>领料单!BI91</f>
        <v>0</v>
      </c>
      <c r="F889" s="113">
        <f>领料单!BJ91</f>
        <v>0</v>
      </c>
      <c r="G889" s="113"/>
    </row>
    <row r="890" customHeight="1" spans="1:7">
      <c r="A890" s="115" t="s">
        <v>340</v>
      </c>
      <c r="B890" s="116"/>
      <c r="C890" s="116"/>
      <c r="D890" s="116"/>
      <c r="E890" s="117"/>
      <c r="F890" s="118">
        <f>SUM(F878:F889)</f>
        <v>0</v>
      </c>
      <c r="G890" s="114"/>
    </row>
    <row r="891" customHeight="1" spans="1:7">
      <c r="A891" s="119" t="s">
        <v>341</v>
      </c>
      <c r="B891" s="119"/>
      <c r="C891" s="120"/>
      <c r="D891" s="119"/>
      <c r="E891" s="121" t="s">
        <v>342</v>
      </c>
      <c r="F891" s="119"/>
      <c r="G891" s="119"/>
    </row>
    <row r="894" customHeight="1" spans="1:7">
      <c r="A894" s="105"/>
      <c r="B894" s="106"/>
      <c r="C894" s="107" t="s">
        <v>330</v>
      </c>
      <c r="D894" s="107"/>
      <c r="E894" s="107"/>
      <c r="F894" s="105"/>
      <c r="G894" s="105"/>
    </row>
    <row r="895" customHeight="1" spans="1:7">
      <c r="A895" s="108" t="s">
        <v>331</v>
      </c>
      <c r="B895" s="109"/>
      <c r="C895" s="110">
        <v>45808</v>
      </c>
      <c r="D895" s="110"/>
      <c r="E895" s="110"/>
      <c r="F895" s="111" t="s">
        <v>332</v>
      </c>
      <c r="G895" s="112" t="str">
        <f>立项!$A$10</f>
        <v>RD08</v>
      </c>
    </row>
    <row r="896" customHeight="1" spans="1:7">
      <c r="A896" s="113" t="s">
        <v>333</v>
      </c>
      <c r="B896" s="113" t="s">
        <v>334</v>
      </c>
      <c r="C896" s="113" t="s">
        <v>335</v>
      </c>
      <c r="D896" s="113" t="s">
        <v>336</v>
      </c>
      <c r="E896" s="113" t="s">
        <v>337</v>
      </c>
      <c r="F896" s="113" t="s">
        <v>338</v>
      </c>
      <c r="G896" s="113" t="s">
        <v>339</v>
      </c>
    </row>
    <row r="897" customHeight="1" spans="1:7">
      <c r="A897" s="113">
        <f>领料单!BM80</f>
        <v>0</v>
      </c>
      <c r="B897" s="113">
        <f>领料单!BN80</f>
        <v>0</v>
      </c>
      <c r="C897" s="113">
        <f>领料单!BO80</f>
        <v>0</v>
      </c>
      <c r="D897" s="113">
        <f>领料单!BP80</f>
        <v>0</v>
      </c>
      <c r="E897" s="113">
        <f>领料单!BQ80</f>
        <v>0</v>
      </c>
      <c r="F897" s="113">
        <f>领料单!BR80</f>
        <v>0</v>
      </c>
      <c r="G897" s="113"/>
    </row>
    <row r="898" customHeight="1" spans="1:7">
      <c r="A898" s="113">
        <f>领料单!BM81</f>
        <v>0</v>
      </c>
      <c r="B898" s="113">
        <f>领料单!BN81</f>
        <v>0</v>
      </c>
      <c r="C898" s="113">
        <f>领料单!BO81</f>
        <v>0</v>
      </c>
      <c r="D898" s="113">
        <f>领料单!BP81</f>
        <v>0</v>
      </c>
      <c r="E898" s="113">
        <f>领料单!BQ81</f>
        <v>0</v>
      </c>
      <c r="F898" s="113">
        <f>领料单!BR81</f>
        <v>0</v>
      </c>
      <c r="G898" s="113"/>
    </row>
    <row r="899" customHeight="1" spans="1:7">
      <c r="A899" s="113">
        <f>领料单!BM82</f>
        <v>0</v>
      </c>
      <c r="B899" s="113">
        <f>领料单!BN82</f>
        <v>0</v>
      </c>
      <c r="C899" s="113">
        <f>领料单!BO82</f>
        <v>0</v>
      </c>
      <c r="D899" s="113">
        <f>领料单!BP82</f>
        <v>0</v>
      </c>
      <c r="E899" s="113">
        <f>领料单!BQ82</f>
        <v>0</v>
      </c>
      <c r="F899" s="113">
        <f>领料单!BR82</f>
        <v>0</v>
      </c>
      <c r="G899" s="113"/>
    </row>
    <row r="900" customHeight="1" spans="1:7">
      <c r="A900" s="113">
        <f>领料单!BM83</f>
        <v>0</v>
      </c>
      <c r="B900" s="113">
        <f>领料单!BN83</f>
        <v>0</v>
      </c>
      <c r="C900" s="113">
        <f>领料单!BO83</f>
        <v>0</v>
      </c>
      <c r="D900" s="113">
        <f>领料单!BP83</f>
        <v>0</v>
      </c>
      <c r="E900" s="113">
        <f>领料单!BQ83</f>
        <v>0</v>
      </c>
      <c r="F900" s="113">
        <f>领料单!BR83</f>
        <v>0</v>
      </c>
      <c r="G900" s="113"/>
    </row>
    <row r="901" customHeight="1" spans="1:7">
      <c r="A901" s="113">
        <f>领料单!BM84</f>
        <v>0</v>
      </c>
      <c r="B901" s="113">
        <f>领料单!BN84</f>
        <v>0</v>
      </c>
      <c r="C901" s="113">
        <f>领料单!BO84</f>
        <v>0</v>
      </c>
      <c r="D901" s="113">
        <f>领料单!BP84</f>
        <v>0</v>
      </c>
      <c r="E901" s="113">
        <f>领料单!BQ84</f>
        <v>0</v>
      </c>
      <c r="F901" s="113">
        <f>领料单!BR84</f>
        <v>0</v>
      </c>
      <c r="G901" s="113"/>
    </row>
    <row r="902" customHeight="1" spans="1:7">
      <c r="A902" s="113">
        <f>领料单!BM85</f>
        <v>0</v>
      </c>
      <c r="B902" s="113">
        <f>领料单!BN85</f>
        <v>0</v>
      </c>
      <c r="C902" s="113">
        <f>领料单!BO85</f>
        <v>0</v>
      </c>
      <c r="D902" s="113">
        <f>领料单!BP85</f>
        <v>0</v>
      </c>
      <c r="E902" s="113">
        <f>领料单!BQ85</f>
        <v>0</v>
      </c>
      <c r="F902" s="113">
        <f>领料单!BR85</f>
        <v>0</v>
      </c>
      <c r="G902" s="113"/>
    </row>
    <row r="903" customHeight="1" spans="1:7">
      <c r="A903" s="113">
        <f>领料单!BM86</f>
        <v>0</v>
      </c>
      <c r="B903" s="113">
        <f>领料单!BN86</f>
        <v>0</v>
      </c>
      <c r="C903" s="113">
        <f>领料单!BO86</f>
        <v>0</v>
      </c>
      <c r="D903" s="113">
        <f>领料单!BP86</f>
        <v>0</v>
      </c>
      <c r="E903" s="113">
        <f>领料单!BQ86</f>
        <v>0</v>
      </c>
      <c r="F903" s="113">
        <f>领料单!BR86</f>
        <v>0</v>
      </c>
      <c r="G903" s="113"/>
    </row>
    <row r="904" customHeight="1" spans="1:7">
      <c r="A904" s="113">
        <f>领料单!BM87</f>
        <v>0</v>
      </c>
      <c r="B904" s="113">
        <f>领料单!BN87</f>
        <v>0</v>
      </c>
      <c r="C904" s="113">
        <f>领料单!BO87</f>
        <v>0</v>
      </c>
      <c r="D904" s="113">
        <f>领料单!BP87</f>
        <v>0</v>
      </c>
      <c r="E904" s="113">
        <f>领料单!BQ87</f>
        <v>0</v>
      </c>
      <c r="F904" s="113">
        <f>领料单!BR87</f>
        <v>0</v>
      </c>
      <c r="G904" s="113"/>
    </row>
    <row r="905" customHeight="1" spans="1:7">
      <c r="A905" s="113">
        <f>领料单!BM88</f>
        <v>0</v>
      </c>
      <c r="B905" s="113">
        <f>领料单!BN88</f>
        <v>0</v>
      </c>
      <c r="C905" s="113">
        <f>领料单!BO88</f>
        <v>0</v>
      </c>
      <c r="D905" s="113">
        <f>领料单!BP88</f>
        <v>0</v>
      </c>
      <c r="E905" s="113">
        <f>领料单!BQ88</f>
        <v>0</v>
      </c>
      <c r="F905" s="113">
        <f>领料单!BR88</f>
        <v>0</v>
      </c>
      <c r="G905" s="113"/>
    </row>
    <row r="906" customHeight="1" spans="1:7">
      <c r="A906" s="113">
        <f>领料单!BM89</f>
        <v>0</v>
      </c>
      <c r="B906" s="113">
        <f>领料单!BN89</f>
        <v>0</v>
      </c>
      <c r="C906" s="113">
        <f>领料单!BO89</f>
        <v>0</v>
      </c>
      <c r="D906" s="113">
        <f>领料单!BP89</f>
        <v>0</v>
      </c>
      <c r="E906" s="113">
        <f>领料单!BQ89</f>
        <v>0</v>
      </c>
      <c r="F906" s="113">
        <f>领料单!BR89</f>
        <v>0</v>
      </c>
      <c r="G906" s="113"/>
    </row>
    <row r="907" customHeight="1" spans="1:7">
      <c r="A907" s="113">
        <f>领料单!BM90</f>
        <v>0</v>
      </c>
      <c r="B907" s="113">
        <f>领料单!BN90</f>
        <v>0</v>
      </c>
      <c r="C907" s="113">
        <f>领料单!BO90</f>
        <v>0</v>
      </c>
      <c r="D907" s="113">
        <f>领料单!BP90</f>
        <v>0</v>
      </c>
      <c r="E907" s="113">
        <f>领料单!BQ90</f>
        <v>0</v>
      </c>
      <c r="F907" s="113">
        <f>领料单!BR90</f>
        <v>0</v>
      </c>
      <c r="G907" s="113"/>
    </row>
    <row r="908" customHeight="1" spans="1:7">
      <c r="A908" s="113">
        <f>领料单!BM91</f>
        <v>0</v>
      </c>
      <c r="B908" s="113">
        <f>领料单!BN91</f>
        <v>0</v>
      </c>
      <c r="C908" s="113">
        <f>领料单!BO91</f>
        <v>0</v>
      </c>
      <c r="D908" s="113">
        <f>领料单!BP91</f>
        <v>0</v>
      </c>
      <c r="E908" s="113">
        <f>领料单!BQ91</f>
        <v>0</v>
      </c>
      <c r="F908" s="113">
        <f>领料单!BR91</f>
        <v>0</v>
      </c>
      <c r="G908" s="113"/>
    </row>
    <row r="909" customHeight="1" spans="1:7">
      <c r="A909" s="115" t="s">
        <v>340</v>
      </c>
      <c r="B909" s="116"/>
      <c r="C909" s="116"/>
      <c r="D909" s="116"/>
      <c r="E909" s="117"/>
      <c r="F909" s="118">
        <f>SUM(F897:F908)</f>
        <v>0</v>
      </c>
      <c r="G909" s="114"/>
    </row>
    <row r="910" customHeight="1" spans="1:7">
      <c r="A910" s="119" t="s">
        <v>341</v>
      </c>
      <c r="B910" s="119"/>
      <c r="C910" s="120"/>
      <c r="D910" s="119"/>
      <c r="E910" s="121" t="s">
        <v>342</v>
      </c>
      <c r="F910" s="119"/>
      <c r="G910" s="119"/>
    </row>
    <row r="913" customHeight="1" spans="1:7">
      <c r="A913" s="105"/>
      <c r="B913" s="106"/>
      <c r="C913" s="107" t="s">
        <v>330</v>
      </c>
      <c r="D913" s="107"/>
      <c r="E913" s="107"/>
      <c r="F913" s="105"/>
      <c r="G913" s="105"/>
    </row>
    <row r="914" customHeight="1" spans="1:7">
      <c r="A914" s="108" t="s">
        <v>331</v>
      </c>
      <c r="B914" s="109"/>
      <c r="C914" s="110">
        <v>45808</v>
      </c>
      <c r="D914" s="110"/>
      <c r="E914" s="110"/>
      <c r="F914" s="111" t="s">
        <v>332</v>
      </c>
      <c r="G914" s="112" t="str">
        <f>立项!$A$11</f>
        <v>RD09</v>
      </c>
    </row>
    <row r="915" customHeight="1" spans="1:7">
      <c r="A915" s="113" t="s">
        <v>333</v>
      </c>
      <c r="B915" s="113" t="s">
        <v>334</v>
      </c>
      <c r="C915" s="113" t="s">
        <v>335</v>
      </c>
      <c r="D915" s="113" t="s">
        <v>336</v>
      </c>
      <c r="E915" s="113" t="s">
        <v>337</v>
      </c>
      <c r="F915" s="113" t="s">
        <v>338</v>
      </c>
      <c r="G915" s="113" t="s">
        <v>339</v>
      </c>
    </row>
    <row r="916" customHeight="1" spans="1:7">
      <c r="A916" s="113">
        <f>领料单!BU80</f>
        <v>0</v>
      </c>
      <c r="B916" s="113">
        <f>领料单!BV80</f>
        <v>0</v>
      </c>
      <c r="C916" s="113">
        <f>领料单!BW80</f>
        <v>0</v>
      </c>
      <c r="D916" s="113">
        <f>领料单!BX80</f>
        <v>0</v>
      </c>
      <c r="E916" s="113">
        <f>领料单!BY80</f>
        <v>0</v>
      </c>
      <c r="F916" s="113">
        <f>领料单!BZ80</f>
        <v>0</v>
      </c>
      <c r="G916" s="113"/>
    </row>
    <row r="917" customHeight="1" spans="1:7">
      <c r="A917" s="113">
        <f>领料单!BU81</f>
        <v>0</v>
      </c>
      <c r="B917" s="113">
        <f>领料单!BV81</f>
        <v>0</v>
      </c>
      <c r="C917" s="113">
        <f>领料单!BW81</f>
        <v>0</v>
      </c>
      <c r="D917" s="113">
        <f>领料单!BX81</f>
        <v>0</v>
      </c>
      <c r="E917" s="113">
        <f>领料单!BY81</f>
        <v>0</v>
      </c>
      <c r="F917" s="113">
        <f>领料单!BZ81</f>
        <v>0</v>
      </c>
      <c r="G917" s="113"/>
    </row>
    <row r="918" customHeight="1" spans="1:7">
      <c r="A918" s="113">
        <f>领料单!BU82</f>
        <v>0</v>
      </c>
      <c r="B918" s="113">
        <f>领料单!BV82</f>
        <v>0</v>
      </c>
      <c r="C918" s="113">
        <f>领料单!BW82</f>
        <v>0</v>
      </c>
      <c r="D918" s="113">
        <f>领料单!BX82</f>
        <v>0</v>
      </c>
      <c r="E918" s="113">
        <f>领料单!BY82</f>
        <v>0</v>
      </c>
      <c r="F918" s="113">
        <f>领料单!BZ82</f>
        <v>0</v>
      </c>
      <c r="G918" s="113"/>
    </row>
    <row r="919" customHeight="1" spans="1:7">
      <c r="A919" s="113">
        <f>领料单!BU83</f>
        <v>0</v>
      </c>
      <c r="B919" s="113">
        <f>领料单!BV83</f>
        <v>0</v>
      </c>
      <c r="C919" s="113">
        <f>领料单!BW83</f>
        <v>0</v>
      </c>
      <c r="D919" s="113">
        <f>领料单!BX83</f>
        <v>0</v>
      </c>
      <c r="E919" s="113">
        <f>领料单!BY83</f>
        <v>0</v>
      </c>
      <c r="F919" s="113">
        <f>领料单!BZ83</f>
        <v>0</v>
      </c>
      <c r="G919" s="113"/>
    </row>
    <row r="920" customHeight="1" spans="1:7">
      <c r="A920" s="113">
        <f>领料单!BU84</f>
        <v>0</v>
      </c>
      <c r="B920" s="113">
        <f>领料单!BV84</f>
        <v>0</v>
      </c>
      <c r="C920" s="113">
        <f>领料单!BW84</f>
        <v>0</v>
      </c>
      <c r="D920" s="113">
        <f>领料单!BX84</f>
        <v>0</v>
      </c>
      <c r="E920" s="113">
        <f>领料单!BY84</f>
        <v>0</v>
      </c>
      <c r="F920" s="113">
        <f>领料单!BZ84</f>
        <v>0</v>
      </c>
      <c r="G920" s="113"/>
    </row>
    <row r="921" customHeight="1" spans="1:7">
      <c r="A921" s="113">
        <f>领料单!BU85</f>
        <v>0</v>
      </c>
      <c r="B921" s="113">
        <f>领料单!BV85</f>
        <v>0</v>
      </c>
      <c r="C921" s="113">
        <f>领料单!BW85</f>
        <v>0</v>
      </c>
      <c r="D921" s="113">
        <f>领料单!BX85</f>
        <v>0</v>
      </c>
      <c r="E921" s="113">
        <f>领料单!BY85</f>
        <v>0</v>
      </c>
      <c r="F921" s="113">
        <f>领料单!BZ85</f>
        <v>0</v>
      </c>
      <c r="G921" s="113"/>
    </row>
    <row r="922" customHeight="1" spans="1:7">
      <c r="A922" s="113">
        <f>领料单!BU86</f>
        <v>0</v>
      </c>
      <c r="B922" s="113">
        <f>领料单!BV86</f>
        <v>0</v>
      </c>
      <c r="C922" s="113">
        <f>领料单!BW86</f>
        <v>0</v>
      </c>
      <c r="D922" s="113">
        <f>领料单!BX86</f>
        <v>0</v>
      </c>
      <c r="E922" s="113">
        <f>领料单!BY86</f>
        <v>0</v>
      </c>
      <c r="F922" s="113">
        <f>领料单!BZ86</f>
        <v>0</v>
      </c>
      <c r="G922" s="113"/>
    </row>
    <row r="923" customHeight="1" spans="1:7">
      <c r="A923" s="113">
        <f>领料单!BU87</f>
        <v>0</v>
      </c>
      <c r="B923" s="113">
        <f>领料单!BV87</f>
        <v>0</v>
      </c>
      <c r="C923" s="113">
        <f>领料单!BW87</f>
        <v>0</v>
      </c>
      <c r="D923" s="113">
        <f>领料单!BX87</f>
        <v>0</v>
      </c>
      <c r="E923" s="113">
        <f>领料单!BY87</f>
        <v>0</v>
      </c>
      <c r="F923" s="113">
        <f>领料单!BZ87</f>
        <v>0</v>
      </c>
      <c r="G923" s="113"/>
    </row>
    <row r="924" customHeight="1" spans="1:7">
      <c r="A924" s="113">
        <f>领料单!BU88</f>
        <v>0</v>
      </c>
      <c r="B924" s="113">
        <f>领料单!BV88</f>
        <v>0</v>
      </c>
      <c r="C924" s="113">
        <f>领料单!BW88</f>
        <v>0</v>
      </c>
      <c r="D924" s="113">
        <f>领料单!BX88</f>
        <v>0</v>
      </c>
      <c r="E924" s="113">
        <f>领料单!BY88</f>
        <v>0</v>
      </c>
      <c r="F924" s="113">
        <f>领料单!BZ88</f>
        <v>0</v>
      </c>
      <c r="G924" s="113"/>
    </row>
    <row r="925" customHeight="1" spans="1:7">
      <c r="A925" s="113">
        <f>领料单!BU89</f>
        <v>0</v>
      </c>
      <c r="B925" s="113">
        <f>领料单!BV89</f>
        <v>0</v>
      </c>
      <c r="C925" s="113">
        <f>领料单!BW89</f>
        <v>0</v>
      </c>
      <c r="D925" s="113">
        <f>领料单!BX89</f>
        <v>0</v>
      </c>
      <c r="E925" s="113">
        <f>领料单!BY89</f>
        <v>0</v>
      </c>
      <c r="F925" s="113">
        <f>领料单!BZ89</f>
        <v>0</v>
      </c>
      <c r="G925" s="113"/>
    </row>
    <row r="926" customHeight="1" spans="1:7">
      <c r="A926" s="113">
        <f>领料单!BU90</f>
        <v>0</v>
      </c>
      <c r="B926" s="113">
        <f>领料单!BV90</f>
        <v>0</v>
      </c>
      <c r="C926" s="113">
        <f>领料单!BW90</f>
        <v>0</v>
      </c>
      <c r="D926" s="113">
        <f>领料单!BX90</f>
        <v>0</v>
      </c>
      <c r="E926" s="113">
        <f>领料单!BY90</f>
        <v>0</v>
      </c>
      <c r="F926" s="113">
        <f>领料单!BZ90</f>
        <v>0</v>
      </c>
      <c r="G926" s="113"/>
    </row>
    <row r="927" customHeight="1" spans="1:7">
      <c r="A927" s="113">
        <f>领料单!BU91</f>
        <v>0</v>
      </c>
      <c r="B927" s="113">
        <f>领料单!BV91</f>
        <v>0</v>
      </c>
      <c r="C927" s="113">
        <f>领料单!BW91</f>
        <v>0</v>
      </c>
      <c r="D927" s="113">
        <f>领料单!BX91</f>
        <v>0</v>
      </c>
      <c r="E927" s="113">
        <f>领料单!BY91</f>
        <v>0</v>
      </c>
      <c r="F927" s="113">
        <f>领料单!BZ91</f>
        <v>0</v>
      </c>
      <c r="G927" s="113"/>
    </row>
    <row r="928" customHeight="1" spans="1:7">
      <c r="A928" s="115" t="s">
        <v>340</v>
      </c>
      <c r="B928" s="116"/>
      <c r="C928" s="116"/>
      <c r="D928" s="116"/>
      <c r="E928" s="117"/>
      <c r="F928" s="118">
        <f>SUM(F916:F927)</f>
        <v>0</v>
      </c>
      <c r="G928" s="114"/>
    </row>
    <row r="929" customHeight="1" spans="1:7">
      <c r="A929" s="119" t="s">
        <v>341</v>
      </c>
      <c r="B929" s="119"/>
      <c r="C929" s="120"/>
      <c r="D929" s="119"/>
      <c r="E929" s="121" t="s">
        <v>342</v>
      </c>
      <c r="F929" s="119"/>
      <c r="G929" s="119"/>
    </row>
    <row r="932" customHeight="1" spans="1:7">
      <c r="A932" s="105"/>
      <c r="B932" s="106"/>
      <c r="C932" s="107" t="s">
        <v>330</v>
      </c>
      <c r="D932" s="107"/>
      <c r="E932" s="107"/>
      <c r="F932" s="105"/>
      <c r="G932" s="105"/>
    </row>
    <row r="933" customHeight="1" spans="1:7">
      <c r="A933" s="108" t="s">
        <v>331</v>
      </c>
      <c r="B933" s="109"/>
      <c r="C933" s="110">
        <v>45808</v>
      </c>
      <c r="D933" s="110"/>
      <c r="E933" s="110"/>
      <c r="F933" s="111" t="s">
        <v>332</v>
      </c>
      <c r="G933" s="112" t="str">
        <f>立项!$A$12</f>
        <v>RD10</v>
      </c>
    </row>
    <row r="934" customHeight="1" spans="1:7">
      <c r="A934" s="113" t="s">
        <v>333</v>
      </c>
      <c r="B934" s="113" t="s">
        <v>334</v>
      </c>
      <c r="C934" s="113" t="s">
        <v>335</v>
      </c>
      <c r="D934" s="113" t="s">
        <v>336</v>
      </c>
      <c r="E934" s="113" t="s">
        <v>337</v>
      </c>
      <c r="F934" s="113" t="s">
        <v>338</v>
      </c>
      <c r="G934" s="113" t="s">
        <v>339</v>
      </c>
    </row>
    <row r="935" customHeight="1" spans="1:7">
      <c r="A935" s="113">
        <f>领料单!CC80</f>
        <v>0</v>
      </c>
      <c r="B935" s="113">
        <f>领料单!CD80</f>
        <v>0</v>
      </c>
      <c r="C935" s="113">
        <f>领料单!CE80</f>
        <v>0</v>
      </c>
      <c r="D935" s="113">
        <f>领料单!CF80</f>
        <v>0</v>
      </c>
      <c r="E935" s="113">
        <f>领料单!CG80</f>
        <v>0</v>
      </c>
      <c r="F935" s="113">
        <f>领料单!CH80</f>
        <v>0</v>
      </c>
      <c r="G935" s="113"/>
    </row>
    <row r="936" customHeight="1" spans="1:7">
      <c r="A936" s="113">
        <f>领料单!CC81</f>
        <v>0</v>
      </c>
      <c r="B936" s="113">
        <f>领料单!CD81</f>
        <v>0</v>
      </c>
      <c r="C936" s="113">
        <f>领料单!CE81</f>
        <v>0</v>
      </c>
      <c r="D936" s="113">
        <f>领料单!CF81</f>
        <v>0</v>
      </c>
      <c r="E936" s="113">
        <f>领料单!CG81</f>
        <v>0</v>
      </c>
      <c r="F936" s="113">
        <f>领料单!CH81</f>
        <v>0</v>
      </c>
      <c r="G936" s="113"/>
    </row>
    <row r="937" customHeight="1" spans="1:7">
      <c r="A937" s="113">
        <f>领料单!CC82</f>
        <v>0</v>
      </c>
      <c r="B937" s="113">
        <f>领料单!CD82</f>
        <v>0</v>
      </c>
      <c r="C937" s="113">
        <f>领料单!CE82</f>
        <v>0</v>
      </c>
      <c r="D937" s="113">
        <f>领料单!CF82</f>
        <v>0</v>
      </c>
      <c r="E937" s="113">
        <f>领料单!CG82</f>
        <v>0</v>
      </c>
      <c r="F937" s="113">
        <f>领料单!CH82</f>
        <v>0</v>
      </c>
      <c r="G937" s="113"/>
    </row>
    <row r="938" customHeight="1" spans="1:7">
      <c r="A938" s="113">
        <f>领料单!CC83</f>
        <v>0</v>
      </c>
      <c r="B938" s="113">
        <f>领料单!CD83</f>
        <v>0</v>
      </c>
      <c r="C938" s="113">
        <f>领料单!CE83</f>
        <v>0</v>
      </c>
      <c r="D938" s="113">
        <f>领料单!CF83</f>
        <v>0</v>
      </c>
      <c r="E938" s="113">
        <f>领料单!CG83</f>
        <v>0</v>
      </c>
      <c r="F938" s="113">
        <f>领料单!CH83</f>
        <v>0</v>
      </c>
      <c r="G938" s="113"/>
    </row>
    <row r="939" customHeight="1" spans="1:7">
      <c r="A939" s="113">
        <f>领料单!CC84</f>
        <v>0</v>
      </c>
      <c r="B939" s="113">
        <f>领料单!CD84</f>
        <v>0</v>
      </c>
      <c r="C939" s="113">
        <f>领料单!CE84</f>
        <v>0</v>
      </c>
      <c r="D939" s="113">
        <f>领料单!CF84</f>
        <v>0</v>
      </c>
      <c r="E939" s="113">
        <f>领料单!CG84</f>
        <v>0</v>
      </c>
      <c r="F939" s="113">
        <f>领料单!CH84</f>
        <v>0</v>
      </c>
      <c r="G939" s="113"/>
    </row>
    <row r="940" customHeight="1" spans="1:7">
      <c r="A940" s="113">
        <f>领料单!CC85</f>
        <v>0</v>
      </c>
      <c r="B940" s="113">
        <f>领料单!CD85</f>
        <v>0</v>
      </c>
      <c r="C940" s="113">
        <f>领料单!CE85</f>
        <v>0</v>
      </c>
      <c r="D940" s="113">
        <f>领料单!CF85</f>
        <v>0</v>
      </c>
      <c r="E940" s="113">
        <f>领料单!CG85</f>
        <v>0</v>
      </c>
      <c r="F940" s="113">
        <f>领料单!CH85</f>
        <v>0</v>
      </c>
      <c r="G940" s="113"/>
    </row>
    <row r="941" customHeight="1" spans="1:7">
      <c r="A941" s="113">
        <f>领料单!CC86</f>
        <v>0</v>
      </c>
      <c r="B941" s="113">
        <f>领料单!CD86</f>
        <v>0</v>
      </c>
      <c r="C941" s="113">
        <f>领料单!CE86</f>
        <v>0</v>
      </c>
      <c r="D941" s="113">
        <f>领料单!CF86</f>
        <v>0</v>
      </c>
      <c r="E941" s="113">
        <f>领料单!CG86</f>
        <v>0</v>
      </c>
      <c r="F941" s="113">
        <f>领料单!CH86</f>
        <v>0</v>
      </c>
      <c r="G941" s="113"/>
    </row>
    <row r="942" customHeight="1" spans="1:7">
      <c r="A942" s="113">
        <f>领料单!CC87</f>
        <v>0</v>
      </c>
      <c r="B942" s="113">
        <f>领料单!CD87</f>
        <v>0</v>
      </c>
      <c r="C942" s="113">
        <f>领料单!CE87</f>
        <v>0</v>
      </c>
      <c r="D942" s="113">
        <f>领料单!CF87</f>
        <v>0</v>
      </c>
      <c r="E942" s="113">
        <f>领料单!CG87</f>
        <v>0</v>
      </c>
      <c r="F942" s="113">
        <f>领料单!CH87</f>
        <v>0</v>
      </c>
      <c r="G942" s="113"/>
    </row>
    <row r="943" customHeight="1" spans="1:7">
      <c r="A943" s="113">
        <f>领料单!CC88</f>
        <v>0</v>
      </c>
      <c r="B943" s="113">
        <f>领料单!CD88</f>
        <v>0</v>
      </c>
      <c r="C943" s="113">
        <f>领料单!CE88</f>
        <v>0</v>
      </c>
      <c r="D943" s="113">
        <f>领料单!CF88</f>
        <v>0</v>
      </c>
      <c r="E943" s="113">
        <f>领料单!CG88</f>
        <v>0</v>
      </c>
      <c r="F943" s="113">
        <f>领料单!CH88</f>
        <v>0</v>
      </c>
      <c r="G943" s="113"/>
    </row>
    <row r="944" customHeight="1" spans="1:7">
      <c r="A944" s="113">
        <f>领料单!CC89</f>
        <v>0</v>
      </c>
      <c r="B944" s="113">
        <f>领料单!CD89</f>
        <v>0</v>
      </c>
      <c r="C944" s="113">
        <f>领料单!CE89</f>
        <v>0</v>
      </c>
      <c r="D944" s="113">
        <f>领料单!CF89</f>
        <v>0</v>
      </c>
      <c r="E944" s="113">
        <f>领料单!CG89</f>
        <v>0</v>
      </c>
      <c r="F944" s="113">
        <f>领料单!CH89</f>
        <v>0</v>
      </c>
      <c r="G944" s="113"/>
    </row>
    <row r="945" customHeight="1" spans="1:7">
      <c r="A945" s="113">
        <f>领料单!CC90</f>
        <v>0</v>
      </c>
      <c r="B945" s="113">
        <f>领料单!CD90</f>
        <v>0</v>
      </c>
      <c r="C945" s="113">
        <f>领料单!CE90</f>
        <v>0</v>
      </c>
      <c r="D945" s="113">
        <f>领料单!CF90</f>
        <v>0</v>
      </c>
      <c r="E945" s="113">
        <f>领料单!CG90</f>
        <v>0</v>
      </c>
      <c r="F945" s="113">
        <f>领料单!CH90</f>
        <v>0</v>
      </c>
      <c r="G945" s="113"/>
    </row>
    <row r="946" customHeight="1" spans="1:7">
      <c r="A946" s="113">
        <f>领料单!CC91</f>
        <v>0</v>
      </c>
      <c r="B946" s="113">
        <f>领料单!CD91</f>
        <v>0</v>
      </c>
      <c r="C946" s="113">
        <f>领料单!CE91</f>
        <v>0</v>
      </c>
      <c r="D946" s="113">
        <f>领料单!CF91</f>
        <v>0</v>
      </c>
      <c r="E946" s="113">
        <f>领料单!CG91</f>
        <v>0</v>
      </c>
      <c r="F946" s="113">
        <f>领料单!CH91</f>
        <v>0</v>
      </c>
      <c r="G946" s="113"/>
    </row>
    <row r="947" customHeight="1" spans="1:7">
      <c r="A947" s="115" t="s">
        <v>340</v>
      </c>
      <c r="B947" s="116"/>
      <c r="C947" s="116"/>
      <c r="D947" s="116"/>
      <c r="E947" s="117"/>
      <c r="F947" s="118">
        <f>SUM(F935:F946)</f>
        <v>0</v>
      </c>
      <c r="G947" s="114"/>
    </row>
    <row r="948" customHeight="1" spans="1:7">
      <c r="A948" s="119" t="s">
        <v>341</v>
      </c>
      <c r="B948" s="119"/>
      <c r="C948" s="120"/>
      <c r="D948" s="119"/>
      <c r="E948" s="121" t="s">
        <v>342</v>
      </c>
      <c r="F948" s="119"/>
      <c r="G948" s="119"/>
    </row>
    <row r="951" customHeight="1" spans="1:7">
      <c r="A951" s="105"/>
      <c r="B951" s="106"/>
      <c r="C951" s="107" t="s">
        <v>330</v>
      </c>
      <c r="D951" s="107"/>
      <c r="E951" s="107"/>
      <c r="F951" s="105"/>
      <c r="G951" s="105"/>
    </row>
    <row r="952" customHeight="1" spans="1:7">
      <c r="A952" s="108" t="s">
        <v>331</v>
      </c>
      <c r="B952" s="109"/>
      <c r="C952" s="110">
        <v>45838</v>
      </c>
      <c r="D952" s="110"/>
      <c r="E952" s="110"/>
      <c r="F952" s="111" t="s">
        <v>332</v>
      </c>
      <c r="G952" s="112" t="str">
        <f>立项!$A$3</f>
        <v>RD01</v>
      </c>
    </row>
    <row r="953" customHeight="1" spans="1:7">
      <c r="A953" s="113" t="s">
        <v>333</v>
      </c>
      <c r="B953" s="113" t="s">
        <v>334</v>
      </c>
      <c r="C953" s="113" t="s">
        <v>335</v>
      </c>
      <c r="D953" s="113" t="s">
        <v>336</v>
      </c>
      <c r="E953" s="113" t="s">
        <v>337</v>
      </c>
      <c r="F953" s="113" t="s">
        <v>338</v>
      </c>
      <c r="G953" s="113" t="s">
        <v>339</v>
      </c>
    </row>
    <row r="954" customHeight="1" spans="1:7">
      <c r="A954" s="113">
        <f>领料单!I99</f>
        <v>0</v>
      </c>
      <c r="B954" s="113">
        <f>领料单!J99</f>
        <v>0</v>
      </c>
      <c r="C954" s="113">
        <f>领料单!K99</f>
        <v>0</v>
      </c>
      <c r="D954" s="113">
        <f>领料单!L99</f>
        <v>0</v>
      </c>
      <c r="E954" s="113">
        <f>领料单!M99</f>
        <v>0</v>
      </c>
      <c r="F954" s="113">
        <f>领料单!N99</f>
        <v>0</v>
      </c>
      <c r="G954" s="113"/>
    </row>
    <row r="955" customHeight="1" spans="1:7">
      <c r="A955" s="113">
        <f>领料单!I100</f>
        <v>0</v>
      </c>
      <c r="B955" s="113">
        <f>领料单!J100</f>
        <v>0</v>
      </c>
      <c r="C955" s="113">
        <f>领料单!K100</f>
        <v>0</v>
      </c>
      <c r="D955" s="113">
        <f>领料单!L100</f>
        <v>0</v>
      </c>
      <c r="E955" s="113">
        <f>领料单!M100</f>
        <v>0</v>
      </c>
      <c r="F955" s="113">
        <f>领料单!N100</f>
        <v>0</v>
      </c>
      <c r="G955" s="113"/>
    </row>
    <row r="956" customHeight="1" spans="1:7">
      <c r="A956" s="113">
        <f>领料单!I101</f>
        <v>0</v>
      </c>
      <c r="B956" s="113">
        <f>领料单!J101</f>
        <v>0</v>
      </c>
      <c r="C956" s="113">
        <f>领料单!K101</f>
        <v>0</v>
      </c>
      <c r="D956" s="113">
        <f>领料单!L101</f>
        <v>0</v>
      </c>
      <c r="E956" s="113">
        <f>领料单!M101</f>
        <v>0</v>
      </c>
      <c r="F956" s="113">
        <f>领料单!N101</f>
        <v>0</v>
      </c>
      <c r="G956" s="113"/>
    </row>
    <row r="957" customHeight="1" spans="1:7">
      <c r="A957" s="113">
        <f>领料单!I102</f>
        <v>0</v>
      </c>
      <c r="B957" s="113">
        <f>领料单!J102</f>
        <v>0</v>
      </c>
      <c r="C957" s="113">
        <f>领料单!K102</f>
        <v>0</v>
      </c>
      <c r="D957" s="113">
        <f>领料单!L102</f>
        <v>0</v>
      </c>
      <c r="E957" s="113">
        <f>领料单!M102</f>
        <v>0</v>
      </c>
      <c r="F957" s="113">
        <f>领料单!N102</f>
        <v>0</v>
      </c>
      <c r="G957" s="113"/>
    </row>
    <row r="958" customHeight="1" spans="1:7">
      <c r="A958" s="113">
        <f>领料单!I103</f>
        <v>0</v>
      </c>
      <c r="B958" s="113">
        <f>领料单!J103</f>
        <v>0</v>
      </c>
      <c r="C958" s="113">
        <f>领料单!K103</f>
        <v>0</v>
      </c>
      <c r="D958" s="113">
        <f>领料单!L103</f>
        <v>0</v>
      </c>
      <c r="E958" s="113">
        <f>领料单!M103</f>
        <v>0</v>
      </c>
      <c r="F958" s="113">
        <f>领料单!N103</f>
        <v>0</v>
      </c>
      <c r="G958" s="113"/>
    </row>
    <row r="959" customHeight="1" spans="1:7">
      <c r="A959" s="113">
        <f>领料单!I104</f>
        <v>0</v>
      </c>
      <c r="B959" s="113">
        <f>领料单!J104</f>
        <v>0</v>
      </c>
      <c r="C959" s="113">
        <f>领料单!K104</f>
        <v>0</v>
      </c>
      <c r="D959" s="113">
        <f>领料单!L104</f>
        <v>0</v>
      </c>
      <c r="E959" s="113">
        <f>领料单!M104</f>
        <v>0</v>
      </c>
      <c r="F959" s="113">
        <f>领料单!N104</f>
        <v>0</v>
      </c>
      <c r="G959" s="113"/>
    </row>
    <row r="960" customHeight="1" spans="1:7">
      <c r="A960" s="113">
        <f>领料单!I105</f>
        <v>0</v>
      </c>
      <c r="B960" s="113">
        <f>领料单!J105</f>
        <v>0</v>
      </c>
      <c r="C960" s="113">
        <f>领料单!K105</f>
        <v>0</v>
      </c>
      <c r="D960" s="113">
        <f>领料单!L105</f>
        <v>0</v>
      </c>
      <c r="E960" s="113">
        <f>领料单!M105</f>
        <v>0</v>
      </c>
      <c r="F960" s="113">
        <f>领料单!N105</f>
        <v>0</v>
      </c>
      <c r="G960" s="113"/>
    </row>
    <row r="961" customHeight="1" spans="1:7">
      <c r="A961" s="113">
        <f>领料单!I106</f>
        <v>0</v>
      </c>
      <c r="B961" s="113">
        <f>领料单!J106</f>
        <v>0</v>
      </c>
      <c r="C961" s="113">
        <f>领料单!K106</f>
        <v>0</v>
      </c>
      <c r="D961" s="113">
        <f>领料单!L106</f>
        <v>0</v>
      </c>
      <c r="E961" s="113">
        <f>领料单!M106</f>
        <v>0</v>
      </c>
      <c r="F961" s="113">
        <f>领料单!N106</f>
        <v>0</v>
      </c>
      <c r="G961" s="113"/>
    </row>
    <row r="962" customHeight="1" spans="1:7">
      <c r="A962" s="113">
        <f>领料单!I107</f>
        <v>0</v>
      </c>
      <c r="B962" s="113">
        <f>领料单!J107</f>
        <v>0</v>
      </c>
      <c r="C962" s="113">
        <f>领料单!K107</f>
        <v>0</v>
      </c>
      <c r="D962" s="113">
        <f>领料单!L107</f>
        <v>0</v>
      </c>
      <c r="E962" s="113">
        <f>领料单!M107</f>
        <v>0</v>
      </c>
      <c r="F962" s="113">
        <f>领料单!N107</f>
        <v>0</v>
      </c>
      <c r="G962" s="113"/>
    </row>
    <row r="963" customHeight="1" spans="1:7">
      <c r="A963" s="113">
        <f>领料单!I108</f>
        <v>0</v>
      </c>
      <c r="B963" s="113">
        <f>领料单!J108</f>
        <v>0</v>
      </c>
      <c r="C963" s="113">
        <f>领料单!K108</f>
        <v>0</v>
      </c>
      <c r="D963" s="113">
        <f>领料单!L108</f>
        <v>0</v>
      </c>
      <c r="E963" s="113">
        <f>领料单!M108</f>
        <v>0</v>
      </c>
      <c r="F963" s="113">
        <f>领料单!N108</f>
        <v>0</v>
      </c>
      <c r="G963" s="113"/>
    </row>
    <row r="964" customHeight="1" spans="1:7">
      <c r="A964" s="113">
        <f>领料单!I109</f>
        <v>0</v>
      </c>
      <c r="B964" s="113">
        <f>领料单!J109</f>
        <v>0</v>
      </c>
      <c r="C964" s="113">
        <f>领料单!K109</f>
        <v>0</v>
      </c>
      <c r="D964" s="113">
        <f>领料单!L109</f>
        <v>0</v>
      </c>
      <c r="E964" s="113">
        <f>领料单!M109</f>
        <v>0</v>
      </c>
      <c r="F964" s="113">
        <f>领料单!N109</f>
        <v>0</v>
      </c>
      <c r="G964" s="113"/>
    </row>
    <row r="965" customHeight="1" spans="1:7">
      <c r="A965" s="113">
        <f>领料单!I110</f>
        <v>0</v>
      </c>
      <c r="B965" s="113">
        <f>领料单!J110</f>
        <v>0</v>
      </c>
      <c r="C965" s="113">
        <f>领料单!K110</f>
        <v>0</v>
      </c>
      <c r="D965" s="113">
        <f>领料单!L110</f>
        <v>0</v>
      </c>
      <c r="E965" s="113">
        <f>领料单!M110</f>
        <v>0</v>
      </c>
      <c r="F965" s="113">
        <f>领料单!N110</f>
        <v>0</v>
      </c>
      <c r="G965" s="113"/>
    </row>
    <row r="966" customHeight="1" spans="1:7">
      <c r="A966" s="115" t="s">
        <v>340</v>
      </c>
      <c r="B966" s="116"/>
      <c r="C966" s="116"/>
      <c r="D966" s="116"/>
      <c r="E966" s="117"/>
      <c r="F966" s="118">
        <f>SUM(F954:F965)</f>
        <v>0</v>
      </c>
      <c r="G966" s="114"/>
    </row>
    <row r="967" customHeight="1" spans="1:7">
      <c r="A967" s="119" t="s">
        <v>341</v>
      </c>
      <c r="B967" s="119"/>
      <c r="C967" s="120"/>
      <c r="D967" s="119"/>
      <c r="E967" s="121" t="s">
        <v>342</v>
      </c>
      <c r="F967" s="119"/>
      <c r="G967" s="119"/>
    </row>
    <row r="970" customHeight="1" spans="1:7">
      <c r="A970" s="105"/>
      <c r="B970" s="106"/>
      <c r="C970" s="107" t="s">
        <v>330</v>
      </c>
      <c r="D970" s="107"/>
      <c r="E970" s="107"/>
      <c r="F970" s="105"/>
      <c r="G970" s="105"/>
    </row>
    <row r="971" customHeight="1" spans="1:7">
      <c r="A971" s="108" t="s">
        <v>331</v>
      </c>
      <c r="B971" s="109"/>
      <c r="C971" s="110">
        <v>45838</v>
      </c>
      <c r="D971" s="110"/>
      <c r="E971" s="110"/>
      <c r="F971" s="111" t="s">
        <v>332</v>
      </c>
      <c r="G971" s="112" t="str">
        <f>立项!$A$4</f>
        <v>RD02</v>
      </c>
    </row>
    <row r="972" customHeight="1" spans="1:7">
      <c r="A972" s="113" t="s">
        <v>333</v>
      </c>
      <c r="B972" s="113" t="s">
        <v>334</v>
      </c>
      <c r="C972" s="113" t="s">
        <v>335</v>
      </c>
      <c r="D972" s="113" t="s">
        <v>336</v>
      </c>
      <c r="E972" s="113" t="s">
        <v>337</v>
      </c>
      <c r="F972" s="113" t="s">
        <v>338</v>
      </c>
      <c r="G972" s="113" t="s">
        <v>339</v>
      </c>
    </row>
    <row r="973" customHeight="1" spans="1:7">
      <c r="A973" s="113">
        <f>领料单!Q99</f>
        <v>0</v>
      </c>
      <c r="B973" s="113">
        <f>领料单!R99</f>
        <v>0</v>
      </c>
      <c r="C973" s="113">
        <f>领料单!S99</f>
        <v>0</v>
      </c>
      <c r="D973" s="113">
        <f>领料单!T99</f>
        <v>0</v>
      </c>
      <c r="E973" s="113">
        <f>领料单!U99</f>
        <v>0</v>
      </c>
      <c r="F973" s="113">
        <f>领料单!V99</f>
        <v>0</v>
      </c>
      <c r="G973" s="113"/>
    </row>
    <row r="974" customHeight="1" spans="1:7">
      <c r="A974" s="113">
        <f>领料单!Q100</f>
        <v>0</v>
      </c>
      <c r="B974" s="113">
        <f>领料单!R100</f>
        <v>0</v>
      </c>
      <c r="C974" s="113">
        <f>领料单!S100</f>
        <v>0</v>
      </c>
      <c r="D974" s="113">
        <f>领料单!T100</f>
        <v>0</v>
      </c>
      <c r="E974" s="113">
        <f>领料单!U100</f>
        <v>0</v>
      </c>
      <c r="F974" s="113">
        <f>领料单!V100</f>
        <v>0</v>
      </c>
      <c r="G974" s="113"/>
    </row>
    <row r="975" customHeight="1" spans="1:7">
      <c r="A975" s="113">
        <f>领料单!Q101</f>
        <v>0</v>
      </c>
      <c r="B975" s="113">
        <f>领料单!R101</f>
        <v>0</v>
      </c>
      <c r="C975" s="113">
        <f>领料单!S101</f>
        <v>0</v>
      </c>
      <c r="D975" s="113">
        <f>领料单!T101</f>
        <v>0</v>
      </c>
      <c r="E975" s="113">
        <f>领料单!U101</f>
        <v>0</v>
      </c>
      <c r="F975" s="113">
        <f>领料单!V101</f>
        <v>0</v>
      </c>
      <c r="G975" s="113"/>
    </row>
    <row r="976" customHeight="1" spans="1:7">
      <c r="A976" s="113">
        <f>领料单!Q102</f>
        <v>0</v>
      </c>
      <c r="B976" s="113">
        <f>领料单!R102</f>
        <v>0</v>
      </c>
      <c r="C976" s="113">
        <f>领料单!S102</f>
        <v>0</v>
      </c>
      <c r="D976" s="113">
        <f>领料单!T102</f>
        <v>0</v>
      </c>
      <c r="E976" s="113">
        <f>领料单!U102</f>
        <v>0</v>
      </c>
      <c r="F976" s="113">
        <f>领料单!V102</f>
        <v>0</v>
      </c>
      <c r="G976" s="113"/>
    </row>
    <row r="977" customHeight="1" spans="1:7">
      <c r="A977" s="113">
        <f>领料单!Q103</f>
        <v>0</v>
      </c>
      <c r="B977" s="113">
        <f>领料单!R103</f>
        <v>0</v>
      </c>
      <c r="C977" s="113">
        <f>领料单!S103</f>
        <v>0</v>
      </c>
      <c r="D977" s="113">
        <f>领料单!T103</f>
        <v>0</v>
      </c>
      <c r="E977" s="113">
        <f>领料单!U103</f>
        <v>0</v>
      </c>
      <c r="F977" s="113">
        <f>领料单!V103</f>
        <v>0</v>
      </c>
      <c r="G977" s="113"/>
    </row>
    <row r="978" customHeight="1" spans="1:7">
      <c r="A978" s="113">
        <f>领料单!Q104</f>
        <v>0</v>
      </c>
      <c r="B978" s="113">
        <f>领料单!R104</f>
        <v>0</v>
      </c>
      <c r="C978" s="113">
        <f>领料单!S104</f>
        <v>0</v>
      </c>
      <c r="D978" s="113">
        <f>领料单!T104</f>
        <v>0</v>
      </c>
      <c r="E978" s="113">
        <f>领料单!U104</f>
        <v>0</v>
      </c>
      <c r="F978" s="113">
        <f>领料单!V104</f>
        <v>0</v>
      </c>
      <c r="G978" s="113"/>
    </row>
    <row r="979" customHeight="1" spans="1:7">
      <c r="A979" s="113">
        <f>领料单!Q105</f>
        <v>0</v>
      </c>
      <c r="B979" s="113">
        <f>领料单!R105</f>
        <v>0</v>
      </c>
      <c r="C979" s="113">
        <f>领料单!S105</f>
        <v>0</v>
      </c>
      <c r="D979" s="113">
        <f>领料单!T105</f>
        <v>0</v>
      </c>
      <c r="E979" s="113">
        <f>领料单!U105</f>
        <v>0</v>
      </c>
      <c r="F979" s="113">
        <f>领料单!V105</f>
        <v>0</v>
      </c>
      <c r="G979" s="113"/>
    </row>
    <row r="980" customHeight="1" spans="1:7">
      <c r="A980" s="113">
        <f>领料单!Q106</f>
        <v>0</v>
      </c>
      <c r="B980" s="113">
        <f>领料单!R106</f>
        <v>0</v>
      </c>
      <c r="C980" s="113">
        <f>领料单!S106</f>
        <v>0</v>
      </c>
      <c r="D980" s="113">
        <f>领料单!T106</f>
        <v>0</v>
      </c>
      <c r="E980" s="113">
        <f>领料单!U106</f>
        <v>0</v>
      </c>
      <c r="F980" s="113">
        <f>领料单!V106</f>
        <v>0</v>
      </c>
      <c r="G980" s="113"/>
    </row>
    <row r="981" customHeight="1" spans="1:7">
      <c r="A981" s="113">
        <f>领料单!Q107</f>
        <v>0</v>
      </c>
      <c r="B981" s="113">
        <f>领料单!R107</f>
        <v>0</v>
      </c>
      <c r="C981" s="113">
        <f>领料单!S107</f>
        <v>0</v>
      </c>
      <c r="D981" s="113">
        <f>领料单!T107</f>
        <v>0</v>
      </c>
      <c r="E981" s="113">
        <f>领料单!U107</f>
        <v>0</v>
      </c>
      <c r="F981" s="113">
        <f>领料单!V107</f>
        <v>0</v>
      </c>
      <c r="G981" s="113"/>
    </row>
    <row r="982" customHeight="1" spans="1:7">
      <c r="A982" s="113">
        <f>领料单!Q108</f>
        <v>0</v>
      </c>
      <c r="B982" s="113">
        <f>领料单!R108</f>
        <v>0</v>
      </c>
      <c r="C982" s="113">
        <f>领料单!S108</f>
        <v>0</v>
      </c>
      <c r="D982" s="113">
        <f>领料单!T108</f>
        <v>0</v>
      </c>
      <c r="E982" s="113">
        <f>领料单!U108</f>
        <v>0</v>
      </c>
      <c r="F982" s="113">
        <f>领料单!V108</f>
        <v>0</v>
      </c>
      <c r="G982" s="113"/>
    </row>
    <row r="983" customHeight="1" spans="1:7">
      <c r="A983" s="113">
        <f>领料单!Q109</f>
        <v>0</v>
      </c>
      <c r="B983" s="113">
        <f>领料单!R109</f>
        <v>0</v>
      </c>
      <c r="C983" s="113">
        <f>领料单!S109</f>
        <v>0</v>
      </c>
      <c r="D983" s="113">
        <f>领料单!T109</f>
        <v>0</v>
      </c>
      <c r="E983" s="113">
        <f>领料单!U109</f>
        <v>0</v>
      </c>
      <c r="F983" s="113">
        <f>领料单!V109</f>
        <v>0</v>
      </c>
      <c r="G983" s="113"/>
    </row>
    <row r="984" customHeight="1" spans="1:7">
      <c r="A984" s="113">
        <f>领料单!Q110</f>
        <v>0</v>
      </c>
      <c r="B984" s="113">
        <f>领料单!R110</f>
        <v>0</v>
      </c>
      <c r="C984" s="113">
        <f>领料单!S110</f>
        <v>0</v>
      </c>
      <c r="D984" s="113">
        <f>领料单!T110</f>
        <v>0</v>
      </c>
      <c r="E984" s="113">
        <f>领料单!U110</f>
        <v>0</v>
      </c>
      <c r="F984" s="113">
        <f>领料单!V110</f>
        <v>0</v>
      </c>
      <c r="G984" s="113"/>
    </row>
    <row r="985" customHeight="1" spans="1:7">
      <c r="A985" s="115" t="s">
        <v>340</v>
      </c>
      <c r="B985" s="116"/>
      <c r="C985" s="116"/>
      <c r="D985" s="116"/>
      <c r="E985" s="117"/>
      <c r="F985" s="118">
        <f>SUM(F973:F984)</f>
        <v>0</v>
      </c>
      <c r="G985" s="114"/>
    </row>
    <row r="986" customHeight="1" spans="1:7">
      <c r="A986" s="119" t="s">
        <v>341</v>
      </c>
      <c r="B986" s="119"/>
      <c r="C986" s="120"/>
      <c r="D986" s="119"/>
      <c r="E986" s="121" t="s">
        <v>342</v>
      </c>
      <c r="F986" s="119"/>
      <c r="G986" s="119"/>
    </row>
    <row r="989" customHeight="1" spans="1:7">
      <c r="A989" s="105"/>
      <c r="B989" s="106"/>
      <c r="C989" s="107" t="s">
        <v>330</v>
      </c>
      <c r="D989" s="107"/>
      <c r="E989" s="107"/>
      <c r="F989" s="105"/>
      <c r="G989" s="105"/>
    </row>
    <row r="990" customHeight="1" spans="1:7">
      <c r="A990" s="108" t="s">
        <v>331</v>
      </c>
      <c r="B990" s="109"/>
      <c r="C990" s="110">
        <v>45838</v>
      </c>
      <c r="D990" s="110"/>
      <c r="E990" s="110"/>
      <c r="F990" s="111" t="s">
        <v>332</v>
      </c>
      <c r="G990" s="112" t="str">
        <f>立项!$A$5</f>
        <v>RD03</v>
      </c>
    </row>
    <row r="991" customHeight="1" spans="1:7">
      <c r="A991" s="113" t="s">
        <v>333</v>
      </c>
      <c r="B991" s="113" t="s">
        <v>334</v>
      </c>
      <c r="C991" s="113" t="s">
        <v>335</v>
      </c>
      <c r="D991" s="113" t="s">
        <v>336</v>
      </c>
      <c r="E991" s="113" t="s">
        <v>337</v>
      </c>
      <c r="F991" s="113" t="s">
        <v>338</v>
      </c>
      <c r="G991" s="113" t="s">
        <v>339</v>
      </c>
    </row>
    <row r="992" customHeight="1" spans="1:7">
      <c r="A992" s="113">
        <f>领料单!Y99</f>
        <v>0</v>
      </c>
      <c r="B992" s="113">
        <f>领料单!Z99</f>
        <v>0</v>
      </c>
      <c r="C992" s="113">
        <f>领料单!AA99</f>
        <v>0</v>
      </c>
      <c r="D992" s="113">
        <f>领料单!AB99</f>
        <v>0</v>
      </c>
      <c r="E992" s="113">
        <f>领料单!AC99</f>
        <v>0</v>
      </c>
      <c r="F992" s="113">
        <f>领料单!AD99</f>
        <v>0</v>
      </c>
      <c r="G992" s="113"/>
    </row>
    <row r="993" customHeight="1" spans="1:7">
      <c r="A993" s="113">
        <f>领料单!Y100</f>
        <v>0</v>
      </c>
      <c r="B993" s="113">
        <f>领料单!Z100</f>
        <v>0</v>
      </c>
      <c r="C993" s="113">
        <f>领料单!AA100</f>
        <v>0</v>
      </c>
      <c r="D993" s="113">
        <f>领料单!AB100</f>
        <v>0</v>
      </c>
      <c r="E993" s="113">
        <f>领料单!AC100</f>
        <v>0</v>
      </c>
      <c r="F993" s="113">
        <f>领料单!AD100</f>
        <v>0</v>
      </c>
      <c r="G993" s="113"/>
    </row>
    <row r="994" customHeight="1" spans="1:7">
      <c r="A994" s="113">
        <f>领料单!Y101</f>
        <v>0</v>
      </c>
      <c r="B994" s="113">
        <f>领料单!Z101</f>
        <v>0</v>
      </c>
      <c r="C994" s="113">
        <f>领料单!AA101</f>
        <v>0</v>
      </c>
      <c r="D994" s="113">
        <f>领料单!AB101</f>
        <v>0</v>
      </c>
      <c r="E994" s="113">
        <f>领料单!AC101</f>
        <v>0</v>
      </c>
      <c r="F994" s="113">
        <f>领料单!AD101</f>
        <v>0</v>
      </c>
      <c r="G994" s="113"/>
    </row>
    <row r="995" customHeight="1" spans="1:7">
      <c r="A995" s="113">
        <f>领料单!Y102</f>
        <v>0</v>
      </c>
      <c r="B995" s="113">
        <f>领料单!Z102</f>
        <v>0</v>
      </c>
      <c r="C995" s="113">
        <f>领料单!AA102</f>
        <v>0</v>
      </c>
      <c r="D995" s="113">
        <f>领料单!AB102</f>
        <v>0</v>
      </c>
      <c r="E995" s="113">
        <f>领料单!AC102</f>
        <v>0</v>
      </c>
      <c r="F995" s="113">
        <f>领料单!AD102</f>
        <v>0</v>
      </c>
      <c r="G995" s="113"/>
    </row>
    <row r="996" customHeight="1" spans="1:7">
      <c r="A996" s="113">
        <f>领料单!Y103</f>
        <v>0</v>
      </c>
      <c r="B996" s="113">
        <f>领料单!Z103</f>
        <v>0</v>
      </c>
      <c r="C996" s="113">
        <f>领料单!AA103</f>
        <v>0</v>
      </c>
      <c r="D996" s="113">
        <f>领料单!AB103</f>
        <v>0</v>
      </c>
      <c r="E996" s="113">
        <f>领料单!AC103</f>
        <v>0</v>
      </c>
      <c r="F996" s="113">
        <f>领料单!AD103</f>
        <v>0</v>
      </c>
      <c r="G996" s="113"/>
    </row>
    <row r="997" customHeight="1" spans="1:7">
      <c r="A997" s="113">
        <f>领料单!Y104</f>
        <v>0</v>
      </c>
      <c r="B997" s="113">
        <f>领料单!Z104</f>
        <v>0</v>
      </c>
      <c r="C997" s="113">
        <f>领料单!AA104</f>
        <v>0</v>
      </c>
      <c r="D997" s="113">
        <f>领料单!AB104</f>
        <v>0</v>
      </c>
      <c r="E997" s="113">
        <f>领料单!AC104</f>
        <v>0</v>
      </c>
      <c r="F997" s="113">
        <f>领料单!AD104</f>
        <v>0</v>
      </c>
      <c r="G997" s="113"/>
    </row>
    <row r="998" customHeight="1" spans="1:7">
      <c r="A998" s="113">
        <f>领料单!Y105</f>
        <v>0</v>
      </c>
      <c r="B998" s="113">
        <f>领料单!Z105</f>
        <v>0</v>
      </c>
      <c r="C998" s="113">
        <f>领料单!AA105</f>
        <v>0</v>
      </c>
      <c r="D998" s="113">
        <f>领料单!AB105</f>
        <v>0</v>
      </c>
      <c r="E998" s="113">
        <f>领料单!AC105</f>
        <v>0</v>
      </c>
      <c r="F998" s="113">
        <f>领料单!AD105</f>
        <v>0</v>
      </c>
      <c r="G998" s="113"/>
    </row>
    <row r="999" customHeight="1" spans="1:7">
      <c r="A999" s="113">
        <f>领料单!Y106</f>
        <v>0</v>
      </c>
      <c r="B999" s="113">
        <f>领料单!Z106</f>
        <v>0</v>
      </c>
      <c r="C999" s="113">
        <f>领料单!AA106</f>
        <v>0</v>
      </c>
      <c r="D999" s="113">
        <f>领料单!AB106</f>
        <v>0</v>
      </c>
      <c r="E999" s="113">
        <f>领料单!AC106</f>
        <v>0</v>
      </c>
      <c r="F999" s="113">
        <f>领料单!AD106</f>
        <v>0</v>
      </c>
      <c r="G999" s="113"/>
    </row>
    <row r="1000" customHeight="1" spans="1:7">
      <c r="A1000" s="113">
        <f>领料单!Y107</f>
        <v>0</v>
      </c>
      <c r="B1000" s="113">
        <f>领料单!Z107</f>
        <v>0</v>
      </c>
      <c r="C1000" s="113">
        <f>领料单!AA107</f>
        <v>0</v>
      </c>
      <c r="D1000" s="113">
        <f>领料单!AB107</f>
        <v>0</v>
      </c>
      <c r="E1000" s="113">
        <f>领料单!AC107</f>
        <v>0</v>
      </c>
      <c r="F1000" s="113">
        <f>领料单!AD107</f>
        <v>0</v>
      </c>
      <c r="G1000" s="113"/>
    </row>
    <row r="1001" customHeight="1" spans="1:7">
      <c r="A1001" s="113">
        <f>领料单!Y108</f>
        <v>0</v>
      </c>
      <c r="B1001" s="113">
        <f>领料单!Z108</f>
        <v>0</v>
      </c>
      <c r="C1001" s="113">
        <f>领料单!AA108</f>
        <v>0</v>
      </c>
      <c r="D1001" s="113">
        <f>领料单!AB108</f>
        <v>0</v>
      </c>
      <c r="E1001" s="113">
        <f>领料单!AC108</f>
        <v>0</v>
      </c>
      <c r="F1001" s="113">
        <f>领料单!AD108</f>
        <v>0</v>
      </c>
      <c r="G1001" s="113"/>
    </row>
    <row r="1002" customHeight="1" spans="1:7">
      <c r="A1002" s="113">
        <f>领料单!Y109</f>
        <v>0</v>
      </c>
      <c r="B1002" s="113">
        <f>领料单!Z109</f>
        <v>0</v>
      </c>
      <c r="C1002" s="113">
        <f>领料单!AA109</f>
        <v>0</v>
      </c>
      <c r="D1002" s="113">
        <f>领料单!AB109</f>
        <v>0</v>
      </c>
      <c r="E1002" s="113">
        <f>领料单!AC109</f>
        <v>0</v>
      </c>
      <c r="F1002" s="113">
        <f>领料单!AD109</f>
        <v>0</v>
      </c>
      <c r="G1002" s="113"/>
    </row>
    <row r="1003" customHeight="1" spans="1:7">
      <c r="A1003" s="113">
        <f>领料单!Y110</f>
        <v>0</v>
      </c>
      <c r="B1003" s="113">
        <f>领料单!Z110</f>
        <v>0</v>
      </c>
      <c r="C1003" s="113">
        <f>领料单!AA110</f>
        <v>0</v>
      </c>
      <c r="D1003" s="113">
        <f>领料单!AB110</f>
        <v>0</v>
      </c>
      <c r="E1003" s="113">
        <f>领料单!AC110</f>
        <v>0</v>
      </c>
      <c r="F1003" s="113">
        <f>领料单!AD110</f>
        <v>0</v>
      </c>
      <c r="G1003" s="113"/>
    </row>
    <row r="1004" customHeight="1" spans="1:7">
      <c r="A1004" s="115" t="s">
        <v>340</v>
      </c>
      <c r="B1004" s="116"/>
      <c r="C1004" s="116"/>
      <c r="D1004" s="116"/>
      <c r="E1004" s="117"/>
      <c r="F1004" s="118">
        <f>SUM(F992:F1003)</f>
        <v>0</v>
      </c>
      <c r="G1004" s="114"/>
    </row>
    <row r="1005" customHeight="1" spans="1:7">
      <c r="A1005" s="119" t="s">
        <v>341</v>
      </c>
      <c r="B1005" s="119"/>
      <c r="C1005" s="120"/>
      <c r="D1005" s="119"/>
      <c r="E1005" s="121" t="s">
        <v>342</v>
      </c>
      <c r="F1005" s="119"/>
      <c r="G1005" s="119"/>
    </row>
    <row r="1008" customHeight="1" spans="1:7">
      <c r="A1008" s="105"/>
      <c r="B1008" s="106"/>
      <c r="C1008" s="107" t="s">
        <v>330</v>
      </c>
      <c r="D1008" s="107"/>
      <c r="E1008" s="107"/>
      <c r="F1008" s="105"/>
      <c r="G1008" s="105"/>
    </row>
    <row r="1009" customHeight="1" spans="1:7">
      <c r="A1009" s="108" t="s">
        <v>331</v>
      </c>
      <c r="B1009" s="109"/>
      <c r="C1009" s="110">
        <v>45838</v>
      </c>
      <c r="D1009" s="110"/>
      <c r="E1009" s="110"/>
      <c r="F1009" s="111" t="s">
        <v>332</v>
      </c>
      <c r="G1009" s="112" t="str">
        <f>立项!$A$6</f>
        <v>RD04</v>
      </c>
    </row>
    <row r="1010" customHeight="1" spans="1:7">
      <c r="A1010" s="113" t="s">
        <v>333</v>
      </c>
      <c r="B1010" s="113" t="s">
        <v>334</v>
      </c>
      <c r="C1010" s="113" t="s">
        <v>335</v>
      </c>
      <c r="D1010" s="113" t="s">
        <v>336</v>
      </c>
      <c r="E1010" s="113" t="s">
        <v>337</v>
      </c>
      <c r="F1010" s="113" t="s">
        <v>338</v>
      </c>
      <c r="G1010" s="113" t="s">
        <v>339</v>
      </c>
    </row>
    <row r="1011" customHeight="1" spans="1:7">
      <c r="A1011" s="113">
        <f>领料单!AG99</f>
        <v>0</v>
      </c>
      <c r="B1011" s="113">
        <f>领料单!AH99</f>
        <v>0</v>
      </c>
      <c r="C1011" s="113">
        <f>领料单!AI99</f>
        <v>0</v>
      </c>
      <c r="D1011" s="113">
        <f>领料单!AJ99</f>
        <v>0</v>
      </c>
      <c r="E1011" s="113">
        <f>领料单!AK99</f>
        <v>0</v>
      </c>
      <c r="F1011" s="113">
        <f>领料单!AL99</f>
        <v>0</v>
      </c>
      <c r="G1011" s="113"/>
    </row>
    <row r="1012" customHeight="1" spans="1:7">
      <c r="A1012" s="113">
        <f>领料单!AG100</f>
        <v>0</v>
      </c>
      <c r="B1012" s="113">
        <f>领料单!AH100</f>
        <v>0</v>
      </c>
      <c r="C1012" s="113">
        <f>领料单!AI100</f>
        <v>0</v>
      </c>
      <c r="D1012" s="113">
        <f>领料单!AJ100</f>
        <v>0</v>
      </c>
      <c r="E1012" s="113">
        <f>领料单!AK100</f>
        <v>0</v>
      </c>
      <c r="F1012" s="113">
        <f>领料单!AL100</f>
        <v>0</v>
      </c>
      <c r="G1012" s="113"/>
    </row>
    <row r="1013" customHeight="1" spans="1:7">
      <c r="A1013" s="113">
        <f>领料单!AG101</f>
        <v>0</v>
      </c>
      <c r="B1013" s="113">
        <f>领料单!AH101</f>
        <v>0</v>
      </c>
      <c r="C1013" s="113">
        <f>领料单!AI101</f>
        <v>0</v>
      </c>
      <c r="D1013" s="113">
        <f>领料单!AJ101</f>
        <v>0</v>
      </c>
      <c r="E1013" s="113">
        <f>领料单!AK101</f>
        <v>0</v>
      </c>
      <c r="F1013" s="113">
        <f>领料单!AL101</f>
        <v>0</v>
      </c>
      <c r="G1013" s="113"/>
    </row>
    <row r="1014" customHeight="1" spans="1:7">
      <c r="A1014" s="113">
        <f>领料单!AG102</f>
        <v>0</v>
      </c>
      <c r="B1014" s="113">
        <f>领料单!AH102</f>
        <v>0</v>
      </c>
      <c r="C1014" s="113">
        <f>领料单!AI102</f>
        <v>0</v>
      </c>
      <c r="D1014" s="113">
        <f>领料单!AJ102</f>
        <v>0</v>
      </c>
      <c r="E1014" s="113">
        <f>领料单!AK102</f>
        <v>0</v>
      </c>
      <c r="F1014" s="113">
        <f>领料单!AL102</f>
        <v>0</v>
      </c>
      <c r="G1014" s="113"/>
    </row>
    <row r="1015" customHeight="1" spans="1:7">
      <c r="A1015" s="113">
        <f>领料单!AG103</f>
        <v>0</v>
      </c>
      <c r="B1015" s="113">
        <f>领料单!AH103</f>
        <v>0</v>
      </c>
      <c r="C1015" s="113">
        <f>领料单!AI103</f>
        <v>0</v>
      </c>
      <c r="D1015" s="113">
        <f>领料单!AJ103</f>
        <v>0</v>
      </c>
      <c r="E1015" s="113">
        <f>领料单!AK103</f>
        <v>0</v>
      </c>
      <c r="F1015" s="113">
        <f>领料单!AL103</f>
        <v>0</v>
      </c>
      <c r="G1015" s="113"/>
    </row>
    <row r="1016" customHeight="1" spans="1:7">
      <c r="A1016" s="113">
        <f>领料单!AG104</f>
        <v>0</v>
      </c>
      <c r="B1016" s="113">
        <f>领料单!AH104</f>
        <v>0</v>
      </c>
      <c r="C1016" s="113">
        <f>领料单!AI104</f>
        <v>0</v>
      </c>
      <c r="D1016" s="113">
        <f>领料单!AJ104</f>
        <v>0</v>
      </c>
      <c r="E1016" s="113">
        <f>领料单!AK104</f>
        <v>0</v>
      </c>
      <c r="F1016" s="113">
        <f>领料单!AL104</f>
        <v>0</v>
      </c>
      <c r="G1016" s="113"/>
    </row>
    <row r="1017" customHeight="1" spans="1:7">
      <c r="A1017" s="113">
        <f>领料单!AG105</f>
        <v>0</v>
      </c>
      <c r="B1017" s="113">
        <f>领料单!AH105</f>
        <v>0</v>
      </c>
      <c r="C1017" s="113">
        <f>领料单!AI105</f>
        <v>0</v>
      </c>
      <c r="D1017" s="113">
        <f>领料单!AJ105</f>
        <v>0</v>
      </c>
      <c r="E1017" s="113">
        <f>领料单!AK105</f>
        <v>0</v>
      </c>
      <c r="F1017" s="113">
        <f>领料单!AL105</f>
        <v>0</v>
      </c>
      <c r="G1017" s="113"/>
    </row>
    <row r="1018" customHeight="1" spans="1:7">
      <c r="A1018" s="113">
        <f>领料单!AG106</f>
        <v>0</v>
      </c>
      <c r="B1018" s="113">
        <f>领料单!AH106</f>
        <v>0</v>
      </c>
      <c r="C1018" s="113">
        <f>领料单!AI106</f>
        <v>0</v>
      </c>
      <c r="D1018" s="113">
        <f>领料单!AJ106</f>
        <v>0</v>
      </c>
      <c r="E1018" s="113">
        <f>领料单!AK106</f>
        <v>0</v>
      </c>
      <c r="F1018" s="113">
        <f>领料单!AL106</f>
        <v>0</v>
      </c>
      <c r="G1018" s="113"/>
    </row>
    <row r="1019" customHeight="1" spans="1:7">
      <c r="A1019" s="113">
        <f>领料单!AG107</f>
        <v>0</v>
      </c>
      <c r="B1019" s="113">
        <f>领料单!AH107</f>
        <v>0</v>
      </c>
      <c r="C1019" s="113">
        <f>领料单!AI107</f>
        <v>0</v>
      </c>
      <c r="D1019" s="113">
        <f>领料单!AJ107</f>
        <v>0</v>
      </c>
      <c r="E1019" s="113">
        <f>领料单!AK107</f>
        <v>0</v>
      </c>
      <c r="F1019" s="113">
        <f>领料单!AL107</f>
        <v>0</v>
      </c>
      <c r="G1019" s="113"/>
    </row>
    <row r="1020" customHeight="1" spans="1:7">
      <c r="A1020" s="113">
        <f>领料单!AG108</f>
        <v>0</v>
      </c>
      <c r="B1020" s="113">
        <f>领料单!AH108</f>
        <v>0</v>
      </c>
      <c r="C1020" s="113">
        <f>领料单!AI108</f>
        <v>0</v>
      </c>
      <c r="D1020" s="113">
        <f>领料单!AJ108</f>
        <v>0</v>
      </c>
      <c r="E1020" s="113">
        <f>领料单!AK108</f>
        <v>0</v>
      </c>
      <c r="F1020" s="113">
        <f>领料单!AL108</f>
        <v>0</v>
      </c>
      <c r="G1020" s="113"/>
    </row>
    <row r="1021" customHeight="1" spans="1:7">
      <c r="A1021" s="113">
        <f>领料单!AG109</f>
        <v>0</v>
      </c>
      <c r="B1021" s="113">
        <f>领料单!AH109</f>
        <v>0</v>
      </c>
      <c r="C1021" s="113">
        <f>领料单!AI109</f>
        <v>0</v>
      </c>
      <c r="D1021" s="113">
        <f>领料单!AJ109</f>
        <v>0</v>
      </c>
      <c r="E1021" s="113">
        <f>领料单!AK109</f>
        <v>0</v>
      </c>
      <c r="F1021" s="113">
        <f>领料单!AL109</f>
        <v>0</v>
      </c>
      <c r="G1021" s="113"/>
    </row>
    <row r="1022" customHeight="1" spans="1:7">
      <c r="A1022" s="113">
        <f>领料单!AG110</f>
        <v>0</v>
      </c>
      <c r="B1022" s="113">
        <f>领料单!AH110</f>
        <v>0</v>
      </c>
      <c r="C1022" s="113">
        <f>领料单!AI110</f>
        <v>0</v>
      </c>
      <c r="D1022" s="113">
        <f>领料单!AJ110</f>
        <v>0</v>
      </c>
      <c r="E1022" s="113">
        <f>领料单!AK110</f>
        <v>0</v>
      </c>
      <c r="F1022" s="113">
        <f>领料单!AL110</f>
        <v>0</v>
      </c>
      <c r="G1022" s="113"/>
    </row>
    <row r="1023" customHeight="1" spans="1:7">
      <c r="A1023" s="115" t="s">
        <v>340</v>
      </c>
      <c r="B1023" s="116"/>
      <c r="C1023" s="116"/>
      <c r="D1023" s="116"/>
      <c r="E1023" s="117"/>
      <c r="F1023" s="118">
        <f>SUM(F1011:F1022)</f>
        <v>0</v>
      </c>
      <c r="G1023" s="114"/>
    </row>
    <row r="1024" customHeight="1" spans="1:7">
      <c r="A1024" s="119" t="s">
        <v>341</v>
      </c>
      <c r="B1024" s="119"/>
      <c r="C1024" s="120"/>
      <c r="D1024" s="119"/>
      <c r="E1024" s="121" t="s">
        <v>342</v>
      </c>
      <c r="F1024" s="119"/>
      <c r="G1024" s="119"/>
    </row>
    <row r="1027" customHeight="1" spans="1:7">
      <c r="A1027" s="105"/>
      <c r="B1027" s="106"/>
      <c r="C1027" s="107" t="s">
        <v>330</v>
      </c>
      <c r="D1027" s="107"/>
      <c r="E1027" s="107"/>
      <c r="F1027" s="105"/>
      <c r="G1027" s="105"/>
    </row>
    <row r="1028" customHeight="1" spans="1:7">
      <c r="A1028" s="108" t="s">
        <v>331</v>
      </c>
      <c r="B1028" s="109"/>
      <c r="C1028" s="110">
        <v>45838</v>
      </c>
      <c r="D1028" s="110"/>
      <c r="E1028" s="110"/>
      <c r="F1028" s="111" t="s">
        <v>332</v>
      </c>
      <c r="G1028" s="112" t="str">
        <f>立项!$A$7</f>
        <v>RD05</v>
      </c>
    </row>
    <row r="1029" customHeight="1" spans="1:7">
      <c r="A1029" s="113" t="s">
        <v>333</v>
      </c>
      <c r="B1029" s="113" t="s">
        <v>334</v>
      </c>
      <c r="C1029" s="113" t="s">
        <v>335</v>
      </c>
      <c r="D1029" s="113" t="s">
        <v>336</v>
      </c>
      <c r="E1029" s="113" t="s">
        <v>337</v>
      </c>
      <c r="F1029" s="113" t="s">
        <v>338</v>
      </c>
      <c r="G1029" s="113" t="s">
        <v>339</v>
      </c>
    </row>
    <row r="1030" customHeight="1" spans="1:7">
      <c r="A1030" s="113">
        <f>领料单!AO99</f>
        <v>0</v>
      </c>
      <c r="B1030" s="113">
        <f>领料单!AP99</f>
        <v>0</v>
      </c>
      <c r="C1030" s="113">
        <f>领料单!AQ99</f>
        <v>0</v>
      </c>
      <c r="D1030" s="113">
        <f>领料单!AR99</f>
        <v>0</v>
      </c>
      <c r="E1030" s="113">
        <f>领料单!AS99</f>
        <v>0</v>
      </c>
      <c r="F1030" s="113">
        <f>领料单!AT99</f>
        <v>0</v>
      </c>
      <c r="G1030" s="113"/>
    </row>
    <row r="1031" customHeight="1" spans="1:7">
      <c r="A1031" s="113">
        <f>领料单!AO100</f>
        <v>0</v>
      </c>
      <c r="B1031" s="113">
        <f>领料单!AP100</f>
        <v>0</v>
      </c>
      <c r="C1031" s="113">
        <f>领料单!AQ100</f>
        <v>0</v>
      </c>
      <c r="D1031" s="113">
        <f>领料单!AR100</f>
        <v>0</v>
      </c>
      <c r="E1031" s="113">
        <f>领料单!AS100</f>
        <v>0</v>
      </c>
      <c r="F1031" s="113">
        <f>领料单!AT100</f>
        <v>0</v>
      </c>
      <c r="G1031" s="113"/>
    </row>
    <row r="1032" customHeight="1" spans="1:7">
      <c r="A1032" s="113">
        <f>领料单!AO101</f>
        <v>0</v>
      </c>
      <c r="B1032" s="113">
        <f>领料单!AP101</f>
        <v>0</v>
      </c>
      <c r="C1032" s="113">
        <f>领料单!AQ101</f>
        <v>0</v>
      </c>
      <c r="D1032" s="113">
        <f>领料单!AR101</f>
        <v>0</v>
      </c>
      <c r="E1032" s="113">
        <f>领料单!AS101</f>
        <v>0</v>
      </c>
      <c r="F1032" s="113">
        <f>领料单!AT101</f>
        <v>0</v>
      </c>
      <c r="G1032" s="113"/>
    </row>
    <row r="1033" customHeight="1" spans="1:7">
      <c r="A1033" s="113">
        <f>领料单!AO102</f>
        <v>0</v>
      </c>
      <c r="B1033" s="113">
        <f>领料单!AP102</f>
        <v>0</v>
      </c>
      <c r="C1033" s="113">
        <f>领料单!AQ102</f>
        <v>0</v>
      </c>
      <c r="D1033" s="113">
        <f>领料单!AR102</f>
        <v>0</v>
      </c>
      <c r="E1033" s="113">
        <f>领料单!AS102</f>
        <v>0</v>
      </c>
      <c r="F1033" s="113">
        <f>领料单!AT102</f>
        <v>0</v>
      </c>
      <c r="G1033" s="113"/>
    </row>
    <row r="1034" customHeight="1" spans="1:7">
      <c r="A1034" s="113">
        <f>领料单!AO103</f>
        <v>0</v>
      </c>
      <c r="B1034" s="113">
        <f>领料单!AP103</f>
        <v>0</v>
      </c>
      <c r="C1034" s="113">
        <f>领料单!AQ103</f>
        <v>0</v>
      </c>
      <c r="D1034" s="113">
        <f>领料单!AR103</f>
        <v>0</v>
      </c>
      <c r="E1034" s="113">
        <f>领料单!AS103</f>
        <v>0</v>
      </c>
      <c r="F1034" s="113">
        <f>领料单!AT103</f>
        <v>0</v>
      </c>
      <c r="G1034" s="113"/>
    </row>
    <row r="1035" customHeight="1" spans="1:7">
      <c r="A1035" s="113">
        <f>领料单!AO104</f>
        <v>0</v>
      </c>
      <c r="B1035" s="113">
        <f>领料单!AP104</f>
        <v>0</v>
      </c>
      <c r="C1035" s="113">
        <f>领料单!AQ104</f>
        <v>0</v>
      </c>
      <c r="D1035" s="113">
        <f>领料单!AR104</f>
        <v>0</v>
      </c>
      <c r="E1035" s="113">
        <f>领料单!AS104</f>
        <v>0</v>
      </c>
      <c r="F1035" s="113">
        <f>领料单!AT104</f>
        <v>0</v>
      </c>
      <c r="G1035" s="113"/>
    </row>
    <row r="1036" customHeight="1" spans="1:7">
      <c r="A1036" s="113">
        <f>领料单!AO105</f>
        <v>0</v>
      </c>
      <c r="B1036" s="113">
        <f>领料单!AP105</f>
        <v>0</v>
      </c>
      <c r="C1036" s="113">
        <f>领料单!AQ105</f>
        <v>0</v>
      </c>
      <c r="D1036" s="113">
        <f>领料单!AR105</f>
        <v>0</v>
      </c>
      <c r="E1036" s="113">
        <f>领料单!AS105</f>
        <v>0</v>
      </c>
      <c r="F1036" s="113">
        <f>领料单!AT105</f>
        <v>0</v>
      </c>
      <c r="G1036" s="113"/>
    </row>
    <row r="1037" customHeight="1" spans="1:7">
      <c r="A1037" s="113">
        <f>领料单!AO106</f>
        <v>0</v>
      </c>
      <c r="B1037" s="113">
        <f>领料单!AP106</f>
        <v>0</v>
      </c>
      <c r="C1037" s="113">
        <f>领料单!AQ106</f>
        <v>0</v>
      </c>
      <c r="D1037" s="113">
        <f>领料单!AR106</f>
        <v>0</v>
      </c>
      <c r="E1037" s="113">
        <f>领料单!AS106</f>
        <v>0</v>
      </c>
      <c r="F1037" s="113">
        <f>领料单!AT106</f>
        <v>0</v>
      </c>
      <c r="G1037" s="113"/>
    </row>
    <row r="1038" customHeight="1" spans="1:7">
      <c r="A1038" s="113">
        <f>领料单!AO107</f>
        <v>0</v>
      </c>
      <c r="B1038" s="113">
        <f>领料单!AP107</f>
        <v>0</v>
      </c>
      <c r="C1038" s="113">
        <f>领料单!AQ107</f>
        <v>0</v>
      </c>
      <c r="D1038" s="113">
        <f>领料单!AR107</f>
        <v>0</v>
      </c>
      <c r="E1038" s="113">
        <f>领料单!AS107</f>
        <v>0</v>
      </c>
      <c r="F1038" s="113">
        <f>领料单!AT107</f>
        <v>0</v>
      </c>
      <c r="G1038" s="113"/>
    </row>
    <row r="1039" customHeight="1" spans="1:7">
      <c r="A1039" s="113">
        <f>领料单!AO108</f>
        <v>0</v>
      </c>
      <c r="B1039" s="113">
        <f>领料单!AP108</f>
        <v>0</v>
      </c>
      <c r="C1039" s="113">
        <f>领料单!AQ108</f>
        <v>0</v>
      </c>
      <c r="D1039" s="113">
        <f>领料单!AR108</f>
        <v>0</v>
      </c>
      <c r="E1039" s="113">
        <f>领料单!AS108</f>
        <v>0</v>
      </c>
      <c r="F1039" s="113">
        <f>领料单!AT108</f>
        <v>0</v>
      </c>
      <c r="G1039" s="113"/>
    </row>
    <row r="1040" customHeight="1" spans="1:7">
      <c r="A1040" s="113">
        <f>领料单!AO109</f>
        <v>0</v>
      </c>
      <c r="B1040" s="113">
        <f>领料单!AP109</f>
        <v>0</v>
      </c>
      <c r="C1040" s="113">
        <f>领料单!AQ109</f>
        <v>0</v>
      </c>
      <c r="D1040" s="113">
        <f>领料单!AR109</f>
        <v>0</v>
      </c>
      <c r="E1040" s="113">
        <f>领料单!AS109</f>
        <v>0</v>
      </c>
      <c r="F1040" s="113">
        <f>领料单!AT109</f>
        <v>0</v>
      </c>
      <c r="G1040" s="113"/>
    </row>
    <row r="1041" customHeight="1" spans="1:7">
      <c r="A1041" s="113">
        <f>领料单!AO110</f>
        <v>0</v>
      </c>
      <c r="B1041" s="113">
        <f>领料单!AP110</f>
        <v>0</v>
      </c>
      <c r="C1041" s="113">
        <f>领料单!AQ110</f>
        <v>0</v>
      </c>
      <c r="D1041" s="113">
        <f>领料单!AR110</f>
        <v>0</v>
      </c>
      <c r="E1041" s="113">
        <f>领料单!AS110</f>
        <v>0</v>
      </c>
      <c r="F1041" s="113">
        <f>领料单!AT110</f>
        <v>0</v>
      </c>
      <c r="G1041" s="113"/>
    </row>
    <row r="1042" customHeight="1" spans="1:7">
      <c r="A1042" s="115" t="s">
        <v>340</v>
      </c>
      <c r="B1042" s="116"/>
      <c r="C1042" s="116"/>
      <c r="D1042" s="116"/>
      <c r="E1042" s="117"/>
      <c r="F1042" s="118">
        <f>SUM(F1030:F1041)</f>
        <v>0</v>
      </c>
      <c r="G1042" s="114"/>
    </row>
    <row r="1043" customHeight="1" spans="1:7">
      <c r="A1043" s="119" t="s">
        <v>341</v>
      </c>
      <c r="B1043" s="119"/>
      <c r="C1043" s="120"/>
      <c r="D1043" s="119"/>
      <c r="E1043" s="121" t="s">
        <v>342</v>
      </c>
      <c r="F1043" s="119"/>
      <c r="G1043" s="119"/>
    </row>
    <row r="1046" customHeight="1" spans="1:7">
      <c r="A1046" s="105"/>
      <c r="B1046" s="106"/>
      <c r="C1046" s="107" t="s">
        <v>330</v>
      </c>
      <c r="D1046" s="107"/>
      <c r="E1046" s="107"/>
      <c r="F1046" s="105"/>
      <c r="G1046" s="105"/>
    </row>
    <row r="1047" customHeight="1" spans="1:7">
      <c r="A1047" s="108" t="s">
        <v>331</v>
      </c>
      <c r="B1047" s="109"/>
      <c r="C1047" s="110">
        <v>45838</v>
      </c>
      <c r="D1047" s="110"/>
      <c r="E1047" s="110"/>
      <c r="F1047" s="111" t="s">
        <v>332</v>
      </c>
      <c r="G1047" s="112" t="str">
        <f>立项!$A$8</f>
        <v>RD06</v>
      </c>
    </row>
    <row r="1048" customHeight="1" spans="1:7">
      <c r="A1048" s="113" t="s">
        <v>333</v>
      </c>
      <c r="B1048" s="113" t="s">
        <v>334</v>
      </c>
      <c r="C1048" s="113" t="s">
        <v>335</v>
      </c>
      <c r="D1048" s="113" t="s">
        <v>336</v>
      </c>
      <c r="E1048" s="113" t="s">
        <v>337</v>
      </c>
      <c r="F1048" s="113" t="s">
        <v>338</v>
      </c>
      <c r="G1048" s="113" t="s">
        <v>339</v>
      </c>
    </row>
    <row r="1049" customHeight="1" spans="1:7">
      <c r="A1049" s="113">
        <f>领料单!AW99</f>
        <v>0</v>
      </c>
      <c r="B1049" s="113">
        <f>领料单!AX99</f>
        <v>0</v>
      </c>
      <c r="C1049" s="113">
        <f>领料单!AY99</f>
        <v>0</v>
      </c>
      <c r="D1049" s="113">
        <f>领料单!AZ99</f>
        <v>0</v>
      </c>
      <c r="E1049" s="113">
        <f>领料单!BA99</f>
        <v>0</v>
      </c>
      <c r="F1049" s="113">
        <f>领料单!BB99</f>
        <v>0</v>
      </c>
      <c r="G1049" s="113"/>
    </row>
    <row r="1050" customHeight="1" spans="1:7">
      <c r="A1050" s="113">
        <f>领料单!AW100</f>
        <v>0</v>
      </c>
      <c r="B1050" s="113">
        <f>领料单!AX100</f>
        <v>0</v>
      </c>
      <c r="C1050" s="113">
        <f>领料单!AY100</f>
        <v>0</v>
      </c>
      <c r="D1050" s="113">
        <f>领料单!AZ100</f>
        <v>0</v>
      </c>
      <c r="E1050" s="113">
        <f>领料单!BA100</f>
        <v>0</v>
      </c>
      <c r="F1050" s="113">
        <f>领料单!BB100</f>
        <v>0</v>
      </c>
      <c r="G1050" s="113"/>
    </row>
    <row r="1051" customHeight="1" spans="1:7">
      <c r="A1051" s="113">
        <f>领料单!AW101</f>
        <v>0</v>
      </c>
      <c r="B1051" s="113">
        <f>领料单!AX101</f>
        <v>0</v>
      </c>
      <c r="C1051" s="113">
        <f>领料单!AY101</f>
        <v>0</v>
      </c>
      <c r="D1051" s="113">
        <f>领料单!AZ101</f>
        <v>0</v>
      </c>
      <c r="E1051" s="113">
        <f>领料单!BA101</f>
        <v>0</v>
      </c>
      <c r="F1051" s="113">
        <f>领料单!BB101</f>
        <v>0</v>
      </c>
      <c r="G1051" s="113"/>
    </row>
    <row r="1052" customHeight="1" spans="1:7">
      <c r="A1052" s="113">
        <f>领料单!AW102</f>
        <v>0</v>
      </c>
      <c r="B1052" s="113">
        <f>领料单!AX102</f>
        <v>0</v>
      </c>
      <c r="C1052" s="113">
        <f>领料单!AY102</f>
        <v>0</v>
      </c>
      <c r="D1052" s="113">
        <f>领料单!AZ102</f>
        <v>0</v>
      </c>
      <c r="E1052" s="113">
        <f>领料单!BA102</f>
        <v>0</v>
      </c>
      <c r="F1052" s="113">
        <f>领料单!BB102</f>
        <v>0</v>
      </c>
      <c r="G1052" s="113"/>
    </row>
    <row r="1053" customHeight="1" spans="1:7">
      <c r="A1053" s="113">
        <f>领料单!AW103</f>
        <v>0</v>
      </c>
      <c r="B1053" s="113">
        <f>领料单!AX103</f>
        <v>0</v>
      </c>
      <c r="C1053" s="113">
        <f>领料单!AY103</f>
        <v>0</v>
      </c>
      <c r="D1053" s="113">
        <f>领料单!AZ103</f>
        <v>0</v>
      </c>
      <c r="E1053" s="113">
        <f>领料单!BA103</f>
        <v>0</v>
      </c>
      <c r="F1053" s="113">
        <f>领料单!BB103</f>
        <v>0</v>
      </c>
      <c r="G1053" s="113"/>
    </row>
    <row r="1054" customHeight="1" spans="1:7">
      <c r="A1054" s="113">
        <f>领料单!AW104</f>
        <v>0</v>
      </c>
      <c r="B1054" s="113">
        <f>领料单!AX104</f>
        <v>0</v>
      </c>
      <c r="C1054" s="113">
        <f>领料单!AY104</f>
        <v>0</v>
      </c>
      <c r="D1054" s="113">
        <f>领料单!AZ104</f>
        <v>0</v>
      </c>
      <c r="E1054" s="113">
        <f>领料单!BA104</f>
        <v>0</v>
      </c>
      <c r="F1054" s="113">
        <f>领料单!BB104</f>
        <v>0</v>
      </c>
      <c r="G1054" s="113"/>
    </row>
    <row r="1055" customHeight="1" spans="1:7">
      <c r="A1055" s="113">
        <f>领料单!AW105</f>
        <v>0</v>
      </c>
      <c r="B1055" s="113">
        <f>领料单!AX105</f>
        <v>0</v>
      </c>
      <c r="C1055" s="113">
        <f>领料单!AY105</f>
        <v>0</v>
      </c>
      <c r="D1055" s="113">
        <f>领料单!AZ105</f>
        <v>0</v>
      </c>
      <c r="E1055" s="113">
        <f>领料单!BA105</f>
        <v>0</v>
      </c>
      <c r="F1055" s="113">
        <f>领料单!BB105</f>
        <v>0</v>
      </c>
      <c r="G1055" s="113"/>
    </row>
    <row r="1056" customHeight="1" spans="1:7">
      <c r="A1056" s="113">
        <f>领料单!AW106</f>
        <v>0</v>
      </c>
      <c r="B1056" s="113">
        <f>领料单!AX106</f>
        <v>0</v>
      </c>
      <c r="C1056" s="113">
        <f>领料单!AY106</f>
        <v>0</v>
      </c>
      <c r="D1056" s="113">
        <f>领料单!AZ106</f>
        <v>0</v>
      </c>
      <c r="E1056" s="113">
        <f>领料单!BA106</f>
        <v>0</v>
      </c>
      <c r="F1056" s="113">
        <f>领料单!BB106</f>
        <v>0</v>
      </c>
      <c r="G1056" s="113"/>
    </row>
    <row r="1057" customHeight="1" spans="1:7">
      <c r="A1057" s="113">
        <f>领料单!AW107</f>
        <v>0</v>
      </c>
      <c r="B1057" s="113">
        <f>领料单!AX107</f>
        <v>0</v>
      </c>
      <c r="C1057" s="113">
        <f>领料单!AY107</f>
        <v>0</v>
      </c>
      <c r="D1057" s="113">
        <f>领料单!AZ107</f>
        <v>0</v>
      </c>
      <c r="E1057" s="113">
        <f>领料单!BA107</f>
        <v>0</v>
      </c>
      <c r="F1057" s="113">
        <f>领料单!BB107</f>
        <v>0</v>
      </c>
      <c r="G1057" s="113"/>
    </row>
    <row r="1058" customHeight="1" spans="1:7">
      <c r="A1058" s="113">
        <f>领料单!AW108</f>
        <v>0</v>
      </c>
      <c r="B1058" s="113">
        <f>领料单!AX108</f>
        <v>0</v>
      </c>
      <c r="C1058" s="113">
        <f>领料单!AY108</f>
        <v>0</v>
      </c>
      <c r="D1058" s="113">
        <f>领料单!AZ108</f>
        <v>0</v>
      </c>
      <c r="E1058" s="113">
        <f>领料单!BA108</f>
        <v>0</v>
      </c>
      <c r="F1058" s="113">
        <f>领料单!BB108</f>
        <v>0</v>
      </c>
      <c r="G1058" s="113"/>
    </row>
    <row r="1059" customHeight="1" spans="1:7">
      <c r="A1059" s="113">
        <f>领料单!AW109</f>
        <v>0</v>
      </c>
      <c r="B1059" s="113">
        <f>领料单!AX109</f>
        <v>0</v>
      </c>
      <c r="C1059" s="113">
        <f>领料单!AY109</f>
        <v>0</v>
      </c>
      <c r="D1059" s="113">
        <f>领料单!AZ109</f>
        <v>0</v>
      </c>
      <c r="E1059" s="113">
        <f>领料单!BA109</f>
        <v>0</v>
      </c>
      <c r="F1059" s="113">
        <f>领料单!BB109</f>
        <v>0</v>
      </c>
      <c r="G1059" s="113"/>
    </row>
    <row r="1060" customHeight="1" spans="1:7">
      <c r="A1060" s="113">
        <f>领料单!AW110</f>
        <v>0</v>
      </c>
      <c r="B1060" s="113">
        <f>领料单!AX110</f>
        <v>0</v>
      </c>
      <c r="C1060" s="113">
        <f>领料单!AY110</f>
        <v>0</v>
      </c>
      <c r="D1060" s="113">
        <f>领料单!AZ110</f>
        <v>0</v>
      </c>
      <c r="E1060" s="113">
        <f>领料单!BA110</f>
        <v>0</v>
      </c>
      <c r="F1060" s="113">
        <f>领料单!BB110</f>
        <v>0</v>
      </c>
      <c r="G1060" s="113"/>
    </row>
    <row r="1061" customHeight="1" spans="1:7">
      <c r="A1061" s="115" t="s">
        <v>340</v>
      </c>
      <c r="B1061" s="116"/>
      <c r="C1061" s="116"/>
      <c r="D1061" s="116"/>
      <c r="E1061" s="117"/>
      <c r="F1061" s="118">
        <f>SUM(F1049:F1060)</f>
        <v>0</v>
      </c>
      <c r="G1061" s="114"/>
    </row>
    <row r="1062" customHeight="1" spans="1:7">
      <c r="A1062" s="119" t="s">
        <v>341</v>
      </c>
      <c r="B1062" s="119"/>
      <c r="C1062" s="120"/>
      <c r="D1062" s="119"/>
      <c r="E1062" s="121" t="s">
        <v>342</v>
      </c>
      <c r="F1062" s="119"/>
      <c r="G1062" s="119"/>
    </row>
    <row r="1065" customHeight="1" spans="1:7">
      <c r="A1065" s="105"/>
      <c r="B1065" s="106"/>
      <c r="C1065" s="107" t="s">
        <v>330</v>
      </c>
      <c r="D1065" s="107"/>
      <c r="E1065" s="107"/>
      <c r="F1065" s="105"/>
      <c r="G1065" s="105"/>
    </row>
    <row r="1066" customHeight="1" spans="1:7">
      <c r="A1066" s="108" t="s">
        <v>331</v>
      </c>
      <c r="B1066" s="109"/>
      <c r="C1066" s="110">
        <v>45838</v>
      </c>
      <c r="D1066" s="110"/>
      <c r="E1066" s="110"/>
      <c r="F1066" s="111" t="s">
        <v>332</v>
      </c>
      <c r="G1066" s="112" t="str">
        <f>立项!$A$9</f>
        <v>RD07</v>
      </c>
    </row>
    <row r="1067" customHeight="1" spans="1:7">
      <c r="A1067" s="113" t="s">
        <v>333</v>
      </c>
      <c r="B1067" s="113" t="s">
        <v>334</v>
      </c>
      <c r="C1067" s="113" t="s">
        <v>335</v>
      </c>
      <c r="D1067" s="113" t="s">
        <v>336</v>
      </c>
      <c r="E1067" s="113" t="s">
        <v>337</v>
      </c>
      <c r="F1067" s="113" t="s">
        <v>338</v>
      </c>
      <c r="G1067" s="113" t="s">
        <v>339</v>
      </c>
    </row>
    <row r="1068" customHeight="1" spans="1:7">
      <c r="A1068" s="113">
        <f>领料单!BE99</f>
        <v>0</v>
      </c>
      <c r="B1068" s="113">
        <f>领料单!BF99</f>
        <v>0</v>
      </c>
      <c r="C1068" s="113">
        <f>领料单!BG99</f>
        <v>0</v>
      </c>
      <c r="D1068" s="113">
        <f>领料单!BH99</f>
        <v>0</v>
      </c>
      <c r="E1068" s="113">
        <f>领料单!BI99</f>
        <v>0</v>
      </c>
      <c r="F1068" s="113">
        <f>领料单!BJ99</f>
        <v>0</v>
      </c>
      <c r="G1068" s="113"/>
    </row>
    <row r="1069" customHeight="1" spans="1:7">
      <c r="A1069" s="113">
        <f>领料单!BE100</f>
        <v>0</v>
      </c>
      <c r="B1069" s="113">
        <f>领料单!BF100</f>
        <v>0</v>
      </c>
      <c r="C1069" s="113">
        <f>领料单!BG100</f>
        <v>0</v>
      </c>
      <c r="D1069" s="113">
        <f>领料单!BH100</f>
        <v>0</v>
      </c>
      <c r="E1069" s="113">
        <f>领料单!BI100</f>
        <v>0</v>
      </c>
      <c r="F1069" s="113">
        <f>领料单!BJ100</f>
        <v>0</v>
      </c>
      <c r="G1069" s="113"/>
    </row>
    <row r="1070" customHeight="1" spans="1:7">
      <c r="A1070" s="113">
        <f>领料单!BE101</f>
        <v>0</v>
      </c>
      <c r="B1070" s="113">
        <f>领料单!BF101</f>
        <v>0</v>
      </c>
      <c r="C1070" s="113">
        <f>领料单!BG101</f>
        <v>0</v>
      </c>
      <c r="D1070" s="113">
        <f>领料单!BH101</f>
        <v>0</v>
      </c>
      <c r="E1070" s="113">
        <f>领料单!BI101</f>
        <v>0</v>
      </c>
      <c r="F1070" s="113">
        <f>领料单!BJ101</f>
        <v>0</v>
      </c>
      <c r="G1070" s="113"/>
    </row>
    <row r="1071" customHeight="1" spans="1:7">
      <c r="A1071" s="113">
        <f>领料单!BE102</f>
        <v>0</v>
      </c>
      <c r="B1071" s="113">
        <f>领料单!BF102</f>
        <v>0</v>
      </c>
      <c r="C1071" s="113">
        <f>领料单!BG102</f>
        <v>0</v>
      </c>
      <c r="D1071" s="113">
        <f>领料单!BH102</f>
        <v>0</v>
      </c>
      <c r="E1071" s="113">
        <f>领料单!BI102</f>
        <v>0</v>
      </c>
      <c r="F1071" s="113">
        <f>领料单!BJ102</f>
        <v>0</v>
      </c>
      <c r="G1071" s="113"/>
    </row>
    <row r="1072" customHeight="1" spans="1:7">
      <c r="A1072" s="113">
        <f>领料单!BE103</f>
        <v>0</v>
      </c>
      <c r="B1072" s="113">
        <f>领料单!BF103</f>
        <v>0</v>
      </c>
      <c r="C1072" s="113">
        <f>领料单!BG103</f>
        <v>0</v>
      </c>
      <c r="D1072" s="113">
        <f>领料单!BH103</f>
        <v>0</v>
      </c>
      <c r="E1072" s="113">
        <f>领料单!BI103</f>
        <v>0</v>
      </c>
      <c r="F1072" s="113">
        <f>领料单!BJ103</f>
        <v>0</v>
      </c>
      <c r="G1072" s="113"/>
    </row>
    <row r="1073" customHeight="1" spans="1:7">
      <c r="A1073" s="113">
        <f>领料单!BE104</f>
        <v>0</v>
      </c>
      <c r="B1073" s="113">
        <f>领料单!BF104</f>
        <v>0</v>
      </c>
      <c r="C1073" s="113">
        <f>领料单!BG104</f>
        <v>0</v>
      </c>
      <c r="D1073" s="113">
        <f>领料单!BH104</f>
        <v>0</v>
      </c>
      <c r="E1073" s="113">
        <f>领料单!BI104</f>
        <v>0</v>
      </c>
      <c r="F1073" s="113">
        <f>领料单!BJ104</f>
        <v>0</v>
      </c>
      <c r="G1073" s="113"/>
    </row>
    <row r="1074" customHeight="1" spans="1:7">
      <c r="A1074" s="113">
        <f>领料单!BE105</f>
        <v>0</v>
      </c>
      <c r="B1074" s="113">
        <f>领料单!BF105</f>
        <v>0</v>
      </c>
      <c r="C1074" s="113">
        <f>领料单!BG105</f>
        <v>0</v>
      </c>
      <c r="D1074" s="113">
        <f>领料单!BH105</f>
        <v>0</v>
      </c>
      <c r="E1074" s="113">
        <f>领料单!BI105</f>
        <v>0</v>
      </c>
      <c r="F1074" s="113">
        <f>领料单!BJ105</f>
        <v>0</v>
      </c>
      <c r="G1074" s="113"/>
    </row>
    <row r="1075" customHeight="1" spans="1:7">
      <c r="A1075" s="113">
        <f>领料单!BE106</f>
        <v>0</v>
      </c>
      <c r="B1075" s="113">
        <f>领料单!BF106</f>
        <v>0</v>
      </c>
      <c r="C1075" s="113">
        <f>领料单!BG106</f>
        <v>0</v>
      </c>
      <c r="D1075" s="113">
        <f>领料单!BH106</f>
        <v>0</v>
      </c>
      <c r="E1075" s="113">
        <f>领料单!BI106</f>
        <v>0</v>
      </c>
      <c r="F1075" s="113">
        <f>领料单!BJ106</f>
        <v>0</v>
      </c>
      <c r="G1075" s="113"/>
    </row>
    <row r="1076" customHeight="1" spans="1:7">
      <c r="A1076" s="113">
        <f>领料单!BE107</f>
        <v>0</v>
      </c>
      <c r="B1076" s="113">
        <f>领料单!BF107</f>
        <v>0</v>
      </c>
      <c r="C1076" s="113">
        <f>领料单!BG107</f>
        <v>0</v>
      </c>
      <c r="D1076" s="113">
        <f>领料单!BH107</f>
        <v>0</v>
      </c>
      <c r="E1076" s="113">
        <f>领料单!BI107</f>
        <v>0</v>
      </c>
      <c r="F1076" s="113">
        <f>领料单!BJ107</f>
        <v>0</v>
      </c>
      <c r="G1076" s="113"/>
    </row>
    <row r="1077" customHeight="1" spans="1:7">
      <c r="A1077" s="113">
        <f>领料单!BE108</f>
        <v>0</v>
      </c>
      <c r="B1077" s="113">
        <f>领料单!BF108</f>
        <v>0</v>
      </c>
      <c r="C1077" s="113">
        <f>领料单!BG108</f>
        <v>0</v>
      </c>
      <c r="D1077" s="113">
        <f>领料单!BH108</f>
        <v>0</v>
      </c>
      <c r="E1077" s="113">
        <f>领料单!BI108</f>
        <v>0</v>
      </c>
      <c r="F1077" s="113">
        <f>领料单!BJ108</f>
        <v>0</v>
      </c>
      <c r="G1077" s="113"/>
    </row>
    <row r="1078" customHeight="1" spans="1:7">
      <c r="A1078" s="113">
        <f>领料单!BE109</f>
        <v>0</v>
      </c>
      <c r="B1078" s="113">
        <f>领料单!BF109</f>
        <v>0</v>
      </c>
      <c r="C1078" s="113">
        <f>领料单!BG109</f>
        <v>0</v>
      </c>
      <c r="D1078" s="113">
        <f>领料单!BH109</f>
        <v>0</v>
      </c>
      <c r="E1078" s="113">
        <f>领料单!BI109</f>
        <v>0</v>
      </c>
      <c r="F1078" s="113">
        <f>领料单!BJ109</f>
        <v>0</v>
      </c>
      <c r="G1078" s="113"/>
    </row>
    <row r="1079" customHeight="1" spans="1:7">
      <c r="A1079" s="113">
        <f>领料单!BE110</f>
        <v>0</v>
      </c>
      <c r="B1079" s="113">
        <f>领料单!BF110</f>
        <v>0</v>
      </c>
      <c r="C1079" s="113">
        <f>领料单!BG110</f>
        <v>0</v>
      </c>
      <c r="D1079" s="113">
        <f>领料单!BH110</f>
        <v>0</v>
      </c>
      <c r="E1079" s="113">
        <f>领料单!BI110</f>
        <v>0</v>
      </c>
      <c r="F1079" s="113">
        <f>领料单!BJ110</f>
        <v>0</v>
      </c>
      <c r="G1079" s="113"/>
    </row>
    <row r="1080" customHeight="1" spans="1:7">
      <c r="A1080" s="115" t="s">
        <v>340</v>
      </c>
      <c r="B1080" s="116"/>
      <c r="C1080" s="116"/>
      <c r="D1080" s="116"/>
      <c r="E1080" s="117"/>
      <c r="F1080" s="118">
        <f>SUM(F1068:F1079)</f>
        <v>0</v>
      </c>
      <c r="G1080" s="114"/>
    </row>
    <row r="1081" customHeight="1" spans="1:7">
      <c r="A1081" s="119" t="s">
        <v>341</v>
      </c>
      <c r="B1081" s="119"/>
      <c r="C1081" s="120"/>
      <c r="D1081" s="119"/>
      <c r="E1081" s="121" t="s">
        <v>342</v>
      </c>
      <c r="F1081" s="119"/>
      <c r="G1081" s="119"/>
    </row>
    <row r="1084" customHeight="1" spans="1:7">
      <c r="A1084" s="105"/>
      <c r="B1084" s="106"/>
      <c r="C1084" s="107" t="s">
        <v>330</v>
      </c>
      <c r="D1084" s="107"/>
      <c r="E1084" s="107"/>
      <c r="F1084" s="105"/>
      <c r="G1084" s="105"/>
    </row>
    <row r="1085" customHeight="1" spans="1:7">
      <c r="A1085" s="108" t="s">
        <v>331</v>
      </c>
      <c r="B1085" s="109"/>
      <c r="C1085" s="110">
        <v>45838</v>
      </c>
      <c r="D1085" s="110"/>
      <c r="E1085" s="110"/>
      <c r="F1085" s="111" t="s">
        <v>332</v>
      </c>
      <c r="G1085" s="112" t="str">
        <f>立项!$A$10</f>
        <v>RD08</v>
      </c>
    </row>
    <row r="1086" customHeight="1" spans="1:7">
      <c r="A1086" s="113" t="s">
        <v>333</v>
      </c>
      <c r="B1086" s="113" t="s">
        <v>334</v>
      </c>
      <c r="C1086" s="113" t="s">
        <v>335</v>
      </c>
      <c r="D1086" s="113" t="s">
        <v>336</v>
      </c>
      <c r="E1086" s="113" t="s">
        <v>337</v>
      </c>
      <c r="F1086" s="113" t="s">
        <v>338</v>
      </c>
      <c r="G1086" s="113" t="s">
        <v>339</v>
      </c>
    </row>
    <row r="1087" customHeight="1" spans="1:7">
      <c r="A1087" s="113">
        <f>领料单!BM99</f>
        <v>0</v>
      </c>
      <c r="B1087" s="113">
        <f>领料单!BN99</f>
        <v>0</v>
      </c>
      <c r="C1087" s="113">
        <f>领料单!BO99</f>
        <v>0</v>
      </c>
      <c r="D1087" s="113">
        <f>领料单!BP99</f>
        <v>0</v>
      </c>
      <c r="E1087" s="113">
        <f>领料单!BQ99</f>
        <v>0</v>
      </c>
      <c r="F1087" s="113">
        <f>领料单!BR99</f>
        <v>0</v>
      </c>
      <c r="G1087" s="113"/>
    </row>
    <row r="1088" customHeight="1" spans="1:7">
      <c r="A1088" s="113">
        <f>领料单!BM100</f>
        <v>0</v>
      </c>
      <c r="B1088" s="113">
        <f>领料单!BN100</f>
        <v>0</v>
      </c>
      <c r="C1088" s="113">
        <f>领料单!BO100</f>
        <v>0</v>
      </c>
      <c r="D1088" s="113">
        <f>领料单!BP100</f>
        <v>0</v>
      </c>
      <c r="E1088" s="113">
        <f>领料单!BQ100</f>
        <v>0</v>
      </c>
      <c r="F1088" s="113">
        <f>领料单!BR100</f>
        <v>0</v>
      </c>
      <c r="G1088" s="113"/>
    </row>
    <row r="1089" customHeight="1" spans="1:7">
      <c r="A1089" s="113">
        <f>领料单!BM101</f>
        <v>0</v>
      </c>
      <c r="B1089" s="113">
        <f>领料单!BN101</f>
        <v>0</v>
      </c>
      <c r="C1089" s="113">
        <f>领料单!BO101</f>
        <v>0</v>
      </c>
      <c r="D1089" s="113">
        <f>领料单!BP101</f>
        <v>0</v>
      </c>
      <c r="E1089" s="113">
        <f>领料单!BQ101</f>
        <v>0</v>
      </c>
      <c r="F1089" s="113">
        <f>领料单!BR101</f>
        <v>0</v>
      </c>
      <c r="G1089" s="113"/>
    </row>
    <row r="1090" customHeight="1" spans="1:7">
      <c r="A1090" s="113">
        <f>领料单!BM102</f>
        <v>0</v>
      </c>
      <c r="B1090" s="113">
        <f>领料单!BN102</f>
        <v>0</v>
      </c>
      <c r="C1090" s="113">
        <f>领料单!BO102</f>
        <v>0</v>
      </c>
      <c r="D1090" s="113">
        <f>领料单!BP102</f>
        <v>0</v>
      </c>
      <c r="E1090" s="113">
        <f>领料单!BQ102</f>
        <v>0</v>
      </c>
      <c r="F1090" s="113">
        <f>领料单!BR102</f>
        <v>0</v>
      </c>
      <c r="G1090" s="113"/>
    </row>
    <row r="1091" customHeight="1" spans="1:7">
      <c r="A1091" s="113">
        <f>领料单!BM103</f>
        <v>0</v>
      </c>
      <c r="B1091" s="113">
        <f>领料单!BN103</f>
        <v>0</v>
      </c>
      <c r="C1091" s="113">
        <f>领料单!BO103</f>
        <v>0</v>
      </c>
      <c r="D1091" s="113">
        <f>领料单!BP103</f>
        <v>0</v>
      </c>
      <c r="E1091" s="113">
        <f>领料单!BQ103</f>
        <v>0</v>
      </c>
      <c r="F1091" s="113">
        <f>领料单!BR103</f>
        <v>0</v>
      </c>
      <c r="G1091" s="113"/>
    </row>
    <row r="1092" customHeight="1" spans="1:7">
      <c r="A1092" s="113">
        <f>领料单!BM104</f>
        <v>0</v>
      </c>
      <c r="B1092" s="113">
        <f>领料单!BN104</f>
        <v>0</v>
      </c>
      <c r="C1092" s="113">
        <f>领料单!BO104</f>
        <v>0</v>
      </c>
      <c r="D1092" s="113">
        <f>领料单!BP104</f>
        <v>0</v>
      </c>
      <c r="E1092" s="113">
        <f>领料单!BQ104</f>
        <v>0</v>
      </c>
      <c r="F1092" s="113">
        <f>领料单!BR104</f>
        <v>0</v>
      </c>
      <c r="G1092" s="113"/>
    </row>
    <row r="1093" customHeight="1" spans="1:7">
      <c r="A1093" s="113">
        <f>领料单!BM105</f>
        <v>0</v>
      </c>
      <c r="B1093" s="113">
        <f>领料单!BN105</f>
        <v>0</v>
      </c>
      <c r="C1093" s="113">
        <f>领料单!BO105</f>
        <v>0</v>
      </c>
      <c r="D1093" s="113">
        <f>领料单!BP105</f>
        <v>0</v>
      </c>
      <c r="E1093" s="113">
        <f>领料单!BQ105</f>
        <v>0</v>
      </c>
      <c r="F1093" s="113">
        <f>领料单!BR105</f>
        <v>0</v>
      </c>
      <c r="G1093" s="113"/>
    </row>
    <row r="1094" customHeight="1" spans="1:7">
      <c r="A1094" s="113">
        <f>领料单!BM106</f>
        <v>0</v>
      </c>
      <c r="B1094" s="113">
        <f>领料单!BN106</f>
        <v>0</v>
      </c>
      <c r="C1094" s="113">
        <f>领料单!BO106</f>
        <v>0</v>
      </c>
      <c r="D1094" s="113">
        <f>领料单!BP106</f>
        <v>0</v>
      </c>
      <c r="E1094" s="113">
        <f>领料单!BQ106</f>
        <v>0</v>
      </c>
      <c r="F1094" s="113">
        <f>领料单!BR106</f>
        <v>0</v>
      </c>
      <c r="G1094" s="113"/>
    </row>
    <row r="1095" customHeight="1" spans="1:7">
      <c r="A1095" s="113">
        <f>领料单!BM107</f>
        <v>0</v>
      </c>
      <c r="B1095" s="113">
        <f>领料单!BN107</f>
        <v>0</v>
      </c>
      <c r="C1095" s="113">
        <f>领料单!BO107</f>
        <v>0</v>
      </c>
      <c r="D1095" s="113">
        <f>领料单!BP107</f>
        <v>0</v>
      </c>
      <c r="E1095" s="113">
        <f>领料单!BQ107</f>
        <v>0</v>
      </c>
      <c r="F1095" s="113">
        <f>领料单!BR107</f>
        <v>0</v>
      </c>
      <c r="G1095" s="113"/>
    </row>
    <row r="1096" customHeight="1" spans="1:7">
      <c r="A1096" s="113">
        <f>领料单!BM108</f>
        <v>0</v>
      </c>
      <c r="B1096" s="113">
        <f>领料单!BN108</f>
        <v>0</v>
      </c>
      <c r="C1096" s="113">
        <f>领料单!BO108</f>
        <v>0</v>
      </c>
      <c r="D1096" s="113">
        <f>领料单!BP108</f>
        <v>0</v>
      </c>
      <c r="E1096" s="113">
        <f>领料单!BQ108</f>
        <v>0</v>
      </c>
      <c r="F1096" s="113">
        <f>领料单!BR108</f>
        <v>0</v>
      </c>
      <c r="G1096" s="113"/>
    </row>
    <row r="1097" customHeight="1" spans="1:7">
      <c r="A1097" s="113">
        <f>领料单!BM109</f>
        <v>0</v>
      </c>
      <c r="B1097" s="113">
        <f>领料单!BN109</f>
        <v>0</v>
      </c>
      <c r="C1097" s="113">
        <f>领料单!BO109</f>
        <v>0</v>
      </c>
      <c r="D1097" s="113">
        <f>领料单!BP109</f>
        <v>0</v>
      </c>
      <c r="E1097" s="113">
        <f>领料单!BQ109</f>
        <v>0</v>
      </c>
      <c r="F1097" s="113">
        <f>领料单!BR109</f>
        <v>0</v>
      </c>
      <c r="G1097" s="113"/>
    </row>
    <row r="1098" customHeight="1" spans="1:7">
      <c r="A1098" s="113">
        <f>领料单!BM110</f>
        <v>0</v>
      </c>
      <c r="B1098" s="113">
        <f>领料单!BN110</f>
        <v>0</v>
      </c>
      <c r="C1098" s="113">
        <f>领料单!BO110</f>
        <v>0</v>
      </c>
      <c r="D1098" s="113">
        <f>领料单!BP110</f>
        <v>0</v>
      </c>
      <c r="E1098" s="113">
        <f>领料单!BQ110</f>
        <v>0</v>
      </c>
      <c r="F1098" s="113">
        <f>领料单!BR110</f>
        <v>0</v>
      </c>
      <c r="G1098" s="113"/>
    </row>
    <row r="1099" customHeight="1" spans="1:7">
      <c r="A1099" s="115" t="s">
        <v>340</v>
      </c>
      <c r="B1099" s="116"/>
      <c r="C1099" s="116"/>
      <c r="D1099" s="116"/>
      <c r="E1099" s="117"/>
      <c r="F1099" s="118">
        <f>SUM(F1087:F1098)</f>
        <v>0</v>
      </c>
      <c r="G1099" s="114"/>
    </row>
    <row r="1100" customHeight="1" spans="1:7">
      <c r="A1100" s="119" t="s">
        <v>341</v>
      </c>
      <c r="B1100" s="119"/>
      <c r="C1100" s="120"/>
      <c r="D1100" s="119"/>
      <c r="E1100" s="121" t="s">
        <v>342</v>
      </c>
      <c r="F1100" s="119"/>
      <c r="G1100" s="119"/>
    </row>
    <row r="1103" customHeight="1" spans="1:7">
      <c r="A1103" s="105"/>
      <c r="B1103" s="106"/>
      <c r="C1103" s="107" t="s">
        <v>330</v>
      </c>
      <c r="D1103" s="107"/>
      <c r="E1103" s="107"/>
      <c r="F1103" s="105"/>
      <c r="G1103" s="105"/>
    </row>
    <row r="1104" customHeight="1" spans="1:7">
      <c r="A1104" s="108" t="s">
        <v>331</v>
      </c>
      <c r="B1104" s="109"/>
      <c r="C1104" s="110">
        <v>45838</v>
      </c>
      <c r="D1104" s="110"/>
      <c r="E1104" s="110"/>
      <c r="F1104" s="111" t="s">
        <v>332</v>
      </c>
      <c r="G1104" s="112" t="str">
        <f>立项!$A$11</f>
        <v>RD09</v>
      </c>
    </row>
    <row r="1105" customHeight="1" spans="1:7">
      <c r="A1105" s="113" t="s">
        <v>333</v>
      </c>
      <c r="B1105" s="113" t="s">
        <v>334</v>
      </c>
      <c r="C1105" s="113" t="s">
        <v>335</v>
      </c>
      <c r="D1105" s="113" t="s">
        <v>336</v>
      </c>
      <c r="E1105" s="113" t="s">
        <v>337</v>
      </c>
      <c r="F1105" s="113" t="s">
        <v>338</v>
      </c>
      <c r="G1105" s="113" t="s">
        <v>339</v>
      </c>
    </row>
    <row r="1106" customHeight="1" spans="1:7">
      <c r="A1106" s="113">
        <f>领料单!BU99</f>
        <v>0</v>
      </c>
      <c r="B1106" s="113">
        <f>领料单!BV99</f>
        <v>0</v>
      </c>
      <c r="C1106" s="113">
        <f>领料单!BW99</f>
        <v>0</v>
      </c>
      <c r="D1106" s="113">
        <f>领料单!BX99</f>
        <v>0</v>
      </c>
      <c r="E1106" s="113">
        <f>领料单!BY99</f>
        <v>0</v>
      </c>
      <c r="F1106" s="113">
        <f>领料单!BZ99</f>
        <v>0</v>
      </c>
      <c r="G1106" s="113"/>
    </row>
    <row r="1107" customHeight="1" spans="1:7">
      <c r="A1107" s="113">
        <f>领料单!BU100</f>
        <v>0</v>
      </c>
      <c r="B1107" s="113">
        <f>领料单!BV100</f>
        <v>0</v>
      </c>
      <c r="C1107" s="113">
        <f>领料单!BW100</f>
        <v>0</v>
      </c>
      <c r="D1107" s="113">
        <f>领料单!BX100</f>
        <v>0</v>
      </c>
      <c r="E1107" s="113">
        <f>领料单!BY100</f>
        <v>0</v>
      </c>
      <c r="F1107" s="113">
        <f>领料单!BZ100</f>
        <v>0</v>
      </c>
      <c r="G1107" s="113"/>
    </row>
    <row r="1108" customHeight="1" spans="1:7">
      <c r="A1108" s="113">
        <f>领料单!BU101</f>
        <v>0</v>
      </c>
      <c r="B1108" s="113">
        <f>领料单!BV101</f>
        <v>0</v>
      </c>
      <c r="C1108" s="113">
        <f>领料单!BW101</f>
        <v>0</v>
      </c>
      <c r="D1108" s="113">
        <f>领料单!BX101</f>
        <v>0</v>
      </c>
      <c r="E1108" s="113">
        <f>领料单!BY101</f>
        <v>0</v>
      </c>
      <c r="F1108" s="113">
        <f>领料单!BZ101</f>
        <v>0</v>
      </c>
      <c r="G1108" s="113"/>
    </row>
    <row r="1109" customHeight="1" spans="1:7">
      <c r="A1109" s="113">
        <f>领料单!BU102</f>
        <v>0</v>
      </c>
      <c r="B1109" s="113">
        <f>领料单!BV102</f>
        <v>0</v>
      </c>
      <c r="C1109" s="113">
        <f>领料单!BW102</f>
        <v>0</v>
      </c>
      <c r="D1109" s="113">
        <f>领料单!BX102</f>
        <v>0</v>
      </c>
      <c r="E1109" s="113">
        <f>领料单!BY102</f>
        <v>0</v>
      </c>
      <c r="F1109" s="113">
        <f>领料单!BZ102</f>
        <v>0</v>
      </c>
      <c r="G1109" s="113"/>
    </row>
    <row r="1110" customHeight="1" spans="1:7">
      <c r="A1110" s="113">
        <f>领料单!BU103</f>
        <v>0</v>
      </c>
      <c r="B1110" s="113">
        <f>领料单!BV103</f>
        <v>0</v>
      </c>
      <c r="C1110" s="113">
        <f>领料单!BW103</f>
        <v>0</v>
      </c>
      <c r="D1110" s="113">
        <f>领料单!BX103</f>
        <v>0</v>
      </c>
      <c r="E1110" s="113">
        <f>领料单!BY103</f>
        <v>0</v>
      </c>
      <c r="F1110" s="113">
        <f>领料单!BZ103</f>
        <v>0</v>
      </c>
      <c r="G1110" s="113"/>
    </row>
    <row r="1111" customHeight="1" spans="1:7">
      <c r="A1111" s="113">
        <f>领料单!BU104</f>
        <v>0</v>
      </c>
      <c r="B1111" s="113">
        <f>领料单!BV104</f>
        <v>0</v>
      </c>
      <c r="C1111" s="113">
        <f>领料单!BW104</f>
        <v>0</v>
      </c>
      <c r="D1111" s="113">
        <f>领料单!BX104</f>
        <v>0</v>
      </c>
      <c r="E1111" s="113">
        <f>领料单!BY104</f>
        <v>0</v>
      </c>
      <c r="F1111" s="113">
        <f>领料单!BZ104</f>
        <v>0</v>
      </c>
      <c r="G1111" s="113"/>
    </row>
    <row r="1112" customHeight="1" spans="1:7">
      <c r="A1112" s="113">
        <f>领料单!BU105</f>
        <v>0</v>
      </c>
      <c r="B1112" s="113">
        <f>领料单!BV105</f>
        <v>0</v>
      </c>
      <c r="C1112" s="113">
        <f>领料单!BW105</f>
        <v>0</v>
      </c>
      <c r="D1112" s="113">
        <f>领料单!BX105</f>
        <v>0</v>
      </c>
      <c r="E1112" s="113">
        <f>领料单!BY105</f>
        <v>0</v>
      </c>
      <c r="F1112" s="113">
        <f>领料单!BZ105</f>
        <v>0</v>
      </c>
      <c r="G1112" s="113"/>
    </row>
    <row r="1113" customHeight="1" spans="1:7">
      <c r="A1113" s="113">
        <f>领料单!BU106</f>
        <v>0</v>
      </c>
      <c r="B1113" s="113">
        <f>领料单!BV106</f>
        <v>0</v>
      </c>
      <c r="C1113" s="113">
        <f>领料单!BW106</f>
        <v>0</v>
      </c>
      <c r="D1113" s="113">
        <f>领料单!BX106</f>
        <v>0</v>
      </c>
      <c r="E1113" s="113">
        <f>领料单!BY106</f>
        <v>0</v>
      </c>
      <c r="F1113" s="113">
        <f>领料单!BZ106</f>
        <v>0</v>
      </c>
      <c r="G1113" s="113"/>
    </row>
    <row r="1114" customHeight="1" spans="1:7">
      <c r="A1114" s="113">
        <f>领料单!BU107</f>
        <v>0</v>
      </c>
      <c r="B1114" s="113">
        <f>领料单!BV107</f>
        <v>0</v>
      </c>
      <c r="C1114" s="113">
        <f>领料单!BW107</f>
        <v>0</v>
      </c>
      <c r="D1114" s="113">
        <f>领料单!BX107</f>
        <v>0</v>
      </c>
      <c r="E1114" s="113">
        <f>领料单!BY107</f>
        <v>0</v>
      </c>
      <c r="F1114" s="113">
        <f>领料单!BZ107</f>
        <v>0</v>
      </c>
      <c r="G1114" s="113"/>
    </row>
    <row r="1115" customHeight="1" spans="1:7">
      <c r="A1115" s="113">
        <f>领料单!BU108</f>
        <v>0</v>
      </c>
      <c r="B1115" s="113">
        <f>领料单!BV108</f>
        <v>0</v>
      </c>
      <c r="C1115" s="113">
        <f>领料单!BW108</f>
        <v>0</v>
      </c>
      <c r="D1115" s="113">
        <f>领料单!BX108</f>
        <v>0</v>
      </c>
      <c r="E1115" s="113">
        <f>领料单!BY108</f>
        <v>0</v>
      </c>
      <c r="F1115" s="113">
        <f>领料单!BZ108</f>
        <v>0</v>
      </c>
      <c r="G1115" s="113"/>
    </row>
    <row r="1116" customHeight="1" spans="1:7">
      <c r="A1116" s="113">
        <f>领料单!BU109</f>
        <v>0</v>
      </c>
      <c r="B1116" s="113">
        <f>领料单!BV109</f>
        <v>0</v>
      </c>
      <c r="C1116" s="113">
        <f>领料单!BW109</f>
        <v>0</v>
      </c>
      <c r="D1116" s="113">
        <f>领料单!BX109</f>
        <v>0</v>
      </c>
      <c r="E1116" s="113">
        <f>领料单!BY109</f>
        <v>0</v>
      </c>
      <c r="F1116" s="113">
        <f>领料单!BZ109</f>
        <v>0</v>
      </c>
      <c r="G1116" s="113"/>
    </row>
    <row r="1117" customHeight="1" spans="1:7">
      <c r="A1117" s="113">
        <f>领料单!BU110</f>
        <v>0</v>
      </c>
      <c r="B1117" s="113">
        <f>领料单!BV110</f>
        <v>0</v>
      </c>
      <c r="C1117" s="113">
        <f>领料单!BW110</f>
        <v>0</v>
      </c>
      <c r="D1117" s="113">
        <f>领料单!BX110</f>
        <v>0</v>
      </c>
      <c r="E1117" s="113">
        <f>领料单!BY110</f>
        <v>0</v>
      </c>
      <c r="F1117" s="113">
        <f>领料单!BZ110</f>
        <v>0</v>
      </c>
      <c r="G1117" s="113"/>
    </row>
    <row r="1118" customHeight="1" spans="1:7">
      <c r="A1118" s="115" t="s">
        <v>340</v>
      </c>
      <c r="B1118" s="116"/>
      <c r="C1118" s="116"/>
      <c r="D1118" s="116"/>
      <c r="E1118" s="117"/>
      <c r="F1118" s="118">
        <f>SUM(F1106:F1117)</f>
        <v>0</v>
      </c>
      <c r="G1118" s="114"/>
    </row>
    <row r="1119" customHeight="1" spans="1:7">
      <c r="A1119" s="119" t="s">
        <v>341</v>
      </c>
      <c r="B1119" s="119"/>
      <c r="C1119" s="120"/>
      <c r="D1119" s="119"/>
      <c r="E1119" s="121" t="s">
        <v>342</v>
      </c>
      <c r="F1119" s="119"/>
      <c r="G1119" s="119"/>
    </row>
    <row r="1122" customHeight="1" spans="1:7">
      <c r="A1122" s="105"/>
      <c r="B1122" s="106"/>
      <c r="C1122" s="107" t="s">
        <v>330</v>
      </c>
      <c r="D1122" s="107"/>
      <c r="E1122" s="107"/>
      <c r="F1122" s="105"/>
      <c r="G1122" s="105"/>
    </row>
    <row r="1123" customHeight="1" spans="1:7">
      <c r="A1123" s="108" t="s">
        <v>331</v>
      </c>
      <c r="B1123" s="109"/>
      <c r="C1123" s="110">
        <v>45838</v>
      </c>
      <c r="D1123" s="110"/>
      <c r="E1123" s="110"/>
      <c r="F1123" s="111" t="s">
        <v>332</v>
      </c>
      <c r="G1123" s="112" t="str">
        <f>立项!$A$12</f>
        <v>RD10</v>
      </c>
    </row>
    <row r="1124" customHeight="1" spans="1:7">
      <c r="A1124" s="113" t="s">
        <v>333</v>
      </c>
      <c r="B1124" s="113" t="s">
        <v>334</v>
      </c>
      <c r="C1124" s="113" t="s">
        <v>335</v>
      </c>
      <c r="D1124" s="113" t="s">
        <v>336</v>
      </c>
      <c r="E1124" s="113" t="s">
        <v>337</v>
      </c>
      <c r="F1124" s="113" t="s">
        <v>338</v>
      </c>
      <c r="G1124" s="113" t="s">
        <v>339</v>
      </c>
    </row>
    <row r="1125" customHeight="1" spans="1:7">
      <c r="A1125" s="113">
        <f>领料单!CC99</f>
        <v>0</v>
      </c>
      <c r="B1125" s="113">
        <f>领料单!CD99</f>
        <v>0</v>
      </c>
      <c r="C1125" s="113">
        <f>领料单!CE99</f>
        <v>0</v>
      </c>
      <c r="D1125" s="113">
        <f>领料单!CF99</f>
        <v>0</v>
      </c>
      <c r="E1125" s="113">
        <f>领料单!CG99</f>
        <v>0</v>
      </c>
      <c r="F1125" s="113">
        <f>领料单!CH99</f>
        <v>0</v>
      </c>
      <c r="G1125" s="113"/>
    </row>
    <row r="1126" customHeight="1" spans="1:7">
      <c r="A1126" s="113">
        <f>领料单!CC100</f>
        <v>0</v>
      </c>
      <c r="B1126" s="113">
        <f>领料单!CD100</f>
        <v>0</v>
      </c>
      <c r="C1126" s="113">
        <f>领料单!CE100</f>
        <v>0</v>
      </c>
      <c r="D1126" s="113">
        <f>领料单!CF100</f>
        <v>0</v>
      </c>
      <c r="E1126" s="113">
        <f>领料单!CG100</f>
        <v>0</v>
      </c>
      <c r="F1126" s="113">
        <f>领料单!CH100</f>
        <v>0</v>
      </c>
      <c r="G1126" s="113"/>
    </row>
    <row r="1127" customHeight="1" spans="1:7">
      <c r="A1127" s="113">
        <f>领料单!CC101</f>
        <v>0</v>
      </c>
      <c r="B1127" s="113">
        <f>领料单!CD101</f>
        <v>0</v>
      </c>
      <c r="C1127" s="113">
        <f>领料单!CE101</f>
        <v>0</v>
      </c>
      <c r="D1127" s="113">
        <f>领料单!CF101</f>
        <v>0</v>
      </c>
      <c r="E1127" s="113">
        <f>领料单!CG101</f>
        <v>0</v>
      </c>
      <c r="F1127" s="113">
        <f>领料单!CH101</f>
        <v>0</v>
      </c>
      <c r="G1127" s="113"/>
    </row>
    <row r="1128" customHeight="1" spans="1:7">
      <c r="A1128" s="113">
        <f>领料单!CC102</f>
        <v>0</v>
      </c>
      <c r="B1128" s="113">
        <f>领料单!CD102</f>
        <v>0</v>
      </c>
      <c r="C1128" s="113">
        <f>领料单!CE102</f>
        <v>0</v>
      </c>
      <c r="D1128" s="113">
        <f>领料单!CF102</f>
        <v>0</v>
      </c>
      <c r="E1128" s="113">
        <f>领料单!CG102</f>
        <v>0</v>
      </c>
      <c r="F1128" s="113">
        <f>领料单!CH102</f>
        <v>0</v>
      </c>
      <c r="G1128" s="113"/>
    </row>
    <row r="1129" customHeight="1" spans="1:7">
      <c r="A1129" s="113">
        <f>领料单!CC103</f>
        <v>0</v>
      </c>
      <c r="B1129" s="113">
        <f>领料单!CD103</f>
        <v>0</v>
      </c>
      <c r="C1129" s="113">
        <f>领料单!CE103</f>
        <v>0</v>
      </c>
      <c r="D1129" s="113">
        <f>领料单!CF103</f>
        <v>0</v>
      </c>
      <c r="E1129" s="113">
        <f>领料单!CG103</f>
        <v>0</v>
      </c>
      <c r="F1129" s="113">
        <f>领料单!CH103</f>
        <v>0</v>
      </c>
      <c r="G1129" s="113"/>
    </row>
    <row r="1130" customHeight="1" spans="1:7">
      <c r="A1130" s="113">
        <f>领料单!CC104</f>
        <v>0</v>
      </c>
      <c r="B1130" s="113">
        <f>领料单!CD104</f>
        <v>0</v>
      </c>
      <c r="C1130" s="113">
        <f>领料单!CE104</f>
        <v>0</v>
      </c>
      <c r="D1130" s="113">
        <f>领料单!CF104</f>
        <v>0</v>
      </c>
      <c r="E1130" s="113">
        <f>领料单!CG104</f>
        <v>0</v>
      </c>
      <c r="F1130" s="113">
        <f>领料单!CH104</f>
        <v>0</v>
      </c>
      <c r="G1130" s="113"/>
    </row>
    <row r="1131" customHeight="1" spans="1:7">
      <c r="A1131" s="113">
        <f>领料单!CC105</f>
        <v>0</v>
      </c>
      <c r="B1131" s="113">
        <f>领料单!CD105</f>
        <v>0</v>
      </c>
      <c r="C1131" s="113">
        <f>领料单!CE105</f>
        <v>0</v>
      </c>
      <c r="D1131" s="113">
        <f>领料单!CF105</f>
        <v>0</v>
      </c>
      <c r="E1131" s="113">
        <f>领料单!CG105</f>
        <v>0</v>
      </c>
      <c r="F1131" s="113">
        <f>领料单!CH105</f>
        <v>0</v>
      </c>
      <c r="G1131" s="113"/>
    </row>
    <row r="1132" customHeight="1" spans="1:7">
      <c r="A1132" s="113">
        <f>领料单!CC106</f>
        <v>0</v>
      </c>
      <c r="B1132" s="113">
        <f>领料单!CD106</f>
        <v>0</v>
      </c>
      <c r="C1132" s="113">
        <f>领料单!CE106</f>
        <v>0</v>
      </c>
      <c r="D1132" s="113">
        <f>领料单!CF106</f>
        <v>0</v>
      </c>
      <c r="E1132" s="113">
        <f>领料单!CG106</f>
        <v>0</v>
      </c>
      <c r="F1132" s="113">
        <f>领料单!CH106</f>
        <v>0</v>
      </c>
      <c r="G1132" s="113"/>
    </row>
    <row r="1133" customHeight="1" spans="1:7">
      <c r="A1133" s="113">
        <f>领料单!CC107</f>
        <v>0</v>
      </c>
      <c r="B1133" s="113">
        <f>领料单!CD107</f>
        <v>0</v>
      </c>
      <c r="C1133" s="113">
        <f>领料单!CE107</f>
        <v>0</v>
      </c>
      <c r="D1133" s="113">
        <f>领料单!CF107</f>
        <v>0</v>
      </c>
      <c r="E1133" s="113">
        <f>领料单!CG107</f>
        <v>0</v>
      </c>
      <c r="F1133" s="113">
        <f>领料单!CH107</f>
        <v>0</v>
      </c>
      <c r="G1133" s="113"/>
    </row>
    <row r="1134" customHeight="1" spans="1:7">
      <c r="A1134" s="113">
        <f>领料单!CC108</f>
        <v>0</v>
      </c>
      <c r="B1134" s="113">
        <f>领料单!CD108</f>
        <v>0</v>
      </c>
      <c r="C1134" s="113">
        <f>领料单!CE108</f>
        <v>0</v>
      </c>
      <c r="D1134" s="113">
        <f>领料单!CF108</f>
        <v>0</v>
      </c>
      <c r="E1134" s="113">
        <f>领料单!CG108</f>
        <v>0</v>
      </c>
      <c r="F1134" s="113">
        <f>领料单!CH108</f>
        <v>0</v>
      </c>
      <c r="G1134" s="113"/>
    </row>
    <row r="1135" customHeight="1" spans="1:7">
      <c r="A1135" s="113">
        <f>领料单!CC109</f>
        <v>0</v>
      </c>
      <c r="B1135" s="113">
        <f>领料单!CD109</f>
        <v>0</v>
      </c>
      <c r="C1135" s="113">
        <f>领料单!CE109</f>
        <v>0</v>
      </c>
      <c r="D1135" s="113">
        <f>领料单!CF109</f>
        <v>0</v>
      </c>
      <c r="E1135" s="113">
        <f>领料单!CG109</f>
        <v>0</v>
      </c>
      <c r="F1135" s="113">
        <f>领料单!CH109</f>
        <v>0</v>
      </c>
      <c r="G1135" s="113"/>
    </row>
    <row r="1136" customHeight="1" spans="1:7">
      <c r="A1136" s="113">
        <f>领料单!CC110</f>
        <v>0</v>
      </c>
      <c r="B1136" s="113">
        <f>领料单!CD110</f>
        <v>0</v>
      </c>
      <c r="C1136" s="113">
        <f>领料单!CE110</f>
        <v>0</v>
      </c>
      <c r="D1136" s="113">
        <f>领料单!CF110</f>
        <v>0</v>
      </c>
      <c r="E1136" s="113">
        <f>领料单!CG110</f>
        <v>0</v>
      </c>
      <c r="F1136" s="113">
        <f>领料单!CH110</f>
        <v>0</v>
      </c>
      <c r="G1136" s="113"/>
    </row>
    <row r="1137" customHeight="1" spans="1:7">
      <c r="A1137" s="115" t="s">
        <v>340</v>
      </c>
      <c r="B1137" s="116"/>
      <c r="C1137" s="116"/>
      <c r="D1137" s="116"/>
      <c r="E1137" s="117"/>
      <c r="F1137" s="118">
        <f>SUM(F1125:F1136)</f>
        <v>0</v>
      </c>
      <c r="G1137" s="114"/>
    </row>
    <row r="1138" customHeight="1" spans="1:7">
      <c r="A1138" s="119" t="s">
        <v>341</v>
      </c>
      <c r="B1138" s="119"/>
      <c r="C1138" s="120"/>
      <c r="D1138" s="119"/>
      <c r="E1138" s="121" t="s">
        <v>342</v>
      </c>
      <c r="F1138" s="119"/>
      <c r="G1138" s="119"/>
    </row>
    <row r="1141" customHeight="1" spans="1:7">
      <c r="A1141" s="105"/>
      <c r="B1141" s="106"/>
      <c r="C1141" s="107" t="s">
        <v>330</v>
      </c>
      <c r="D1141" s="107"/>
      <c r="E1141" s="107"/>
      <c r="F1141" s="105"/>
      <c r="G1141" s="105"/>
    </row>
    <row r="1142" customHeight="1" spans="1:7">
      <c r="A1142" s="108" t="s">
        <v>331</v>
      </c>
      <c r="B1142" s="109"/>
      <c r="C1142" s="110">
        <v>45869</v>
      </c>
      <c r="D1142" s="110"/>
      <c r="E1142" s="110"/>
      <c r="F1142" s="111" t="s">
        <v>332</v>
      </c>
      <c r="G1142" s="112" t="str">
        <f>立项!$A$3</f>
        <v>RD01</v>
      </c>
    </row>
    <row r="1143" customHeight="1" spans="1:7">
      <c r="A1143" s="113" t="s">
        <v>333</v>
      </c>
      <c r="B1143" s="113" t="s">
        <v>334</v>
      </c>
      <c r="C1143" s="113" t="s">
        <v>335</v>
      </c>
      <c r="D1143" s="113" t="s">
        <v>336</v>
      </c>
      <c r="E1143" s="113" t="s">
        <v>337</v>
      </c>
      <c r="F1143" s="113" t="s">
        <v>338</v>
      </c>
      <c r="G1143" s="113" t="s">
        <v>339</v>
      </c>
    </row>
    <row r="1144" customHeight="1" spans="1:7">
      <c r="A1144" s="113">
        <f>领料单!I118</f>
        <v>0</v>
      </c>
      <c r="B1144" s="113">
        <f>领料单!J118</f>
        <v>0</v>
      </c>
      <c r="C1144" s="113">
        <f>领料单!K118</f>
        <v>0</v>
      </c>
      <c r="D1144" s="113">
        <f>领料单!L118</f>
        <v>0</v>
      </c>
      <c r="E1144" s="113">
        <f>领料单!M118</f>
        <v>0</v>
      </c>
      <c r="F1144" s="113">
        <f>领料单!N118</f>
        <v>0</v>
      </c>
      <c r="G1144" s="113"/>
    </row>
    <row r="1145" customHeight="1" spans="1:7">
      <c r="A1145" s="113">
        <f>领料单!I119</f>
        <v>0</v>
      </c>
      <c r="B1145" s="113">
        <f>领料单!J119</f>
        <v>0</v>
      </c>
      <c r="C1145" s="113">
        <f>领料单!K119</f>
        <v>0</v>
      </c>
      <c r="D1145" s="113">
        <f>领料单!L119</f>
        <v>0</v>
      </c>
      <c r="E1145" s="113">
        <f>领料单!M119</f>
        <v>0</v>
      </c>
      <c r="F1145" s="113">
        <f>领料单!N119</f>
        <v>0</v>
      </c>
      <c r="G1145" s="113"/>
    </row>
    <row r="1146" customHeight="1" spans="1:7">
      <c r="A1146" s="113">
        <f>领料单!I120</f>
        <v>0</v>
      </c>
      <c r="B1146" s="113">
        <f>领料单!J120</f>
        <v>0</v>
      </c>
      <c r="C1146" s="113">
        <f>领料单!K120</f>
        <v>0</v>
      </c>
      <c r="D1146" s="113">
        <f>领料单!L120</f>
        <v>0</v>
      </c>
      <c r="E1146" s="113">
        <f>领料单!M120</f>
        <v>0</v>
      </c>
      <c r="F1146" s="113">
        <f>领料单!N120</f>
        <v>0</v>
      </c>
      <c r="G1146" s="113"/>
    </row>
    <row r="1147" customHeight="1" spans="1:7">
      <c r="A1147" s="113">
        <f>领料单!I121</f>
        <v>0</v>
      </c>
      <c r="B1147" s="113">
        <f>领料单!J121</f>
        <v>0</v>
      </c>
      <c r="C1147" s="113">
        <f>领料单!K121</f>
        <v>0</v>
      </c>
      <c r="D1147" s="113">
        <f>领料单!L121</f>
        <v>0</v>
      </c>
      <c r="E1147" s="113">
        <f>领料单!M121</f>
        <v>0</v>
      </c>
      <c r="F1147" s="113">
        <f>领料单!N121</f>
        <v>0</v>
      </c>
      <c r="G1147" s="113"/>
    </row>
    <row r="1148" customHeight="1" spans="1:7">
      <c r="A1148" s="113">
        <f>领料单!I122</f>
        <v>0</v>
      </c>
      <c r="B1148" s="113">
        <f>领料单!J122</f>
        <v>0</v>
      </c>
      <c r="C1148" s="113">
        <f>领料单!K122</f>
        <v>0</v>
      </c>
      <c r="D1148" s="113">
        <f>领料单!L122</f>
        <v>0</v>
      </c>
      <c r="E1148" s="113">
        <f>领料单!M122</f>
        <v>0</v>
      </c>
      <c r="F1148" s="113">
        <f>领料单!N122</f>
        <v>0</v>
      </c>
      <c r="G1148" s="113"/>
    </row>
    <row r="1149" customHeight="1" spans="1:7">
      <c r="A1149" s="113">
        <f>领料单!I123</f>
        <v>0</v>
      </c>
      <c r="B1149" s="113">
        <f>领料单!J123</f>
        <v>0</v>
      </c>
      <c r="C1149" s="113">
        <f>领料单!K123</f>
        <v>0</v>
      </c>
      <c r="D1149" s="113">
        <f>领料单!L123</f>
        <v>0</v>
      </c>
      <c r="E1149" s="113">
        <f>领料单!M123</f>
        <v>0</v>
      </c>
      <c r="F1149" s="113">
        <f>领料单!N123</f>
        <v>0</v>
      </c>
      <c r="G1149" s="113"/>
    </row>
    <row r="1150" customHeight="1" spans="1:7">
      <c r="A1150" s="113">
        <f>领料单!I125</f>
        <v>0</v>
      </c>
      <c r="B1150" s="113">
        <f>领料单!J125</f>
        <v>0</v>
      </c>
      <c r="C1150" s="113">
        <f>领料单!K125</f>
        <v>0</v>
      </c>
      <c r="D1150" s="113">
        <f>领料单!L125</f>
        <v>0</v>
      </c>
      <c r="E1150" s="113">
        <f>领料单!M125</f>
        <v>0</v>
      </c>
      <c r="F1150" s="113">
        <f>领料单!N125</f>
        <v>0</v>
      </c>
      <c r="G1150" s="113"/>
    </row>
    <row r="1151" customHeight="1" spans="1:7">
      <c r="A1151" s="113">
        <f>领料单!I125</f>
        <v>0</v>
      </c>
      <c r="B1151" s="113">
        <f>领料单!J125</f>
        <v>0</v>
      </c>
      <c r="C1151" s="113">
        <f>领料单!K125</f>
        <v>0</v>
      </c>
      <c r="D1151" s="113">
        <f>领料单!L125</f>
        <v>0</v>
      </c>
      <c r="E1151" s="113">
        <f>领料单!M125</f>
        <v>0</v>
      </c>
      <c r="F1151" s="113">
        <f>领料单!N125</f>
        <v>0</v>
      </c>
      <c r="G1151" s="113"/>
    </row>
    <row r="1152" customHeight="1" spans="1:7">
      <c r="A1152" s="113">
        <f>领料单!I126</f>
        <v>0</v>
      </c>
      <c r="B1152" s="113">
        <f>领料单!J126</f>
        <v>0</v>
      </c>
      <c r="C1152" s="113">
        <f>领料单!K126</f>
        <v>0</v>
      </c>
      <c r="D1152" s="113">
        <f>领料单!L126</f>
        <v>0</v>
      </c>
      <c r="E1152" s="113">
        <f>领料单!M126</f>
        <v>0</v>
      </c>
      <c r="F1152" s="113">
        <f>领料单!N126</f>
        <v>0</v>
      </c>
      <c r="G1152" s="113"/>
    </row>
    <row r="1153" customHeight="1" spans="1:7">
      <c r="A1153" s="113">
        <f>领料单!I127</f>
        <v>0</v>
      </c>
      <c r="B1153" s="113">
        <f>领料单!J127</f>
        <v>0</v>
      </c>
      <c r="C1153" s="113">
        <f>领料单!K127</f>
        <v>0</v>
      </c>
      <c r="D1153" s="113">
        <f>领料单!L127</f>
        <v>0</v>
      </c>
      <c r="E1153" s="113">
        <f>领料单!M127</f>
        <v>0</v>
      </c>
      <c r="F1153" s="113">
        <f>领料单!N127</f>
        <v>0</v>
      </c>
      <c r="G1153" s="113"/>
    </row>
    <row r="1154" customHeight="1" spans="1:7">
      <c r="A1154" s="113">
        <f>领料单!I128</f>
        <v>0</v>
      </c>
      <c r="B1154" s="113">
        <f>领料单!J128</f>
        <v>0</v>
      </c>
      <c r="C1154" s="113">
        <f>领料单!K128</f>
        <v>0</v>
      </c>
      <c r="D1154" s="113">
        <f>领料单!L128</f>
        <v>0</v>
      </c>
      <c r="E1154" s="113">
        <f>领料单!M128</f>
        <v>0</v>
      </c>
      <c r="F1154" s="113">
        <f>领料单!N128</f>
        <v>0</v>
      </c>
      <c r="G1154" s="113"/>
    </row>
    <row r="1155" customHeight="1" spans="1:7">
      <c r="A1155" s="113">
        <f>领料单!I129</f>
        <v>0</v>
      </c>
      <c r="B1155" s="113">
        <f>领料单!J129</f>
        <v>0</v>
      </c>
      <c r="C1155" s="113">
        <f>领料单!K129</f>
        <v>0</v>
      </c>
      <c r="D1155" s="113">
        <f>领料单!L129</f>
        <v>0</v>
      </c>
      <c r="E1155" s="113">
        <f>领料单!M129</f>
        <v>0</v>
      </c>
      <c r="F1155" s="113">
        <f>领料单!N129</f>
        <v>0</v>
      </c>
      <c r="G1155" s="113"/>
    </row>
    <row r="1156" customHeight="1" spans="1:7">
      <c r="A1156" s="115" t="s">
        <v>340</v>
      </c>
      <c r="B1156" s="116"/>
      <c r="C1156" s="116"/>
      <c r="D1156" s="116"/>
      <c r="E1156" s="117"/>
      <c r="F1156" s="118">
        <f>SUM(F1144:F1155)</f>
        <v>0</v>
      </c>
      <c r="G1156" s="114"/>
    </row>
    <row r="1157" customHeight="1" spans="1:7">
      <c r="A1157" s="119" t="s">
        <v>341</v>
      </c>
      <c r="B1157" s="119"/>
      <c r="C1157" s="120"/>
      <c r="D1157" s="119"/>
      <c r="E1157" s="121" t="s">
        <v>342</v>
      </c>
      <c r="F1157" s="119"/>
      <c r="G1157" s="119"/>
    </row>
    <row r="1160" customHeight="1" spans="1:7">
      <c r="A1160" s="105"/>
      <c r="B1160" s="106"/>
      <c r="C1160" s="107" t="s">
        <v>330</v>
      </c>
      <c r="D1160" s="107"/>
      <c r="E1160" s="107"/>
      <c r="F1160" s="105"/>
      <c r="G1160" s="105"/>
    </row>
    <row r="1161" customHeight="1" spans="1:7">
      <c r="A1161" s="108" t="s">
        <v>331</v>
      </c>
      <c r="B1161" s="109"/>
      <c r="C1161" s="110">
        <v>45869</v>
      </c>
      <c r="D1161" s="110"/>
      <c r="E1161" s="110"/>
      <c r="F1161" s="111" t="s">
        <v>332</v>
      </c>
      <c r="G1161" s="112" t="str">
        <f>立项!$A$4</f>
        <v>RD02</v>
      </c>
    </row>
    <row r="1162" customHeight="1" spans="1:7">
      <c r="A1162" s="113" t="s">
        <v>333</v>
      </c>
      <c r="B1162" s="113" t="s">
        <v>334</v>
      </c>
      <c r="C1162" s="113" t="s">
        <v>335</v>
      </c>
      <c r="D1162" s="113" t="s">
        <v>336</v>
      </c>
      <c r="E1162" s="113" t="s">
        <v>337</v>
      </c>
      <c r="F1162" s="113" t="s">
        <v>338</v>
      </c>
      <c r="G1162" s="113" t="s">
        <v>339</v>
      </c>
    </row>
    <row r="1163" customHeight="1" spans="1:7">
      <c r="A1163" s="113">
        <f>领料单!Q118</f>
        <v>0</v>
      </c>
      <c r="B1163" s="113">
        <f>领料单!R118</f>
        <v>0</v>
      </c>
      <c r="C1163" s="113">
        <f>领料单!S118</f>
        <v>0</v>
      </c>
      <c r="D1163" s="113">
        <f>领料单!T118</f>
        <v>0</v>
      </c>
      <c r="E1163" s="113">
        <f>领料单!U118</f>
        <v>0</v>
      </c>
      <c r="F1163" s="113">
        <f>领料单!V118</f>
        <v>0</v>
      </c>
      <c r="G1163" s="113"/>
    </row>
    <row r="1164" customHeight="1" spans="1:7">
      <c r="A1164" s="113">
        <f>领料单!Q119</f>
        <v>0</v>
      </c>
      <c r="B1164" s="113">
        <f>领料单!R119</f>
        <v>0</v>
      </c>
      <c r="C1164" s="113">
        <f>领料单!S119</f>
        <v>0</v>
      </c>
      <c r="D1164" s="113">
        <f>领料单!T119</f>
        <v>0</v>
      </c>
      <c r="E1164" s="113">
        <f>领料单!U119</f>
        <v>0</v>
      </c>
      <c r="F1164" s="113">
        <f>领料单!V119</f>
        <v>0</v>
      </c>
      <c r="G1164" s="113"/>
    </row>
    <row r="1165" customHeight="1" spans="1:7">
      <c r="A1165" s="113">
        <f>领料单!Q120</f>
        <v>0</v>
      </c>
      <c r="B1165" s="113">
        <f>领料单!R120</f>
        <v>0</v>
      </c>
      <c r="C1165" s="113">
        <f>领料单!S120</f>
        <v>0</v>
      </c>
      <c r="D1165" s="113">
        <f>领料单!T120</f>
        <v>0</v>
      </c>
      <c r="E1165" s="113">
        <f>领料单!U120</f>
        <v>0</v>
      </c>
      <c r="F1165" s="113">
        <f>领料单!V120</f>
        <v>0</v>
      </c>
      <c r="G1165" s="113"/>
    </row>
    <row r="1166" customHeight="1" spans="1:7">
      <c r="A1166" s="113">
        <f>领料单!Q121</f>
        <v>0</v>
      </c>
      <c r="B1166" s="113">
        <f>领料单!R121</f>
        <v>0</v>
      </c>
      <c r="C1166" s="113">
        <f>领料单!S121</f>
        <v>0</v>
      </c>
      <c r="D1166" s="113">
        <f>领料单!T121</f>
        <v>0</v>
      </c>
      <c r="E1166" s="113">
        <f>领料单!U121</f>
        <v>0</v>
      </c>
      <c r="F1166" s="113">
        <f>领料单!V121</f>
        <v>0</v>
      </c>
      <c r="G1166" s="113"/>
    </row>
    <row r="1167" customHeight="1" spans="1:7">
      <c r="A1167" s="113">
        <f>领料单!Q122</f>
        <v>0</v>
      </c>
      <c r="B1167" s="113">
        <f>领料单!R122</f>
        <v>0</v>
      </c>
      <c r="C1167" s="113">
        <f>领料单!S122</f>
        <v>0</v>
      </c>
      <c r="D1167" s="113">
        <f>领料单!T122</f>
        <v>0</v>
      </c>
      <c r="E1167" s="113">
        <f>领料单!U122</f>
        <v>0</v>
      </c>
      <c r="F1167" s="113">
        <f>领料单!V122</f>
        <v>0</v>
      </c>
      <c r="G1167" s="113"/>
    </row>
    <row r="1168" customHeight="1" spans="1:7">
      <c r="A1168" s="113">
        <f>领料单!Q123</f>
        <v>0</v>
      </c>
      <c r="B1168" s="113">
        <f>领料单!R123</f>
        <v>0</v>
      </c>
      <c r="C1168" s="113">
        <f>领料单!S123</f>
        <v>0</v>
      </c>
      <c r="D1168" s="113">
        <f>领料单!T123</f>
        <v>0</v>
      </c>
      <c r="E1168" s="113">
        <f>领料单!U123</f>
        <v>0</v>
      </c>
      <c r="F1168" s="113">
        <f>领料单!V123</f>
        <v>0</v>
      </c>
      <c r="G1168" s="113"/>
    </row>
    <row r="1169" customHeight="1" spans="1:7">
      <c r="A1169" s="113">
        <f>领料单!Q125</f>
        <v>0</v>
      </c>
      <c r="B1169" s="113">
        <f>领料单!R125</f>
        <v>0</v>
      </c>
      <c r="C1169" s="113">
        <f>领料单!S125</f>
        <v>0</v>
      </c>
      <c r="D1169" s="113">
        <f>领料单!T125</f>
        <v>0</v>
      </c>
      <c r="E1169" s="113">
        <f>领料单!U125</f>
        <v>0</v>
      </c>
      <c r="F1169" s="113">
        <f>领料单!V125</f>
        <v>0</v>
      </c>
      <c r="G1169" s="113"/>
    </row>
    <row r="1170" customHeight="1" spans="1:7">
      <c r="A1170" s="113">
        <f>领料单!Q125</f>
        <v>0</v>
      </c>
      <c r="B1170" s="113">
        <f>领料单!R125</f>
        <v>0</v>
      </c>
      <c r="C1170" s="113">
        <f>领料单!S125</f>
        <v>0</v>
      </c>
      <c r="D1170" s="113">
        <f>领料单!T125</f>
        <v>0</v>
      </c>
      <c r="E1170" s="113">
        <f>领料单!U125</f>
        <v>0</v>
      </c>
      <c r="F1170" s="113">
        <f>领料单!V125</f>
        <v>0</v>
      </c>
      <c r="G1170" s="113"/>
    </row>
    <row r="1171" customHeight="1" spans="1:7">
      <c r="A1171" s="113">
        <f>领料单!Q126</f>
        <v>0</v>
      </c>
      <c r="B1171" s="113">
        <f>领料单!R126</f>
        <v>0</v>
      </c>
      <c r="C1171" s="113">
        <f>领料单!S126</f>
        <v>0</v>
      </c>
      <c r="D1171" s="113">
        <f>领料单!T126</f>
        <v>0</v>
      </c>
      <c r="E1171" s="113">
        <f>领料单!U126</f>
        <v>0</v>
      </c>
      <c r="F1171" s="113">
        <f>领料单!V126</f>
        <v>0</v>
      </c>
      <c r="G1171" s="113"/>
    </row>
    <row r="1172" customHeight="1" spans="1:7">
      <c r="A1172" s="113">
        <f>领料单!Q127</f>
        <v>0</v>
      </c>
      <c r="B1172" s="113">
        <f>领料单!R127</f>
        <v>0</v>
      </c>
      <c r="C1172" s="113">
        <f>领料单!S127</f>
        <v>0</v>
      </c>
      <c r="D1172" s="113">
        <f>领料单!T127</f>
        <v>0</v>
      </c>
      <c r="E1172" s="113">
        <f>领料单!U127</f>
        <v>0</v>
      </c>
      <c r="F1172" s="113">
        <f>领料单!V127</f>
        <v>0</v>
      </c>
      <c r="G1172" s="113"/>
    </row>
    <row r="1173" customHeight="1" spans="1:7">
      <c r="A1173" s="113">
        <f>领料单!Q128</f>
        <v>0</v>
      </c>
      <c r="B1173" s="113">
        <f>领料单!R128</f>
        <v>0</v>
      </c>
      <c r="C1173" s="113">
        <f>领料单!S128</f>
        <v>0</v>
      </c>
      <c r="D1173" s="113">
        <f>领料单!T128</f>
        <v>0</v>
      </c>
      <c r="E1173" s="113">
        <f>领料单!U128</f>
        <v>0</v>
      </c>
      <c r="F1173" s="113">
        <f>领料单!V128</f>
        <v>0</v>
      </c>
      <c r="G1173" s="113"/>
    </row>
    <row r="1174" customHeight="1" spans="1:7">
      <c r="A1174" s="113">
        <f>领料单!Q129</f>
        <v>0</v>
      </c>
      <c r="B1174" s="113">
        <f>领料单!R129</f>
        <v>0</v>
      </c>
      <c r="C1174" s="113">
        <f>领料单!S129</f>
        <v>0</v>
      </c>
      <c r="D1174" s="113">
        <f>领料单!T129</f>
        <v>0</v>
      </c>
      <c r="E1174" s="113">
        <f>领料单!U129</f>
        <v>0</v>
      </c>
      <c r="F1174" s="113">
        <f>领料单!V129</f>
        <v>0</v>
      </c>
      <c r="G1174" s="113"/>
    </row>
    <row r="1175" customHeight="1" spans="1:7">
      <c r="A1175" s="115" t="s">
        <v>340</v>
      </c>
      <c r="B1175" s="116"/>
      <c r="C1175" s="116"/>
      <c r="D1175" s="116"/>
      <c r="E1175" s="117"/>
      <c r="F1175" s="118">
        <f>SUM(F1163:F1174)</f>
        <v>0</v>
      </c>
      <c r="G1175" s="114"/>
    </row>
    <row r="1176" customHeight="1" spans="1:7">
      <c r="A1176" s="119" t="s">
        <v>341</v>
      </c>
      <c r="B1176" s="119"/>
      <c r="C1176" s="120"/>
      <c r="D1176" s="119"/>
      <c r="E1176" s="121" t="s">
        <v>342</v>
      </c>
      <c r="F1176" s="119"/>
      <c r="G1176" s="119"/>
    </row>
    <row r="1179" customHeight="1" spans="1:7">
      <c r="A1179" s="105"/>
      <c r="B1179" s="106"/>
      <c r="C1179" s="107" t="s">
        <v>330</v>
      </c>
      <c r="D1179" s="107"/>
      <c r="E1179" s="107"/>
      <c r="F1179" s="105"/>
      <c r="G1179" s="105"/>
    </row>
    <row r="1180" customHeight="1" spans="1:7">
      <c r="A1180" s="108" t="s">
        <v>331</v>
      </c>
      <c r="B1180" s="109"/>
      <c r="C1180" s="110">
        <v>45869</v>
      </c>
      <c r="D1180" s="110"/>
      <c r="E1180" s="110"/>
      <c r="F1180" s="111" t="s">
        <v>332</v>
      </c>
      <c r="G1180" s="112" t="str">
        <f>立项!$A$5</f>
        <v>RD03</v>
      </c>
    </row>
    <row r="1181" customHeight="1" spans="1:7">
      <c r="A1181" s="113" t="s">
        <v>333</v>
      </c>
      <c r="B1181" s="113" t="s">
        <v>334</v>
      </c>
      <c r="C1181" s="113" t="s">
        <v>335</v>
      </c>
      <c r="D1181" s="113" t="s">
        <v>336</v>
      </c>
      <c r="E1181" s="113" t="s">
        <v>337</v>
      </c>
      <c r="F1181" s="113" t="s">
        <v>338</v>
      </c>
      <c r="G1181" s="113" t="s">
        <v>339</v>
      </c>
    </row>
    <row r="1182" customHeight="1" spans="1:7">
      <c r="A1182" s="113">
        <f>领料单!Y118</f>
        <v>0</v>
      </c>
      <c r="B1182" s="113">
        <f>领料单!Z118</f>
        <v>0</v>
      </c>
      <c r="C1182" s="113">
        <f>领料单!AA118</f>
        <v>0</v>
      </c>
      <c r="D1182" s="113">
        <f>领料单!AB118</f>
        <v>0</v>
      </c>
      <c r="E1182" s="113">
        <f>领料单!AC118</f>
        <v>0</v>
      </c>
      <c r="F1182" s="113">
        <f>领料单!AD118</f>
        <v>0</v>
      </c>
      <c r="G1182" s="113"/>
    </row>
    <row r="1183" customHeight="1" spans="1:7">
      <c r="A1183" s="113">
        <f>领料单!Y119</f>
        <v>0</v>
      </c>
      <c r="B1183" s="113">
        <f>领料单!Z119</f>
        <v>0</v>
      </c>
      <c r="C1183" s="113">
        <f>领料单!AA119</f>
        <v>0</v>
      </c>
      <c r="D1183" s="113">
        <f>领料单!AB119</f>
        <v>0</v>
      </c>
      <c r="E1183" s="113">
        <f>领料单!AC119</f>
        <v>0</v>
      </c>
      <c r="F1183" s="113">
        <f>领料单!AD119</f>
        <v>0</v>
      </c>
      <c r="G1183" s="113"/>
    </row>
    <row r="1184" customHeight="1" spans="1:7">
      <c r="A1184" s="113">
        <f>领料单!Y120</f>
        <v>0</v>
      </c>
      <c r="B1184" s="113">
        <f>领料单!Z120</f>
        <v>0</v>
      </c>
      <c r="C1184" s="113">
        <f>领料单!AA120</f>
        <v>0</v>
      </c>
      <c r="D1184" s="113">
        <f>领料单!AB120</f>
        <v>0</v>
      </c>
      <c r="E1184" s="113">
        <f>领料单!AC120</f>
        <v>0</v>
      </c>
      <c r="F1184" s="113">
        <f>领料单!AD120</f>
        <v>0</v>
      </c>
      <c r="G1184" s="113"/>
    </row>
    <row r="1185" customHeight="1" spans="1:7">
      <c r="A1185" s="113">
        <f>领料单!Y121</f>
        <v>0</v>
      </c>
      <c r="B1185" s="113">
        <f>领料单!Z121</f>
        <v>0</v>
      </c>
      <c r="C1185" s="113">
        <f>领料单!AA121</f>
        <v>0</v>
      </c>
      <c r="D1185" s="113">
        <f>领料单!AB121</f>
        <v>0</v>
      </c>
      <c r="E1185" s="113">
        <f>领料单!AC121</f>
        <v>0</v>
      </c>
      <c r="F1185" s="113">
        <f>领料单!AD121</f>
        <v>0</v>
      </c>
      <c r="G1185" s="113"/>
    </row>
    <row r="1186" customHeight="1" spans="1:7">
      <c r="A1186" s="113">
        <f>领料单!Y122</f>
        <v>0</v>
      </c>
      <c r="B1186" s="113">
        <f>领料单!Z122</f>
        <v>0</v>
      </c>
      <c r="C1186" s="113">
        <f>领料单!AA122</f>
        <v>0</v>
      </c>
      <c r="D1186" s="113">
        <f>领料单!AB122</f>
        <v>0</v>
      </c>
      <c r="E1186" s="113">
        <f>领料单!AC122</f>
        <v>0</v>
      </c>
      <c r="F1186" s="113">
        <f>领料单!AD122</f>
        <v>0</v>
      </c>
      <c r="G1186" s="113"/>
    </row>
    <row r="1187" customHeight="1" spans="1:7">
      <c r="A1187" s="113">
        <f>领料单!Y123</f>
        <v>0</v>
      </c>
      <c r="B1187" s="113">
        <f>领料单!Z123</f>
        <v>0</v>
      </c>
      <c r="C1187" s="113">
        <f>领料单!AA123</f>
        <v>0</v>
      </c>
      <c r="D1187" s="113">
        <f>领料单!AB123</f>
        <v>0</v>
      </c>
      <c r="E1187" s="113">
        <f>领料单!AC123</f>
        <v>0</v>
      </c>
      <c r="F1187" s="113">
        <f>领料单!AD123</f>
        <v>0</v>
      </c>
      <c r="G1187" s="113"/>
    </row>
    <row r="1188" customHeight="1" spans="1:7">
      <c r="A1188" s="113">
        <f>领料单!Y125</f>
        <v>0</v>
      </c>
      <c r="B1188" s="113">
        <f>领料单!Z125</f>
        <v>0</v>
      </c>
      <c r="C1188" s="113">
        <f>领料单!AA125</f>
        <v>0</v>
      </c>
      <c r="D1188" s="113">
        <f>领料单!AB125</f>
        <v>0</v>
      </c>
      <c r="E1188" s="113">
        <f>领料单!AC125</f>
        <v>0</v>
      </c>
      <c r="F1188" s="113">
        <f>领料单!AD125</f>
        <v>0</v>
      </c>
      <c r="G1188" s="113"/>
    </row>
    <row r="1189" customHeight="1" spans="1:7">
      <c r="A1189" s="113">
        <f>领料单!Y125</f>
        <v>0</v>
      </c>
      <c r="B1189" s="113">
        <f>领料单!Z125</f>
        <v>0</v>
      </c>
      <c r="C1189" s="113">
        <f>领料单!AA125</f>
        <v>0</v>
      </c>
      <c r="D1189" s="113">
        <f>领料单!AB125</f>
        <v>0</v>
      </c>
      <c r="E1189" s="113">
        <f>领料单!AC125</f>
        <v>0</v>
      </c>
      <c r="F1189" s="113">
        <f>领料单!AD125</f>
        <v>0</v>
      </c>
      <c r="G1189" s="113"/>
    </row>
    <row r="1190" customHeight="1" spans="1:7">
      <c r="A1190" s="113">
        <f>领料单!Y126</f>
        <v>0</v>
      </c>
      <c r="B1190" s="113">
        <f>领料单!Z126</f>
        <v>0</v>
      </c>
      <c r="C1190" s="113">
        <f>领料单!AA126</f>
        <v>0</v>
      </c>
      <c r="D1190" s="113">
        <f>领料单!AB126</f>
        <v>0</v>
      </c>
      <c r="E1190" s="113">
        <f>领料单!AC126</f>
        <v>0</v>
      </c>
      <c r="F1190" s="113">
        <f>领料单!AD126</f>
        <v>0</v>
      </c>
      <c r="G1190" s="113"/>
    </row>
    <row r="1191" customHeight="1" spans="1:7">
      <c r="A1191" s="113">
        <f>领料单!Y127</f>
        <v>0</v>
      </c>
      <c r="B1191" s="113">
        <f>领料单!Z127</f>
        <v>0</v>
      </c>
      <c r="C1191" s="113">
        <f>领料单!AA127</f>
        <v>0</v>
      </c>
      <c r="D1191" s="113">
        <f>领料单!AB127</f>
        <v>0</v>
      </c>
      <c r="E1191" s="113">
        <f>领料单!AC127</f>
        <v>0</v>
      </c>
      <c r="F1191" s="113">
        <f>领料单!AD127</f>
        <v>0</v>
      </c>
      <c r="G1191" s="113"/>
    </row>
    <row r="1192" customHeight="1" spans="1:7">
      <c r="A1192" s="113">
        <f>领料单!Y128</f>
        <v>0</v>
      </c>
      <c r="B1192" s="113">
        <f>领料单!Z128</f>
        <v>0</v>
      </c>
      <c r="C1192" s="113">
        <f>领料单!AA128</f>
        <v>0</v>
      </c>
      <c r="D1192" s="113">
        <f>领料单!AB128</f>
        <v>0</v>
      </c>
      <c r="E1192" s="113">
        <f>领料单!AC128</f>
        <v>0</v>
      </c>
      <c r="F1192" s="113">
        <f>领料单!AD128</f>
        <v>0</v>
      </c>
      <c r="G1192" s="113"/>
    </row>
    <row r="1193" customHeight="1" spans="1:7">
      <c r="A1193" s="113">
        <f>领料单!Y129</f>
        <v>0</v>
      </c>
      <c r="B1193" s="113">
        <f>领料单!Z129</f>
        <v>0</v>
      </c>
      <c r="C1193" s="113">
        <f>领料单!AA129</f>
        <v>0</v>
      </c>
      <c r="D1193" s="113">
        <f>领料单!AB129</f>
        <v>0</v>
      </c>
      <c r="E1193" s="113">
        <f>领料单!AC129</f>
        <v>0</v>
      </c>
      <c r="F1193" s="113">
        <f>领料单!AD129</f>
        <v>0</v>
      </c>
      <c r="G1193" s="113"/>
    </row>
    <row r="1194" customHeight="1" spans="1:7">
      <c r="A1194" s="115" t="s">
        <v>340</v>
      </c>
      <c r="B1194" s="116"/>
      <c r="C1194" s="116"/>
      <c r="D1194" s="116"/>
      <c r="E1194" s="117"/>
      <c r="F1194" s="118">
        <f>SUM(F1182:F1193)</f>
        <v>0</v>
      </c>
      <c r="G1194" s="114"/>
    </row>
    <row r="1195" customHeight="1" spans="1:7">
      <c r="A1195" s="119" t="s">
        <v>341</v>
      </c>
      <c r="B1195" s="119"/>
      <c r="C1195" s="120"/>
      <c r="D1195" s="119"/>
      <c r="E1195" s="121" t="s">
        <v>342</v>
      </c>
      <c r="F1195" s="119"/>
      <c r="G1195" s="119"/>
    </row>
    <row r="1198" customHeight="1" spans="1:7">
      <c r="A1198" s="105"/>
      <c r="B1198" s="106"/>
      <c r="C1198" s="107" t="s">
        <v>330</v>
      </c>
      <c r="D1198" s="107"/>
      <c r="E1198" s="107"/>
      <c r="F1198" s="105"/>
      <c r="G1198" s="105"/>
    </row>
    <row r="1199" customHeight="1" spans="1:7">
      <c r="A1199" s="108" t="s">
        <v>331</v>
      </c>
      <c r="B1199" s="109"/>
      <c r="C1199" s="110">
        <v>45869</v>
      </c>
      <c r="D1199" s="110"/>
      <c r="E1199" s="110"/>
      <c r="F1199" s="111" t="s">
        <v>332</v>
      </c>
      <c r="G1199" s="112" t="str">
        <f>立项!$A$6</f>
        <v>RD04</v>
      </c>
    </row>
    <row r="1200" customHeight="1" spans="1:7">
      <c r="A1200" s="113" t="s">
        <v>333</v>
      </c>
      <c r="B1200" s="113" t="s">
        <v>334</v>
      </c>
      <c r="C1200" s="113" t="s">
        <v>335</v>
      </c>
      <c r="D1200" s="113" t="s">
        <v>336</v>
      </c>
      <c r="E1200" s="113" t="s">
        <v>337</v>
      </c>
      <c r="F1200" s="113" t="s">
        <v>338</v>
      </c>
      <c r="G1200" s="113" t="s">
        <v>339</v>
      </c>
    </row>
    <row r="1201" customHeight="1" spans="1:7">
      <c r="A1201" s="113">
        <f>领料单!AG118</f>
        <v>0</v>
      </c>
      <c r="B1201" s="113">
        <f>领料单!AH118</f>
        <v>0</v>
      </c>
      <c r="C1201" s="113">
        <f>领料单!AI118</f>
        <v>0</v>
      </c>
      <c r="D1201" s="113">
        <f>领料单!AJ118</f>
        <v>0</v>
      </c>
      <c r="E1201" s="113">
        <f>领料单!AK118</f>
        <v>0</v>
      </c>
      <c r="F1201" s="113">
        <f>领料单!AL118</f>
        <v>0</v>
      </c>
      <c r="G1201" s="113"/>
    </row>
    <row r="1202" customHeight="1" spans="1:7">
      <c r="A1202" s="113">
        <f>领料单!AG119</f>
        <v>0</v>
      </c>
      <c r="B1202" s="113">
        <f>领料单!AH119</f>
        <v>0</v>
      </c>
      <c r="C1202" s="113">
        <f>领料单!AI119</f>
        <v>0</v>
      </c>
      <c r="D1202" s="113">
        <f>领料单!AJ119</f>
        <v>0</v>
      </c>
      <c r="E1202" s="113">
        <f>领料单!AK119</f>
        <v>0</v>
      </c>
      <c r="F1202" s="113">
        <f>领料单!AL119</f>
        <v>0</v>
      </c>
      <c r="G1202" s="113"/>
    </row>
    <row r="1203" customHeight="1" spans="1:7">
      <c r="A1203" s="113">
        <f>领料单!AG120</f>
        <v>0</v>
      </c>
      <c r="B1203" s="113">
        <f>领料单!AH120</f>
        <v>0</v>
      </c>
      <c r="C1203" s="113">
        <f>领料单!AI120</f>
        <v>0</v>
      </c>
      <c r="D1203" s="113">
        <f>领料单!AJ120</f>
        <v>0</v>
      </c>
      <c r="E1203" s="113">
        <f>领料单!AK120</f>
        <v>0</v>
      </c>
      <c r="F1203" s="113">
        <f>领料单!AL120</f>
        <v>0</v>
      </c>
      <c r="G1203" s="113"/>
    </row>
    <row r="1204" customHeight="1" spans="1:7">
      <c r="A1204" s="113">
        <f>领料单!AG121</f>
        <v>0</v>
      </c>
      <c r="B1204" s="113">
        <f>领料单!AH121</f>
        <v>0</v>
      </c>
      <c r="C1204" s="113">
        <f>领料单!AI121</f>
        <v>0</v>
      </c>
      <c r="D1204" s="113">
        <f>领料单!AJ121</f>
        <v>0</v>
      </c>
      <c r="E1204" s="113">
        <f>领料单!AK121</f>
        <v>0</v>
      </c>
      <c r="F1204" s="113">
        <f>领料单!AL121</f>
        <v>0</v>
      </c>
      <c r="G1204" s="113"/>
    </row>
    <row r="1205" customHeight="1" spans="1:7">
      <c r="A1205" s="113">
        <f>领料单!AG122</f>
        <v>0</v>
      </c>
      <c r="B1205" s="113">
        <f>领料单!AH122</f>
        <v>0</v>
      </c>
      <c r="C1205" s="113">
        <f>领料单!AI122</f>
        <v>0</v>
      </c>
      <c r="D1205" s="113">
        <f>领料单!AJ122</f>
        <v>0</v>
      </c>
      <c r="E1205" s="113">
        <f>领料单!AK122</f>
        <v>0</v>
      </c>
      <c r="F1205" s="113">
        <f>领料单!AL122</f>
        <v>0</v>
      </c>
      <c r="G1205" s="113"/>
    </row>
    <row r="1206" customHeight="1" spans="1:7">
      <c r="A1206" s="113">
        <f>领料单!AG123</f>
        <v>0</v>
      </c>
      <c r="B1206" s="113">
        <f>领料单!AH123</f>
        <v>0</v>
      </c>
      <c r="C1206" s="113">
        <f>领料单!AI123</f>
        <v>0</v>
      </c>
      <c r="D1206" s="113">
        <f>领料单!AJ123</f>
        <v>0</v>
      </c>
      <c r="E1206" s="113">
        <f>领料单!AK123</f>
        <v>0</v>
      </c>
      <c r="F1206" s="113">
        <f>领料单!AL123</f>
        <v>0</v>
      </c>
      <c r="G1206" s="113"/>
    </row>
    <row r="1207" customHeight="1" spans="1:7">
      <c r="A1207" s="113">
        <f>领料单!AG125</f>
        <v>0</v>
      </c>
      <c r="B1207" s="113">
        <f>领料单!AH125</f>
        <v>0</v>
      </c>
      <c r="C1207" s="113">
        <f>领料单!AI125</f>
        <v>0</v>
      </c>
      <c r="D1207" s="113">
        <f>领料单!AJ125</f>
        <v>0</v>
      </c>
      <c r="E1207" s="113">
        <f>领料单!AK125</f>
        <v>0</v>
      </c>
      <c r="F1207" s="113">
        <f>领料单!AL125</f>
        <v>0</v>
      </c>
      <c r="G1207" s="113"/>
    </row>
    <row r="1208" customHeight="1" spans="1:7">
      <c r="A1208" s="113">
        <f>领料单!AG125</f>
        <v>0</v>
      </c>
      <c r="B1208" s="113">
        <f>领料单!AH125</f>
        <v>0</v>
      </c>
      <c r="C1208" s="113">
        <f>领料单!AI125</f>
        <v>0</v>
      </c>
      <c r="D1208" s="113">
        <f>领料单!AJ125</f>
        <v>0</v>
      </c>
      <c r="E1208" s="113">
        <f>领料单!AK125</f>
        <v>0</v>
      </c>
      <c r="F1208" s="113">
        <f>领料单!AL125</f>
        <v>0</v>
      </c>
      <c r="G1208" s="113"/>
    </row>
    <row r="1209" customHeight="1" spans="1:7">
      <c r="A1209" s="113">
        <f>领料单!AG126</f>
        <v>0</v>
      </c>
      <c r="B1209" s="113">
        <f>领料单!AH126</f>
        <v>0</v>
      </c>
      <c r="C1209" s="113">
        <f>领料单!AI126</f>
        <v>0</v>
      </c>
      <c r="D1209" s="113">
        <f>领料单!AJ126</f>
        <v>0</v>
      </c>
      <c r="E1209" s="113">
        <f>领料单!AK126</f>
        <v>0</v>
      </c>
      <c r="F1209" s="113">
        <f>领料单!AL126</f>
        <v>0</v>
      </c>
      <c r="G1209" s="113"/>
    </row>
    <row r="1210" customHeight="1" spans="1:7">
      <c r="A1210" s="113">
        <f>领料单!AG127</f>
        <v>0</v>
      </c>
      <c r="B1210" s="113">
        <f>领料单!AH127</f>
        <v>0</v>
      </c>
      <c r="C1210" s="113">
        <f>领料单!AI127</f>
        <v>0</v>
      </c>
      <c r="D1210" s="113">
        <f>领料单!AJ127</f>
        <v>0</v>
      </c>
      <c r="E1210" s="113">
        <f>领料单!AK127</f>
        <v>0</v>
      </c>
      <c r="F1210" s="113">
        <f>领料单!AL127</f>
        <v>0</v>
      </c>
      <c r="G1210" s="113"/>
    </row>
    <row r="1211" customHeight="1" spans="1:7">
      <c r="A1211" s="113">
        <f>领料单!AG128</f>
        <v>0</v>
      </c>
      <c r="B1211" s="113">
        <f>领料单!AH128</f>
        <v>0</v>
      </c>
      <c r="C1211" s="113">
        <f>领料单!AI128</f>
        <v>0</v>
      </c>
      <c r="D1211" s="113">
        <f>领料单!AJ128</f>
        <v>0</v>
      </c>
      <c r="E1211" s="113">
        <f>领料单!AK128</f>
        <v>0</v>
      </c>
      <c r="F1211" s="113">
        <f>领料单!AL128</f>
        <v>0</v>
      </c>
      <c r="G1211" s="113"/>
    </row>
    <row r="1212" customHeight="1" spans="1:7">
      <c r="A1212" s="113">
        <f>领料单!AG129</f>
        <v>0</v>
      </c>
      <c r="B1212" s="113">
        <f>领料单!AH129</f>
        <v>0</v>
      </c>
      <c r="C1212" s="113">
        <f>领料单!AI129</f>
        <v>0</v>
      </c>
      <c r="D1212" s="113">
        <f>领料单!AJ129</f>
        <v>0</v>
      </c>
      <c r="E1212" s="113">
        <f>领料单!AK129</f>
        <v>0</v>
      </c>
      <c r="F1212" s="113">
        <f>领料单!AL129</f>
        <v>0</v>
      </c>
      <c r="G1212" s="113"/>
    </row>
    <row r="1213" customHeight="1" spans="1:7">
      <c r="A1213" s="115" t="s">
        <v>340</v>
      </c>
      <c r="B1213" s="116"/>
      <c r="C1213" s="116"/>
      <c r="D1213" s="116"/>
      <c r="E1213" s="117"/>
      <c r="F1213" s="118">
        <f>SUM(F1201:F1212)</f>
        <v>0</v>
      </c>
      <c r="G1213" s="114"/>
    </row>
    <row r="1214" customHeight="1" spans="1:7">
      <c r="A1214" s="119" t="s">
        <v>341</v>
      </c>
      <c r="B1214" s="119"/>
      <c r="C1214" s="120"/>
      <c r="D1214" s="119"/>
      <c r="E1214" s="121" t="s">
        <v>342</v>
      </c>
      <c r="F1214" s="119"/>
      <c r="G1214" s="119"/>
    </row>
    <row r="1217" customHeight="1" spans="1:7">
      <c r="A1217" s="105"/>
      <c r="B1217" s="106"/>
      <c r="C1217" s="107" t="s">
        <v>330</v>
      </c>
      <c r="D1217" s="107"/>
      <c r="E1217" s="107"/>
      <c r="F1217" s="105"/>
      <c r="G1217" s="105"/>
    </row>
    <row r="1218" customHeight="1" spans="1:7">
      <c r="A1218" s="108" t="s">
        <v>331</v>
      </c>
      <c r="B1218" s="109"/>
      <c r="C1218" s="110">
        <v>45869</v>
      </c>
      <c r="D1218" s="110"/>
      <c r="E1218" s="110"/>
      <c r="F1218" s="111" t="s">
        <v>332</v>
      </c>
      <c r="G1218" s="112" t="str">
        <f>立项!$A$7</f>
        <v>RD05</v>
      </c>
    </row>
    <row r="1219" customHeight="1" spans="1:7">
      <c r="A1219" s="113" t="s">
        <v>333</v>
      </c>
      <c r="B1219" s="113" t="s">
        <v>334</v>
      </c>
      <c r="C1219" s="113" t="s">
        <v>335</v>
      </c>
      <c r="D1219" s="113" t="s">
        <v>336</v>
      </c>
      <c r="E1219" s="113" t="s">
        <v>337</v>
      </c>
      <c r="F1219" s="113" t="s">
        <v>338</v>
      </c>
      <c r="G1219" s="113" t="s">
        <v>339</v>
      </c>
    </row>
    <row r="1220" customHeight="1" spans="1:7">
      <c r="A1220" s="113">
        <f>领料单!AO118</f>
        <v>0</v>
      </c>
      <c r="B1220" s="113">
        <f>领料单!AP118</f>
        <v>0</v>
      </c>
      <c r="C1220" s="113">
        <f>领料单!AQ118</f>
        <v>0</v>
      </c>
      <c r="D1220" s="113">
        <f>领料单!AR118</f>
        <v>0</v>
      </c>
      <c r="E1220" s="113">
        <f>领料单!AS118</f>
        <v>0</v>
      </c>
      <c r="F1220" s="113">
        <f>领料单!AT118</f>
        <v>0</v>
      </c>
      <c r="G1220" s="113"/>
    </row>
    <row r="1221" customHeight="1" spans="1:7">
      <c r="A1221" s="113">
        <f>领料单!AO119</f>
        <v>0</v>
      </c>
      <c r="B1221" s="113">
        <f>领料单!AP119</f>
        <v>0</v>
      </c>
      <c r="C1221" s="113">
        <f>领料单!AQ119</f>
        <v>0</v>
      </c>
      <c r="D1221" s="113">
        <f>领料单!AR119</f>
        <v>0</v>
      </c>
      <c r="E1221" s="113">
        <f>领料单!AS119</f>
        <v>0</v>
      </c>
      <c r="F1221" s="113">
        <f>领料单!AT119</f>
        <v>0</v>
      </c>
      <c r="G1221" s="113"/>
    </row>
    <row r="1222" customHeight="1" spans="1:7">
      <c r="A1222" s="113">
        <f>领料单!AO120</f>
        <v>0</v>
      </c>
      <c r="B1222" s="113">
        <f>领料单!AP120</f>
        <v>0</v>
      </c>
      <c r="C1222" s="113">
        <f>领料单!AQ120</f>
        <v>0</v>
      </c>
      <c r="D1222" s="113">
        <f>领料单!AR120</f>
        <v>0</v>
      </c>
      <c r="E1222" s="113">
        <f>领料单!AS120</f>
        <v>0</v>
      </c>
      <c r="F1222" s="113">
        <f>领料单!AT120</f>
        <v>0</v>
      </c>
      <c r="G1222" s="113"/>
    </row>
    <row r="1223" customHeight="1" spans="1:7">
      <c r="A1223" s="113">
        <f>领料单!AO121</f>
        <v>0</v>
      </c>
      <c r="B1223" s="113">
        <f>领料单!AP121</f>
        <v>0</v>
      </c>
      <c r="C1223" s="113">
        <f>领料单!AQ121</f>
        <v>0</v>
      </c>
      <c r="D1223" s="113">
        <f>领料单!AR121</f>
        <v>0</v>
      </c>
      <c r="E1223" s="113">
        <f>领料单!AS121</f>
        <v>0</v>
      </c>
      <c r="F1223" s="113">
        <f>领料单!AT121</f>
        <v>0</v>
      </c>
      <c r="G1223" s="113"/>
    </row>
    <row r="1224" customHeight="1" spans="1:7">
      <c r="A1224" s="113">
        <f>领料单!AO122</f>
        <v>0</v>
      </c>
      <c r="B1224" s="113">
        <f>领料单!AP122</f>
        <v>0</v>
      </c>
      <c r="C1224" s="113">
        <f>领料单!AQ122</f>
        <v>0</v>
      </c>
      <c r="D1224" s="113">
        <f>领料单!AR122</f>
        <v>0</v>
      </c>
      <c r="E1224" s="113">
        <f>领料单!AS122</f>
        <v>0</v>
      </c>
      <c r="F1224" s="113">
        <f>领料单!AT122</f>
        <v>0</v>
      </c>
      <c r="G1224" s="113"/>
    </row>
    <row r="1225" customHeight="1" spans="1:7">
      <c r="A1225" s="113">
        <f>领料单!AO123</f>
        <v>0</v>
      </c>
      <c r="B1225" s="113">
        <f>领料单!AP123</f>
        <v>0</v>
      </c>
      <c r="C1225" s="113">
        <f>领料单!AQ123</f>
        <v>0</v>
      </c>
      <c r="D1225" s="113">
        <f>领料单!AR123</f>
        <v>0</v>
      </c>
      <c r="E1225" s="113">
        <f>领料单!AS123</f>
        <v>0</v>
      </c>
      <c r="F1225" s="113">
        <f>领料单!AT123</f>
        <v>0</v>
      </c>
      <c r="G1225" s="113"/>
    </row>
    <row r="1226" customHeight="1" spans="1:7">
      <c r="A1226" s="113">
        <f>领料单!AO125</f>
        <v>0</v>
      </c>
      <c r="B1226" s="113">
        <f>领料单!AP125</f>
        <v>0</v>
      </c>
      <c r="C1226" s="113">
        <f>领料单!AQ125</f>
        <v>0</v>
      </c>
      <c r="D1226" s="113">
        <f>领料单!AR125</f>
        <v>0</v>
      </c>
      <c r="E1226" s="113">
        <f>领料单!AS125</f>
        <v>0</v>
      </c>
      <c r="F1226" s="113">
        <f>领料单!AT125</f>
        <v>0</v>
      </c>
      <c r="G1226" s="113"/>
    </row>
    <row r="1227" customHeight="1" spans="1:7">
      <c r="A1227" s="113">
        <f>领料单!AO125</f>
        <v>0</v>
      </c>
      <c r="B1227" s="113">
        <f>领料单!AP125</f>
        <v>0</v>
      </c>
      <c r="C1227" s="113">
        <f>领料单!AQ125</f>
        <v>0</v>
      </c>
      <c r="D1227" s="113">
        <f>领料单!AR125</f>
        <v>0</v>
      </c>
      <c r="E1227" s="113">
        <f>领料单!AS125</f>
        <v>0</v>
      </c>
      <c r="F1227" s="113">
        <f>领料单!AT125</f>
        <v>0</v>
      </c>
      <c r="G1227" s="113"/>
    </row>
    <row r="1228" customHeight="1" spans="1:7">
      <c r="A1228" s="113">
        <f>领料单!AO126</f>
        <v>0</v>
      </c>
      <c r="B1228" s="113">
        <f>领料单!AP126</f>
        <v>0</v>
      </c>
      <c r="C1228" s="113">
        <f>领料单!AQ126</f>
        <v>0</v>
      </c>
      <c r="D1228" s="113">
        <f>领料单!AR126</f>
        <v>0</v>
      </c>
      <c r="E1228" s="113">
        <f>领料单!AS126</f>
        <v>0</v>
      </c>
      <c r="F1228" s="113">
        <f>领料单!AT126</f>
        <v>0</v>
      </c>
      <c r="G1228" s="113"/>
    </row>
    <row r="1229" customHeight="1" spans="1:7">
      <c r="A1229" s="113">
        <f>领料单!AO127</f>
        <v>0</v>
      </c>
      <c r="B1229" s="113">
        <f>领料单!AP127</f>
        <v>0</v>
      </c>
      <c r="C1229" s="113">
        <f>领料单!AQ127</f>
        <v>0</v>
      </c>
      <c r="D1229" s="113">
        <f>领料单!AR127</f>
        <v>0</v>
      </c>
      <c r="E1229" s="113">
        <f>领料单!AS127</f>
        <v>0</v>
      </c>
      <c r="F1229" s="113">
        <f>领料单!AT127</f>
        <v>0</v>
      </c>
      <c r="G1229" s="113"/>
    </row>
    <row r="1230" customHeight="1" spans="1:7">
      <c r="A1230" s="113">
        <f>领料单!AO128</f>
        <v>0</v>
      </c>
      <c r="B1230" s="113">
        <f>领料单!AP128</f>
        <v>0</v>
      </c>
      <c r="C1230" s="113">
        <f>领料单!AQ128</f>
        <v>0</v>
      </c>
      <c r="D1230" s="113">
        <f>领料单!AR128</f>
        <v>0</v>
      </c>
      <c r="E1230" s="113">
        <f>领料单!AS128</f>
        <v>0</v>
      </c>
      <c r="F1230" s="113">
        <f>领料单!AT128</f>
        <v>0</v>
      </c>
      <c r="G1230" s="113"/>
    </row>
    <row r="1231" customHeight="1" spans="1:7">
      <c r="A1231" s="113">
        <f>领料单!AO129</f>
        <v>0</v>
      </c>
      <c r="B1231" s="113">
        <f>领料单!AP129</f>
        <v>0</v>
      </c>
      <c r="C1231" s="113">
        <f>领料单!AQ129</f>
        <v>0</v>
      </c>
      <c r="D1231" s="113">
        <f>领料单!AR129</f>
        <v>0</v>
      </c>
      <c r="E1231" s="113">
        <f>领料单!AS129</f>
        <v>0</v>
      </c>
      <c r="F1231" s="113">
        <f>领料单!AT129</f>
        <v>0</v>
      </c>
      <c r="G1231" s="113"/>
    </row>
    <row r="1232" customHeight="1" spans="1:7">
      <c r="A1232" s="115" t="s">
        <v>340</v>
      </c>
      <c r="B1232" s="116"/>
      <c r="C1232" s="116"/>
      <c r="D1232" s="116"/>
      <c r="E1232" s="117"/>
      <c r="F1232" s="118">
        <f>SUM(F1220:F1231)</f>
        <v>0</v>
      </c>
      <c r="G1232" s="114"/>
    </row>
    <row r="1233" customHeight="1" spans="1:7">
      <c r="A1233" s="119" t="s">
        <v>341</v>
      </c>
      <c r="B1233" s="119"/>
      <c r="C1233" s="120"/>
      <c r="D1233" s="119"/>
      <c r="E1233" s="121" t="s">
        <v>342</v>
      </c>
      <c r="F1233" s="119"/>
      <c r="G1233" s="119"/>
    </row>
    <row r="1236" customHeight="1" spans="1:7">
      <c r="A1236" s="105"/>
      <c r="B1236" s="106"/>
      <c r="C1236" s="107" t="s">
        <v>330</v>
      </c>
      <c r="D1236" s="107"/>
      <c r="E1236" s="107"/>
      <c r="F1236" s="105"/>
      <c r="G1236" s="105"/>
    </row>
    <row r="1237" customHeight="1" spans="1:7">
      <c r="A1237" s="108" t="s">
        <v>331</v>
      </c>
      <c r="B1237" s="109"/>
      <c r="C1237" s="110">
        <v>45869</v>
      </c>
      <c r="D1237" s="110"/>
      <c r="E1237" s="110"/>
      <c r="F1237" s="111" t="s">
        <v>332</v>
      </c>
      <c r="G1237" s="112" t="str">
        <f>立项!$A$8</f>
        <v>RD06</v>
      </c>
    </row>
    <row r="1238" customHeight="1" spans="1:7">
      <c r="A1238" s="113" t="s">
        <v>333</v>
      </c>
      <c r="B1238" s="113" t="s">
        <v>334</v>
      </c>
      <c r="C1238" s="113" t="s">
        <v>335</v>
      </c>
      <c r="D1238" s="113" t="s">
        <v>336</v>
      </c>
      <c r="E1238" s="113" t="s">
        <v>337</v>
      </c>
      <c r="F1238" s="113" t="s">
        <v>338</v>
      </c>
      <c r="G1238" s="113" t="s">
        <v>339</v>
      </c>
    </row>
    <row r="1239" customHeight="1" spans="1:7">
      <c r="A1239" s="113">
        <f>领料单!AW118</f>
        <v>0</v>
      </c>
      <c r="B1239" s="113">
        <f>领料单!AX118</f>
        <v>0</v>
      </c>
      <c r="C1239" s="113">
        <f>领料单!AY118</f>
        <v>0</v>
      </c>
      <c r="D1239" s="113">
        <f>领料单!AZ118</f>
        <v>0</v>
      </c>
      <c r="E1239" s="113">
        <f>领料单!BA118</f>
        <v>0</v>
      </c>
      <c r="F1239" s="113">
        <f>领料单!BB118</f>
        <v>0</v>
      </c>
      <c r="G1239" s="113"/>
    </row>
    <row r="1240" customHeight="1" spans="1:7">
      <c r="A1240" s="113">
        <f>领料单!AW119</f>
        <v>0</v>
      </c>
      <c r="B1240" s="113">
        <f>领料单!AX119</f>
        <v>0</v>
      </c>
      <c r="C1240" s="113">
        <f>领料单!AY119</f>
        <v>0</v>
      </c>
      <c r="D1240" s="113">
        <f>领料单!AZ119</f>
        <v>0</v>
      </c>
      <c r="E1240" s="113">
        <f>领料单!BA119</f>
        <v>0</v>
      </c>
      <c r="F1240" s="113">
        <f>领料单!BB119</f>
        <v>0</v>
      </c>
      <c r="G1240" s="113"/>
    </row>
    <row r="1241" customHeight="1" spans="1:7">
      <c r="A1241" s="113">
        <f>领料单!AW120</f>
        <v>0</v>
      </c>
      <c r="B1241" s="113">
        <f>领料单!AX120</f>
        <v>0</v>
      </c>
      <c r="C1241" s="113">
        <f>领料单!AY120</f>
        <v>0</v>
      </c>
      <c r="D1241" s="113">
        <f>领料单!AZ120</f>
        <v>0</v>
      </c>
      <c r="E1241" s="113">
        <f>领料单!BA120</f>
        <v>0</v>
      </c>
      <c r="F1241" s="113">
        <f>领料单!BB120</f>
        <v>0</v>
      </c>
      <c r="G1241" s="113"/>
    </row>
    <row r="1242" customHeight="1" spans="1:7">
      <c r="A1242" s="113">
        <f>领料单!AW121</f>
        <v>0</v>
      </c>
      <c r="B1242" s="113">
        <f>领料单!AX121</f>
        <v>0</v>
      </c>
      <c r="C1242" s="113">
        <f>领料单!AY121</f>
        <v>0</v>
      </c>
      <c r="D1242" s="113">
        <f>领料单!AZ121</f>
        <v>0</v>
      </c>
      <c r="E1242" s="113">
        <f>领料单!BA121</f>
        <v>0</v>
      </c>
      <c r="F1242" s="113">
        <f>领料单!BB121</f>
        <v>0</v>
      </c>
      <c r="G1242" s="113"/>
    </row>
    <row r="1243" customHeight="1" spans="1:7">
      <c r="A1243" s="113">
        <f>领料单!AW122</f>
        <v>0</v>
      </c>
      <c r="B1243" s="113">
        <f>领料单!AX122</f>
        <v>0</v>
      </c>
      <c r="C1243" s="113">
        <f>领料单!AY122</f>
        <v>0</v>
      </c>
      <c r="D1243" s="113">
        <f>领料单!AZ122</f>
        <v>0</v>
      </c>
      <c r="E1243" s="113">
        <f>领料单!BA122</f>
        <v>0</v>
      </c>
      <c r="F1243" s="113">
        <f>领料单!BB122</f>
        <v>0</v>
      </c>
      <c r="G1243" s="113"/>
    </row>
    <row r="1244" customHeight="1" spans="1:7">
      <c r="A1244" s="113">
        <f>领料单!AW123</f>
        <v>0</v>
      </c>
      <c r="B1244" s="113">
        <f>领料单!AX123</f>
        <v>0</v>
      </c>
      <c r="C1244" s="113">
        <f>领料单!AY123</f>
        <v>0</v>
      </c>
      <c r="D1244" s="113">
        <f>领料单!AZ123</f>
        <v>0</v>
      </c>
      <c r="E1244" s="113">
        <f>领料单!BA123</f>
        <v>0</v>
      </c>
      <c r="F1244" s="113">
        <f>领料单!BB123</f>
        <v>0</v>
      </c>
      <c r="G1244" s="113"/>
    </row>
    <row r="1245" customHeight="1" spans="1:7">
      <c r="A1245" s="113">
        <f>领料单!AW125</f>
        <v>0</v>
      </c>
      <c r="B1245" s="113">
        <f>领料单!AX125</f>
        <v>0</v>
      </c>
      <c r="C1245" s="113">
        <f>领料单!AY125</f>
        <v>0</v>
      </c>
      <c r="D1245" s="113">
        <f>领料单!AZ125</f>
        <v>0</v>
      </c>
      <c r="E1245" s="113">
        <f>领料单!BA125</f>
        <v>0</v>
      </c>
      <c r="F1245" s="113">
        <f>领料单!BB125</f>
        <v>0</v>
      </c>
      <c r="G1245" s="113"/>
    </row>
    <row r="1246" customHeight="1" spans="1:7">
      <c r="A1246" s="113">
        <f>领料单!AW125</f>
        <v>0</v>
      </c>
      <c r="B1246" s="113">
        <f>领料单!AX125</f>
        <v>0</v>
      </c>
      <c r="C1246" s="113">
        <f>领料单!AY125</f>
        <v>0</v>
      </c>
      <c r="D1246" s="113">
        <f>领料单!AZ125</f>
        <v>0</v>
      </c>
      <c r="E1246" s="113">
        <f>领料单!BA125</f>
        <v>0</v>
      </c>
      <c r="F1246" s="113">
        <f>领料单!BB125</f>
        <v>0</v>
      </c>
      <c r="G1246" s="113"/>
    </row>
    <row r="1247" customHeight="1" spans="1:7">
      <c r="A1247" s="113">
        <f>领料单!AW126</f>
        <v>0</v>
      </c>
      <c r="B1247" s="113">
        <f>领料单!AX126</f>
        <v>0</v>
      </c>
      <c r="C1247" s="113">
        <f>领料单!AY126</f>
        <v>0</v>
      </c>
      <c r="D1247" s="113">
        <f>领料单!AZ126</f>
        <v>0</v>
      </c>
      <c r="E1247" s="113">
        <f>领料单!BA126</f>
        <v>0</v>
      </c>
      <c r="F1247" s="113">
        <f>领料单!BB126</f>
        <v>0</v>
      </c>
      <c r="G1247" s="113"/>
    </row>
    <row r="1248" customHeight="1" spans="1:7">
      <c r="A1248" s="113">
        <f>领料单!AW127</f>
        <v>0</v>
      </c>
      <c r="B1248" s="113">
        <f>领料单!AX127</f>
        <v>0</v>
      </c>
      <c r="C1248" s="113">
        <f>领料单!AY127</f>
        <v>0</v>
      </c>
      <c r="D1248" s="113">
        <f>领料单!AZ127</f>
        <v>0</v>
      </c>
      <c r="E1248" s="113">
        <f>领料单!BA127</f>
        <v>0</v>
      </c>
      <c r="F1248" s="113">
        <f>领料单!BB127</f>
        <v>0</v>
      </c>
      <c r="G1248" s="113"/>
    </row>
    <row r="1249" customHeight="1" spans="1:7">
      <c r="A1249" s="113">
        <f>领料单!AW128</f>
        <v>0</v>
      </c>
      <c r="B1249" s="113">
        <f>领料单!AX128</f>
        <v>0</v>
      </c>
      <c r="C1249" s="113">
        <f>领料单!AY128</f>
        <v>0</v>
      </c>
      <c r="D1249" s="113">
        <f>领料单!AZ128</f>
        <v>0</v>
      </c>
      <c r="E1249" s="113">
        <f>领料单!BA128</f>
        <v>0</v>
      </c>
      <c r="F1249" s="113">
        <f>领料单!BB128</f>
        <v>0</v>
      </c>
      <c r="G1249" s="113"/>
    </row>
    <row r="1250" customHeight="1" spans="1:7">
      <c r="A1250" s="113">
        <f>领料单!AW129</f>
        <v>0</v>
      </c>
      <c r="B1250" s="113">
        <f>领料单!AX129</f>
        <v>0</v>
      </c>
      <c r="C1250" s="113">
        <f>领料单!AY129</f>
        <v>0</v>
      </c>
      <c r="D1250" s="113">
        <f>领料单!AZ129</f>
        <v>0</v>
      </c>
      <c r="E1250" s="113">
        <f>领料单!BA129</f>
        <v>0</v>
      </c>
      <c r="F1250" s="113">
        <f>领料单!BB129</f>
        <v>0</v>
      </c>
      <c r="G1250" s="113"/>
    </row>
    <row r="1251" customHeight="1" spans="1:7">
      <c r="A1251" s="115" t="s">
        <v>340</v>
      </c>
      <c r="B1251" s="116"/>
      <c r="C1251" s="116"/>
      <c r="D1251" s="116"/>
      <c r="E1251" s="117"/>
      <c r="F1251" s="118">
        <f>SUM(F1239:F1250)</f>
        <v>0</v>
      </c>
      <c r="G1251" s="114"/>
    </row>
    <row r="1252" customHeight="1" spans="1:7">
      <c r="A1252" s="119" t="s">
        <v>341</v>
      </c>
      <c r="B1252" s="119"/>
      <c r="C1252" s="120"/>
      <c r="D1252" s="119"/>
      <c r="E1252" s="121" t="s">
        <v>342</v>
      </c>
      <c r="F1252" s="119"/>
      <c r="G1252" s="119"/>
    </row>
    <row r="1255" customHeight="1" spans="1:7">
      <c r="A1255" s="105"/>
      <c r="B1255" s="106"/>
      <c r="C1255" s="107" t="s">
        <v>330</v>
      </c>
      <c r="D1255" s="107"/>
      <c r="E1255" s="107"/>
      <c r="F1255" s="105"/>
      <c r="G1255" s="105"/>
    </row>
    <row r="1256" customHeight="1" spans="1:7">
      <c r="A1256" s="108" t="s">
        <v>331</v>
      </c>
      <c r="B1256" s="109"/>
      <c r="C1256" s="110">
        <v>45869</v>
      </c>
      <c r="D1256" s="110"/>
      <c r="E1256" s="110"/>
      <c r="F1256" s="111" t="s">
        <v>332</v>
      </c>
      <c r="G1256" s="112" t="str">
        <f>立项!$A$9</f>
        <v>RD07</v>
      </c>
    </row>
    <row r="1257" customHeight="1" spans="1:7">
      <c r="A1257" s="113" t="s">
        <v>333</v>
      </c>
      <c r="B1257" s="113" t="s">
        <v>334</v>
      </c>
      <c r="C1257" s="113" t="s">
        <v>335</v>
      </c>
      <c r="D1257" s="113" t="s">
        <v>336</v>
      </c>
      <c r="E1257" s="113" t="s">
        <v>337</v>
      </c>
      <c r="F1257" s="113" t="s">
        <v>338</v>
      </c>
      <c r="G1257" s="113" t="s">
        <v>339</v>
      </c>
    </row>
    <row r="1258" customHeight="1" spans="1:7">
      <c r="A1258" s="113">
        <f>领料单!BE118</f>
        <v>0</v>
      </c>
      <c r="B1258" s="113">
        <f>领料单!BF118</f>
        <v>0</v>
      </c>
      <c r="C1258" s="113">
        <f>领料单!BG118</f>
        <v>0</v>
      </c>
      <c r="D1258" s="113">
        <f>领料单!BH118</f>
        <v>0</v>
      </c>
      <c r="E1258" s="113">
        <f>领料单!BI118</f>
        <v>0</v>
      </c>
      <c r="F1258" s="113">
        <f>领料单!BJ118</f>
        <v>0</v>
      </c>
      <c r="G1258" s="113"/>
    </row>
    <row r="1259" customHeight="1" spans="1:7">
      <c r="A1259" s="113">
        <f>领料单!BE119</f>
        <v>0</v>
      </c>
      <c r="B1259" s="113">
        <f>领料单!BF119</f>
        <v>0</v>
      </c>
      <c r="C1259" s="113">
        <f>领料单!BG119</f>
        <v>0</v>
      </c>
      <c r="D1259" s="113">
        <f>领料单!BH119</f>
        <v>0</v>
      </c>
      <c r="E1259" s="113">
        <f>领料单!BI119</f>
        <v>0</v>
      </c>
      <c r="F1259" s="113">
        <f>领料单!BJ119</f>
        <v>0</v>
      </c>
      <c r="G1259" s="113"/>
    </row>
    <row r="1260" customHeight="1" spans="1:7">
      <c r="A1260" s="113">
        <f>领料单!BE120</f>
        <v>0</v>
      </c>
      <c r="B1260" s="113">
        <f>领料单!BF120</f>
        <v>0</v>
      </c>
      <c r="C1260" s="113">
        <f>领料单!BG120</f>
        <v>0</v>
      </c>
      <c r="D1260" s="113">
        <f>领料单!BH120</f>
        <v>0</v>
      </c>
      <c r="E1260" s="113">
        <f>领料单!BI120</f>
        <v>0</v>
      </c>
      <c r="F1260" s="113">
        <f>领料单!BJ120</f>
        <v>0</v>
      </c>
      <c r="G1260" s="113"/>
    </row>
    <row r="1261" customHeight="1" spans="1:7">
      <c r="A1261" s="113">
        <f>领料单!BE121</f>
        <v>0</v>
      </c>
      <c r="B1261" s="113">
        <f>领料单!BF121</f>
        <v>0</v>
      </c>
      <c r="C1261" s="113">
        <f>领料单!BG121</f>
        <v>0</v>
      </c>
      <c r="D1261" s="113">
        <f>领料单!BH121</f>
        <v>0</v>
      </c>
      <c r="E1261" s="113">
        <f>领料单!BI121</f>
        <v>0</v>
      </c>
      <c r="F1261" s="113">
        <f>领料单!BJ121</f>
        <v>0</v>
      </c>
      <c r="G1261" s="113"/>
    </row>
    <row r="1262" customHeight="1" spans="1:7">
      <c r="A1262" s="113">
        <f>领料单!BE122</f>
        <v>0</v>
      </c>
      <c r="B1262" s="113">
        <f>领料单!BF122</f>
        <v>0</v>
      </c>
      <c r="C1262" s="113">
        <f>领料单!BG122</f>
        <v>0</v>
      </c>
      <c r="D1262" s="113">
        <f>领料单!BH122</f>
        <v>0</v>
      </c>
      <c r="E1262" s="113">
        <f>领料单!BI122</f>
        <v>0</v>
      </c>
      <c r="F1262" s="113">
        <f>领料单!BJ122</f>
        <v>0</v>
      </c>
      <c r="G1262" s="113"/>
    </row>
    <row r="1263" customHeight="1" spans="1:7">
      <c r="A1263" s="113">
        <f>领料单!BE123</f>
        <v>0</v>
      </c>
      <c r="B1263" s="113">
        <f>领料单!BF123</f>
        <v>0</v>
      </c>
      <c r="C1263" s="113">
        <f>领料单!BG123</f>
        <v>0</v>
      </c>
      <c r="D1263" s="113">
        <f>领料单!BH123</f>
        <v>0</v>
      </c>
      <c r="E1263" s="113">
        <f>领料单!BI123</f>
        <v>0</v>
      </c>
      <c r="F1263" s="113">
        <f>领料单!BJ123</f>
        <v>0</v>
      </c>
      <c r="G1263" s="113"/>
    </row>
    <row r="1264" customHeight="1" spans="1:7">
      <c r="A1264" s="113">
        <f>领料单!BE125</f>
        <v>0</v>
      </c>
      <c r="B1264" s="113">
        <f>领料单!BF125</f>
        <v>0</v>
      </c>
      <c r="C1264" s="113">
        <f>领料单!BG125</f>
        <v>0</v>
      </c>
      <c r="D1264" s="113">
        <f>领料单!BH125</f>
        <v>0</v>
      </c>
      <c r="E1264" s="113">
        <f>领料单!BI125</f>
        <v>0</v>
      </c>
      <c r="F1264" s="113">
        <f>领料单!BJ125</f>
        <v>0</v>
      </c>
      <c r="G1264" s="113"/>
    </row>
    <row r="1265" customHeight="1" spans="1:7">
      <c r="A1265" s="113">
        <f>领料单!BE125</f>
        <v>0</v>
      </c>
      <c r="B1265" s="113">
        <f>领料单!BF125</f>
        <v>0</v>
      </c>
      <c r="C1265" s="113">
        <f>领料单!BG125</f>
        <v>0</v>
      </c>
      <c r="D1265" s="113">
        <f>领料单!BH125</f>
        <v>0</v>
      </c>
      <c r="E1265" s="113">
        <f>领料单!BI125</f>
        <v>0</v>
      </c>
      <c r="F1265" s="113">
        <f>领料单!BJ125</f>
        <v>0</v>
      </c>
      <c r="G1265" s="113"/>
    </row>
    <row r="1266" customHeight="1" spans="1:7">
      <c r="A1266" s="113">
        <f>领料单!BE126</f>
        <v>0</v>
      </c>
      <c r="B1266" s="113">
        <f>领料单!BF126</f>
        <v>0</v>
      </c>
      <c r="C1266" s="113">
        <f>领料单!BG126</f>
        <v>0</v>
      </c>
      <c r="D1266" s="113">
        <f>领料单!BH126</f>
        <v>0</v>
      </c>
      <c r="E1266" s="113">
        <f>领料单!BI126</f>
        <v>0</v>
      </c>
      <c r="F1266" s="113">
        <f>领料单!BJ126</f>
        <v>0</v>
      </c>
      <c r="G1266" s="113"/>
    </row>
    <row r="1267" customHeight="1" spans="1:7">
      <c r="A1267" s="113">
        <f>领料单!BE127</f>
        <v>0</v>
      </c>
      <c r="B1267" s="113">
        <f>领料单!BF127</f>
        <v>0</v>
      </c>
      <c r="C1267" s="113">
        <f>领料单!BG127</f>
        <v>0</v>
      </c>
      <c r="D1267" s="113">
        <f>领料单!BH127</f>
        <v>0</v>
      </c>
      <c r="E1267" s="113">
        <f>领料单!BI127</f>
        <v>0</v>
      </c>
      <c r="F1267" s="113">
        <f>领料单!BJ127</f>
        <v>0</v>
      </c>
      <c r="G1267" s="113"/>
    </row>
    <row r="1268" customHeight="1" spans="1:7">
      <c r="A1268" s="113">
        <f>领料单!BE128</f>
        <v>0</v>
      </c>
      <c r="B1268" s="113">
        <f>领料单!BF128</f>
        <v>0</v>
      </c>
      <c r="C1268" s="113">
        <f>领料单!BG128</f>
        <v>0</v>
      </c>
      <c r="D1268" s="113">
        <f>领料单!BH128</f>
        <v>0</v>
      </c>
      <c r="E1268" s="113">
        <f>领料单!BI128</f>
        <v>0</v>
      </c>
      <c r="F1268" s="113">
        <f>领料单!BJ128</f>
        <v>0</v>
      </c>
      <c r="G1268" s="113"/>
    </row>
    <row r="1269" customHeight="1" spans="1:7">
      <c r="A1269" s="113">
        <f>领料单!BE129</f>
        <v>0</v>
      </c>
      <c r="B1269" s="113">
        <f>领料单!BF129</f>
        <v>0</v>
      </c>
      <c r="C1269" s="113">
        <f>领料单!BG129</f>
        <v>0</v>
      </c>
      <c r="D1269" s="113">
        <f>领料单!BH129</f>
        <v>0</v>
      </c>
      <c r="E1269" s="113">
        <f>领料单!BI129</f>
        <v>0</v>
      </c>
      <c r="F1269" s="113">
        <f>领料单!BJ129</f>
        <v>0</v>
      </c>
      <c r="G1269" s="113"/>
    </row>
    <row r="1270" customHeight="1" spans="1:7">
      <c r="A1270" s="115" t="s">
        <v>340</v>
      </c>
      <c r="B1270" s="116"/>
      <c r="C1270" s="116"/>
      <c r="D1270" s="116"/>
      <c r="E1270" s="117"/>
      <c r="F1270" s="118">
        <f>SUM(F1258:F1269)</f>
        <v>0</v>
      </c>
      <c r="G1270" s="114"/>
    </row>
    <row r="1271" customHeight="1" spans="1:7">
      <c r="A1271" s="119" t="s">
        <v>341</v>
      </c>
      <c r="B1271" s="119"/>
      <c r="C1271" s="120"/>
      <c r="D1271" s="119"/>
      <c r="E1271" s="121" t="s">
        <v>342</v>
      </c>
      <c r="F1271" s="119"/>
      <c r="G1271" s="119"/>
    </row>
    <row r="1274" customHeight="1" spans="1:7">
      <c r="A1274" s="105"/>
      <c r="B1274" s="106"/>
      <c r="C1274" s="107" t="s">
        <v>330</v>
      </c>
      <c r="D1274" s="107"/>
      <c r="E1274" s="107"/>
      <c r="F1274" s="105"/>
      <c r="G1274" s="105"/>
    </row>
    <row r="1275" customHeight="1" spans="1:7">
      <c r="A1275" s="108" t="s">
        <v>331</v>
      </c>
      <c r="B1275" s="109"/>
      <c r="C1275" s="110">
        <v>45869</v>
      </c>
      <c r="D1275" s="110"/>
      <c r="E1275" s="110"/>
      <c r="F1275" s="111" t="s">
        <v>332</v>
      </c>
      <c r="G1275" s="112" t="str">
        <f>立项!$A$10</f>
        <v>RD08</v>
      </c>
    </row>
    <row r="1276" customHeight="1" spans="1:7">
      <c r="A1276" s="113" t="s">
        <v>333</v>
      </c>
      <c r="B1276" s="113" t="s">
        <v>334</v>
      </c>
      <c r="C1276" s="113" t="s">
        <v>335</v>
      </c>
      <c r="D1276" s="113" t="s">
        <v>336</v>
      </c>
      <c r="E1276" s="113" t="s">
        <v>337</v>
      </c>
      <c r="F1276" s="113" t="s">
        <v>338</v>
      </c>
      <c r="G1276" s="113" t="s">
        <v>339</v>
      </c>
    </row>
    <row r="1277" customHeight="1" spans="1:7">
      <c r="A1277" s="113">
        <f>领料单!BM118</f>
        <v>0</v>
      </c>
      <c r="B1277" s="113">
        <f>领料单!BN118</f>
        <v>0</v>
      </c>
      <c r="C1277" s="113">
        <f>领料单!BO118</f>
        <v>0</v>
      </c>
      <c r="D1277" s="113">
        <f>领料单!BP118</f>
        <v>0</v>
      </c>
      <c r="E1277" s="113">
        <f>领料单!BQ118</f>
        <v>0</v>
      </c>
      <c r="F1277" s="113">
        <f>领料单!BR118</f>
        <v>0</v>
      </c>
      <c r="G1277" s="113"/>
    </row>
    <row r="1278" customHeight="1" spans="1:7">
      <c r="A1278" s="113">
        <f>领料单!BM119</f>
        <v>0</v>
      </c>
      <c r="B1278" s="113">
        <f>领料单!BN119</f>
        <v>0</v>
      </c>
      <c r="C1278" s="113">
        <f>领料单!BO119</f>
        <v>0</v>
      </c>
      <c r="D1278" s="113">
        <f>领料单!BP119</f>
        <v>0</v>
      </c>
      <c r="E1278" s="113">
        <f>领料单!BQ119</f>
        <v>0</v>
      </c>
      <c r="F1278" s="113">
        <f>领料单!BR119</f>
        <v>0</v>
      </c>
      <c r="G1278" s="113"/>
    </row>
    <row r="1279" customHeight="1" spans="1:7">
      <c r="A1279" s="113">
        <f>领料单!BM120</f>
        <v>0</v>
      </c>
      <c r="B1279" s="113">
        <f>领料单!BN120</f>
        <v>0</v>
      </c>
      <c r="C1279" s="113">
        <f>领料单!BO120</f>
        <v>0</v>
      </c>
      <c r="D1279" s="113">
        <f>领料单!BP120</f>
        <v>0</v>
      </c>
      <c r="E1279" s="113">
        <f>领料单!BQ120</f>
        <v>0</v>
      </c>
      <c r="F1279" s="113">
        <f>领料单!BR120</f>
        <v>0</v>
      </c>
      <c r="G1279" s="113"/>
    </row>
    <row r="1280" customHeight="1" spans="1:7">
      <c r="A1280" s="113">
        <f>领料单!BM121</f>
        <v>0</v>
      </c>
      <c r="B1280" s="113">
        <f>领料单!BN121</f>
        <v>0</v>
      </c>
      <c r="C1280" s="113">
        <f>领料单!BO121</f>
        <v>0</v>
      </c>
      <c r="D1280" s="113">
        <f>领料单!BP121</f>
        <v>0</v>
      </c>
      <c r="E1280" s="113">
        <f>领料单!BQ121</f>
        <v>0</v>
      </c>
      <c r="F1280" s="113">
        <f>领料单!BR121</f>
        <v>0</v>
      </c>
      <c r="G1280" s="113"/>
    </row>
    <row r="1281" customHeight="1" spans="1:7">
      <c r="A1281" s="113">
        <f>领料单!BM122</f>
        <v>0</v>
      </c>
      <c r="B1281" s="113">
        <f>领料单!BN122</f>
        <v>0</v>
      </c>
      <c r="C1281" s="113">
        <f>领料单!BO122</f>
        <v>0</v>
      </c>
      <c r="D1281" s="113">
        <f>领料单!BP122</f>
        <v>0</v>
      </c>
      <c r="E1281" s="113">
        <f>领料单!BQ122</f>
        <v>0</v>
      </c>
      <c r="F1281" s="113">
        <f>领料单!BR122</f>
        <v>0</v>
      </c>
      <c r="G1281" s="113"/>
    </row>
    <row r="1282" customHeight="1" spans="1:7">
      <c r="A1282" s="113">
        <f>领料单!BM123</f>
        <v>0</v>
      </c>
      <c r="B1282" s="113">
        <f>领料单!BN123</f>
        <v>0</v>
      </c>
      <c r="C1282" s="113">
        <f>领料单!BO123</f>
        <v>0</v>
      </c>
      <c r="D1282" s="113">
        <f>领料单!BP123</f>
        <v>0</v>
      </c>
      <c r="E1282" s="113">
        <f>领料单!BQ123</f>
        <v>0</v>
      </c>
      <c r="F1282" s="113">
        <f>领料单!BR123</f>
        <v>0</v>
      </c>
      <c r="G1282" s="113"/>
    </row>
    <row r="1283" customHeight="1" spans="1:7">
      <c r="A1283" s="113">
        <f>领料单!BM125</f>
        <v>0</v>
      </c>
      <c r="B1283" s="113">
        <f>领料单!BN125</f>
        <v>0</v>
      </c>
      <c r="C1283" s="113">
        <f>领料单!BO125</f>
        <v>0</v>
      </c>
      <c r="D1283" s="113">
        <f>领料单!BP125</f>
        <v>0</v>
      </c>
      <c r="E1283" s="113">
        <f>领料单!BQ125</f>
        <v>0</v>
      </c>
      <c r="F1283" s="113">
        <f>领料单!BR125</f>
        <v>0</v>
      </c>
      <c r="G1283" s="113"/>
    </row>
    <row r="1284" customHeight="1" spans="1:7">
      <c r="A1284" s="113">
        <f>领料单!BM125</f>
        <v>0</v>
      </c>
      <c r="B1284" s="113">
        <f>领料单!BN125</f>
        <v>0</v>
      </c>
      <c r="C1284" s="113">
        <f>领料单!BO125</f>
        <v>0</v>
      </c>
      <c r="D1284" s="113">
        <f>领料单!BP125</f>
        <v>0</v>
      </c>
      <c r="E1284" s="113">
        <f>领料单!BQ125</f>
        <v>0</v>
      </c>
      <c r="F1284" s="113">
        <f>领料单!BR125</f>
        <v>0</v>
      </c>
      <c r="G1284" s="113"/>
    </row>
    <row r="1285" customHeight="1" spans="1:7">
      <c r="A1285" s="113">
        <f>领料单!BM126</f>
        <v>0</v>
      </c>
      <c r="B1285" s="113">
        <f>领料单!BN126</f>
        <v>0</v>
      </c>
      <c r="C1285" s="113">
        <f>领料单!BO126</f>
        <v>0</v>
      </c>
      <c r="D1285" s="113">
        <f>领料单!BP126</f>
        <v>0</v>
      </c>
      <c r="E1285" s="113">
        <f>领料单!BQ126</f>
        <v>0</v>
      </c>
      <c r="F1285" s="113">
        <f>领料单!BR126</f>
        <v>0</v>
      </c>
      <c r="G1285" s="113"/>
    </row>
    <row r="1286" customHeight="1" spans="1:7">
      <c r="A1286" s="113">
        <f>领料单!BM127</f>
        <v>0</v>
      </c>
      <c r="B1286" s="113">
        <f>领料单!BN127</f>
        <v>0</v>
      </c>
      <c r="C1286" s="113">
        <f>领料单!BO127</f>
        <v>0</v>
      </c>
      <c r="D1286" s="113">
        <f>领料单!BP127</f>
        <v>0</v>
      </c>
      <c r="E1286" s="113">
        <f>领料单!BQ127</f>
        <v>0</v>
      </c>
      <c r="F1286" s="113">
        <f>领料单!BR127</f>
        <v>0</v>
      </c>
      <c r="G1286" s="113"/>
    </row>
    <row r="1287" customHeight="1" spans="1:7">
      <c r="A1287" s="113">
        <f>领料单!BM128</f>
        <v>0</v>
      </c>
      <c r="B1287" s="113">
        <f>领料单!BN128</f>
        <v>0</v>
      </c>
      <c r="C1287" s="113">
        <f>领料单!BO128</f>
        <v>0</v>
      </c>
      <c r="D1287" s="113">
        <f>领料单!BP128</f>
        <v>0</v>
      </c>
      <c r="E1287" s="113">
        <f>领料单!BQ128</f>
        <v>0</v>
      </c>
      <c r="F1287" s="113">
        <f>领料单!BR128</f>
        <v>0</v>
      </c>
      <c r="G1287" s="113"/>
    </row>
    <row r="1288" customHeight="1" spans="1:7">
      <c r="A1288" s="113">
        <f>领料单!BM129</f>
        <v>0</v>
      </c>
      <c r="B1288" s="113">
        <f>领料单!BN129</f>
        <v>0</v>
      </c>
      <c r="C1288" s="113">
        <f>领料单!BO129</f>
        <v>0</v>
      </c>
      <c r="D1288" s="113">
        <f>领料单!BP129</f>
        <v>0</v>
      </c>
      <c r="E1288" s="113">
        <f>领料单!BQ129</f>
        <v>0</v>
      </c>
      <c r="F1288" s="113">
        <f>领料单!BR129</f>
        <v>0</v>
      </c>
      <c r="G1288" s="113"/>
    </row>
    <row r="1289" customHeight="1" spans="1:7">
      <c r="A1289" s="115" t="s">
        <v>340</v>
      </c>
      <c r="B1289" s="116"/>
      <c r="C1289" s="116"/>
      <c r="D1289" s="116"/>
      <c r="E1289" s="117"/>
      <c r="F1289" s="118">
        <f>SUM(F1277:F1288)</f>
        <v>0</v>
      </c>
      <c r="G1289" s="114"/>
    </row>
    <row r="1290" customHeight="1" spans="1:7">
      <c r="A1290" s="119" t="s">
        <v>341</v>
      </c>
      <c r="B1290" s="119"/>
      <c r="C1290" s="120"/>
      <c r="D1290" s="119"/>
      <c r="E1290" s="121" t="s">
        <v>342</v>
      </c>
      <c r="F1290" s="119"/>
      <c r="G1290" s="119"/>
    </row>
    <row r="1293" customHeight="1" spans="1:7">
      <c r="A1293" s="105"/>
      <c r="B1293" s="106"/>
      <c r="C1293" s="107" t="s">
        <v>330</v>
      </c>
      <c r="D1293" s="107"/>
      <c r="E1293" s="107"/>
      <c r="F1293" s="105"/>
      <c r="G1293" s="105"/>
    </row>
    <row r="1294" customHeight="1" spans="1:7">
      <c r="A1294" s="108" t="s">
        <v>331</v>
      </c>
      <c r="B1294" s="109"/>
      <c r="C1294" s="110">
        <v>45869</v>
      </c>
      <c r="D1294" s="110"/>
      <c r="E1294" s="110"/>
      <c r="F1294" s="111" t="s">
        <v>332</v>
      </c>
      <c r="G1294" s="112" t="str">
        <f>立项!$A$11</f>
        <v>RD09</v>
      </c>
    </row>
    <row r="1295" customHeight="1" spans="1:7">
      <c r="A1295" s="113" t="s">
        <v>333</v>
      </c>
      <c r="B1295" s="113" t="s">
        <v>334</v>
      </c>
      <c r="C1295" s="113" t="s">
        <v>335</v>
      </c>
      <c r="D1295" s="113" t="s">
        <v>336</v>
      </c>
      <c r="E1295" s="113" t="s">
        <v>337</v>
      </c>
      <c r="F1295" s="113" t="s">
        <v>338</v>
      </c>
      <c r="G1295" s="113" t="s">
        <v>339</v>
      </c>
    </row>
    <row r="1296" customHeight="1" spans="1:7">
      <c r="A1296" s="113">
        <f>领料单!BU118</f>
        <v>0</v>
      </c>
      <c r="B1296" s="113">
        <f>领料单!BV118</f>
        <v>0</v>
      </c>
      <c r="C1296" s="113">
        <f>领料单!BW118</f>
        <v>0</v>
      </c>
      <c r="D1296" s="113">
        <f>领料单!BX118</f>
        <v>0</v>
      </c>
      <c r="E1296" s="113">
        <f>领料单!BY118</f>
        <v>0</v>
      </c>
      <c r="F1296" s="113">
        <f>领料单!BZ118</f>
        <v>0</v>
      </c>
      <c r="G1296" s="113"/>
    </row>
    <row r="1297" customHeight="1" spans="1:7">
      <c r="A1297" s="113">
        <f>领料单!BU119</f>
        <v>0</v>
      </c>
      <c r="B1297" s="113">
        <f>领料单!BV119</f>
        <v>0</v>
      </c>
      <c r="C1297" s="113">
        <f>领料单!BW119</f>
        <v>0</v>
      </c>
      <c r="D1297" s="113">
        <f>领料单!BX119</f>
        <v>0</v>
      </c>
      <c r="E1297" s="113">
        <f>领料单!BY119</f>
        <v>0</v>
      </c>
      <c r="F1297" s="113">
        <f>领料单!BZ119</f>
        <v>0</v>
      </c>
      <c r="G1297" s="113"/>
    </row>
    <row r="1298" customHeight="1" spans="1:7">
      <c r="A1298" s="113">
        <f>领料单!BU120</f>
        <v>0</v>
      </c>
      <c r="B1298" s="113">
        <f>领料单!BV120</f>
        <v>0</v>
      </c>
      <c r="C1298" s="113">
        <f>领料单!BW120</f>
        <v>0</v>
      </c>
      <c r="D1298" s="113">
        <f>领料单!BX120</f>
        <v>0</v>
      </c>
      <c r="E1298" s="113">
        <f>领料单!BY120</f>
        <v>0</v>
      </c>
      <c r="F1298" s="113">
        <f>领料单!BZ120</f>
        <v>0</v>
      </c>
      <c r="G1298" s="113"/>
    </row>
    <row r="1299" customHeight="1" spans="1:7">
      <c r="A1299" s="113">
        <f>领料单!BU121</f>
        <v>0</v>
      </c>
      <c r="B1299" s="113">
        <f>领料单!BV121</f>
        <v>0</v>
      </c>
      <c r="C1299" s="113">
        <f>领料单!BW121</f>
        <v>0</v>
      </c>
      <c r="D1299" s="113">
        <f>领料单!BX121</f>
        <v>0</v>
      </c>
      <c r="E1299" s="113">
        <f>领料单!BY121</f>
        <v>0</v>
      </c>
      <c r="F1299" s="113">
        <f>领料单!BZ121</f>
        <v>0</v>
      </c>
      <c r="G1299" s="113"/>
    </row>
    <row r="1300" customHeight="1" spans="1:7">
      <c r="A1300" s="113">
        <f>领料单!BU122</f>
        <v>0</v>
      </c>
      <c r="B1300" s="113">
        <f>领料单!BV122</f>
        <v>0</v>
      </c>
      <c r="C1300" s="113">
        <f>领料单!BW122</f>
        <v>0</v>
      </c>
      <c r="D1300" s="113">
        <f>领料单!BX122</f>
        <v>0</v>
      </c>
      <c r="E1300" s="113">
        <f>领料单!BY122</f>
        <v>0</v>
      </c>
      <c r="F1300" s="113">
        <f>领料单!BZ122</f>
        <v>0</v>
      </c>
      <c r="G1300" s="113"/>
    </row>
    <row r="1301" customHeight="1" spans="1:7">
      <c r="A1301" s="113">
        <f>领料单!BU123</f>
        <v>0</v>
      </c>
      <c r="B1301" s="113">
        <f>领料单!BV123</f>
        <v>0</v>
      </c>
      <c r="C1301" s="113">
        <f>领料单!BW123</f>
        <v>0</v>
      </c>
      <c r="D1301" s="113">
        <f>领料单!BX123</f>
        <v>0</v>
      </c>
      <c r="E1301" s="113">
        <f>领料单!BY123</f>
        <v>0</v>
      </c>
      <c r="F1301" s="113">
        <f>领料单!BZ123</f>
        <v>0</v>
      </c>
      <c r="G1301" s="113"/>
    </row>
    <row r="1302" customHeight="1" spans="1:7">
      <c r="A1302" s="113">
        <f>领料单!BU125</f>
        <v>0</v>
      </c>
      <c r="B1302" s="113">
        <f>领料单!BV125</f>
        <v>0</v>
      </c>
      <c r="C1302" s="113">
        <f>领料单!BW125</f>
        <v>0</v>
      </c>
      <c r="D1302" s="113">
        <f>领料单!BX125</f>
        <v>0</v>
      </c>
      <c r="E1302" s="113">
        <f>领料单!BY125</f>
        <v>0</v>
      </c>
      <c r="F1302" s="113">
        <f>领料单!BZ125</f>
        <v>0</v>
      </c>
      <c r="G1302" s="113"/>
    </row>
    <row r="1303" customHeight="1" spans="1:7">
      <c r="A1303" s="113">
        <f>领料单!BU125</f>
        <v>0</v>
      </c>
      <c r="B1303" s="113">
        <f>领料单!BV125</f>
        <v>0</v>
      </c>
      <c r="C1303" s="113">
        <f>领料单!BW125</f>
        <v>0</v>
      </c>
      <c r="D1303" s="113">
        <f>领料单!BX125</f>
        <v>0</v>
      </c>
      <c r="E1303" s="113">
        <f>领料单!BY125</f>
        <v>0</v>
      </c>
      <c r="F1303" s="113">
        <f>领料单!BZ125</f>
        <v>0</v>
      </c>
      <c r="G1303" s="113"/>
    </row>
    <row r="1304" customHeight="1" spans="1:7">
      <c r="A1304" s="113">
        <f>领料单!BU126</f>
        <v>0</v>
      </c>
      <c r="B1304" s="113">
        <f>领料单!BV126</f>
        <v>0</v>
      </c>
      <c r="C1304" s="113">
        <f>领料单!BW126</f>
        <v>0</v>
      </c>
      <c r="D1304" s="113">
        <f>领料单!BX126</f>
        <v>0</v>
      </c>
      <c r="E1304" s="113">
        <f>领料单!BY126</f>
        <v>0</v>
      </c>
      <c r="F1304" s="113">
        <f>领料单!BZ126</f>
        <v>0</v>
      </c>
      <c r="G1304" s="113"/>
    </row>
    <row r="1305" customHeight="1" spans="1:7">
      <c r="A1305" s="113">
        <f>领料单!BU127</f>
        <v>0</v>
      </c>
      <c r="B1305" s="113">
        <f>领料单!BV127</f>
        <v>0</v>
      </c>
      <c r="C1305" s="113">
        <f>领料单!BW127</f>
        <v>0</v>
      </c>
      <c r="D1305" s="113">
        <f>领料单!BX127</f>
        <v>0</v>
      </c>
      <c r="E1305" s="113">
        <f>领料单!BY127</f>
        <v>0</v>
      </c>
      <c r="F1305" s="113">
        <f>领料单!BZ127</f>
        <v>0</v>
      </c>
      <c r="G1305" s="113"/>
    </row>
    <row r="1306" customHeight="1" spans="1:7">
      <c r="A1306" s="113">
        <f>领料单!BU128</f>
        <v>0</v>
      </c>
      <c r="B1306" s="113">
        <f>领料单!BV128</f>
        <v>0</v>
      </c>
      <c r="C1306" s="113">
        <f>领料单!BW128</f>
        <v>0</v>
      </c>
      <c r="D1306" s="113">
        <f>领料单!BX128</f>
        <v>0</v>
      </c>
      <c r="E1306" s="113">
        <f>领料单!BY128</f>
        <v>0</v>
      </c>
      <c r="F1306" s="113">
        <f>领料单!BZ128</f>
        <v>0</v>
      </c>
      <c r="G1306" s="113"/>
    </row>
    <row r="1307" customHeight="1" spans="1:7">
      <c r="A1307" s="113">
        <f>领料单!BU129</f>
        <v>0</v>
      </c>
      <c r="B1307" s="113">
        <f>领料单!BV129</f>
        <v>0</v>
      </c>
      <c r="C1307" s="113">
        <f>领料单!BW129</f>
        <v>0</v>
      </c>
      <c r="D1307" s="113">
        <f>领料单!BX129</f>
        <v>0</v>
      </c>
      <c r="E1307" s="113">
        <f>领料单!BY129</f>
        <v>0</v>
      </c>
      <c r="F1307" s="113">
        <f>领料单!BZ129</f>
        <v>0</v>
      </c>
      <c r="G1307" s="113"/>
    </row>
    <row r="1308" customHeight="1" spans="1:7">
      <c r="A1308" s="115" t="s">
        <v>340</v>
      </c>
      <c r="B1308" s="116"/>
      <c r="C1308" s="116"/>
      <c r="D1308" s="116"/>
      <c r="E1308" s="117"/>
      <c r="F1308" s="118">
        <f>SUM(F1296:F1307)</f>
        <v>0</v>
      </c>
      <c r="G1308" s="114"/>
    </row>
    <row r="1309" customHeight="1" spans="1:7">
      <c r="A1309" s="119" t="s">
        <v>341</v>
      </c>
      <c r="B1309" s="119"/>
      <c r="C1309" s="120"/>
      <c r="D1309" s="119"/>
      <c r="E1309" s="121" t="s">
        <v>342</v>
      </c>
      <c r="F1309" s="119"/>
      <c r="G1309" s="119"/>
    </row>
    <row r="1312" customHeight="1" spans="1:7">
      <c r="A1312" s="105"/>
      <c r="B1312" s="106"/>
      <c r="C1312" s="107" t="s">
        <v>330</v>
      </c>
      <c r="D1312" s="107"/>
      <c r="E1312" s="107"/>
      <c r="F1312" s="105"/>
      <c r="G1312" s="105"/>
    </row>
    <row r="1313" customHeight="1" spans="1:7">
      <c r="A1313" s="108" t="s">
        <v>331</v>
      </c>
      <c r="B1313" s="109"/>
      <c r="C1313" s="110">
        <v>45869</v>
      </c>
      <c r="D1313" s="110"/>
      <c r="E1313" s="110"/>
      <c r="F1313" s="111" t="s">
        <v>332</v>
      </c>
      <c r="G1313" s="112" t="str">
        <f>立项!$A$12</f>
        <v>RD10</v>
      </c>
    </row>
    <row r="1314" customHeight="1" spans="1:7">
      <c r="A1314" s="113" t="s">
        <v>333</v>
      </c>
      <c r="B1314" s="113" t="s">
        <v>334</v>
      </c>
      <c r="C1314" s="113" t="s">
        <v>335</v>
      </c>
      <c r="D1314" s="113" t="s">
        <v>336</v>
      </c>
      <c r="E1314" s="113" t="s">
        <v>337</v>
      </c>
      <c r="F1314" s="113" t="s">
        <v>338</v>
      </c>
      <c r="G1314" s="113" t="s">
        <v>339</v>
      </c>
    </row>
    <row r="1315" customHeight="1" spans="1:7">
      <c r="A1315" s="113">
        <f>领料单!CC118</f>
        <v>0</v>
      </c>
      <c r="B1315" s="113">
        <f>领料单!CD118</f>
        <v>0</v>
      </c>
      <c r="C1315" s="113">
        <f>领料单!CE118</f>
        <v>0</v>
      </c>
      <c r="D1315" s="113">
        <f>领料单!CF118</f>
        <v>0</v>
      </c>
      <c r="E1315" s="113">
        <f>领料单!CG118</f>
        <v>0</v>
      </c>
      <c r="F1315" s="113">
        <f>领料单!CH118</f>
        <v>0</v>
      </c>
      <c r="G1315" s="113"/>
    </row>
    <row r="1316" customHeight="1" spans="1:7">
      <c r="A1316" s="113">
        <f>领料单!CC119</f>
        <v>0</v>
      </c>
      <c r="B1316" s="113">
        <f>领料单!CD119</f>
        <v>0</v>
      </c>
      <c r="C1316" s="113">
        <f>领料单!CE119</f>
        <v>0</v>
      </c>
      <c r="D1316" s="113">
        <f>领料单!CF119</f>
        <v>0</v>
      </c>
      <c r="E1316" s="113">
        <f>领料单!CG119</f>
        <v>0</v>
      </c>
      <c r="F1316" s="113">
        <f>领料单!CH119</f>
        <v>0</v>
      </c>
      <c r="G1316" s="113"/>
    </row>
    <row r="1317" customHeight="1" spans="1:7">
      <c r="A1317" s="113">
        <f>领料单!CC120</f>
        <v>0</v>
      </c>
      <c r="B1317" s="113">
        <f>领料单!CD120</f>
        <v>0</v>
      </c>
      <c r="C1317" s="113">
        <f>领料单!CE120</f>
        <v>0</v>
      </c>
      <c r="D1317" s="113">
        <f>领料单!CF120</f>
        <v>0</v>
      </c>
      <c r="E1317" s="113">
        <f>领料单!CG120</f>
        <v>0</v>
      </c>
      <c r="F1317" s="113">
        <f>领料单!CH120</f>
        <v>0</v>
      </c>
      <c r="G1317" s="113"/>
    </row>
    <row r="1318" customHeight="1" spans="1:7">
      <c r="A1318" s="113">
        <f>领料单!CC121</f>
        <v>0</v>
      </c>
      <c r="B1318" s="113">
        <f>领料单!CD121</f>
        <v>0</v>
      </c>
      <c r="C1318" s="113">
        <f>领料单!CE121</f>
        <v>0</v>
      </c>
      <c r="D1318" s="113">
        <f>领料单!CF121</f>
        <v>0</v>
      </c>
      <c r="E1318" s="113">
        <f>领料单!CG121</f>
        <v>0</v>
      </c>
      <c r="F1318" s="113">
        <f>领料单!CH121</f>
        <v>0</v>
      </c>
      <c r="G1318" s="113"/>
    </row>
    <row r="1319" customHeight="1" spans="1:7">
      <c r="A1319" s="113">
        <f>领料单!CC122</f>
        <v>0</v>
      </c>
      <c r="B1319" s="113">
        <f>领料单!CD122</f>
        <v>0</v>
      </c>
      <c r="C1319" s="113">
        <f>领料单!CE122</f>
        <v>0</v>
      </c>
      <c r="D1319" s="113">
        <f>领料单!CF122</f>
        <v>0</v>
      </c>
      <c r="E1319" s="113">
        <f>领料单!CG122</f>
        <v>0</v>
      </c>
      <c r="F1319" s="113">
        <f>领料单!CH122</f>
        <v>0</v>
      </c>
      <c r="G1319" s="113"/>
    </row>
    <row r="1320" customHeight="1" spans="1:7">
      <c r="A1320" s="113">
        <f>领料单!CC123</f>
        <v>0</v>
      </c>
      <c r="B1320" s="113">
        <f>领料单!CD123</f>
        <v>0</v>
      </c>
      <c r="C1320" s="113">
        <f>领料单!CE123</f>
        <v>0</v>
      </c>
      <c r="D1320" s="113">
        <f>领料单!CF123</f>
        <v>0</v>
      </c>
      <c r="E1320" s="113">
        <f>领料单!CG123</f>
        <v>0</v>
      </c>
      <c r="F1320" s="113">
        <f>领料单!CH123</f>
        <v>0</v>
      </c>
      <c r="G1320" s="113"/>
    </row>
    <row r="1321" customHeight="1" spans="1:7">
      <c r="A1321" s="113">
        <f>领料单!CC125</f>
        <v>0</v>
      </c>
      <c r="B1321" s="113">
        <f>领料单!CD125</f>
        <v>0</v>
      </c>
      <c r="C1321" s="113">
        <f>领料单!CE125</f>
        <v>0</v>
      </c>
      <c r="D1321" s="113">
        <f>领料单!CF125</f>
        <v>0</v>
      </c>
      <c r="E1321" s="113">
        <f>领料单!CG125</f>
        <v>0</v>
      </c>
      <c r="F1321" s="113">
        <f>领料单!CH125</f>
        <v>0</v>
      </c>
      <c r="G1321" s="113"/>
    </row>
    <row r="1322" customHeight="1" spans="1:7">
      <c r="A1322" s="113">
        <f>领料单!CC125</f>
        <v>0</v>
      </c>
      <c r="B1322" s="113">
        <f>领料单!CD125</f>
        <v>0</v>
      </c>
      <c r="C1322" s="113">
        <f>领料单!CE125</f>
        <v>0</v>
      </c>
      <c r="D1322" s="113">
        <f>领料单!CF125</f>
        <v>0</v>
      </c>
      <c r="E1322" s="113">
        <f>领料单!CG125</f>
        <v>0</v>
      </c>
      <c r="F1322" s="113">
        <f>领料单!CH125</f>
        <v>0</v>
      </c>
      <c r="G1322" s="113"/>
    </row>
    <row r="1323" customHeight="1" spans="1:7">
      <c r="A1323" s="113">
        <f>领料单!CC126</f>
        <v>0</v>
      </c>
      <c r="B1323" s="113">
        <f>领料单!CD126</f>
        <v>0</v>
      </c>
      <c r="C1323" s="113">
        <f>领料单!CE126</f>
        <v>0</v>
      </c>
      <c r="D1323" s="113">
        <f>领料单!CF126</f>
        <v>0</v>
      </c>
      <c r="E1323" s="113">
        <f>领料单!CG126</f>
        <v>0</v>
      </c>
      <c r="F1323" s="113">
        <f>领料单!CH126</f>
        <v>0</v>
      </c>
      <c r="G1323" s="113"/>
    </row>
    <row r="1324" customHeight="1" spans="1:7">
      <c r="A1324" s="113">
        <f>领料单!CC127</f>
        <v>0</v>
      </c>
      <c r="B1324" s="113">
        <f>领料单!CD127</f>
        <v>0</v>
      </c>
      <c r="C1324" s="113">
        <f>领料单!CE127</f>
        <v>0</v>
      </c>
      <c r="D1324" s="113">
        <f>领料单!CF127</f>
        <v>0</v>
      </c>
      <c r="E1324" s="113">
        <f>领料单!CG127</f>
        <v>0</v>
      </c>
      <c r="F1324" s="113">
        <f>领料单!CH127</f>
        <v>0</v>
      </c>
      <c r="G1324" s="113"/>
    </row>
    <row r="1325" customHeight="1" spans="1:7">
      <c r="A1325" s="113">
        <f>领料单!CC128</f>
        <v>0</v>
      </c>
      <c r="B1325" s="113">
        <f>领料单!CD128</f>
        <v>0</v>
      </c>
      <c r="C1325" s="113">
        <f>领料单!CE128</f>
        <v>0</v>
      </c>
      <c r="D1325" s="113">
        <f>领料单!CF128</f>
        <v>0</v>
      </c>
      <c r="E1325" s="113">
        <f>领料单!CG128</f>
        <v>0</v>
      </c>
      <c r="F1325" s="113">
        <f>领料单!CH128</f>
        <v>0</v>
      </c>
      <c r="G1325" s="113"/>
    </row>
    <row r="1326" customHeight="1" spans="1:7">
      <c r="A1326" s="113">
        <f>领料单!CC129</f>
        <v>0</v>
      </c>
      <c r="B1326" s="113">
        <f>领料单!CD129</f>
        <v>0</v>
      </c>
      <c r="C1326" s="113">
        <f>领料单!CE129</f>
        <v>0</v>
      </c>
      <c r="D1326" s="113">
        <f>领料单!CF129</f>
        <v>0</v>
      </c>
      <c r="E1326" s="113">
        <f>领料单!CG129</f>
        <v>0</v>
      </c>
      <c r="F1326" s="113">
        <f>领料单!CH129</f>
        <v>0</v>
      </c>
      <c r="G1326" s="113"/>
    </row>
    <row r="1327" customHeight="1" spans="1:7">
      <c r="A1327" s="115" t="s">
        <v>340</v>
      </c>
      <c r="B1327" s="116"/>
      <c r="C1327" s="116"/>
      <c r="D1327" s="116"/>
      <c r="E1327" s="117"/>
      <c r="F1327" s="118">
        <f>SUM(F1315:F1326)</f>
        <v>0</v>
      </c>
      <c r="G1327" s="114"/>
    </row>
    <row r="1328" customHeight="1" spans="1:7">
      <c r="A1328" s="119" t="s">
        <v>341</v>
      </c>
      <c r="B1328" s="119"/>
      <c r="C1328" s="120"/>
      <c r="D1328" s="119"/>
      <c r="E1328" s="121" t="s">
        <v>342</v>
      </c>
      <c r="F1328" s="119"/>
      <c r="G1328" s="119"/>
    </row>
    <row r="1331" customHeight="1" spans="1:7">
      <c r="A1331" s="105"/>
      <c r="B1331" s="106"/>
      <c r="C1331" s="107" t="s">
        <v>330</v>
      </c>
      <c r="D1331" s="107"/>
      <c r="E1331" s="107"/>
      <c r="F1331" s="105"/>
      <c r="G1331" s="105"/>
    </row>
    <row r="1332" customHeight="1" spans="1:7">
      <c r="A1332" s="108" t="s">
        <v>331</v>
      </c>
      <c r="B1332" s="109"/>
      <c r="C1332" s="110">
        <v>45900</v>
      </c>
      <c r="D1332" s="110"/>
      <c r="E1332" s="110"/>
      <c r="F1332" s="111" t="s">
        <v>332</v>
      </c>
      <c r="G1332" s="112" t="str">
        <f>立项!$A$3</f>
        <v>RD01</v>
      </c>
    </row>
    <row r="1333" customHeight="1" spans="1:7">
      <c r="A1333" s="113" t="s">
        <v>333</v>
      </c>
      <c r="B1333" s="113" t="s">
        <v>334</v>
      </c>
      <c r="C1333" s="113" t="s">
        <v>335</v>
      </c>
      <c r="D1333" s="113" t="s">
        <v>336</v>
      </c>
      <c r="E1333" s="113" t="s">
        <v>337</v>
      </c>
      <c r="F1333" s="113" t="s">
        <v>338</v>
      </c>
      <c r="G1333" s="113" t="s">
        <v>339</v>
      </c>
    </row>
    <row r="1334" customHeight="1" spans="1:7">
      <c r="A1334" s="113">
        <f>领料单!I137</f>
        <v>0</v>
      </c>
      <c r="B1334" s="113">
        <f>领料单!J137</f>
        <v>0</v>
      </c>
      <c r="C1334" s="113">
        <f>领料单!K137</f>
        <v>0</v>
      </c>
      <c r="D1334" s="113">
        <f>领料单!L137</f>
        <v>0</v>
      </c>
      <c r="E1334" s="113">
        <f>领料单!M137</f>
        <v>0</v>
      </c>
      <c r="F1334" s="113">
        <f>领料单!N137</f>
        <v>0</v>
      </c>
      <c r="G1334" s="113"/>
    </row>
    <row r="1335" customHeight="1" spans="1:7">
      <c r="A1335" s="113">
        <f>领料单!I138</f>
        <v>0</v>
      </c>
      <c r="B1335" s="113">
        <f>领料单!J138</f>
        <v>0</v>
      </c>
      <c r="C1335" s="113">
        <f>领料单!K138</f>
        <v>0</v>
      </c>
      <c r="D1335" s="113">
        <f>领料单!L138</f>
        <v>0</v>
      </c>
      <c r="E1335" s="113">
        <f>领料单!M138</f>
        <v>0</v>
      </c>
      <c r="F1335" s="113">
        <f>领料单!N138</f>
        <v>0</v>
      </c>
      <c r="G1335" s="113"/>
    </row>
    <row r="1336" customHeight="1" spans="1:7">
      <c r="A1336" s="113">
        <f>领料单!I139</f>
        <v>0</v>
      </c>
      <c r="B1336" s="113">
        <f>领料单!J139</f>
        <v>0</v>
      </c>
      <c r="C1336" s="113">
        <f>领料单!K139</f>
        <v>0</v>
      </c>
      <c r="D1336" s="113">
        <f>领料单!L139</f>
        <v>0</v>
      </c>
      <c r="E1336" s="113">
        <f>领料单!M139</f>
        <v>0</v>
      </c>
      <c r="F1336" s="113">
        <f>领料单!N139</f>
        <v>0</v>
      </c>
      <c r="G1336" s="113"/>
    </row>
    <row r="1337" customHeight="1" spans="1:7">
      <c r="A1337" s="113">
        <f>领料单!I140</f>
        <v>0</v>
      </c>
      <c r="B1337" s="113">
        <f>领料单!J140</f>
        <v>0</v>
      </c>
      <c r="C1337" s="113">
        <f>领料单!K140</f>
        <v>0</v>
      </c>
      <c r="D1337" s="113">
        <f>领料单!L140</f>
        <v>0</v>
      </c>
      <c r="E1337" s="113">
        <f>领料单!M140</f>
        <v>0</v>
      </c>
      <c r="F1337" s="113">
        <f>领料单!N140</f>
        <v>0</v>
      </c>
      <c r="G1337" s="113"/>
    </row>
    <row r="1338" customHeight="1" spans="1:7">
      <c r="A1338" s="113">
        <f>领料单!I141</f>
        <v>0</v>
      </c>
      <c r="B1338" s="113">
        <f>领料单!J141</f>
        <v>0</v>
      </c>
      <c r="C1338" s="113">
        <f>领料单!K141</f>
        <v>0</v>
      </c>
      <c r="D1338" s="113">
        <f>领料单!L141</f>
        <v>0</v>
      </c>
      <c r="E1338" s="113">
        <f>领料单!M141</f>
        <v>0</v>
      </c>
      <c r="F1338" s="113">
        <f>领料单!N141</f>
        <v>0</v>
      </c>
      <c r="G1338" s="113"/>
    </row>
    <row r="1339" customHeight="1" spans="1:7">
      <c r="A1339" s="113">
        <f>领料单!I142</f>
        <v>0</v>
      </c>
      <c r="B1339" s="113">
        <f>领料单!J142</f>
        <v>0</v>
      </c>
      <c r="C1339" s="113">
        <f>领料单!K142</f>
        <v>0</v>
      </c>
      <c r="D1339" s="113">
        <f>领料单!L142</f>
        <v>0</v>
      </c>
      <c r="E1339" s="113">
        <f>领料单!M142</f>
        <v>0</v>
      </c>
      <c r="F1339" s="113">
        <f>领料单!N142</f>
        <v>0</v>
      </c>
      <c r="G1339" s="113"/>
    </row>
    <row r="1340" customHeight="1" spans="1:7">
      <c r="A1340" s="113">
        <f>领料单!I143</f>
        <v>0</v>
      </c>
      <c r="B1340" s="113">
        <f>领料单!J143</f>
        <v>0</v>
      </c>
      <c r="C1340" s="113">
        <f>领料单!K143</f>
        <v>0</v>
      </c>
      <c r="D1340" s="113">
        <f>领料单!L143</f>
        <v>0</v>
      </c>
      <c r="E1340" s="113">
        <f>领料单!M143</f>
        <v>0</v>
      </c>
      <c r="F1340" s="113">
        <f>领料单!N143</f>
        <v>0</v>
      </c>
      <c r="G1340" s="113"/>
    </row>
    <row r="1341" customHeight="1" spans="1:7">
      <c r="A1341" s="113">
        <f>领料单!I144</f>
        <v>0</v>
      </c>
      <c r="B1341" s="113">
        <f>领料单!J144</f>
        <v>0</v>
      </c>
      <c r="C1341" s="113">
        <f>领料单!K144</f>
        <v>0</v>
      </c>
      <c r="D1341" s="113">
        <f>领料单!L144</f>
        <v>0</v>
      </c>
      <c r="E1341" s="113">
        <f>领料单!M144</f>
        <v>0</v>
      </c>
      <c r="F1341" s="113">
        <f>领料单!N144</f>
        <v>0</v>
      </c>
      <c r="G1341" s="113"/>
    </row>
    <row r="1342" customHeight="1" spans="1:7">
      <c r="A1342" s="113">
        <f>领料单!I145</f>
        <v>0</v>
      </c>
      <c r="B1342" s="113">
        <f>领料单!J145</f>
        <v>0</v>
      </c>
      <c r="C1342" s="113">
        <f>领料单!K145</f>
        <v>0</v>
      </c>
      <c r="D1342" s="113">
        <f>领料单!L145</f>
        <v>0</v>
      </c>
      <c r="E1342" s="113">
        <f>领料单!M145</f>
        <v>0</v>
      </c>
      <c r="F1342" s="113">
        <f>领料单!N145</f>
        <v>0</v>
      </c>
      <c r="G1342" s="113"/>
    </row>
    <row r="1343" customHeight="1" spans="1:7">
      <c r="A1343" s="113">
        <f>领料单!I146</f>
        <v>0</v>
      </c>
      <c r="B1343" s="113">
        <f>领料单!J146</f>
        <v>0</v>
      </c>
      <c r="C1343" s="113">
        <f>领料单!K146</f>
        <v>0</v>
      </c>
      <c r="D1343" s="113">
        <f>领料单!L146</f>
        <v>0</v>
      </c>
      <c r="E1343" s="113">
        <f>领料单!M146</f>
        <v>0</v>
      </c>
      <c r="F1343" s="113">
        <f>领料单!N146</f>
        <v>0</v>
      </c>
      <c r="G1343" s="113"/>
    </row>
    <row r="1344" customHeight="1" spans="1:7">
      <c r="A1344" s="113">
        <f>领料单!I147</f>
        <v>0</v>
      </c>
      <c r="B1344" s="113">
        <f>领料单!J147</f>
        <v>0</v>
      </c>
      <c r="C1344" s="113">
        <f>领料单!K147</f>
        <v>0</v>
      </c>
      <c r="D1344" s="113">
        <f>领料单!L147</f>
        <v>0</v>
      </c>
      <c r="E1344" s="113">
        <f>领料单!M147</f>
        <v>0</v>
      </c>
      <c r="F1344" s="113">
        <f>领料单!N147</f>
        <v>0</v>
      </c>
      <c r="G1344" s="113"/>
    </row>
    <row r="1345" customHeight="1" spans="1:7">
      <c r="A1345" s="113">
        <f>领料单!I148</f>
        <v>0</v>
      </c>
      <c r="B1345" s="113">
        <f>领料单!J148</f>
        <v>0</v>
      </c>
      <c r="C1345" s="113">
        <f>领料单!K148</f>
        <v>0</v>
      </c>
      <c r="D1345" s="113">
        <f>领料单!L148</f>
        <v>0</v>
      </c>
      <c r="E1345" s="113">
        <f>领料单!M148</f>
        <v>0</v>
      </c>
      <c r="F1345" s="113">
        <f>领料单!N148</f>
        <v>0</v>
      </c>
      <c r="G1345" s="113"/>
    </row>
    <row r="1346" customHeight="1" spans="1:7">
      <c r="A1346" s="115" t="s">
        <v>340</v>
      </c>
      <c r="B1346" s="116"/>
      <c r="C1346" s="116"/>
      <c r="D1346" s="116"/>
      <c r="E1346" s="117"/>
      <c r="F1346" s="118">
        <f>SUM(F1334:F1345)</f>
        <v>0</v>
      </c>
      <c r="G1346" s="114"/>
    </row>
    <row r="1347" customHeight="1" spans="1:7">
      <c r="A1347" s="119" t="s">
        <v>341</v>
      </c>
      <c r="B1347" s="119"/>
      <c r="C1347" s="120"/>
      <c r="D1347" s="119"/>
      <c r="E1347" s="121" t="s">
        <v>342</v>
      </c>
      <c r="F1347" s="119"/>
      <c r="G1347" s="119"/>
    </row>
    <row r="1350" customHeight="1" spans="1:7">
      <c r="A1350" s="105"/>
      <c r="B1350" s="106"/>
      <c r="C1350" s="107" t="s">
        <v>330</v>
      </c>
      <c r="D1350" s="107"/>
      <c r="E1350" s="107"/>
      <c r="F1350" s="105"/>
      <c r="G1350" s="105"/>
    </row>
    <row r="1351" customHeight="1" spans="1:7">
      <c r="A1351" s="108" t="s">
        <v>331</v>
      </c>
      <c r="B1351" s="109"/>
      <c r="C1351" s="110">
        <v>45900</v>
      </c>
      <c r="D1351" s="110"/>
      <c r="E1351" s="110"/>
      <c r="F1351" s="111" t="s">
        <v>332</v>
      </c>
      <c r="G1351" s="112" t="str">
        <f>立项!$A$4</f>
        <v>RD02</v>
      </c>
    </row>
    <row r="1352" customHeight="1" spans="1:7">
      <c r="A1352" s="113" t="s">
        <v>333</v>
      </c>
      <c r="B1352" s="113" t="s">
        <v>334</v>
      </c>
      <c r="C1352" s="113" t="s">
        <v>335</v>
      </c>
      <c r="D1352" s="113" t="s">
        <v>336</v>
      </c>
      <c r="E1352" s="113" t="s">
        <v>337</v>
      </c>
      <c r="F1352" s="113" t="s">
        <v>338</v>
      </c>
      <c r="G1352" s="113" t="s">
        <v>339</v>
      </c>
    </row>
    <row r="1353" customHeight="1" spans="1:7">
      <c r="A1353" s="113">
        <f>领料单!Q137</f>
        <v>0</v>
      </c>
      <c r="B1353" s="113">
        <f>领料单!R137</f>
        <v>0</v>
      </c>
      <c r="C1353" s="113">
        <f>领料单!S137</f>
        <v>0</v>
      </c>
      <c r="D1353" s="113">
        <f>领料单!T137</f>
        <v>0</v>
      </c>
      <c r="E1353" s="113">
        <f>领料单!U137</f>
        <v>0</v>
      </c>
      <c r="F1353" s="113">
        <f>领料单!V137</f>
        <v>0</v>
      </c>
      <c r="G1353" s="113"/>
    </row>
    <row r="1354" customHeight="1" spans="1:7">
      <c r="A1354" s="113">
        <f>领料单!Q138</f>
        <v>0</v>
      </c>
      <c r="B1354" s="113">
        <f>领料单!R138</f>
        <v>0</v>
      </c>
      <c r="C1354" s="113">
        <f>领料单!S138</f>
        <v>0</v>
      </c>
      <c r="D1354" s="113">
        <f>领料单!T138</f>
        <v>0</v>
      </c>
      <c r="E1354" s="113">
        <f>领料单!U138</f>
        <v>0</v>
      </c>
      <c r="F1354" s="113">
        <f>领料单!V138</f>
        <v>0</v>
      </c>
      <c r="G1354" s="113"/>
    </row>
    <row r="1355" customHeight="1" spans="1:7">
      <c r="A1355" s="113">
        <f>领料单!Q139</f>
        <v>0</v>
      </c>
      <c r="B1355" s="113">
        <f>领料单!R139</f>
        <v>0</v>
      </c>
      <c r="C1355" s="113">
        <f>领料单!S139</f>
        <v>0</v>
      </c>
      <c r="D1355" s="113">
        <f>领料单!T139</f>
        <v>0</v>
      </c>
      <c r="E1355" s="113">
        <f>领料单!U139</f>
        <v>0</v>
      </c>
      <c r="F1355" s="113">
        <f>领料单!V139</f>
        <v>0</v>
      </c>
      <c r="G1355" s="113"/>
    </row>
    <row r="1356" customHeight="1" spans="1:7">
      <c r="A1356" s="113">
        <f>领料单!Q140</f>
        <v>0</v>
      </c>
      <c r="B1356" s="113">
        <f>领料单!R140</f>
        <v>0</v>
      </c>
      <c r="C1356" s="113">
        <f>领料单!S140</f>
        <v>0</v>
      </c>
      <c r="D1356" s="113">
        <f>领料单!T140</f>
        <v>0</v>
      </c>
      <c r="E1356" s="113">
        <f>领料单!U140</f>
        <v>0</v>
      </c>
      <c r="F1356" s="113">
        <f>领料单!V140</f>
        <v>0</v>
      </c>
      <c r="G1356" s="113"/>
    </row>
    <row r="1357" customHeight="1" spans="1:7">
      <c r="A1357" s="113">
        <f>领料单!Q141</f>
        <v>0</v>
      </c>
      <c r="B1357" s="113">
        <f>领料单!R141</f>
        <v>0</v>
      </c>
      <c r="C1357" s="113">
        <f>领料单!S141</f>
        <v>0</v>
      </c>
      <c r="D1357" s="113">
        <f>领料单!T141</f>
        <v>0</v>
      </c>
      <c r="E1357" s="113">
        <f>领料单!U141</f>
        <v>0</v>
      </c>
      <c r="F1357" s="113">
        <f>领料单!V141</f>
        <v>0</v>
      </c>
      <c r="G1357" s="113"/>
    </row>
    <row r="1358" customHeight="1" spans="1:7">
      <c r="A1358" s="113">
        <f>领料单!Q142</f>
        <v>0</v>
      </c>
      <c r="B1358" s="113">
        <f>领料单!R142</f>
        <v>0</v>
      </c>
      <c r="C1358" s="113">
        <f>领料单!S142</f>
        <v>0</v>
      </c>
      <c r="D1358" s="113">
        <f>领料单!T142</f>
        <v>0</v>
      </c>
      <c r="E1358" s="113">
        <f>领料单!U142</f>
        <v>0</v>
      </c>
      <c r="F1358" s="113">
        <f>领料单!V142</f>
        <v>0</v>
      </c>
      <c r="G1358" s="113"/>
    </row>
    <row r="1359" customHeight="1" spans="1:7">
      <c r="A1359" s="113">
        <f>领料单!Q143</f>
        <v>0</v>
      </c>
      <c r="B1359" s="113">
        <f>领料单!R143</f>
        <v>0</v>
      </c>
      <c r="C1359" s="113">
        <f>领料单!S143</f>
        <v>0</v>
      </c>
      <c r="D1359" s="113">
        <f>领料单!T143</f>
        <v>0</v>
      </c>
      <c r="E1359" s="113">
        <f>领料单!U143</f>
        <v>0</v>
      </c>
      <c r="F1359" s="113">
        <f>领料单!V143</f>
        <v>0</v>
      </c>
      <c r="G1359" s="113"/>
    </row>
    <row r="1360" customHeight="1" spans="1:7">
      <c r="A1360" s="113">
        <f>领料单!Q144</f>
        <v>0</v>
      </c>
      <c r="B1360" s="113">
        <f>领料单!R144</f>
        <v>0</v>
      </c>
      <c r="C1360" s="113">
        <f>领料单!S144</f>
        <v>0</v>
      </c>
      <c r="D1360" s="113">
        <f>领料单!T144</f>
        <v>0</v>
      </c>
      <c r="E1360" s="113">
        <f>领料单!U144</f>
        <v>0</v>
      </c>
      <c r="F1360" s="113">
        <f>领料单!V144</f>
        <v>0</v>
      </c>
      <c r="G1360" s="113"/>
    </row>
    <row r="1361" customHeight="1" spans="1:7">
      <c r="A1361" s="113">
        <f>领料单!Q145</f>
        <v>0</v>
      </c>
      <c r="B1361" s="113">
        <f>领料单!R145</f>
        <v>0</v>
      </c>
      <c r="C1361" s="113">
        <f>领料单!S145</f>
        <v>0</v>
      </c>
      <c r="D1361" s="113">
        <f>领料单!T145</f>
        <v>0</v>
      </c>
      <c r="E1361" s="113">
        <f>领料单!U145</f>
        <v>0</v>
      </c>
      <c r="F1361" s="113">
        <f>领料单!V145</f>
        <v>0</v>
      </c>
      <c r="G1361" s="113"/>
    </row>
    <row r="1362" customHeight="1" spans="1:7">
      <c r="A1362" s="113">
        <f>领料单!Q146</f>
        <v>0</v>
      </c>
      <c r="B1362" s="113">
        <f>领料单!R146</f>
        <v>0</v>
      </c>
      <c r="C1362" s="113">
        <f>领料单!S146</f>
        <v>0</v>
      </c>
      <c r="D1362" s="113">
        <f>领料单!T146</f>
        <v>0</v>
      </c>
      <c r="E1362" s="113">
        <f>领料单!U146</f>
        <v>0</v>
      </c>
      <c r="F1362" s="113">
        <f>领料单!V146</f>
        <v>0</v>
      </c>
      <c r="G1362" s="113"/>
    </row>
    <row r="1363" customHeight="1" spans="1:7">
      <c r="A1363" s="113">
        <f>领料单!Q147</f>
        <v>0</v>
      </c>
      <c r="B1363" s="113">
        <f>领料单!R147</f>
        <v>0</v>
      </c>
      <c r="C1363" s="113">
        <f>领料单!S147</f>
        <v>0</v>
      </c>
      <c r="D1363" s="113">
        <f>领料单!T147</f>
        <v>0</v>
      </c>
      <c r="E1363" s="113">
        <f>领料单!U147</f>
        <v>0</v>
      </c>
      <c r="F1363" s="113">
        <f>领料单!V147</f>
        <v>0</v>
      </c>
      <c r="G1363" s="113"/>
    </row>
    <row r="1364" customHeight="1" spans="1:7">
      <c r="A1364" s="113">
        <f>领料单!Q148</f>
        <v>0</v>
      </c>
      <c r="B1364" s="113">
        <f>领料单!R148</f>
        <v>0</v>
      </c>
      <c r="C1364" s="113">
        <f>领料单!S148</f>
        <v>0</v>
      </c>
      <c r="D1364" s="113">
        <f>领料单!T148</f>
        <v>0</v>
      </c>
      <c r="E1364" s="113">
        <f>领料单!U148</f>
        <v>0</v>
      </c>
      <c r="F1364" s="113">
        <f>领料单!V148</f>
        <v>0</v>
      </c>
      <c r="G1364" s="113"/>
    </row>
    <row r="1365" customHeight="1" spans="1:7">
      <c r="A1365" s="115" t="s">
        <v>340</v>
      </c>
      <c r="B1365" s="116"/>
      <c r="C1365" s="116"/>
      <c r="D1365" s="116"/>
      <c r="E1365" s="117"/>
      <c r="F1365" s="118">
        <f>SUM(F1353:F1364)</f>
        <v>0</v>
      </c>
      <c r="G1365" s="114"/>
    </row>
    <row r="1366" customHeight="1" spans="1:7">
      <c r="A1366" s="119" t="s">
        <v>341</v>
      </c>
      <c r="B1366" s="119"/>
      <c r="C1366" s="120"/>
      <c r="D1366" s="119"/>
      <c r="E1366" s="121" t="s">
        <v>342</v>
      </c>
      <c r="F1366" s="119"/>
      <c r="G1366" s="119"/>
    </row>
    <row r="1369" customHeight="1" spans="1:7">
      <c r="A1369" s="105"/>
      <c r="B1369" s="106"/>
      <c r="C1369" s="107" t="s">
        <v>330</v>
      </c>
      <c r="D1369" s="107"/>
      <c r="E1369" s="107"/>
      <c r="F1369" s="105"/>
      <c r="G1369" s="105"/>
    </row>
    <row r="1370" customHeight="1" spans="1:7">
      <c r="A1370" s="108" t="s">
        <v>331</v>
      </c>
      <c r="B1370" s="109"/>
      <c r="C1370" s="110">
        <v>45900</v>
      </c>
      <c r="D1370" s="110"/>
      <c r="E1370" s="110"/>
      <c r="F1370" s="111" t="s">
        <v>332</v>
      </c>
      <c r="G1370" s="112" t="str">
        <f>立项!$A$5</f>
        <v>RD03</v>
      </c>
    </row>
    <row r="1371" customHeight="1" spans="1:7">
      <c r="A1371" s="113" t="s">
        <v>333</v>
      </c>
      <c r="B1371" s="113" t="s">
        <v>334</v>
      </c>
      <c r="C1371" s="113" t="s">
        <v>335</v>
      </c>
      <c r="D1371" s="113" t="s">
        <v>336</v>
      </c>
      <c r="E1371" s="113" t="s">
        <v>337</v>
      </c>
      <c r="F1371" s="113" t="s">
        <v>338</v>
      </c>
      <c r="G1371" s="113" t="s">
        <v>339</v>
      </c>
    </row>
    <row r="1372" customHeight="1" spans="1:7">
      <c r="A1372" s="113">
        <f>领料单!Y137</f>
        <v>0</v>
      </c>
      <c r="B1372" s="113">
        <f>领料单!Z137</f>
        <v>0</v>
      </c>
      <c r="C1372" s="113">
        <f>领料单!AA137</f>
        <v>0</v>
      </c>
      <c r="D1372" s="113">
        <f>领料单!AB137</f>
        <v>0</v>
      </c>
      <c r="E1372" s="113">
        <f>领料单!AC137</f>
        <v>0</v>
      </c>
      <c r="F1372" s="113">
        <f>领料单!AD137</f>
        <v>0</v>
      </c>
      <c r="G1372" s="113"/>
    </row>
    <row r="1373" customHeight="1" spans="1:7">
      <c r="A1373" s="113">
        <f>领料单!Y138</f>
        <v>0</v>
      </c>
      <c r="B1373" s="113">
        <f>领料单!Z138</f>
        <v>0</v>
      </c>
      <c r="C1373" s="113">
        <f>领料单!AA138</f>
        <v>0</v>
      </c>
      <c r="D1373" s="113">
        <f>领料单!AB138</f>
        <v>0</v>
      </c>
      <c r="E1373" s="113">
        <f>领料单!AC138</f>
        <v>0</v>
      </c>
      <c r="F1373" s="113">
        <f>领料单!AD138</f>
        <v>0</v>
      </c>
      <c r="G1373" s="113"/>
    </row>
    <row r="1374" customHeight="1" spans="1:7">
      <c r="A1374" s="113">
        <f>领料单!Y139</f>
        <v>0</v>
      </c>
      <c r="B1374" s="113">
        <f>领料单!Z139</f>
        <v>0</v>
      </c>
      <c r="C1374" s="113">
        <f>领料单!AA139</f>
        <v>0</v>
      </c>
      <c r="D1374" s="113">
        <f>领料单!AB139</f>
        <v>0</v>
      </c>
      <c r="E1374" s="113">
        <f>领料单!AC139</f>
        <v>0</v>
      </c>
      <c r="F1374" s="113">
        <f>领料单!AD139</f>
        <v>0</v>
      </c>
      <c r="G1374" s="113"/>
    </row>
    <row r="1375" customHeight="1" spans="1:7">
      <c r="A1375" s="113">
        <f>领料单!Y140</f>
        <v>0</v>
      </c>
      <c r="B1375" s="113">
        <f>领料单!Z140</f>
        <v>0</v>
      </c>
      <c r="C1375" s="113">
        <f>领料单!AA140</f>
        <v>0</v>
      </c>
      <c r="D1375" s="113">
        <f>领料单!AB140</f>
        <v>0</v>
      </c>
      <c r="E1375" s="113">
        <f>领料单!AC140</f>
        <v>0</v>
      </c>
      <c r="F1375" s="113">
        <f>领料单!AD140</f>
        <v>0</v>
      </c>
      <c r="G1375" s="113"/>
    </row>
    <row r="1376" customHeight="1" spans="1:7">
      <c r="A1376" s="113">
        <f>领料单!Y141</f>
        <v>0</v>
      </c>
      <c r="B1376" s="113">
        <f>领料单!Z141</f>
        <v>0</v>
      </c>
      <c r="C1376" s="113">
        <f>领料单!AA141</f>
        <v>0</v>
      </c>
      <c r="D1376" s="113">
        <f>领料单!AB141</f>
        <v>0</v>
      </c>
      <c r="E1376" s="113">
        <f>领料单!AC141</f>
        <v>0</v>
      </c>
      <c r="F1376" s="113">
        <f>领料单!AD141</f>
        <v>0</v>
      </c>
      <c r="G1376" s="113"/>
    </row>
    <row r="1377" customHeight="1" spans="1:7">
      <c r="A1377" s="113">
        <f>领料单!Y142</f>
        <v>0</v>
      </c>
      <c r="B1377" s="113">
        <f>领料单!Z142</f>
        <v>0</v>
      </c>
      <c r="C1377" s="113">
        <f>领料单!AA142</f>
        <v>0</v>
      </c>
      <c r="D1377" s="113">
        <f>领料单!AB142</f>
        <v>0</v>
      </c>
      <c r="E1377" s="113">
        <f>领料单!AC142</f>
        <v>0</v>
      </c>
      <c r="F1377" s="113">
        <f>领料单!AD142</f>
        <v>0</v>
      </c>
      <c r="G1377" s="113"/>
    </row>
    <row r="1378" customHeight="1" spans="1:7">
      <c r="A1378" s="113">
        <f>领料单!Y143</f>
        <v>0</v>
      </c>
      <c r="B1378" s="113">
        <f>领料单!Z143</f>
        <v>0</v>
      </c>
      <c r="C1378" s="113">
        <f>领料单!AA143</f>
        <v>0</v>
      </c>
      <c r="D1378" s="113">
        <f>领料单!AB143</f>
        <v>0</v>
      </c>
      <c r="E1378" s="113">
        <f>领料单!AC143</f>
        <v>0</v>
      </c>
      <c r="F1378" s="113">
        <f>领料单!AD143</f>
        <v>0</v>
      </c>
      <c r="G1378" s="113"/>
    </row>
    <row r="1379" customHeight="1" spans="1:7">
      <c r="A1379" s="113">
        <f>领料单!Y144</f>
        <v>0</v>
      </c>
      <c r="B1379" s="113">
        <f>领料单!Z144</f>
        <v>0</v>
      </c>
      <c r="C1379" s="113">
        <f>领料单!AA144</f>
        <v>0</v>
      </c>
      <c r="D1379" s="113">
        <f>领料单!AB144</f>
        <v>0</v>
      </c>
      <c r="E1379" s="113">
        <f>领料单!AC144</f>
        <v>0</v>
      </c>
      <c r="F1379" s="113">
        <f>领料单!AD144</f>
        <v>0</v>
      </c>
      <c r="G1379" s="113"/>
    </row>
    <row r="1380" customHeight="1" spans="1:7">
      <c r="A1380" s="113">
        <f>领料单!Y145</f>
        <v>0</v>
      </c>
      <c r="B1380" s="113">
        <f>领料单!Z145</f>
        <v>0</v>
      </c>
      <c r="C1380" s="113">
        <f>领料单!AA145</f>
        <v>0</v>
      </c>
      <c r="D1380" s="113">
        <f>领料单!AB145</f>
        <v>0</v>
      </c>
      <c r="E1380" s="113">
        <f>领料单!AC145</f>
        <v>0</v>
      </c>
      <c r="F1380" s="113">
        <f>领料单!AD145</f>
        <v>0</v>
      </c>
      <c r="G1380" s="113"/>
    </row>
    <row r="1381" customHeight="1" spans="1:7">
      <c r="A1381" s="113">
        <f>领料单!Y146</f>
        <v>0</v>
      </c>
      <c r="B1381" s="113">
        <f>领料单!Z146</f>
        <v>0</v>
      </c>
      <c r="C1381" s="113">
        <f>领料单!AA146</f>
        <v>0</v>
      </c>
      <c r="D1381" s="113">
        <f>领料单!AB146</f>
        <v>0</v>
      </c>
      <c r="E1381" s="113">
        <f>领料单!AC146</f>
        <v>0</v>
      </c>
      <c r="F1381" s="113">
        <f>领料单!AD146</f>
        <v>0</v>
      </c>
      <c r="G1381" s="113"/>
    </row>
    <row r="1382" customHeight="1" spans="1:7">
      <c r="A1382" s="113">
        <f>领料单!Y147</f>
        <v>0</v>
      </c>
      <c r="B1382" s="113">
        <f>领料单!Z147</f>
        <v>0</v>
      </c>
      <c r="C1382" s="113">
        <f>领料单!AA147</f>
        <v>0</v>
      </c>
      <c r="D1382" s="113">
        <f>领料单!AB147</f>
        <v>0</v>
      </c>
      <c r="E1382" s="113">
        <f>领料单!AC147</f>
        <v>0</v>
      </c>
      <c r="F1382" s="113">
        <f>领料单!AD147</f>
        <v>0</v>
      </c>
      <c r="G1382" s="113"/>
    </row>
    <row r="1383" customHeight="1" spans="1:7">
      <c r="A1383" s="113">
        <f>领料单!Y148</f>
        <v>0</v>
      </c>
      <c r="B1383" s="113">
        <f>领料单!Z148</f>
        <v>0</v>
      </c>
      <c r="C1383" s="113">
        <f>领料单!AA148</f>
        <v>0</v>
      </c>
      <c r="D1383" s="113">
        <f>领料单!AB148</f>
        <v>0</v>
      </c>
      <c r="E1383" s="113">
        <f>领料单!AC148</f>
        <v>0</v>
      </c>
      <c r="F1383" s="113">
        <f>领料单!AD148</f>
        <v>0</v>
      </c>
      <c r="G1383" s="113"/>
    </row>
    <row r="1384" customHeight="1" spans="1:7">
      <c r="A1384" s="115" t="s">
        <v>340</v>
      </c>
      <c r="B1384" s="116"/>
      <c r="C1384" s="116"/>
      <c r="D1384" s="116"/>
      <c r="E1384" s="117"/>
      <c r="F1384" s="118">
        <f>SUM(F1372:F1383)</f>
        <v>0</v>
      </c>
      <c r="G1384" s="114"/>
    </row>
    <row r="1385" customHeight="1" spans="1:7">
      <c r="A1385" s="119" t="s">
        <v>341</v>
      </c>
      <c r="B1385" s="119"/>
      <c r="C1385" s="120"/>
      <c r="D1385" s="119"/>
      <c r="E1385" s="121" t="s">
        <v>342</v>
      </c>
      <c r="F1385" s="119"/>
      <c r="G1385" s="119"/>
    </row>
    <row r="1388" customHeight="1" spans="1:7">
      <c r="A1388" s="105"/>
      <c r="B1388" s="106"/>
      <c r="C1388" s="107" t="s">
        <v>330</v>
      </c>
      <c r="D1388" s="107"/>
      <c r="E1388" s="107"/>
      <c r="F1388" s="105"/>
      <c r="G1388" s="105"/>
    </row>
    <row r="1389" customHeight="1" spans="1:7">
      <c r="A1389" s="108" t="s">
        <v>331</v>
      </c>
      <c r="B1389" s="109"/>
      <c r="C1389" s="110">
        <v>45900</v>
      </c>
      <c r="D1389" s="110"/>
      <c r="E1389" s="110"/>
      <c r="F1389" s="111" t="s">
        <v>332</v>
      </c>
      <c r="G1389" s="112" t="str">
        <f>立项!$A$6</f>
        <v>RD04</v>
      </c>
    </row>
    <row r="1390" customHeight="1" spans="1:7">
      <c r="A1390" s="113" t="s">
        <v>333</v>
      </c>
      <c r="B1390" s="113" t="s">
        <v>334</v>
      </c>
      <c r="C1390" s="113" t="s">
        <v>335</v>
      </c>
      <c r="D1390" s="113" t="s">
        <v>336</v>
      </c>
      <c r="E1390" s="113" t="s">
        <v>337</v>
      </c>
      <c r="F1390" s="113" t="s">
        <v>338</v>
      </c>
      <c r="G1390" s="113" t="s">
        <v>339</v>
      </c>
    </row>
    <row r="1391" customHeight="1" spans="1:7">
      <c r="A1391" s="113">
        <f>领料单!AG137</f>
        <v>0</v>
      </c>
      <c r="B1391" s="113">
        <f>领料单!AH137</f>
        <v>0</v>
      </c>
      <c r="C1391" s="113">
        <f>领料单!AI137</f>
        <v>0</v>
      </c>
      <c r="D1391" s="113">
        <f>领料单!AJ137</f>
        <v>0</v>
      </c>
      <c r="E1391" s="113">
        <f>领料单!AK137</f>
        <v>0</v>
      </c>
      <c r="F1391" s="113">
        <f>领料单!AL137</f>
        <v>0</v>
      </c>
      <c r="G1391" s="113"/>
    </row>
    <row r="1392" customHeight="1" spans="1:7">
      <c r="A1392" s="113">
        <f>领料单!AG138</f>
        <v>0</v>
      </c>
      <c r="B1392" s="113">
        <f>领料单!AH138</f>
        <v>0</v>
      </c>
      <c r="C1392" s="113">
        <f>领料单!AI138</f>
        <v>0</v>
      </c>
      <c r="D1392" s="113">
        <f>领料单!AJ138</f>
        <v>0</v>
      </c>
      <c r="E1392" s="113">
        <f>领料单!AK138</f>
        <v>0</v>
      </c>
      <c r="F1392" s="113">
        <f>领料单!AL138</f>
        <v>0</v>
      </c>
      <c r="G1392" s="113"/>
    </row>
    <row r="1393" customHeight="1" spans="1:7">
      <c r="A1393" s="113">
        <f>领料单!AG139</f>
        <v>0</v>
      </c>
      <c r="B1393" s="113">
        <f>领料单!AH139</f>
        <v>0</v>
      </c>
      <c r="C1393" s="113">
        <f>领料单!AI139</f>
        <v>0</v>
      </c>
      <c r="D1393" s="113">
        <f>领料单!AJ139</f>
        <v>0</v>
      </c>
      <c r="E1393" s="113">
        <f>领料单!AK139</f>
        <v>0</v>
      </c>
      <c r="F1393" s="113">
        <f>领料单!AL139</f>
        <v>0</v>
      </c>
      <c r="G1393" s="113"/>
    </row>
    <row r="1394" customHeight="1" spans="1:7">
      <c r="A1394" s="113">
        <f>领料单!AG140</f>
        <v>0</v>
      </c>
      <c r="B1394" s="113">
        <f>领料单!AH140</f>
        <v>0</v>
      </c>
      <c r="C1394" s="113">
        <f>领料单!AI140</f>
        <v>0</v>
      </c>
      <c r="D1394" s="113">
        <f>领料单!AJ140</f>
        <v>0</v>
      </c>
      <c r="E1394" s="113">
        <f>领料单!AK140</f>
        <v>0</v>
      </c>
      <c r="F1394" s="113">
        <f>领料单!AL140</f>
        <v>0</v>
      </c>
      <c r="G1394" s="113"/>
    </row>
    <row r="1395" customHeight="1" spans="1:7">
      <c r="A1395" s="113">
        <f>领料单!AG141</f>
        <v>0</v>
      </c>
      <c r="B1395" s="113">
        <f>领料单!AH141</f>
        <v>0</v>
      </c>
      <c r="C1395" s="113">
        <f>领料单!AI141</f>
        <v>0</v>
      </c>
      <c r="D1395" s="113">
        <f>领料单!AJ141</f>
        <v>0</v>
      </c>
      <c r="E1395" s="113">
        <f>领料单!AK141</f>
        <v>0</v>
      </c>
      <c r="F1395" s="113">
        <f>领料单!AL141</f>
        <v>0</v>
      </c>
      <c r="G1395" s="113"/>
    </row>
    <row r="1396" customHeight="1" spans="1:7">
      <c r="A1396" s="113">
        <f>领料单!AG142</f>
        <v>0</v>
      </c>
      <c r="B1396" s="113">
        <f>领料单!AH142</f>
        <v>0</v>
      </c>
      <c r="C1396" s="113">
        <f>领料单!AI142</f>
        <v>0</v>
      </c>
      <c r="D1396" s="113">
        <f>领料单!AJ142</f>
        <v>0</v>
      </c>
      <c r="E1396" s="113">
        <f>领料单!AK142</f>
        <v>0</v>
      </c>
      <c r="F1396" s="113">
        <f>领料单!AL142</f>
        <v>0</v>
      </c>
      <c r="G1396" s="113"/>
    </row>
    <row r="1397" customHeight="1" spans="1:7">
      <c r="A1397" s="113">
        <f>领料单!AG143</f>
        <v>0</v>
      </c>
      <c r="B1397" s="113">
        <f>领料单!AH143</f>
        <v>0</v>
      </c>
      <c r="C1397" s="113">
        <f>领料单!AI143</f>
        <v>0</v>
      </c>
      <c r="D1397" s="113">
        <f>领料单!AJ143</f>
        <v>0</v>
      </c>
      <c r="E1397" s="113">
        <f>领料单!AK143</f>
        <v>0</v>
      </c>
      <c r="F1397" s="113">
        <f>领料单!AL143</f>
        <v>0</v>
      </c>
      <c r="G1397" s="113"/>
    </row>
    <row r="1398" customHeight="1" spans="1:7">
      <c r="A1398" s="113">
        <f>领料单!AG144</f>
        <v>0</v>
      </c>
      <c r="B1398" s="113">
        <f>领料单!AH144</f>
        <v>0</v>
      </c>
      <c r="C1398" s="113">
        <f>领料单!AI144</f>
        <v>0</v>
      </c>
      <c r="D1398" s="113">
        <f>领料单!AJ144</f>
        <v>0</v>
      </c>
      <c r="E1398" s="113">
        <f>领料单!AK144</f>
        <v>0</v>
      </c>
      <c r="F1398" s="113">
        <f>领料单!AL144</f>
        <v>0</v>
      </c>
      <c r="G1398" s="113"/>
    </row>
    <row r="1399" customHeight="1" spans="1:7">
      <c r="A1399" s="113">
        <f>领料单!AG145</f>
        <v>0</v>
      </c>
      <c r="B1399" s="113">
        <f>领料单!AH145</f>
        <v>0</v>
      </c>
      <c r="C1399" s="113">
        <f>领料单!AI145</f>
        <v>0</v>
      </c>
      <c r="D1399" s="113">
        <f>领料单!AJ145</f>
        <v>0</v>
      </c>
      <c r="E1399" s="113">
        <f>领料单!AK145</f>
        <v>0</v>
      </c>
      <c r="F1399" s="113">
        <f>领料单!AL145</f>
        <v>0</v>
      </c>
      <c r="G1399" s="113"/>
    </row>
    <row r="1400" customHeight="1" spans="1:7">
      <c r="A1400" s="113">
        <f>领料单!AG146</f>
        <v>0</v>
      </c>
      <c r="B1400" s="113">
        <f>领料单!AH146</f>
        <v>0</v>
      </c>
      <c r="C1400" s="113">
        <f>领料单!AI146</f>
        <v>0</v>
      </c>
      <c r="D1400" s="113">
        <f>领料单!AJ146</f>
        <v>0</v>
      </c>
      <c r="E1400" s="113">
        <f>领料单!AK146</f>
        <v>0</v>
      </c>
      <c r="F1400" s="113">
        <f>领料单!AL146</f>
        <v>0</v>
      </c>
      <c r="G1400" s="113"/>
    </row>
    <row r="1401" customHeight="1" spans="1:7">
      <c r="A1401" s="113">
        <f>领料单!AG147</f>
        <v>0</v>
      </c>
      <c r="B1401" s="113">
        <f>领料单!AH147</f>
        <v>0</v>
      </c>
      <c r="C1401" s="113">
        <f>领料单!AI147</f>
        <v>0</v>
      </c>
      <c r="D1401" s="113">
        <f>领料单!AJ147</f>
        <v>0</v>
      </c>
      <c r="E1401" s="113">
        <f>领料单!AK147</f>
        <v>0</v>
      </c>
      <c r="F1401" s="113">
        <f>领料单!AL147</f>
        <v>0</v>
      </c>
      <c r="G1401" s="113"/>
    </row>
    <row r="1402" customHeight="1" spans="1:7">
      <c r="A1402" s="113">
        <f>领料单!AG148</f>
        <v>0</v>
      </c>
      <c r="B1402" s="113">
        <f>领料单!AH148</f>
        <v>0</v>
      </c>
      <c r="C1402" s="113">
        <f>领料单!AI148</f>
        <v>0</v>
      </c>
      <c r="D1402" s="113">
        <f>领料单!AJ148</f>
        <v>0</v>
      </c>
      <c r="E1402" s="113">
        <f>领料单!AK148</f>
        <v>0</v>
      </c>
      <c r="F1402" s="113">
        <f>领料单!AL148</f>
        <v>0</v>
      </c>
      <c r="G1402" s="113"/>
    </row>
    <row r="1403" customHeight="1" spans="1:7">
      <c r="A1403" s="115" t="s">
        <v>340</v>
      </c>
      <c r="B1403" s="116"/>
      <c r="C1403" s="116"/>
      <c r="D1403" s="116"/>
      <c r="E1403" s="117"/>
      <c r="F1403" s="118">
        <f>SUM(F1391:F1402)</f>
        <v>0</v>
      </c>
      <c r="G1403" s="114"/>
    </row>
    <row r="1404" customHeight="1" spans="1:7">
      <c r="A1404" s="119" t="s">
        <v>341</v>
      </c>
      <c r="B1404" s="119"/>
      <c r="C1404" s="120"/>
      <c r="D1404" s="119"/>
      <c r="E1404" s="121" t="s">
        <v>342</v>
      </c>
      <c r="F1404" s="119"/>
      <c r="G1404" s="119"/>
    </row>
    <row r="1407" customHeight="1" spans="1:7">
      <c r="A1407" s="105"/>
      <c r="B1407" s="106"/>
      <c r="C1407" s="107" t="s">
        <v>330</v>
      </c>
      <c r="D1407" s="107"/>
      <c r="E1407" s="107"/>
      <c r="F1407" s="105"/>
      <c r="G1407" s="105"/>
    </row>
    <row r="1408" customHeight="1" spans="1:7">
      <c r="A1408" s="108" t="s">
        <v>331</v>
      </c>
      <c r="B1408" s="109"/>
      <c r="C1408" s="110">
        <v>45900</v>
      </c>
      <c r="D1408" s="110"/>
      <c r="E1408" s="110"/>
      <c r="F1408" s="111" t="s">
        <v>332</v>
      </c>
      <c r="G1408" s="112" t="str">
        <f>立项!$A$7</f>
        <v>RD05</v>
      </c>
    </row>
    <row r="1409" customHeight="1" spans="1:7">
      <c r="A1409" s="113" t="s">
        <v>333</v>
      </c>
      <c r="B1409" s="113" t="s">
        <v>334</v>
      </c>
      <c r="C1409" s="113" t="s">
        <v>335</v>
      </c>
      <c r="D1409" s="113" t="s">
        <v>336</v>
      </c>
      <c r="E1409" s="113" t="s">
        <v>337</v>
      </c>
      <c r="F1409" s="113" t="s">
        <v>338</v>
      </c>
      <c r="G1409" s="113" t="s">
        <v>339</v>
      </c>
    </row>
    <row r="1410" customHeight="1" spans="1:7">
      <c r="A1410" s="113">
        <f>领料单!AO137</f>
        <v>0</v>
      </c>
      <c r="B1410" s="113">
        <f>领料单!AP137</f>
        <v>0</v>
      </c>
      <c r="C1410" s="113">
        <f>领料单!AQ137</f>
        <v>0</v>
      </c>
      <c r="D1410" s="113">
        <f>领料单!AR137</f>
        <v>0</v>
      </c>
      <c r="E1410" s="113">
        <f>领料单!AS137</f>
        <v>0</v>
      </c>
      <c r="F1410" s="113">
        <f>领料单!AT137</f>
        <v>0</v>
      </c>
      <c r="G1410" s="113"/>
    </row>
    <row r="1411" customHeight="1" spans="1:7">
      <c r="A1411" s="113">
        <f>领料单!AO138</f>
        <v>0</v>
      </c>
      <c r="B1411" s="113">
        <f>领料单!AP138</f>
        <v>0</v>
      </c>
      <c r="C1411" s="113">
        <f>领料单!AQ138</f>
        <v>0</v>
      </c>
      <c r="D1411" s="113">
        <f>领料单!AR138</f>
        <v>0</v>
      </c>
      <c r="E1411" s="113">
        <f>领料单!AS138</f>
        <v>0</v>
      </c>
      <c r="F1411" s="113">
        <f>领料单!AT138</f>
        <v>0</v>
      </c>
      <c r="G1411" s="113"/>
    </row>
    <row r="1412" customHeight="1" spans="1:7">
      <c r="A1412" s="113">
        <f>领料单!AO139</f>
        <v>0</v>
      </c>
      <c r="B1412" s="113">
        <f>领料单!AP139</f>
        <v>0</v>
      </c>
      <c r="C1412" s="113">
        <f>领料单!AQ139</f>
        <v>0</v>
      </c>
      <c r="D1412" s="113">
        <f>领料单!AR139</f>
        <v>0</v>
      </c>
      <c r="E1412" s="113">
        <f>领料单!AS139</f>
        <v>0</v>
      </c>
      <c r="F1412" s="113">
        <f>领料单!AT139</f>
        <v>0</v>
      </c>
      <c r="G1412" s="113"/>
    </row>
    <row r="1413" customHeight="1" spans="1:7">
      <c r="A1413" s="113">
        <f>领料单!AO140</f>
        <v>0</v>
      </c>
      <c r="B1413" s="113">
        <f>领料单!AP140</f>
        <v>0</v>
      </c>
      <c r="C1413" s="113">
        <f>领料单!AQ140</f>
        <v>0</v>
      </c>
      <c r="D1413" s="113">
        <f>领料单!AR140</f>
        <v>0</v>
      </c>
      <c r="E1413" s="113">
        <f>领料单!AS140</f>
        <v>0</v>
      </c>
      <c r="F1413" s="113">
        <f>领料单!AT140</f>
        <v>0</v>
      </c>
      <c r="G1413" s="113"/>
    </row>
    <row r="1414" customHeight="1" spans="1:7">
      <c r="A1414" s="113">
        <f>领料单!AO141</f>
        <v>0</v>
      </c>
      <c r="B1414" s="113">
        <f>领料单!AP141</f>
        <v>0</v>
      </c>
      <c r="C1414" s="113">
        <f>领料单!AQ141</f>
        <v>0</v>
      </c>
      <c r="D1414" s="113">
        <f>领料单!AR141</f>
        <v>0</v>
      </c>
      <c r="E1414" s="113">
        <f>领料单!AS141</f>
        <v>0</v>
      </c>
      <c r="F1414" s="113">
        <f>领料单!AT141</f>
        <v>0</v>
      </c>
      <c r="G1414" s="113"/>
    </row>
    <row r="1415" customHeight="1" spans="1:7">
      <c r="A1415" s="113">
        <f>领料单!AO142</f>
        <v>0</v>
      </c>
      <c r="B1415" s="113">
        <f>领料单!AP142</f>
        <v>0</v>
      </c>
      <c r="C1415" s="113">
        <f>领料单!AQ142</f>
        <v>0</v>
      </c>
      <c r="D1415" s="113">
        <f>领料单!AR142</f>
        <v>0</v>
      </c>
      <c r="E1415" s="113">
        <f>领料单!AS142</f>
        <v>0</v>
      </c>
      <c r="F1415" s="113">
        <f>领料单!AT142</f>
        <v>0</v>
      </c>
      <c r="G1415" s="113"/>
    </row>
    <row r="1416" customHeight="1" spans="1:7">
      <c r="A1416" s="113">
        <f>领料单!AO143</f>
        <v>0</v>
      </c>
      <c r="B1416" s="113">
        <f>领料单!AP143</f>
        <v>0</v>
      </c>
      <c r="C1416" s="113">
        <f>领料单!AQ143</f>
        <v>0</v>
      </c>
      <c r="D1416" s="113">
        <f>领料单!AR143</f>
        <v>0</v>
      </c>
      <c r="E1416" s="113">
        <f>领料单!AS143</f>
        <v>0</v>
      </c>
      <c r="F1416" s="113">
        <f>领料单!AT143</f>
        <v>0</v>
      </c>
      <c r="G1416" s="113"/>
    </row>
    <row r="1417" customHeight="1" spans="1:7">
      <c r="A1417" s="113">
        <f>领料单!AO144</f>
        <v>0</v>
      </c>
      <c r="B1417" s="113">
        <f>领料单!AP144</f>
        <v>0</v>
      </c>
      <c r="C1417" s="113">
        <f>领料单!AQ144</f>
        <v>0</v>
      </c>
      <c r="D1417" s="113">
        <f>领料单!AR144</f>
        <v>0</v>
      </c>
      <c r="E1417" s="113">
        <f>领料单!AS144</f>
        <v>0</v>
      </c>
      <c r="F1417" s="113">
        <f>领料单!AT144</f>
        <v>0</v>
      </c>
      <c r="G1417" s="113"/>
    </row>
    <row r="1418" customHeight="1" spans="1:7">
      <c r="A1418" s="113">
        <f>领料单!AO145</f>
        <v>0</v>
      </c>
      <c r="B1418" s="113">
        <f>领料单!AP145</f>
        <v>0</v>
      </c>
      <c r="C1418" s="113">
        <f>领料单!AQ145</f>
        <v>0</v>
      </c>
      <c r="D1418" s="113">
        <f>领料单!AR145</f>
        <v>0</v>
      </c>
      <c r="E1418" s="113">
        <f>领料单!AS145</f>
        <v>0</v>
      </c>
      <c r="F1418" s="113">
        <f>领料单!AT145</f>
        <v>0</v>
      </c>
      <c r="G1418" s="113"/>
    </row>
    <row r="1419" customHeight="1" spans="1:7">
      <c r="A1419" s="113">
        <f>领料单!AO146</f>
        <v>0</v>
      </c>
      <c r="B1419" s="113">
        <f>领料单!AP146</f>
        <v>0</v>
      </c>
      <c r="C1419" s="113">
        <f>领料单!AQ146</f>
        <v>0</v>
      </c>
      <c r="D1419" s="113">
        <f>领料单!AR146</f>
        <v>0</v>
      </c>
      <c r="E1419" s="113">
        <f>领料单!AS146</f>
        <v>0</v>
      </c>
      <c r="F1419" s="113">
        <f>领料单!AT146</f>
        <v>0</v>
      </c>
      <c r="G1419" s="113"/>
    </row>
    <row r="1420" customHeight="1" spans="1:7">
      <c r="A1420" s="113">
        <f>领料单!AO147</f>
        <v>0</v>
      </c>
      <c r="B1420" s="113">
        <f>领料单!AP147</f>
        <v>0</v>
      </c>
      <c r="C1420" s="113">
        <f>领料单!AQ147</f>
        <v>0</v>
      </c>
      <c r="D1420" s="113">
        <f>领料单!AR147</f>
        <v>0</v>
      </c>
      <c r="E1420" s="113">
        <f>领料单!AS147</f>
        <v>0</v>
      </c>
      <c r="F1420" s="113">
        <f>领料单!AT147</f>
        <v>0</v>
      </c>
      <c r="G1420" s="113"/>
    </row>
    <row r="1421" customHeight="1" spans="1:7">
      <c r="A1421" s="113">
        <f>领料单!AO148</f>
        <v>0</v>
      </c>
      <c r="B1421" s="113">
        <f>领料单!AP148</f>
        <v>0</v>
      </c>
      <c r="C1421" s="113">
        <f>领料单!AQ148</f>
        <v>0</v>
      </c>
      <c r="D1421" s="113">
        <f>领料单!AR148</f>
        <v>0</v>
      </c>
      <c r="E1421" s="113">
        <f>领料单!AS148</f>
        <v>0</v>
      </c>
      <c r="F1421" s="113">
        <f>领料单!AT148</f>
        <v>0</v>
      </c>
      <c r="G1421" s="113"/>
    </row>
    <row r="1422" customHeight="1" spans="1:7">
      <c r="A1422" s="115" t="s">
        <v>340</v>
      </c>
      <c r="B1422" s="116"/>
      <c r="C1422" s="116"/>
      <c r="D1422" s="116"/>
      <c r="E1422" s="117"/>
      <c r="F1422" s="118">
        <f>SUM(F1410:F1421)</f>
        <v>0</v>
      </c>
      <c r="G1422" s="114"/>
    </row>
    <row r="1423" customHeight="1" spans="1:7">
      <c r="A1423" s="119" t="s">
        <v>341</v>
      </c>
      <c r="B1423" s="119"/>
      <c r="C1423" s="120"/>
      <c r="D1423" s="119"/>
      <c r="E1423" s="121" t="s">
        <v>342</v>
      </c>
      <c r="F1423" s="119"/>
      <c r="G1423" s="119"/>
    </row>
    <row r="1426" customHeight="1" spans="1:7">
      <c r="A1426" s="105"/>
      <c r="B1426" s="106"/>
      <c r="C1426" s="107" t="s">
        <v>330</v>
      </c>
      <c r="D1426" s="107"/>
      <c r="E1426" s="107"/>
      <c r="F1426" s="105"/>
      <c r="G1426" s="105"/>
    </row>
    <row r="1427" customHeight="1" spans="1:7">
      <c r="A1427" s="108" t="s">
        <v>331</v>
      </c>
      <c r="B1427" s="109"/>
      <c r="C1427" s="110">
        <v>45900</v>
      </c>
      <c r="D1427" s="110"/>
      <c r="E1427" s="110"/>
      <c r="F1427" s="111" t="s">
        <v>332</v>
      </c>
      <c r="G1427" s="112" t="str">
        <f>立项!$A$8</f>
        <v>RD06</v>
      </c>
    </row>
    <row r="1428" customHeight="1" spans="1:7">
      <c r="A1428" s="113" t="s">
        <v>333</v>
      </c>
      <c r="B1428" s="113" t="s">
        <v>334</v>
      </c>
      <c r="C1428" s="113" t="s">
        <v>335</v>
      </c>
      <c r="D1428" s="113" t="s">
        <v>336</v>
      </c>
      <c r="E1428" s="113" t="s">
        <v>337</v>
      </c>
      <c r="F1428" s="113" t="s">
        <v>338</v>
      </c>
      <c r="G1428" s="113" t="s">
        <v>339</v>
      </c>
    </row>
    <row r="1429" customHeight="1" spans="1:7">
      <c r="A1429" s="113">
        <f>领料单!AW137</f>
        <v>0</v>
      </c>
      <c r="B1429" s="113">
        <f>领料单!AX137</f>
        <v>0</v>
      </c>
      <c r="C1429" s="113">
        <f>领料单!AY137</f>
        <v>0</v>
      </c>
      <c r="D1429" s="113">
        <f>领料单!AZ137</f>
        <v>0</v>
      </c>
      <c r="E1429" s="113">
        <f>领料单!BA137</f>
        <v>0</v>
      </c>
      <c r="F1429" s="113">
        <f>领料单!BB137</f>
        <v>0</v>
      </c>
      <c r="G1429" s="113"/>
    </row>
    <row r="1430" customHeight="1" spans="1:7">
      <c r="A1430" s="113">
        <f>领料单!AW138</f>
        <v>0</v>
      </c>
      <c r="B1430" s="113">
        <f>领料单!AX138</f>
        <v>0</v>
      </c>
      <c r="C1430" s="113">
        <f>领料单!AY138</f>
        <v>0</v>
      </c>
      <c r="D1430" s="113">
        <f>领料单!AZ138</f>
        <v>0</v>
      </c>
      <c r="E1430" s="113">
        <f>领料单!BA138</f>
        <v>0</v>
      </c>
      <c r="F1430" s="113">
        <f>领料单!BB138</f>
        <v>0</v>
      </c>
      <c r="G1430" s="113"/>
    </row>
    <row r="1431" customHeight="1" spans="1:7">
      <c r="A1431" s="113">
        <f>领料单!AW139</f>
        <v>0</v>
      </c>
      <c r="B1431" s="113">
        <f>领料单!AX139</f>
        <v>0</v>
      </c>
      <c r="C1431" s="113">
        <f>领料单!AY139</f>
        <v>0</v>
      </c>
      <c r="D1431" s="113">
        <f>领料单!AZ139</f>
        <v>0</v>
      </c>
      <c r="E1431" s="113">
        <f>领料单!BA139</f>
        <v>0</v>
      </c>
      <c r="F1431" s="113">
        <f>领料单!BB139</f>
        <v>0</v>
      </c>
      <c r="G1431" s="113"/>
    </row>
    <row r="1432" customHeight="1" spans="1:7">
      <c r="A1432" s="113">
        <f>领料单!AW140</f>
        <v>0</v>
      </c>
      <c r="B1432" s="113">
        <f>领料单!AX140</f>
        <v>0</v>
      </c>
      <c r="C1432" s="113">
        <f>领料单!AY140</f>
        <v>0</v>
      </c>
      <c r="D1432" s="113">
        <f>领料单!AZ140</f>
        <v>0</v>
      </c>
      <c r="E1432" s="113">
        <f>领料单!BA140</f>
        <v>0</v>
      </c>
      <c r="F1432" s="113">
        <f>领料单!BB140</f>
        <v>0</v>
      </c>
      <c r="G1432" s="113"/>
    </row>
    <row r="1433" customHeight="1" spans="1:7">
      <c r="A1433" s="113">
        <f>领料单!AW141</f>
        <v>0</v>
      </c>
      <c r="B1433" s="113">
        <f>领料单!AX141</f>
        <v>0</v>
      </c>
      <c r="C1433" s="113">
        <f>领料单!AY141</f>
        <v>0</v>
      </c>
      <c r="D1433" s="113">
        <f>领料单!AZ141</f>
        <v>0</v>
      </c>
      <c r="E1433" s="113">
        <f>领料单!BA141</f>
        <v>0</v>
      </c>
      <c r="F1433" s="113">
        <f>领料单!BB141</f>
        <v>0</v>
      </c>
      <c r="G1433" s="113"/>
    </row>
    <row r="1434" customHeight="1" spans="1:7">
      <c r="A1434" s="113">
        <f>领料单!AW142</f>
        <v>0</v>
      </c>
      <c r="B1434" s="113">
        <f>领料单!AX142</f>
        <v>0</v>
      </c>
      <c r="C1434" s="113">
        <f>领料单!AY142</f>
        <v>0</v>
      </c>
      <c r="D1434" s="113">
        <f>领料单!AZ142</f>
        <v>0</v>
      </c>
      <c r="E1434" s="113">
        <f>领料单!BA142</f>
        <v>0</v>
      </c>
      <c r="F1434" s="113">
        <f>领料单!BB142</f>
        <v>0</v>
      </c>
      <c r="G1434" s="113"/>
    </row>
    <row r="1435" customHeight="1" spans="1:7">
      <c r="A1435" s="113">
        <f>领料单!AW143</f>
        <v>0</v>
      </c>
      <c r="B1435" s="113">
        <f>领料单!AX143</f>
        <v>0</v>
      </c>
      <c r="C1435" s="113">
        <f>领料单!AY143</f>
        <v>0</v>
      </c>
      <c r="D1435" s="113">
        <f>领料单!AZ143</f>
        <v>0</v>
      </c>
      <c r="E1435" s="113">
        <f>领料单!BA143</f>
        <v>0</v>
      </c>
      <c r="F1435" s="113">
        <f>领料单!BB143</f>
        <v>0</v>
      </c>
      <c r="G1435" s="113"/>
    </row>
    <row r="1436" customHeight="1" spans="1:7">
      <c r="A1436" s="113">
        <f>领料单!AW144</f>
        <v>0</v>
      </c>
      <c r="B1436" s="113">
        <f>领料单!AX144</f>
        <v>0</v>
      </c>
      <c r="C1436" s="113">
        <f>领料单!AY144</f>
        <v>0</v>
      </c>
      <c r="D1436" s="113">
        <f>领料单!AZ144</f>
        <v>0</v>
      </c>
      <c r="E1436" s="113">
        <f>领料单!BA144</f>
        <v>0</v>
      </c>
      <c r="F1436" s="113">
        <f>领料单!BB144</f>
        <v>0</v>
      </c>
      <c r="G1436" s="113"/>
    </row>
    <row r="1437" customHeight="1" spans="1:7">
      <c r="A1437" s="113">
        <f>领料单!AW145</f>
        <v>0</v>
      </c>
      <c r="B1437" s="113">
        <f>领料单!AX145</f>
        <v>0</v>
      </c>
      <c r="C1437" s="113">
        <f>领料单!AY145</f>
        <v>0</v>
      </c>
      <c r="D1437" s="113">
        <f>领料单!AZ145</f>
        <v>0</v>
      </c>
      <c r="E1437" s="113">
        <f>领料单!BA145</f>
        <v>0</v>
      </c>
      <c r="F1437" s="113">
        <f>领料单!BB145</f>
        <v>0</v>
      </c>
      <c r="G1437" s="113"/>
    </row>
    <row r="1438" customHeight="1" spans="1:7">
      <c r="A1438" s="113">
        <f>领料单!AW146</f>
        <v>0</v>
      </c>
      <c r="B1438" s="113">
        <f>领料单!AX146</f>
        <v>0</v>
      </c>
      <c r="C1438" s="113">
        <f>领料单!AY146</f>
        <v>0</v>
      </c>
      <c r="D1438" s="113">
        <f>领料单!AZ146</f>
        <v>0</v>
      </c>
      <c r="E1438" s="113">
        <f>领料单!BA146</f>
        <v>0</v>
      </c>
      <c r="F1438" s="113">
        <f>领料单!BB146</f>
        <v>0</v>
      </c>
      <c r="G1438" s="113"/>
    </row>
    <row r="1439" customHeight="1" spans="1:7">
      <c r="A1439" s="113">
        <f>领料单!AW147</f>
        <v>0</v>
      </c>
      <c r="B1439" s="113">
        <f>领料单!AX147</f>
        <v>0</v>
      </c>
      <c r="C1439" s="113">
        <f>领料单!AY147</f>
        <v>0</v>
      </c>
      <c r="D1439" s="113">
        <f>领料单!AZ147</f>
        <v>0</v>
      </c>
      <c r="E1439" s="113">
        <f>领料单!BA147</f>
        <v>0</v>
      </c>
      <c r="F1439" s="113">
        <f>领料单!BB147</f>
        <v>0</v>
      </c>
      <c r="G1439" s="113"/>
    </row>
    <row r="1440" customHeight="1" spans="1:7">
      <c r="A1440" s="113">
        <f>领料单!AW148</f>
        <v>0</v>
      </c>
      <c r="B1440" s="113">
        <f>领料单!AX148</f>
        <v>0</v>
      </c>
      <c r="C1440" s="113">
        <f>领料单!AY148</f>
        <v>0</v>
      </c>
      <c r="D1440" s="113">
        <f>领料单!AZ148</f>
        <v>0</v>
      </c>
      <c r="E1440" s="113">
        <f>领料单!BA148</f>
        <v>0</v>
      </c>
      <c r="F1440" s="113">
        <f>领料单!BB148</f>
        <v>0</v>
      </c>
      <c r="G1440" s="113"/>
    </row>
    <row r="1441" customHeight="1" spans="1:7">
      <c r="A1441" s="115" t="s">
        <v>340</v>
      </c>
      <c r="B1441" s="116"/>
      <c r="C1441" s="116"/>
      <c r="D1441" s="116"/>
      <c r="E1441" s="117"/>
      <c r="F1441" s="118">
        <f>SUM(F1429:F1440)</f>
        <v>0</v>
      </c>
      <c r="G1441" s="114"/>
    </row>
    <row r="1442" customHeight="1" spans="1:7">
      <c r="A1442" s="119" t="s">
        <v>341</v>
      </c>
      <c r="B1442" s="119"/>
      <c r="C1442" s="120"/>
      <c r="D1442" s="119"/>
      <c r="E1442" s="121" t="s">
        <v>342</v>
      </c>
      <c r="F1442" s="119"/>
      <c r="G1442" s="119"/>
    </row>
    <row r="1445" customHeight="1" spans="1:7">
      <c r="A1445" s="105"/>
      <c r="B1445" s="106"/>
      <c r="C1445" s="107" t="s">
        <v>330</v>
      </c>
      <c r="D1445" s="107"/>
      <c r="E1445" s="107"/>
      <c r="F1445" s="105"/>
      <c r="G1445" s="105"/>
    </row>
    <row r="1446" customHeight="1" spans="1:7">
      <c r="A1446" s="108" t="s">
        <v>331</v>
      </c>
      <c r="B1446" s="109"/>
      <c r="C1446" s="110">
        <v>45900</v>
      </c>
      <c r="D1446" s="110"/>
      <c r="E1446" s="110"/>
      <c r="F1446" s="111" t="s">
        <v>332</v>
      </c>
      <c r="G1446" s="112" t="str">
        <f>立项!$A$9</f>
        <v>RD07</v>
      </c>
    </row>
    <row r="1447" customHeight="1" spans="1:7">
      <c r="A1447" s="113" t="s">
        <v>333</v>
      </c>
      <c r="B1447" s="113" t="s">
        <v>334</v>
      </c>
      <c r="C1447" s="113" t="s">
        <v>335</v>
      </c>
      <c r="D1447" s="113" t="s">
        <v>336</v>
      </c>
      <c r="E1447" s="113" t="s">
        <v>337</v>
      </c>
      <c r="F1447" s="113" t="s">
        <v>338</v>
      </c>
      <c r="G1447" s="113" t="s">
        <v>339</v>
      </c>
    </row>
    <row r="1448" customHeight="1" spans="1:7">
      <c r="A1448" s="113">
        <f>领料单!BE137</f>
        <v>0</v>
      </c>
      <c r="B1448" s="113">
        <f>领料单!BF137</f>
        <v>0</v>
      </c>
      <c r="C1448" s="113">
        <f>领料单!BG137</f>
        <v>0</v>
      </c>
      <c r="D1448" s="113">
        <f>领料单!BH137</f>
        <v>0</v>
      </c>
      <c r="E1448" s="113">
        <f>领料单!BI137</f>
        <v>0</v>
      </c>
      <c r="F1448" s="113">
        <f>领料单!BJ137</f>
        <v>0</v>
      </c>
      <c r="G1448" s="113"/>
    </row>
    <row r="1449" customHeight="1" spans="1:7">
      <c r="A1449" s="113">
        <f>领料单!BE138</f>
        <v>0</v>
      </c>
      <c r="B1449" s="113">
        <f>领料单!BF138</f>
        <v>0</v>
      </c>
      <c r="C1449" s="113">
        <f>领料单!BG138</f>
        <v>0</v>
      </c>
      <c r="D1449" s="113">
        <f>领料单!BH138</f>
        <v>0</v>
      </c>
      <c r="E1449" s="113">
        <f>领料单!BI138</f>
        <v>0</v>
      </c>
      <c r="F1449" s="113">
        <f>领料单!BJ138</f>
        <v>0</v>
      </c>
      <c r="G1449" s="113"/>
    </row>
    <row r="1450" customHeight="1" spans="1:7">
      <c r="A1450" s="113">
        <f>领料单!BE139</f>
        <v>0</v>
      </c>
      <c r="B1450" s="113">
        <f>领料单!BF139</f>
        <v>0</v>
      </c>
      <c r="C1450" s="113">
        <f>领料单!BG139</f>
        <v>0</v>
      </c>
      <c r="D1450" s="113">
        <f>领料单!BH139</f>
        <v>0</v>
      </c>
      <c r="E1450" s="113">
        <f>领料单!BI139</f>
        <v>0</v>
      </c>
      <c r="F1450" s="113">
        <f>领料单!BJ139</f>
        <v>0</v>
      </c>
      <c r="G1450" s="113"/>
    </row>
    <row r="1451" customHeight="1" spans="1:7">
      <c r="A1451" s="113">
        <f>领料单!BE140</f>
        <v>0</v>
      </c>
      <c r="B1451" s="113">
        <f>领料单!BF140</f>
        <v>0</v>
      </c>
      <c r="C1451" s="113">
        <f>领料单!BG140</f>
        <v>0</v>
      </c>
      <c r="D1451" s="113">
        <f>领料单!BH140</f>
        <v>0</v>
      </c>
      <c r="E1451" s="113">
        <f>领料单!BI140</f>
        <v>0</v>
      </c>
      <c r="F1451" s="113">
        <f>领料单!BJ140</f>
        <v>0</v>
      </c>
      <c r="G1451" s="113"/>
    </row>
    <row r="1452" customHeight="1" spans="1:7">
      <c r="A1452" s="113">
        <f>领料单!BE141</f>
        <v>0</v>
      </c>
      <c r="B1452" s="113">
        <f>领料单!BF141</f>
        <v>0</v>
      </c>
      <c r="C1452" s="113">
        <f>领料单!BG141</f>
        <v>0</v>
      </c>
      <c r="D1452" s="113">
        <f>领料单!BH141</f>
        <v>0</v>
      </c>
      <c r="E1452" s="113">
        <f>领料单!BI141</f>
        <v>0</v>
      </c>
      <c r="F1452" s="113">
        <f>领料单!BJ141</f>
        <v>0</v>
      </c>
      <c r="G1452" s="113"/>
    </row>
    <row r="1453" customHeight="1" spans="1:7">
      <c r="A1453" s="113">
        <f>领料单!BE142</f>
        <v>0</v>
      </c>
      <c r="B1453" s="113">
        <f>领料单!BF142</f>
        <v>0</v>
      </c>
      <c r="C1453" s="113">
        <f>领料单!BG142</f>
        <v>0</v>
      </c>
      <c r="D1453" s="113">
        <f>领料单!BH142</f>
        <v>0</v>
      </c>
      <c r="E1453" s="113">
        <f>领料单!BI142</f>
        <v>0</v>
      </c>
      <c r="F1453" s="113">
        <f>领料单!BJ142</f>
        <v>0</v>
      </c>
      <c r="G1453" s="113"/>
    </row>
    <row r="1454" customHeight="1" spans="1:7">
      <c r="A1454" s="113">
        <f>领料单!BE143</f>
        <v>0</v>
      </c>
      <c r="B1454" s="113">
        <f>领料单!BF143</f>
        <v>0</v>
      </c>
      <c r="C1454" s="113">
        <f>领料单!BG143</f>
        <v>0</v>
      </c>
      <c r="D1454" s="113">
        <f>领料单!BH143</f>
        <v>0</v>
      </c>
      <c r="E1454" s="113">
        <f>领料单!BI143</f>
        <v>0</v>
      </c>
      <c r="F1454" s="113">
        <f>领料单!BJ143</f>
        <v>0</v>
      </c>
      <c r="G1454" s="113"/>
    </row>
    <row r="1455" customHeight="1" spans="1:7">
      <c r="A1455" s="113">
        <f>领料单!BE144</f>
        <v>0</v>
      </c>
      <c r="B1455" s="113">
        <f>领料单!BF144</f>
        <v>0</v>
      </c>
      <c r="C1455" s="113">
        <f>领料单!BG144</f>
        <v>0</v>
      </c>
      <c r="D1455" s="113">
        <f>领料单!BH144</f>
        <v>0</v>
      </c>
      <c r="E1455" s="113">
        <f>领料单!BI144</f>
        <v>0</v>
      </c>
      <c r="F1455" s="113">
        <f>领料单!BJ144</f>
        <v>0</v>
      </c>
      <c r="G1455" s="113"/>
    </row>
    <row r="1456" customHeight="1" spans="1:7">
      <c r="A1456" s="113">
        <f>领料单!BE145</f>
        <v>0</v>
      </c>
      <c r="B1456" s="113">
        <f>领料单!BF145</f>
        <v>0</v>
      </c>
      <c r="C1456" s="113">
        <f>领料单!BG145</f>
        <v>0</v>
      </c>
      <c r="D1456" s="113">
        <f>领料单!BH145</f>
        <v>0</v>
      </c>
      <c r="E1456" s="113">
        <f>领料单!BI145</f>
        <v>0</v>
      </c>
      <c r="F1456" s="113">
        <f>领料单!BJ145</f>
        <v>0</v>
      </c>
      <c r="G1456" s="113"/>
    </row>
    <row r="1457" customHeight="1" spans="1:7">
      <c r="A1457" s="113">
        <f>领料单!BE146</f>
        <v>0</v>
      </c>
      <c r="B1457" s="113">
        <f>领料单!BF146</f>
        <v>0</v>
      </c>
      <c r="C1457" s="113">
        <f>领料单!BG146</f>
        <v>0</v>
      </c>
      <c r="D1457" s="113">
        <f>领料单!BH146</f>
        <v>0</v>
      </c>
      <c r="E1457" s="113">
        <f>领料单!BI146</f>
        <v>0</v>
      </c>
      <c r="F1457" s="113">
        <f>领料单!BJ146</f>
        <v>0</v>
      </c>
      <c r="G1457" s="113"/>
    </row>
    <row r="1458" customHeight="1" spans="1:7">
      <c r="A1458" s="113">
        <f>领料单!BE147</f>
        <v>0</v>
      </c>
      <c r="B1458" s="113">
        <f>领料单!BF147</f>
        <v>0</v>
      </c>
      <c r="C1458" s="113">
        <f>领料单!BG147</f>
        <v>0</v>
      </c>
      <c r="D1458" s="113">
        <f>领料单!BH147</f>
        <v>0</v>
      </c>
      <c r="E1458" s="113">
        <f>领料单!BI147</f>
        <v>0</v>
      </c>
      <c r="F1458" s="113">
        <f>领料单!BJ147</f>
        <v>0</v>
      </c>
      <c r="G1458" s="113"/>
    </row>
    <row r="1459" customHeight="1" spans="1:7">
      <c r="A1459" s="113">
        <f>领料单!BE148</f>
        <v>0</v>
      </c>
      <c r="B1459" s="113">
        <f>领料单!BF148</f>
        <v>0</v>
      </c>
      <c r="C1459" s="113">
        <f>领料单!BG148</f>
        <v>0</v>
      </c>
      <c r="D1459" s="113">
        <f>领料单!BH148</f>
        <v>0</v>
      </c>
      <c r="E1459" s="113">
        <f>领料单!BI148</f>
        <v>0</v>
      </c>
      <c r="F1459" s="113">
        <f>领料单!BJ148</f>
        <v>0</v>
      </c>
      <c r="G1459" s="113"/>
    </row>
    <row r="1460" customHeight="1" spans="1:7">
      <c r="A1460" s="115" t="s">
        <v>340</v>
      </c>
      <c r="B1460" s="116"/>
      <c r="C1460" s="116"/>
      <c r="D1460" s="116"/>
      <c r="E1460" s="117"/>
      <c r="F1460" s="118">
        <f>SUM(F1448:F1459)</f>
        <v>0</v>
      </c>
      <c r="G1460" s="114"/>
    </row>
    <row r="1461" customHeight="1" spans="1:7">
      <c r="A1461" s="119" t="s">
        <v>341</v>
      </c>
      <c r="B1461" s="119"/>
      <c r="C1461" s="120"/>
      <c r="D1461" s="119"/>
      <c r="E1461" s="121" t="s">
        <v>342</v>
      </c>
      <c r="F1461" s="119"/>
      <c r="G1461" s="119"/>
    </row>
    <row r="1464" customHeight="1" spans="1:7">
      <c r="A1464" s="105"/>
      <c r="B1464" s="106"/>
      <c r="C1464" s="107" t="s">
        <v>330</v>
      </c>
      <c r="D1464" s="107"/>
      <c r="E1464" s="107"/>
      <c r="F1464" s="105"/>
      <c r="G1464" s="105"/>
    </row>
    <row r="1465" customHeight="1" spans="1:7">
      <c r="A1465" s="108" t="s">
        <v>331</v>
      </c>
      <c r="B1465" s="109"/>
      <c r="C1465" s="110">
        <v>45900</v>
      </c>
      <c r="D1465" s="110"/>
      <c r="E1465" s="110"/>
      <c r="F1465" s="111" t="s">
        <v>332</v>
      </c>
      <c r="G1465" s="112" t="str">
        <f>立项!$A$10</f>
        <v>RD08</v>
      </c>
    </row>
    <row r="1466" customHeight="1" spans="1:7">
      <c r="A1466" s="113" t="s">
        <v>333</v>
      </c>
      <c r="B1466" s="113" t="s">
        <v>334</v>
      </c>
      <c r="C1466" s="113" t="s">
        <v>335</v>
      </c>
      <c r="D1466" s="113" t="s">
        <v>336</v>
      </c>
      <c r="E1466" s="113" t="s">
        <v>337</v>
      </c>
      <c r="F1466" s="113" t="s">
        <v>338</v>
      </c>
      <c r="G1466" s="113" t="s">
        <v>339</v>
      </c>
    </row>
    <row r="1467" customHeight="1" spans="1:7">
      <c r="A1467" s="113">
        <f>领料单!BM137</f>
        <v>0</v>
      </c>
      <c r="B1467" s="113">
        <f>领料单!BN137</f>
        <v>0</v>
      </c>
      <c r="C1467" s="113">
        <f>领料单!BO137</f>
        <v>0</v>
      </c>
      <c r="D1467" s="113">
        <f>领料单!BP137</f>
        <v>0</v>
      </c>
      <c r="E1467" s="113">
        <f>领料单!BQ137</f>
        <v>0</v>
      </c>
      <c r="F1467" s="113">
        <f>领料单!BR137</f>
        <v>0</v>
      </c>
      <c r="G1467" s="113"/>
    </row>
    <row r="1468" customHeight="1" spans="1:7">
      <c r="A1468" s="113">
        <f>领料单!BM138</f>
        <v>0</v>
      </c>
      <c r="B1468" s="113">
        <f>领料单!BN138</f>
        <v>0</v>
      </c>
      <c r="C1468" s="113">
        <f>领料单!BO138</f>
        <v>0</v>
      </c>
      <c r="D1468" s="113">
        <f>领料单!BP138</f>
        <v>0</v>
      </c>
      <c r="E1468" s="113">
        <f>领料单!BQ138</f>
        <v>0</v>
      </c>
      <c r="F1468" s="113">
        <f>领料单!BR138</f>
        <v>0</v>
      </c>
      <c r="G1468" s="113"/>
    </row>
    <row r="1469" customHeight="1" spans="1:7">
      <c r="A1469" s="113">
        <f>领料单!BM139</f>
        <v>0</v>
      </c>
      <c r="B1469" s="113">
        <f>领料单!BN139</f>
        <v>0</v>
      </c>
      <c r="C1469" s="113">
        <f>领料单!BO139</f>
        <v>0</v>
      </c>
      <c r="D1469" s="113">
        <f>领料单!BP139</f>
        <v>0</v>
      </c>
      <c r="E1469" s="113">
        <f>领料单!BQ139</f>
        <v>0</v>
      </c>
      <c r="F1469" s="113">
        <f>领料单!BR139</f>
        <v>0</v>
      </c>
      <c r="G1469" s="113"/>
    </row>
    <row r="1470" customHeight="1" spans="1:7">
      <c r="A1470" s="113">
        <f>领料单!BM140</f>
        <v>0</v>
      </c>
      <c r="B1470" s="113">
        <f>领料单!BN140</f>
        <v>0</v>
      </c>
      <c r="C1470" s="113">
        <f>领料单!BO140</f>
        <v>0</v>
      </c>
      <c r="D1470" s="113">
        <f>领料单!BP140</f>
        <v>0</v>
      </c>
      <c r="E1470" s="113">
        <f>领料单!BQ140</f>
        <v>0</v>
      </c>
      <c r="F1470" s="113">
        <f>领料单!BR140</f>
        <v>0</v>
      </c>
      <c r="G1470" s="113"/>
    </row>
    <row r="1471" customHeight="1" spans="1:7">
      <c r="A1471" s="113">
        <f>领料单!BM141</f>
        <v>0</v>
      </c>
      <c r="B1471" s="113">
        <f>领料单!BN141</f>
        <v>0</v>
      </c>
      <c r="C1471" s="113">
        <f>领料单!BO141</f>
        <v>0</v>
      </c>
      <c r="D1471" s="113">
        <f>领料单!BP141</f>
        <v>0</v>
      </c>
      <c r="E1471" s="113">
        <f>领料单!BQ141</f>
        <v>0</v>
      </c>
      <c r="F1471" s="113">
        <f>领料单!BR141</f>
        <v>0</v>
      </c>
      <c r="G1471" s="113"/>
    </row>
    <row r="1472" customHeight="1" spans="1:7">
      <c r="A1472" s="113">
        <f>领料单!BM142</f>
        <v>0</v>
      </c>
      <c r="B1472" s="113">
        <f>领料单!BN142</f>
        <v>0</v>
      </c>
      <c r="C1472" s="113">
        <f>领料单!BO142</f>
        <v>0</v>
      </c>
      <c r="D1472" s="113">
        <f>领料单!BP142</f>
        <v>0</v>
      </c>
      <c r="E1472" s="113">
        <f>领料单!BQ142</f>
        <v>0</v>
      </c>
      <c r="F1472" s="113">
        <f>领料单!BR142</f>
        <v>0</v>
      </c>
      <c r="G1472" s="113"/>
    </row>
    <row r="1473" customHeight="1" spans="1:7">
      <c r="A1473" s="113">
        <f>领料单!BM143</f>
        <v>0</v>
      </c>
      <c r="B1473" s="113">
        <f>领料单!BN143</f>
        <v>0</v>
      </c>
      <c r="C1473" s="113">
        <f>领料单!BO143</f>
        <v>0</v>
      </c>
      <c r="D1473" s="113">
        <f>领料单!BP143</f>
        <v>0</v>
      </c>
      <c r="E1473" s="113">
        <f>领料单!BQ143</f>
        <v>0</v>
      </c>
      <c r="F1473" s="113">
        <f>领料单!BR143</f>
        <v>0</v>
      </c>
      <c r="G1473" s="113"/>
    </row>
    <row r="1474" customHeight="1" spans="1:7">
      <c r="A1474" s="113">
        <f>领料单!BM144</f>
        <v>0</v>
      </c>
      <c r="B1474" s="113">
        <f>领料单!BN144</f>
        <v>0</v>
      </c>
      <c r="C1474" s="113">
        <f>领料单!BO144</f>
        <v>0</v>
      </c>
      <c r="D1474" s="113">
        <f>领料单!BP144</f>
        <v>0</v>
      </c>
      <c r="E1474" s="113">
        <f>领料单!BQ144</f>
        <v>0</v>
      </c>
      <c r="F1474" s="113">
        <f>领料单!BR144</f>
        <v>0</v>
      </c>
      <c r="G1474" s="113"/>
    </row>
    <row r="1475" customHeight="1" spans="1:7">
      <c r="A1475" s="113">
        <f>领料单!BM145</f>
        <v>0</v>
      </c>
      <c r="B1475" s="113">
        <f>领料单!BN145</f>
        <v>0</v>
      </c>
      <c r="C1475" s="113">
        <f>领料单!BO145</f>
        <v>0</v>
      </c>
      <c r="D1475" s="113">
        <f>领料单!BP145</f>
        <v>0</v>
      </c>
      <c r="E1475" s="113">
        <f>领料单!BQ145</f>
        <v>0</v>
      </c>
      <c r="F1475" s="113">
        <f>领料单!BR145</f>
        <v>0</v>
      </c>
      <c r="G1475" s="113"/>
    </row>
    <row r="1476" customHeight="1" spans="1:7">
      <c r="A1476" s="113">
        <f>领料单!BM146</f>
        <v>0</v>
      </c>
      <c r="B1476" s="113">
        <f>领料单!BN146</f>
        <v>0</v>
      </c>
      <c r="C1476" s="113">
        <f>领料单!BO146</f>
        <v>0</v>
      </c>
      <c r="D1476" s="113">
        <f>领料单!BP146</f>
        <v>0</v>
      </c>
      <c r="E1476" s="113">
        <f>领料单!BQ146</f>
        <v>0</v>
      </c>
      <c r="F1476" s="113">
        <f>领料单!BR146</f>
        <v>0</v>
      </c>
      <c r="G1476" s="113"/>
    </row>
    <row r="1477" customHeight="1" spans="1:7">
      <c r="A1477" s="113">
        <f>领料单!BM147</f>
        <v>0</v>
      </c>
      <c r="B1477" s="113">
        <f>领料单!BN147</f>
        <v>0</v>
      </c>
      <c r="C1477" s="113">
        <f>领料单!BO147</f>
        <v>0</v>
      </c>
      <c r="D1477" s="113">
        <f>领料单!BP147</f>
        <v>0</v>
      </c>
      <c r="E1477" s="113">
        <f>领料单!BQ147</f>
        <v>0</v>
      </c>
      <c r="F1477" s="113">
        <f>领料单!BR147</f>
        <v>0</v>
      </c>
      <c r="G1477" s="113"/>
    </row>
    <row r="1478" customHeight="1" spans="1:7">
      <c r="A1478" s="113">
        <f>领料单!BM148</f>
        <v>0</v>
      </c>
      <c r="B1478" s="113">
        <f>领料单!BN148</f>
        <v>0</v>
      </c>
      <c r="C1478" s="113">
        <f>领料单!BO148</f>
        <v>0</v>
      </c>
      <c r="D1478" s="113">
        <f>领料单!BP148</f>
        <v>0</v>
      </c>
      <c r="E1478" s="113">
        <f>领料单!BQ148</f>
        <v>0</v>
      </c>
      <c r="F1478" s="113">
        <f>领料单!BR148</f>
        <v>0</v>
      </c>
      <c r="G1478" s="113"/>
    </row>
    <row r="1479" customHeight="1" spans="1:7">
      <c r="A1479" s="115" t="s">
        <v>340</v>
      </c>
      <c r="B1479" s="116"/>
      <c r="C1479" s="116"/>
      <c r="D1479" s="116"/>
      <c r="E1479" s="117"/>
      <c r="F1479" s="118">
        <f>SUM(F1467:F1478)</f>
        <v>0</v>
      </c>
      <c r="G1479" s="114"/>
    </row>
    <row r="1480" customHeight="1" spans="1:7">
      <c r="A1480" s="119" t="s">
        <v>341</v>
      </c>
      <c r="B1480" s="119"/>
      <c r="C1480" s="120"/>
      <c r="D1480" s="119"/>
      <c r="E1480" s="121" t="s">
        <v>342</v>
      </c>
      <c r="F1480" s="119"/>
      <c r="G1480" s="119"/>
    </row>
    <row r="1483" customHeight="1" spans="1:7">
      <c r="A1483" s="105"/>
      <c r="B1483" s="106"/>
      <c r="C1483" s="107" t="s">
        <v>330</v>
      </c>
      <c r="D1483" s="107"/>
      <c r="E1483" s="107"/>
      <c r="F1483" s="105"/>
      <c r="G1483" s="105"/>
    </row>
    <row r="1484" customHeight="1" spans="1:7">
      <c r="A1484" s="108" t="s">
        <v>331</v>
      </c>
      <c r="B1484" s="109"/>
      <c r="C1484" s="110">
        <v>45900</v>
      </c>
      <c r="D1484" s="110"/>
      <c r="E1484" s="110"/>
      <c r="F1484" s="111" t="s">
        <v>332</v>
      </c>
      <c r="G1484" s="112" t="str">
        <f>立项!$A$11</f>
        <v>RD09</v>
      </c>
    </row>
    <row r="1485" customHeight="1" spans="1:7">
      <c r="A1485" s="113" t="s">
        <v>333</v>
      </c>
      <c r="B1485" s="113" t="s">
        <v>334</v>
      </c>
      <c r="C1485" s="113" t="s">
        <v>335</v>
      </c>
      <c r="D1485" s="113" t="s">
        <v>336</v>
      </c>
      <c r="E1485" s="113" t="s">
        <v>337</v>
      </c>
      <c r="F1485" s="113" t="s">
        <v>338</v>
      </c>
      <c r="G1485" s="113" t="s">
        <v>339</v>
      </c>
    </row>
    <row r="1486" customHeight="1" spans="1:7">
      <c r="A1486" s="113">
        <f>领料单!BU137</f>
        <v>0</v>
      </c>
      <c r="B1486" s="113">
        <f>领料单!BV137</f>
        <v>0</v>
      </c>
      <c r="C1486" s="113">
        <f>领料单!BW137</f>
        <v>0</v>
      </c>
      <c r="D1486" s="113">
        <f>领料单!BX137</f>
        <v>0</v>
      </c>
      <c r="E1486" s="113">
        <f>领料单!BY137</f>
        <v>0</v>
      </c>
      <c r="F1486" s="113">
        <f>领料单!BZ137</f>
        <v>0</v>
      </c>
      <c r="G1486" s="113"/>
    </row>
    <row r="1487" customHeight="1" spans="1:7">
      <c r="A1487" s="113">
        <f>领料单!BU138</f>
        <v>0</v>
      </c>
      <c r="B1487" s="113">
        <f>领料单!BV138</f>
        <v>0</v>
      </c>
      <c r="C1487" s="113">
        <f>领料单!BW138</f>
        <v>0</v>
      </c>
      <c r="D1487" s="113">
        <f>领料单!BX138</f>
        <v>0</v>
      </c>
      <c r="E1487" s="113">
        <f>领料单!BY138</f>
        <v>0</v>
      </c>
      <c r="F1487" s="113">
        <f>领料单!BZ138</f>
        <v>0</v>
      </c>
      <c r="G1487" s="113"/>
    </row>
    <row r="1488" customHeight="1" spans="1:7">
      <c r="A1488" s="113">
        <f>领料单!BU139</f>
        <v>0</v>
      </c>
      <c r="B1488" s="113">
        <f>领料单!BV139</f>
        <v>0</v>
      </c>
      <c r="C1488" s="113">
        <f>领料单!BW139</f>
        <v>0</v>
      </c>
      <c r="D1488" s="113">
        <f>领料单!BX139</f>
        <v>0</v>
      </c>
      <c r="E1488" s="113">
        <f>领料单!BY139</f>
        <v>0</v>
      </c>
      <c r="F1488" s="113">
        <f>领料单!BZ139</f>
        <v>0</v>
      </c>
      <c r="G1488" s="113"/>
    </row>
    <row r="1489" customHeight="1" spans="1:7">
      <c r="A1489" s="113">
        <f>领料单!BU140</f>
        <v>0</v>
      </c>
      <c r="B1489" s="113">
        <f>领料单!BV140</f>
        <v>0</v>
      </c>
      <c r="C1489" s="113">
        <f>领料单!BW140</f>
        <v>0</v>
      </c>
      <c r="D1489" s="113">
        <f>领料单!BX140</f>
        <v>0</v>
      </c>
      <c r="E1489" s="113">
        <f>领料单!BY140</f>
        <v>0</v>
      </c>
      <c r="F1489" s="113">
        <f>领料单!BZ140</f>
        <v>0</v>
      </c>
      <c r="G1489" s="113"/>
    </row>
    <row r="1490" customHeight="1" spans="1:7">
      <c r="A1490" s="113">
        <f>领料单!BU141</f>
        <v>0</v>
      </c>
      <c r="B1490" s="113">
        <f>领料单!BV141</f>
        <v>0</v>
      </c>
      <c r="C1490" s="113">
        <f>领料单!BW141</f>
        <v>0</v>
      </c>
      <c r="D1490" s="113">
        <f>领料单!BX141</f>
        <v>0</v>
      </c>
      <c r="E1490" s="113">
        <f>领料单!BY141</f>
        <v>0</v>
      </c>
      <c r="F1490" s="113">
        <f>领料单!BZ141</f>
        <v>0</v>
      </c>
      <c r="G1490" s="113"/>
    </row>
    <row r="1491" customHeight="1" spans="1:7">
      <c r="A1491" s="113">
        <f>领料单!BU142</f>
        <v>0</v>
      </c>
      <c r="B1491" s="113">
        <f>领料单!BV142</f>
        <v>0</v>
      </c>
      <c r="C1491" s="113">
        <f>领料单!BW142</f>
        <v>0</v>
      </c>
      <c r="D1491" s="113">
        <f>领料单!BX142</f>
        <v>0</v>
      </c>
      <c r="E1491" s="113">
        <f>领料单!BY142</f>
        <v>0</v>
      </c>
      <c r="F1491" s="113">
        <f>领料单!BZ142</f>
        <v>0</v>
      </c>
      <c r="G1491" s="113"/>
    </row>
    <row r="1492" customHeight="1" spans="1:7">
      <c r="A1492" s="113">
        <f>领料单!BU143</f>
        <v>0</v>
      </c>
      <c r="B1492" s="113">
        <f>领料单!BV143</f>
        <v>0</v>
      </c>
      <c r="C1492" s="113">
        <f>领料单!BW143</f>
        <v>0</v>
      </c>
      <c r="D1492" s="113">
        <f>领料单!BX143</f>
        <v>0</v>
      </c>
      <c r="E1492" s="113">
        <f>领料单!BY143</f>
        <v>0</v>
      </c>
      <c r="F1492" s="113">
        <f>领料单!BZ143</f>
        <v>0</v>
      </c>
      <c r="G1492" s="113"/>
    </row>
    <row r="1493" customHeight="1" spans="1:7">
      <c r="A1493" s="113">
        <f>领料单!BU144</f>
        <v>0</v>
      </c>
      <c r="B1493" s="113">
        <f>领料单!BV144</f>
        <v>0</v>
      </c>
      <c r="C1493" s="113">
        <f>领料单!BW144</f>
        <v>0</v>
      </c>
      <c r="D1493" s="113">
        <f>领料单!BX144</f>
        <v>0</v>
      </c>
      <c r="E1493" s="113">
        <f>领料单!BY144</f>
        <v>0</v>
      </c>
      <c r="F1493" s="113">
        <f>领料单!BZ144</f>
        <v>0</v>
      </c>
      <c r="G1493" s="113"/>
    </row>
    <row r="1494" customHeight="1" spans="1:7">
      <c r="A1494" s="113">
        <f>领料单!BU145</f>
        <v>0</v>
      </c>
      <c r="B1494" s="113">
        <f>领料单!BV145</f>
        <v>0</v>
      </c>
      <c r="C1494" s="113">
        <f>领料单!BW145</f>
        <v>0</v>
      </c>
      <c r="D1494" s="113">
        <f>领料单!BX145</f>
        <v>0</v>
      </c>
      <c r="E1494" s="113">
        <f>领料单!BY145</f>
        <v>0</v>
      </c>
      <c r="F1494" s="113">
        <f>领料单!BZ145</f>
        <v>0</v>
      </c>
      <c r="G1494" s="113"/>
    </row>
    <row r="1495" customHeight="1" spans="1:7">
      <c r="A1495" s="113">
        <f>领料单!BU146</f>
        <v>0</v>
      </c>
      <c r="B1495" s="113">
        <f>领料单!BV146</f>
        <v>0</v>
      </c>
      <c r="C1495" s="113">
        <f>领料单!BW146</f>
        <v>0</v>
      </c>
      <c r="D1495" s="113">
        <f>领料单!BX146</f>
        <v>0</v>
      </c>
      <c r="E1495" s="113">
        <f>领料单!BY146</f>
        <v>0</v>
      </c>
      <c r="F1495" s="113">
        <f>领料单!BZ146</f>
        <v>0</v>
      </c>
      <c r="G1495" s="113"/>
    </row>
    <row r="1496" customHeight="1" spans="1:7">
      <c r="A1496" s="113">
        <f>领料单!BU147</f>
        <v>0</v>
      </c>
      <c r="B1496" s="113">
        <f>领料单!BV147</f>
        <v>0</v>
      </c>
      <c r="C1496" s="113">
        <f>领料单!BW147</f>
        <v>0</v>
      </c>
      <c r="D1496" s="113">
        <f>领料单!BX147</f>
        <v>0</v>
      </c>
      <c r="E1496" s="113">
        <f>领料单!BY147</f>
        <v>0</v>
      </c>
      <c r="F1496" s="113">
        <f>领料单!BZ147</f>
        <v>0</v>
      </c>
      <c r="G1496" s="113"/>
    </row>
    <row r="1497" customHeight="1" spans="1:7">
      <c r="A1497" s="113">
        <f>领料单!BU148</f>
        <v>0</v>
      </c>
      <c r="B1497" s="113">
        <f>领料单!BV148</f>
        <v>0</v>
      </c>
      <c r="C1497" s="113">
        <f>领料单!BW148</f>
        <v>0</v>
      </c>
      <c r="D1497" s="113">
        <f>领料单!BX148</f>
        <v>0</v>
      </c>
      <c r="E1497" s="113">
        <f>领料单!BY148</f>
        <v>0</v>
      </c>
      <c r="F1497" s="113">
        <f>领料单!BZ148</f>
        <v>0</v>
      </c>
      <c r="G1497" s="113"/>
    </row>
    <row r="1498" customHeight="1" spans="1:7">
      <c r="A1498" s="115" t="s">
        <v>340</v>
      </c>
      <c r="B1498" s="116"/>
      <c r="C1498" s="116"/>
      <c r="D1498" s="116"/>
      <c r="E1498" s="117"/>
      <c r="F1498" s="118">
        <f>SUM(F1486:F1497)</f>
        <v>0</v>
      </c>
      <c r="G1498" s="114"/>
    </row>
    <row r="1499" customHeight="1" spans="1:7">
      <c r="A1499" s="119" t="s">
        <v>341</v>
      </c>
      <c r="B1499" s="119"/>
      <c r="C1499" s="120"/>
      <c r="D1499" s="119"/>
      <c r="E1499" s="121" t="s">
        <v>342</v>
      </c>
      <c r="F1499" s="119"/>
      <c r="G1499" s="119"/>
    </row>
    <row r="1502" customHeight="1" spans="1:7">
      <c r="A1502" s="105"/>
      <c r="B1502" s="106"/>
      <c r="C1502" s="107" t="s">
        <v>330</v>
      </c>
      <c r="D1502" s="107"/>
      <c r="E1502" s="107"/>
      <c r="F1502" s="105"/>
      <c r="G1502" s="105"/>
    </row>
    <row r="1503" customHeight="1" spans="1:7">
      <c r="A1503" s="108" t="s">
        <v>331</v>
      </c>
      <c r="B1503" s="109"/>
      <c r="C1503" s="110">
        <v>45900</v>
      </c>
      <c r="D1503" s="110"/>
      <c r="E1503" s="110"/>
      <c r="F1503" s="111" t="s">
        <v>332</v>
      </c>
      <c r="G1503" s="112" t="str">
        <f>立项!$A$12</f>
        <v>RD10</v>
      </c>
    </row>
    <row r="1504" customHeight="1" spans="1:7">
      <c r="A1504" s="113" t="s">
        <v>333</v>
      </c>
      <c r="B1504" s="113" t="s">
        <v>334</v>
      </c>
      <c r="C1504" s="113" t="s">
        <v>335</v>
      </c>
      <c r="D1504" s="113" t="s">
        <v>336</v>
      </c>
      <c r="E1504" s="113" t="s">
        <v>337</v>
      </c>
      <c r="F1504" s="113" t="s">
        <v>338</v>
      </c>
      <c r="G1504" s="113" t="s">
        <v>339</v>
      </c>
    </row>
    <row r="1505" customHeight="1" spans="1:7">
      <c r="A1505" s="113">
        <f>领料单!CC137</f>
        <v>0</v>
      </c>
      <c r="B1505" s="113">
        <f>领料单!CD137</f>
        <v>0</v>
      </c>
      <c r="C1505" s="113">
        <f>领料单!CE137</f>
        <v>0</v>
      </c>
      <c r="D1505" s="113">
        <f>领料单!CF137</f>
        <v>0</v>
      </c>
      <c r="E1505" s="113">
        <f>领料单!CG137</f>
        <v>0</v>
      </c>
      <c r="F1505" s="113">
        <f>领料单!CH137</f>
        <v>0</v>
      </c>
      <c r="G1505" s="113"/>
    </row>
    <row r="1506" customHeight="1" spans="1:7">
      <c r="A1506" s="113">
        <f>领料单!CC138</f>
        <v>0</v>
      </c>
      <c r="B1506" s="113">
        <f>领料单!CD138</f>
        <v>0</v>
      </c>
      <c r="C1506" s="113">
        <f>领料单!CE138</f>
        <v>0</v>
      </c>
      <c r="D1506" s="113">
        <f>领料单!CF138</f>
        <v>0</v>
      </c>
      <c r="E1506" s="113">
        <f>领料单!CG138</f>
        <v>0</v>
      </c>
      <c r="F1506" s="113">
        <f>领料单!CH138</f>
        <v>0</v>
      </c>
      <c r="G1506" s="113"/>
    </row>
    <row r="1507" customHeight="1" spans="1:7">
      <c r="A1507" s="113">
        <f>领料单!CC139</f>
        <v>0</v>
      </c>
      <c r="B1507" s="113">
        <f>领料单!CD139</f>
        <v>0</v>
      </c>
      <c r="C1507" s="113">
        <f>领料单!CE139</f>
        <v>0</v>
      </c>
      <c r="D1507" s="113">
        <f>领料单!CF139</f>
        <v>0</v>
      </c>
      <c r="E1507" s="113">
        <f>领料单!CG139</f>
        <v>0</v>
      </c>
      <c r="F1507" s="113">
        <f>领料单!CH139</f>
        <v>0</v>
      </c>
      <c r="G1507" s="113"/>
    </row>
    <row r="1508" customHeight="1" spans="1:7">
      <c r="A1508" s="113">
        <f>领料单!CC140</f>
        <v>0</v>
      </c>
      <c r="B1508" s="113">
        <f>领料单!CD140</f>
        <v>0</v>
      </c>
      <c r="C1508" s="113">
        <f>领料单!CE140</f>
        <v>0</v>
      </c>
      <c r="D1508" s="113">
        <f>领料单!CF140</f>
        <v>0</v>
      </c>
      <c r="E1508" s="113">
        <f>领料单!CG140</f>
        <v>0</v>
      </c>
      <c r="F1508" s="113">
        <f>领料单!CH140</f>
        <v>0</v>
      </c>
      <c r="G1508" s="113"/>
    </row>
    <row r="1509" customHeight="1" spans="1:7">
      <c r="A1509" s="113">
        <f>领料单!CC141</f>
        <v>0</v>
      </c>
      <c r="B1509" s="113">
        <f>领料单!CD141</f>
        <v>0</v>
      </c>
      <c r="C1509" s="113">
        <f>领料单!CE141</f>
        <v>0</v>
      </c>
      <c r="D1509" s="113">
        <f>领料单!CF141</f>
        <v>0</v>
      </c>
      <c r="E1509" s="113">
        <f>领料单!CG141</f>
        <v>0</v>
      </c>
      <c r="F1509" s="113">
        <f>领料单!CH141</f>
        <v>0</v>
      </c>
      <c r="G1509" s="113"/>
    </row>
    <row r="1510" customHeight="1" spans="1:7">
      <c r="A1510" s="113">
        <f>领料单!CC142</f>
        <v>0</v>
      </c>
      <c r="B1510" s="113">
        <f>领料单!CD142</f>
        <v>0</v>
      </c>
      <c r="C1510" s="113">
        <f>领料单!CE142</f>
        <v>0</v>
      </c>
      <c r="D1510" s="113">
        <f>领料单!CF142</f>
        <v>0</v>
      </c>
      <c r="E1510" s="113">
        <f>领料单!CG142</f>
        <v>0</v>
      </c>
      <c r="F1510" s="113">
        <f>领料单!CH142</f>
        <v>0</v>
      </c>
      <c r="G1510" s="113"/>
    </row>
    <row r="1511" customHeight="1" spans="1:7">
      <c r="A1511" s="113">
        <f>领料单!CC143</f>
        <v>0</v>
      </c>
      <c r="B1511" s="113">
        <f>领料单!CD143</f>
        <v>0</v>
      </c>
      <c r="C1511" s="113">
        <f>领料单!CE143</f>
        <v>0</v>
      </c>
      <c r="D1511" s="113">
        <f>领料单!CF143</f>
        <v>0</v>
      </c>
      <c r="E1511" s="113">
        <f>领料单!CG143</f>
        <v>0</v>
      </c>
      <c r="F1511" s="113">
        <f>领料单!CH143</f>
        <v>0</v>
      </c>
      <c r="G1511" s="113"/>
    </row>
    <row r="1512" customHeight="1" spans="1:7">
      <c r="A1512" s="113">
        <f>领料单!CC144</f>
        <v>0</v>
      </c>
      <c r="B1512" s="113">
        <f>领料单!CD144</f>
        <v>0</v>
      </c>
      <c r="C1512" s="113">
        <f>领料单!CE144</f>
        <v>0</v>
      </c>
      <c r="D1512" s="113">
        <f>领料单!CF144</f>
        <v>0</v>
      </c>
      <c r="E1512" s="113">
        <f>领料单!CG144</f>
        <v>0</v>
      </c>
      <c r="F1512" s="113">
        <f>领料单!CH144</f>
        <v>0</v>
      </c>
      <c r="G1512" s="113"/>
    </row>
    <row r="1513" customHeight="1" spans="1:7">
      <c r="A1513" s="113">
        <f>领料单!CC145</f>
        <v>0</v>
      </c>
      <c r="B1513" s="113">
        <f>领料单!CD145</f>
        <v>0</v>
      </c>
      <c r="C1513" s="113">
        <f>领料单!CE145</f>
        <v>0</v>
      </c>
      <c r="D1513" s="113">
        <f>领料单!CF145</f>
        <v>0</v>
      </c>
      <c r="E1513" s="113">
        <f>领料单!CG145</f>
        <v>0</v>
      </c>
      <c r="F1513" s="113">
        <f>领料单!CH145</f>
        <v>0</v>
      </c>
      <c r="G1513" s="113"/>
    </row>
    <row r="1514" customHeight="1" spans="1:7">
      <c r="A1514" s="113">
        <f>领料单!CC146</f>
        <v>0</v>
      </c>
      <c r="B1514" s="113">
        <f>领料单!CD146</f>
        <v>0</v>
      </c>
      <c r="C1514" s="113">
        <f>领料单!CE146</f>
        <v>0</v>
      </c>
      <c r="D1514" s="113">
        <f>领料单!CF146</f>
        <v>0</v>
      </c>
      <c r="E1514" s="113">
        <f>领料单!CG146</f>
        <v>0</v>
      </c>
      <c r="F1514" s="113">
        <f>领料单!CH146</f>
        <v>0</v>
      </c>
      <c r="G1514" s="113"/>
    </row>
    <row r="1515" customHeight="1" spans="1:7">
      <c r="A1515" s="113">
        <f>领料单!CC147</f>
        <v>0</v>
      </c>
      <c r="B1515" s="113">
        <f>领料单!CD147</f>
        <v>0</v>
      </c>
      <c r="C1515" s="113">
        <f>领料单!CE147</f>
        <v>0</v>
      </c>
      <c r="D1515" s="113">
        <f>领料单!CF147</f>
        <v>0</v>
      </c>
      <c r="E1515" s="113">
        <f>领料单!CG147</f>
        <v>0</v>
      </c>
      <c r="F1515" s="113">
        <f>领料单!CH147</f>
        <v>0</v>
      </c>
      <c r="G1515" s="113"/>
    </row>
    <row r="1516" customHeight="1" spans="1:7">
      <c r="A1516" s="113">
        <f>领料单!CC148</f>
        <v>0</v>
      </c>
      <c r="B1516" s="113">
        <f>领料单!CD148</f>
        <v>0</v>
      </c>
      <c r="C1516" s="113">
        <f>领料单!CE148</f>
        <v>0</v>
      </c>
      <c r="D1516" s="113">
        <f>领料单!CF148</f>
        <v>0</v>
      </c>
      <c r="E1516" s="113">
        <f>领料单!CG148</f>
        <v>0</v>
      </c>
      <c r="F1516" s="113">
        <f>领料单!CH148</f>
        <v>0</v>
      </c>
      <c r="G1516" s="113"/>
    </row>
    <row r="1517" customHeight="1" spans="1:7">
      <c r="A1517" s="115" t="s">
        <v>340</v>
      </c>
      <c r="B1517" s="116"/>
      <c r="C1517" s="116"/>
      <c r="D1517" s="116"/>
      <c r="E1517" s="117"/>
      <c r="F1517" s="118">
        <f>SUM(F1505:F1516)</f>
        <v>0</v>
      </c>
      <c r="G1517" s="114"/>
    </row>
    <row r="1518" customHeight="1" spans="1:7">
      <c r="A1518" s="119" t="s">
        <v>341</v>
      </c>
      <c r="B1518" s="119"/>
      <c r="C1518" s="120"/>
      <c r="D1518" s="119"/>
      <c r="E1518" s="121" t="s">
        <v>342</v>
      </c>
      <c r="F1518" s="119"/>
      <c r="G1518" s="119"/>
    </row>
    <row r="1521" customHeight="1" spans="1:7">
      <c r="A1521" s="105"/>
      <c r="B1521" s="106"/>
      <c r="C1521" s="107" t="s">
        <v>330</v>
      </c>
      <c r="D1521" s="107"/>
      <c r="E1521" s="107"/>
      <c r="F1521" s="105"/>
      <c r="G1521" s="105"/>
    </row>
    <row r="1522" customHeight="1" spans="1:7">
      <c r="A1522" s="108" t="s">
        <v>331</v>
      </c>
      <c r="B1522" s="109"/>
      <c r="C1522" s="110">
        <v>45930</v>
      </c>
      <c r="D1522" s="110"/>
      <c r="E1522" s="110"/>
      <c r="F1522" s="111" t="s">
        <v>332</v>
      </c>
      <c r="G1522" s="112" t="str">
        <f>立项!$A$3</f>
        <v>RD01</v>
      </c>
    </row>
    <row r="1523" customHeight="1" spans="1:7">
      <c r="A1523" s="113" t="s">
        <v>333</v>
      </c>
      <c r="B1523" s="113" t="s">
        <v>334</v>
      </c>
      <c r="C1523" s="113" t="s">
        <v>335</v>
      </c>
      <c r="D1523" s="113" t="s">
        <v>336</v>
      </c>
      <c r="E1523" s="113" t="s">
        <v>337</v>
      </c>
      <c r="F1523" s="113" t="s">
        <v>338</v>
      </c>
      <c r="G1523" s="113" t="s">
        <v>339</v>
      </c>
    </row>
    <row r="1524" customHeight="1" spans="1:7">
      <c r="A1524" s="113">
        <f>领料单!I156</f>
        <v>0</v>
      </c>
      <c r="B1524" s="113">
        <f>领料单!J156</f>
        <v>0</v>
      </c>
      <c r="C1524" s="113">
        <f>领料单!K156</f>
        <v>0</v>
      </c>
      <c r="D1524" s="113">
        <f>领料单!L156</f>
        <v>0</v>
      </c>
      <c r="E1524" s="113">
        <f>领料单!M156</f>
        <v>0</v>
      </c>
      <c r="F1524" s="113">
        <f>领料单!N156</f>
        <v>0</v>
      </c>
      <c r="G1524" s="113"/>
    </row>
    <row r="1525" customHeight="1" spans="1:7">
      <c r="A1525" s="113">
        <f>领料单!I157</f>
        <v>0</v>
      </c>
      <c r="B1525" s="113">
        <f>领料单!J157</f>
        <v>0</v>
      </c>
      <c r="C1525" s="113">
        <f>领料单!K157</f>
        <v>0</v>
      </c>
      <c r="D1525" s="113">
        <f>领料单!L157</f>
        <v>0</v>
      </c>
      <c r="E1525" s="113">
        <f>领料单!M157</f>
        <v>0</v>
      </c>
      <c r="F1525" s="113">
        <f>领料单!N157</f>
        <v>0</v>
      </c>
      <c r="G1525" s="113"/>
    </row>
    <row r="1526" customHeight="1" spans="1:7">
      <c r="A1526" s="113">
        <f>领料单!I158</f>
        <v>0</v>
      </c>
      <c r="B1526" s="113">
        <f>领料单!J158</f>
        <v>0</v>
      </c>
      <c r="C1526" s="113">
        <f>领料单!K158</f>
        <v>0</v>
      </c>
      <c r="D1526" s="113">
        <f>领料单!L158</f>
        <v>0</v>
      </c>
      <c r="E1526" s="113">
        <f>领料单!M158</f>
        <v>0</v>
      </c>
      <c r="F1526" s="113">
        <f>领料单!N158</f>
        <v>0</v>
      </c>
      <c r="G1526" s="113"/>
    </row>
    <row r="1527" customHeight="1" spans="1:7">
      <c r="A1527" s="113">
        <f>领料单!I159</f>
        <v>0</v>
      </c>
      <c r="B1527" s="113">
        <f>领料单!J159</f>
        <v>0</v>
      </c>
      <c r="C1527" s="113">
        <f>领料单!K159</f>
        <v>0</v>
      </c>
      <c r="D1527" s="113">
        <f>领料单!L159</f>
        <v>0</v>
      </c>
      <c r="E1527" s="113">
        <f>领料单!M159</f>
        <v>0</v>
      </c>
      <c r="F1527" s="113">
        <f>领料单!N159</f>
        <v>0</v>
      </c>
      <c r="G1527" s="113"/>
    </row>
    <row r="1528" customHeight="1" spans="1:7">
      <c r="A1528" s="113">
        <f>领料单!I160</f>
        <v>0</v>
      </c>
      <c r="B1528" s="113">
        <f>领料单!J160</f>
        <v>0</v>
      </c>
      <c r="C1528" s="113">
        <f>领料单!K160</f>
        <v>0</v>
      </c>
      <c r="D1528" s="113">
        <f>领料单!L160</f>
        <v>0</v>
      </c>
      <c r="E1528" s="113">
        <f>领料单!M160</f>
        <v>0</v>
      </c>
      <c r="F1528" s="113">
        <f>领料单!N160</f>
        <v>0</v>
      </c>
      <c r="G1528" s="113"/>
    </row>
    <row r="1529" customHeight="1" spans="1:7">
      <c r="A1529" s="113">
        <f>领料单!I161</f>
        <v>0</v>
      </c>
      <c r="B1529" s="113">
        <f>领料单!J161</f>
        <v>0</v>
      </c>
      <c r="C1529" s="113">
        <f>领料单!K161</f>
        <v>0</v>
      </c>
      <c r="D1529" s="113">
        <f>领料单!L161</f>
        <v>0</v>
      </c>
      <c r="E1529" s="113">
        <f>领料单!M161</f>
        <v>0</v>
      </c>
      <c r="F1529" s="113">
        <f>领料单!N161</f>
        <v>0</v>
      </c>
      <c r="G1529" s="113"/>
    </row>
    <row r="1530" customHeight="1" spans="1:7">
      <c r="A1530" s="113">
        <f>领料单!I162</f>
        <v>0</v>
      </c>
      <c r="B1530" s="113">
        <f>领料单!J162</f>
        <v>0</v>
      </c>
      <c r="C1530" s="113">
        <f>领料单!K162</f>
        <v>0</v>
      </c>
      <c r="D1530" s="113">
        <f>领料单!L162</f>
        <v>0</v>
      </c>
      <c r="E1530" s="113">
        <f>领料单!M162</f>
        <v>0</v>
      </c>
      <c r="F1530" s="113">
        <f>领料单!N162</f>
        <v>0</v>
      </c>
      <c r="G1530" s="113"/>
    </row>
    <row r="1531" customHeight="1" spans="1:7">
      <c r="A1531" s="113">
        <f>领料单!I163</f>
        <v>0</v>
      </c>
      <c r="B1531" s="113">
        <f>领料单!J163</f>
        <v>0</v>
      </c>
      <c r="C1531" s="113">
        <f>领料单!K163</f>
        <v>0</v>
      </c>
      <c r="D1531" s="113">
        <f>领料单!L163</f>
        <v>0</v>
      </c>
      <c r="E1531" s="113">
        <f>领料单!M163</f>
        <v>0</v>
      </c>
      <c r="F1531" s="113">
        <f>领料单!N163</f>
        <v>0</v>
      </c>
      <c r="G1531" s="113"/>
    </row>
    <row r="1532" customHeight="1" spans="1:7">
      <c r="A1532" s="113">
        <f>领料单!I164</f>
        <v>0</v>
      </c>
      <c r="B1532" s="113">
        <f>领料单!J164</f>
        <v>0</v>
      </c>
      <c r="C1532" s="113">
        <f>领料单!K164</f>
        <v>0</v>
      </c>
      <c r="D1532" s="113">
        <f>领料单!L164</f>
        <v>0</v>
      </c>
      <c r="E1532" s="113">
        <f>领料单!M164</f>
        <v>0</v>
      </c>
      <c r="F1532" s="113">
        <f>领料单!N164</f>
        <v>0</v>
      </c>
      <c r="G1532" s="113"/>
    </row>
    <row r="1533" customHeight="1" spans="1:7">
      <c r="A1533" s="113">
        <f>领料单!I165</f>
        <v>0</v>
      </c>
      <c r="B1533" s="113">
        <f>领料单!J165</f>
        <v>0</v>
      </c>
      <c r="C1533" s="113">
        <f>领料单!K165</f>
        <v>0</v>
      </c>
      <c r="D1533" s="113">
        <f>领料单!L165</f>
        <v>0</v>
      </c>
      <c r="E1533" s="113">
        <f>领料单!M165</f>
        <v>0</v>
      </c>
      <c r="F1533" s="113">
        <f>领料单!N165</f>
        <v>0</v>
      </c>
      <c r="G1533" s="113"/>
    </row>
    <row r="1534" customHeight="1" spans="1:7">
      <c r="A1534" s="113">
        <f>领料单!I166</f>
        <v>0</v>
      </c>
      <c r="B1534" s="113">
        <f>领料单!J166</f>
        <v>0</v>
      </c>
      <c r="C1534" s="113">
        <f>领料单!K166</f>
        <v>0</v>
      </c>
      <c r="D1534" s="113">
        <f>领料单!L166</f>
        <v>0</v>
      </c>
      <c r="E1534" s="113">
        <f>领料单!M166</f>
        <v>0</v>
      </c>
      <c r="F1534" s="113">
        <f>领料单!N166</f>
        <v>0</v>
      </c>
      <c r="G1534" s="113"/>
    </row>
    <row r="1535" customHeight="1" spans="1:7">
      <c r="A1535" s="113">
        <f>领料单!I167</f>
        <v>0</v>
      </c>
      <c r="B1535" s="113">
        <f>领料单!J167</f>
        <v>0</v>
      </c>
      <c r="C1535" s="113">
        <f>领料单!K167</f>
        <v>0</v>
      </c>
      <c r="D1535" s="113">
        <f>领料单!L167</f>
        <v>0</v>
      </c>
      <c r="E1535" s="113">
        <f>领料单!M167</f>
        <v>0</v>
      </c>
      <c r="F1535" s="113">
        <f>领料单!N167</f>
        <v>0</v>
      </c>
      <c r="G1535" s="113"/>
    </row>
    <row r="1536" customHeight="1" spans="1:7">
      <c r="A1536" s="115" t="s">
        <v>340</v>
      </c>
      <c r="B1536" s="116"/>
      <c r="C1536" s="116"/>
      <c r="D1536" s="116"/>
      <c r="E1536" s="117"/>
      <c r="F1536" s="118">
        <f>SUM(F1525:F1535)</f>
        <v>0</v>
      </c>
      <c r="G1536" s="114"/>
    </row>
    <row r="1537" customHeight="1" spans="1:7">
      <c r="A1537" s="119" t="s">
        <v>341</v>
      </c>
      <c r="B1537" s="119"/>
      <c r="C1537" s="120"/>
      <c r="D1537" s="119"/>
      <c r="E1537" s="121" t="s">
        <v>342</v>
      </c>
      <c r="F1537" s="119"/>
      <c r="G1537" s="119"/>
    </row>
    <row r="1540" customHeight="1" spans="1:7">
      <c r="A1540" s="105"/>
      <c r="B1540" s="106"/>
      <c r="C1540" s="107" t="s">
        <v>330</v>
      </c>
      <c r="D1540" s="107"/>
      <c r="E1540" s="107"/>
      <c r="F1540" s="105"/>
      <c r="G1540" s="105"/>
    </row>
    <row r="1541" customHeight="1" spans="1:7">
      <c r="A1541" s="108" t="s">
        <v>331</v>
      </c>
      <c r="B1541" s="109"/>
      <c r="C1541" s="110">
        <v>45930</v>
      </c>
      <c r="D1541" s="110"/>
      <c r="E1541" s="110"/>
      <c r="F1541" s="111" t="s">
        <v>332</v>
      </c>
      <c r="G1541" s="112" t="str">
        <f>立项!$A$4</f>
        <v>RD02</v>
      </c>
    </row>
    <row r="1542" customHeight="1" spans="1:7">
      <c r="A1542" s="113" t="s">
        <v>333</v>
      </c>
      <c r="B1542" s="113" t="s">
        <v>334</v>
      </c>
      <c r="C1542" s="113" t="s">
        <v>335</v>
      </c>
      <c r="D1542" s="113" t="s">
        <v>336</v>
      </c>
      <c r="E1542" s="113" t="s">
        <v>337</v>
      </c>
      <c r="F1542" s="113" t="s">
        <v>338</v>
      </c>
      <c r="G1542" s="113" t="s">
        <v>339</v>
      </c>
    </row>
    <row r="1543" customHeight="1" spans="1:7">
      <c r="A1543" s="113">
        <f>领料单!Q156</f>
        <v>0</v>
      </c>
      <c r="B1543" s="113">
        <f>领料单!R156</f>
        <v>0</v>
      </c>
      <c r="C1543" s="113">
        <f>领料单!S156</f>
        <v>0</v>
      </c>
      <c r="D1543" s="113">
        <f>领料单!T156</f>
        <v>0</v>
      </c>
      <c r="E1543" s="113">
        <f>领料单!U156</f>
        <v>0</v>
      </c>
      <c r="F1543" s="113">
        <f>领料单!V156</f>
        <v>0</v>
      </c>
      <c r="G1543" s="113"/>
    </row>
    <row r="1544" customHeight="1" spans="1:7">
      <c r="A1544" s="113">
        <f>领料单!Q157</f>
        <v>0</v>
      </c>
      <c r="B1544" s="113">
        <f>领料单!R157</f>
        <v>0</v>
      </c>
      <c r="C1544" s="113">
        <f>领料单!S157</f>
        <v>0</v>
      </c>
      <c r="D1544" s="113">
        <f>领料单!T157</f>
        <v>0</v>
      </c>
      <c r="E1544" s="113">
        <f>领料单!U157</f>
        <v>0</v>
      </c>
      <c r="F1544" s="113">
        <f>领料单!V157</f>
        <v>0</v>
      </c>
      <c r="G1544" s="113"/>
    </row>
    <row r="1545" customHeight="1" spans="1:7">
      <c r="A1545" s="113">
        <f>领料单!Q158</f>
        <v>0</v>
      </c>
      <c r="B1545" s="113">
        <f>领料单!R158</f>
        <v>0</v>
      </c>
      <c r="C1545" s="113">
        <f>领料单!S158</f>
        <v>0</v>
      </c>
      <c r="D1545" s="113">
        <f>领料单!T158</f>
        <v>0</v>
      </c>
      <c r="E1545" s="113">
        <f>领料单!U158</f>
        <v>0</v>
      </c>
      <c r="F1545" s="113">
        <f>领料单!V158</f>
        <v>0</v>
      </c>
      <c r="G1545" s="113"/>
    </row>
    <row r="1546" customHeight="1" spans="1:7">
      <c r="A1546" s="113">
        <f>领料单!Q159</f>
        <v>0</v>
      </c>
      <c r="B1546" s="113">
        <f>领料单!R159</f>
        <v>0</v>
      </c>
      <c r="C1546" s="113">
        <f>领料单!S159</f>
        <v>0</v>
      </c>
      <c r="D1546" s="113">
        <f>领料单!T159</f>
        <v>0</v>
      </c>
      <c r="E1546" s="113">
        <f>领料单!U159</f>
        <v>0</v>
      </c>
      <c r="F1546" s="113">
        <f>领料单!V159</f>
        <v>0</v>
      </c>
      <c r="G1546" s="113"/>
    </row>
    <row r="1547" customHeight="1" spans="1:7">
      <c r="A1547" s="113">
        <f>领料单!Q160</f>
        <v>0</v>
      </c>
      <c r="B1547" s="113">
        <f>领料单!R160</f>
        <v>0</v>
      </c>
      <c r="C1547" s="113">
        <f>领料单!S160</f>
        <v>0</v>
      </c>
      <c r="D1547" s="113">
        <f>领料单!T160</f>
        <v>0</v>
      </c>
      <c r="E1547" s="113">
        <f>领料单!U160</f>
        <v>0</v>
      </c>
      <c r="F1547" s="113">
        <f>领料单!V160</f>
        <v>0</v>
      </c>
      <c r="G1547" s="113"/>
    </row>
    <row r="1548" customHeight="1" spans="1:7">
      <c r="A1548" s="113">
        <f>领料单!Q161</f>
        <v>0</v>
      </c>
      <c r="B1548" s="113">
        <f>领料单!R161</f>
        <v>0</v>
      </c>
      <c r="C1548" s="113">
        <f>领料单!S161</f>
        <v>0</v>
      </c>
      <c r="D1548" s="113">
        <f>领料单!T161</f>
        <v>0</v>
      </c>
      <c r="E1548" s="113">
        <f>领料单!U161</f>
        <v>0</v>
      </c>
      <c r="F1548" s="113">
        <f>领料单!V161</f>
        <v>0</v>
      </c>
      <c r="G1548" s="113"/>
    </row>
    <row r="1549" customHeight="1" spans="1:7">
      <c r="A1549" s="113">
        <f>领料单!Q162</f>
        <v>0</v>
      </c>
      <c r="B1549" s="113">
        <f>领料单!R162</f>
        <v>0</v>
      </c>
      <c r="C1549" s="113">
        <f>领料单!S162</f>
        <v>0</v>
      </c>
      <c r="D1549" s="113">
        <f>领料单!T162</f>
        <v>0</v>
      </c>
      <c r="E1549" s="113">
        <f>领料单!U162</f>
        <v>0</v>
      </c>
      <c r="F1549" s="113">
        <f>领料单!V162</f>
        <v>0</v>
      </c>
      <c r="G1549" s="113"/>
    </row>
    <row r="1550" customHeight="1" spans="1:7">
      <c r="A1550" s="113">
        <f>领料单!Q163</f>
        <v>0</v>
      </c>
      <c r="B1550" s="113">
        <f>领料单!R163</f>
        <v>0</v>
      </c>
      <c r="C1550" s="113">
        <f>领料单!S163</f>
        <v>0</v>
      </c>
      <c r="D1550" s="113">
        <f>领料单!T163</f>
        <v>0</v>
      </c>
      <c r="E1550" s="113">
        <f>领料单!U163</f>
        <v>0</v>
      </c>
      <c r="F1550" s="113">
        <f>领料单!V163</f>
        <v>0</v>
      </c>
      <c r="G1550" s="113"/>
    </row>
    <row r="1551" customHeight="1" spans="1:7">
      <c r="A1551" s="113">
        <f>领料单!Q164</f>
        <v>0</v>
      </c>
      <c r="B1551" s="113">
        <f>领料单!R164</f>
        <v>0</v>
      </c>
      <c r="C1551" s="113">
        <f>领料单!S164</f>
        <v>0</v>
      </c>
      <c r="D1551" s="113">
        <f>领料单!T164</f>
        <v>0</v>
      </c>
      <c r="E1551" s="113">
        <f>领料单!U164</f>
        <v>0</v>
      </c>
      <c r="F1551" s="113">
        <f>领料单!V164</f>
        <v>0</v>
      </c>
      <c r="G1551" s="113"/>
    </row>
    <row r="1552" customHeight="1" spans="1:7">
      <c r="A1552" s="113">
        <f>领料单!Q165</f>
        <v>0</v>
      </c>
      <c r="B1552" s="113">
        <f>领料单!R165</f>
        <v>0</v>
      </c>
      <c r="C1552" s="113">
        <f>领料单!S165</f>
        <v>0</v>
      </c>
      <c r="D1552" s="113">
        <f>领料单!T165</f>
        <v>0</v>
      </c>
      <c r="E1552" s="113">
        <f>领料单!U165</f>
        <v>0</v>
      </c>
      <c r="F1552" s="113">
        <f>领料单!V165</f>
        <v>0</v>
      </c>
      <c r="G1552" s="113"/>
    </row>
    <row r="1553" customHeight="1" spans="1:7">
      <c r="A1553" s="113">
        <f>领料单!Q166</f>
        <v>0</v>
      </c>
      <c r="B1553" s="113">
        <f>领料单!R166</f>
        <v>0</v>
      </c>
      <c r="C1553" s="113">
        <f>领料单!S166</f>
        <v>0</v>
      </c>
      <c r="D1553" s="113">
        <f>领料单!T166</f>
        <v>0</v>
      </c>
      <c r="E1553" s="113">
        <f>领料单!U166</f>
        <v>0</v>
      </c>
      <c r="F1553" s="113">
        <f>领料单!V166</f>
        <v>0</v>
      </c>
      <c r="G1553" s="113"/>
    </row>
    <row r="1554" customHeight="1" spans="1:7">
      <c r="A1554" s="113">
        <f>领料单!Q167</f>
        <v>0</v>
      </c>
      <c r="B1554" s="113">
        <f>领料单!R167</f>
        <v>0</v>
      </c>
      <c r="C1554" s="113">
        <f>领料单!S167</f>
        <v>0</v>
      </c>
      <c r="D1554" s="113">
        <f>领料单!T167</f>
        <v>0</v>
      </c>
      <c r="E1554" s="113">
        <f>领料单!U167</f>
        <v>0</v>
      </c>
      <c r="F1554" s="113">
        <f>领料单!V167</f>
        <v>0</v>
      </c>
      <c r="G1554" s="113"/>
    </row>
    <row r="1555" customHeight="1" spans="1:7">
      <c r="A1555" s="115" t="s">
        <v>340</v>
      </c>
      <c r="B1555" s="116"/>
      <c r="C1555" s="116"/>
      <c r="D1555" s="116"/>
      <c r="E1555" s="117"/>
      <c r="F1555" s="118">
        <f>SUM(F1543:F1554)</f>
        <v>0</v>
      </c>
      <c r="G1555" s="114"/>
    </row>
    <row r="1556" customHeight="1" spans="1:7">
      <c r="A1556" s="119" t="s">
        <v>341</v>
      </c>
      <c r="B1556" s="119"/>
      <c r="C1556" s="120"/>
      <c r="D1556" s="119"/>
      <c r="E1556" s="121" t="s">
        <v>342</v>
      </c>
      <c r="F1556" s="119"/>
      <c r="G1556" s="119"/>
    </row>
    <row r="1559" customHeight="1" spans="1:7">
      <c r="A1559" s="105"/>
      <c r="B1559" s="106"/>
      <c r="C1559" s="107" t="s">
        <v>330</v>
      </c>
      <c r="D1559" s="107"/>
      <c r="E1559" s="107"/>
      <c r="F1559" s="105"/>
      <c r="G1559" s="105"/>
    </row>
    <row r="1560" customHeight="1" spans="1:7">
      <c r="A1560" s="108" t="s">
        <v>331</v>
      </c>
      <c r="B1560" s="109"/>
      <c r="C1560" s="110">
        <v>45930</v>
      </c>
      <c r="D1560" s="110"/>
      <c r="E1560" s="110"/>
      <c r="F1560" s="111" t="s">
        <v>332</v>
      </c>
      <c r="G1560" s="112" t="str">
        <f>立项!$A$5</f>
        <v>RD03</v>
      </c>
    </row>
    <row r="1561" customHeight="1" spans="1:7">
      <c r="A1561" s="113" t="s">
        <v>333</v>
      </c>
      <c r="B1561" s="113" t="s">
        <v>334</v>
      </c>
      <c r="C1561" s="113" t="s">
        <v>335</v>
      </c>
      <c r="D1561" s="113" t="s">
        <v>336</v>
      </c>
      <c r="E1561" s="113" t="s">
        <v>337</v>
      </c>
      <c r="F1561" s="113" t="s">
        <v>338</v>
      </c>
      <c r="G1561" s="113" t="s">
        <v>339</v>
      </c>
    </row>
    <row r="1562" customHeight="1" spans="1:7">
      <c r="A1562" s="113">
        <f>领料单!Y156</f>
        <v>0</v>
      </c>
      <c r="B1562" s="113">
        <f>领料单!Z156</f>
        <v>0</v>
      </c>
      <c r="C1562" s="113">
        <f>领料单!AA156</f>
        <v>0</v>
      </c>
      <c r="D1562" s="113">
        <f>领料单!AB156</f>
        <v>0</v>
      </c>
      <c r="E1562" s="113">
        <f>领料单!AC156</f>
        <v>0</v>
      </c>
      <c r="F1562" s="113">
        <f>领料单!AD156</f>
        <v>0</v>
      </c>
      <c r="G1562" s="113"/>
    </row>
    <row r="1563" customHeight="1" spans="1:7">
      <c r="A1563" s="113">
        <f>领料单!Y157</f>
        <v>0</v>
      </c>
      <c r="B1563" s="113">
        <f>领料单!Z157</f>
        <v>0</v>
      </c>
      <c r="C1563" s="113">
        <f>领料单!AA157</f>
        <v>0</v>
      </c>
      <c r="D1563" s="113">
        <f>领料单!AB157</f>
        <v>0</v>
      </c>
      <c r="E1563" s="113">
        <f>领料单!AC157</f>
        <v>0</v>
      </c>
      <c r="F1563" s="113">
        <f>领料单!AD157</f>
        <v>0</v>
      </c>
      <c r="G1563" s="113"/>
    </row>
    <row r="1564" customHeight="1" spans="1:7">
      <c r="A1564" s="113">
        <f>领料单!Y158</f>
        <v>0</v>
      </c>
      <c r="B1564" s="113">
        <f>领料单!Z158</f>
        <v>0</v>
      </c>
      <c r="C1564" s="113">
        <f>领料单!AA158</f>
        <v>0</v>
      </c>
      <c r="D1564" s="113">
        <f>领料单!AB158</f>
        <v>0</v>
      </c>
      <c r="E1564" s="113">
        <f>领料单!AC158</f>
        <v>0</v>
      </c>
      <c r="F1564" s="113">
        <f>领料单!AD158</f>
        <v>0</v>
      </c>
      <c r="G1564" s="113"/>
    </row>
    <row r="1565" customHeight="1" spans="1:7">
      <c r="A1565" s="113">
        <f>领料单!Y159</f>
        <v>0</v>
      </c>
      <c r="B1565" s="113">
        <f>领料单!Z159</f>
        <v>0</v>
      </c>
      <c r="C1565" s="113">
        <f>领料单!AA159</f>
        <v>0</v>
      </c>
      <c r="D1565" s="113">
        <f>领料单!AB159</f>
        <v>0</v>
      </c>
      <c r="E1565" s="113">
        <f>领料单!AC159</f>
        <v>0</v>
      </c>
      <c r="F1565" s="113">
        <f>领料单!AD159</f>
        <v>0</v>
      </c>
      <c r="G1565" s="113"/>
    </row>
    <row r="1566" customHeight="1" spans="1:7">
      <c r="A1566" s="113">
        <f>领料单!Y160</f>
        <v>0</v>
      </c>
      <c r="B1566" s="113">
        <f>领料单!Z160</f>
        <v>0</v>
      </c>
      <c r="C1566" s="113">
        <f>领料单!AA160</f>
        <v>0</v>
      </c>
      <c r="D1566" s="113">
        <f>领料单!AB160</f>
        <v>0</v>
      </c>
      <c r="E1566" s="113">
        <f>领料单!AC160</f>
        <v>0</v>
      </c>
      <c r="F1566" s="113">
        <f>领料单!AD160</f>
        <v>0</v>
      </c>
      <c r="G1566" s="113"/>
    </row>
    <row r="1567" customHeight="1" spans="1:7">
      <c r="A1567" s="113">
        <f>领料单!Y161</f>
        <v>0</v>
      </c>
      <c r="B1567" s="113">
        <f>领料单!Z161</f>
        <v>0</v>
      </c>
      <c r="C1567" s="113">
        <f>领料单!AA161</f>
        <v>0</v>
      </c>
      <c r="D1567" s="113">
        <f>领料单!AB161</f>
        <v>0</v>
      </c>
      <c r="E1567" s="113">
        <f>领料单!AC161</f>
        <v>0</v>
      </c>
      <c r="F1567" s="113">
        <f>领料单!AD161</f>
        <v>0</v>
      </c>
      <c r="G1567" s="113"/>
    </row>
    <row r="1568" customHeight="1" spans="1:7">
      <c r="A1568" s="113">
        <f>领料单!Y162</f>
        <v>0</v>
      </c>
      <c r="B1568" s="113">
        <f>领料单!Z162</f>
        <v>0</v>
      </c>
      <c r="C1568" s="113">
        <f>领料单!AA162</f>
        <v>0</v>
      </c>
      <c r="D1568" s="113">
        <f>领料单!AB162</f>
        <v>0</v>
      </c>
      <c r="E1568" s="113">
        <f>领料单!AC162</f>
        <v>0</v>
      </c>
      <c r="F1568" s="113">
        <f>领料单!AD162</f>
        <v>0</v>
      </c>
      <c r="G1568" s="113"/>
    </row>
    <row r="1569" customHeight="1" spans="1:7">
      <c r="A1569" s="113">
        <f>领料单!Y163</f>
        <v>0</v>
      </c>
      <c r="B1569" s="113">
        <f>领料单!Z163</f>
        <v>0</v>
      </c>
      <c r="C1569" s="113">
        <f>领料单!AA163</f>
        <v>0</v>
      </c>
      <c r="D1569" s="113">
        <f>领料单!AB163</f>
        <v>0</v>
      </c>
      <c r="E1569" s="113">
        <f>领料单!AC163</f>
        <v>0</v>
      </c>
      <c r="F1569" s="113">
        <f>领料单!AD163</f>
        <v>0</v>
      </c>
      <c r="G1569" s="113"/>
    </row>
    <row r="1570" customHeight="1" spans="1:7">
      <c r="A1570" s="113">
        <f>领料单!Y164</f>
        <v>0</v>
      </c>
      <c r="B1570" s="113">
        <f>领料单!Z164</f>
        <v>0</v>
      </c>
      <c r="C1570" s="113">
        <f>领料单!AA164</f>
        <v>0</v>
      </c>
      <c r="D1570" s="113">
        <f>领料单!AB164</f>
        <v>0</v>
      </c>
      <c r="E1570" s="113">
        <f>领料单!AC164</f>
        <v>0</v>
      </c>
      <c r="F1570" s="113">
        <f>领料单!AD164</f>
        <v>0</v>
      </c>
      <c r="G1570" s="113"/>
    </row>
    <row r="1571" customHeight="1" spans="1:7">
      <c r="A1571" s="113">
        <f>领料单!Y165</f>
        <v>0</v>
      </c>
      <c r="B1571" s="113">
        <f>领料单!Z165</f>
        <v>0</v>
      </c>
      <c r="C1571" s="113">
        <f>领料单!AA165</f>
        <v>0</v>
      </c>
      <c r="D1571" s="113">
        <f>领料单!AB165</f>
        <v>0</v>
      </c>
      <c r="E1571" s="113">
        <f>领料单!AC165</f>
        <v>0</v>
      </c>
      <c r="F1571" s="113">
        <f>领料单!AD165</f>
        <v>0</v>
      </c>
      <c r="G1571" s="113"/>
    </row>
    <row r="1572" customHeight="1" spans="1:7">
      <c r="A1572" s="113">
        <f>领料单!Y166</f>
        <v>0</v>
      </c>
      <c r="B1572" s="113">
        <f>领料单!Z166</f>
        <v>0</v>
      </c>
      <c r="C1572" s="113">
        <f>领料单!AA166</f>
        <v>0</v>
      </c>
      <c r="D1572" s="113">
        <f>领料单!AB166</f>
        <v>0</v>
      </c>
      <c r="E1572" s="113">
        <f>领料单!AC166</f>
        <v>0</v>
      </c>
      <c r="F1572" s="113">
        <f>领料单!AD166</f>
        <v>0</v>
      </c>
      <c r="G1572" s="113"/>
    </row>
    <row r="1573" customHeight="1" spans="1:7">
      <c r="A1573" s="113">
        <f>领料单!Y167</f>
        <v>0</v>
      </c>
      <c r="B1573" s="113">
        <f>领料单!Z167</f>
        <v>0</v>
      </c>
      <c r="C1573" s="113">
        <f>领料单!AA167</f>
        <v>0</v>
      </c>
      <c r="D1573" s="113">
        <f>领料单!AB167</f>
        <v>0</v>
      </c>
      <c r="E1573" s="113">
        <f>领料单!AC167</f>
        <v>0</v>
      </c>
      <c r="F1573" s="113">
        <f>领料单!AD167</f>
        <v>0</v>
      </c>
      <c r="G1573" s="113"/>
    </row>
    <row r="1574" customHeight="1" spans="1:7">
      <c r="A1574" s="115" t="s">
        <v>340</v>
      </c>
      <c r="B1574" s="116"/>
      <c r="C1574" s="116"/>
      <c r="D1574" s="116"/>
      <c r="E1574" s="117"/>
      <c r="F1574" s="118">
        <f>SUM(F1562:F1573)</f>
        <v>0</v>
      </c>
      <c r="G1574" s="114"/>
    </row>
    <row r="1575" customHeight="1" spans="1:7">
      <c r="A1575" s="119" t="s">
        <v>341</v>
      </c>
      <c r="B1575" s="119"/>
      <c r="C1575" s="120"/>
      <c r="D1575" s="119"/>
      <c r="E1575" s="121" t="s">
        <v>342</v>
      </c>
      <c r="F1575" s="119"/>
      <c r="G1575" s="119"/>
    </row>
    <row r="1578" customHeight="1" spans="1:7">
      <c r="A1578" s="105"/>
      <c r="B1578" s="106"/>
      <c r="C1578" s="107" t="s">
        <v>330</v>
      </c>
      <c r="D1578" s="107"/>
      <c r="E1578" s="107"/>
      <c r="F1578" s="105"/>
      <c r="G1578" s="105"/>
    </row>
    <row r="1579" customHeight="1" spans="1:7">
      <c r="A1579" s="108" t="s">
        <v>331</v>
      </c>
      <c r="B1579" s="109"/>
      <c r="C1579" s="110">
        <v>45930</v>
      </c>
      <c r="D1579" s="110"/>
      <c r="E1579" s="110"/>
      <c r="F1579" s="111" t="s">
        <v>332</v>
      </c>
      <c r="G1579" s="112" t="str">
        <f>立项!$A$6</f>
        <v>RD04</v>
      </c>
    </row>
    <row r="1580" customHeight="1" spans="1:7">
      <c r="A1580" s="113" t="s">
        <v>333</v>
      </c>
      <c r="B1580" s="113" t="s">
        <v>334</v>
      </c>
      <c r="C1580" s="113" t="s">
        <v>335</v>
      </c>
      <c r="D1580" s="113" t="s">
        <v>336</v>
      </c>
      <c r="E1580" s="113" t="s">
        <v>337</v>
      </c>
      <c r="F1580" s="113" t="s">
        <v>338</v>
      </c>
      <c r="G1580" s="113" t="s">
        <v>339</v>
      </c>
    </row>
    <row r="1581" customHeight="1" spans="1:7">
      <c r="A1581" s="113">
        <f>领料单!AG156</f>
        <v>0</v>
      </c>
      <c r="B1581" s="113">
        <f>领料单!AH156</f>
        <v>0</v>
      </c>
      <c r="C1581" s="113">
        <f>领料单!AI156</f>
        <v>0</v>
      </c>
      <c r="D1581" s="113">
        <f>领料单!AJ156</f>
        <v>0</v>
      </c>
      <c r="E1581" s="113">
        <f>领料单!AK156</f>
        <v>0</v>
      </c>
      <c r="F1581" s="113">
        <f>领料单!AL156</f>
        <v>0</v>
      </c>
      <c r="G1581" s="113"/>
    </row>
    <row r="1582" customHeight="1" spans="1:7">
      <c r="A1582" s="113">
        <f>领料单!AG157</f>
        <v>0</v>
      </c>
      <c r="B1582" s="113">
        <f>领料单!AH157</f>
        <v>0</v>
      </c>
      <c r="C1582" s="113">
        <f>领料单!AI157</f>
        <v>0</v>
      </c>
      <c r="D1582" s="113">
        <f>领料单!AJ157</f>
        <v>0</v>
      </c>
      <c r="E1582" s="113">
        <f>领料单!AK157</f>
        <v>0</v>
      </c>
      <c r="F1582" s="113">
        <f>领料单!AL157</f>
        <v>0</v>
      </c>
      <c r="G1582" s="113"/>
    </row>
    <row r="1583" customHeight="1" spans="1:7">
      <c r="A1583" s="113">
        <f>领料单!AG158</f>
        <v>0</v>
      </c>
      <c r="B1583" s="113">
        <f>领料单!AH158</f>
        <v>0</v>
      </c>
      <c r="C1583" s="113">
        <f>领料单!AI158</f>
        <v>0</v>
      </c>
      <c r="D1583" s="113">
        <f>领料单!AJ158</f>
        <v>0</v>
      </c>
      <c r="E1583" s="113">
        <f>领料单!AK158</f>
        <v>0</v>
      </c>
      <c r="F1583" s="113">
        <f>领料单!AL158</f>
        <v>0</v>
      </c>
      <c r="G1583" s="113"/>
    </row>
    <row r="1584" customHeight="1" spans="1:7">
      <c r="A1584" s="113">
        <f>领料单!AG159</f>
        <v>0</v>
      </c>
      <c r="B1584" s="113">
        <f>领料单!AH159</f>
        <v>0</v>
      </c>
      <c r="C1584" s="113">
        <f>领料单!AI159</f>
        <v>0</v>
      </c>
      <c r="D1584" s="113">
        <f>领料单!AJ159</f>
        <v>0</v>
      </c>
      <c r="E1584" s="113">
        <f>领料单!AK159</f>
        <v>0</v>
      </c>
      <c r="F1584" s="113">
        <f>领料单!AL159</f>
        <v>0</v>
      </c>
      <c r="G1584" s="113"/>
    </row>
    <row r="1585" customHeight="1" spans="1:7">
      <c r="A1585" s="113">
        <f>领料单!AG160</f>
        <v>0</v>
      </c>
      <c r="B1585" s="113">
        <f>领料单!AH160</f>
        <v>0</v>
      </c>
      <c r="C1585" s="113">
        <f>领料单!AI160</f>
        <v>0</v>
      </c>
      <c r="D1585" s="113">
        <f>领料单!AJ160</f>
        <v>0</v>
      </c>
      <c r="E1585" s="113">
        <f>领料单!AK160</f>
        <v>0</v>
      </c>
      <c r="F1585" s="113">
        <f>领料单!AL160</f>
        <v>0</v>
      </c>
      <c r="G1585" s="113"/>
    </row>
    <row r="1586" customHeight="1" spans="1:7">
      <c r="A1586" s="113">
        <f>领料单!AG161</f>
        <v>0</v>
      </c>
      <c r="B1586" s="113">
        <f>领料单!AH161</f>
        <v>0</v>
      </c>
      <c r="C1586" s="113">
        <f>领料单!AI161</f>
        <v>0</v>
      </c>
      <c r="D1586" s="113">
        <f>领料单!AJ161</f>
        <v>0</v>
      </c>
      <c r="E1586" s="113">
        <f>领料单!AK161</f>
        <v>0</v>
      </c>
      <c r="F1586" s="113">
        <f>领料单!AL161</f>
        <v>0</v>
      </c>
      <c r="G1586" s="113"/>
    </row>
    <row r="1587" customHeight="1" spans="1:7">
      <c r="A1587" s="113">
        <f>领料单!AG162</f>
        <v>0</v>
      </c>
      <c r="B1587" s="113">
        <f>领料单!AH162</f>
        <v>0</v>
      </c>
      <c r="C1587" s="113">
        <f>领料单!AI162</f>
        <v>0</v>
      </c>
      <c r="D1587" s="113">
        <f>领料单!AJ162</f>
        <v>0</v>
      </c>
      <c r="E1587" s="113">
        <f>领料单!AK162</f>
        <v>0</v>
      </c>
      <c r="F1587" s="113">
        <f>领料单!AL162</f>
        <v>0</v>
      </c>
      <c r="G1587" s="113"/>
    </row>
    <row r="1588" customHeight="1" spans="1:7">
      <c r="A1588" s="113">
        <f>领料单!AG163</f>
        <v>0</v>
      </c>
      <c r="B1588" s="113">
        <f>领料单!AH163</f>
        <v>0</v>
      </c>
      <c r="C1588" s="113">
        <f>领料单!AI163</f>
        <v>0</v>
      </c>
      <c r="D1588" s="113">
        <f>领料单!AJ163</f>
        <v>0</v>
      </c>
      <c r="E1588" s="113">
        <f>领料单!AK163</f>
        <v>0</v>
      </c>
      <c r="F1588" s="113">
        <f>领料单!AL163</f>
        <v>0</v>
      </c>
      <c r="G1588" s="113"/>
    </row>
    <row r="1589" customHeight="1" spans="1:7">
      <c r="A1589" s="113">
        <f>领料单!AG164</f>
        <v>0</v>
      </c>
      <c r="B1589" s="113">
        <f>领料单!AH164</f>
        <v>0</v>
      </c>
      <c r="C1589" s="113">
        <f>领料单!AI164</f>
        <v>0</v>
      </c>
      <c r="D1589" s="113">
        <f>领料单!AJ164</f>
        <v>0</v>
      </c>
      <c r="E1589" s="113">
        <f>领料单!AK164</f>
        <v>0</v>
      </c>
      <c r="F1589" s="113">
        <f>领料单!AL164</f>
        <v>0</v>
      </c>
      <c r="G1589" s="113"/>
    </row>
    <row r="1590" customHeight="1" spans="1:7">
      <c r="A1590" s="113">
        <f>领料单!AG165</f>
        <v>0</v>
      </c>
      <c r="B1590" s="113">
        <f>领料单!AH165</f>
        <v>0</v>
      </c>
      <c r="C1590" s="113">
        <f>领料单!AI165</f>
        <v>0</v>
      </c>
      <c r="D1590" s="113">
        <f>领料单!AJ165</f>
        <v>0</v>
      </c>
      <c r="E1590" s="113">
        <f>领料单!AK165</f>
        <v>0</v>
      </c>
      <c r="F1590" s="113">
        <f>领料单!AL165</f>
        <v>0</v>
      </c>
      <c r="G1590" s="113"/>
    </row>
    <row r="1591" customHeight="1" spans="1:7">
      <c r="A1591" s="113">
        <f>领料单!AG166</f>
        <v>0</v>
      </c>
      <c r="B1591" s="113">
        <f>领料单!AH166</f>
        <v>0</v>
      </c>
      <c r="C1591" s="113">
        <f>领料单!AI166</f>
        <v>0</v>
      </c>
      <c r="D1591" s="113">
        <f>领料单!AJ166</f>
        <v>0</v>
      </c>
      <c r="E1591" s="113">
        <f>领料单!AK166</f>
        <v>0</v>
      </c>
      <c r="F1591" s="113">
        <f>领料单!AL166</f>
        <v>0</v>
      </c>
      <c r="G1591" s="113"/>
    </row>
    <row r="1592" customHeight="1" spans="1:7">
      <c r="A1592" s="113">
        <f>领料单!AG167</f>
        <v>0</v>
      </c>
      <c r="B1592" s="113">
        <f>领料单!AH167</f>
        <v>0</v>
      </c>
      <c r="C1592" s="113">
        <f>领料单!AI167</f>
        <v>0</v>
      </c>
      <c r="D1592" s="113">
        <f>领料单!AJ167</f>
        <v>0</v>
      </c>
      <c r="E1592" s="113">
        <f>领料单!AK167</f>
        <v>0</v>
      </c>
      <c r="F1592" s="113">
        <f>领料单!AL167</f>
        <v>0</v>
      </c>
      <c r="G1592" s="113"/>
    </row>
    <row r="1593" customHeight="1" spans="1:7">
      <c r="A1593" s="115" t="s">
        <v>340</v>
      </c>
      <c r="B1593" s="116"/>
      <c r="C1593" s="116"/>
      <c r="D1593" s="116"/>
      <c r="E1593" s="117"/>
      <c r="F1593" s="118">
        <f>SUM(F1581:F1592)</f>
        <v>0</v>
      </c>
      <c r="G1593" s="114"/>
    </row>
    <row r="1594" customHeight="1" spans="1:7">
      <c r="A1594" s="119" t="s">
        <v>341</v>
      </c>
      <c r="B1594" s="119"/>
      <c r="C1594" s="120"/>
      <c r="D1594" s="119"/>
      <c r="E1594" s="121" t="s">
        <v>342</v>
      </c>
      <c r="F1594" s="119"/>
      <c r="G1594" s="119"/>
    </row>
    <row r="1597" customHeight="1" spans="1:7">
      <c r="A1597" s="105"/>
      <c r="B1597" s="106"/>
      <c r="C1597" s="107" t="s">
        <v>330</v>
      </c>
      <c r="D1597" s="107"/>
      <c r="E1597" s="107"/>
      <c r="F1597" s="105"/>
      <c r="G1597" s="105"/>
    </row>
    <row r="1598" customHeight="1" spans="1:7">
      <c r="A1598" s="108" t="s">
        <v>331</v>
      </c>
      <c r="B1598" s="109"/>
      <c r="C1598" s="110">
        <v>45930</v>
      </c>
      <c r="D1598" s="110"/>
      <c r="E1598" s="110"/>
      <c r="F1598" s="111" t="s">
        <v>332</v>
      </c>
      <c r="G1598" s="112" t="str">
        <f>立项!$A$7</f>
        <v>RD05</v>
      </c>
    </row>
    <row r="1599" customHeight="1" spans="1:7">
      <c r="A1599" s="113" t="s">
        <v>333</v>
      </c>
      <c r="B1599" s="113" t="s">
        <v>334</v>
      </c>
      <c r="C1599" s="113" t="s">
        <v>335</v>
      </c>
      <c r="D1599" s="113" t="s">
        <v>336</v>
      </c>
      <c r="E1599" s="113" t="s">
        <v>337</v>
      </c>
      <c r="F1599" s="113" t="s">
        <v>338</v>
      </c>
      <c r="G1599" s="113" t="s">
        <v>339</v>
      </c>
    </row>
    <row r="1600" customHeight="1" spans="1:7">
      <c r="A1600" s="113">
        <f>领料单!AO156</f>
        <v>0</v>
      </c>
      <c r="B1600" s="113">
        <f>领料单!AP156</f>
        <v>0</v>
      </c>
      <c r="C1600" s="113">
        <f>领料单!AQ156</f>
        <v>0</v>
      </c>
      <c r="D1600" s="113">
        <f>领料单!AR156</f>
        <v>0</v>
      </c>
      <c r="E1600" s="113">
        <f>领料单!AS156</f>
        <v>0</v>
      </c>
      <c r="F1600" s="113">
        <f>领料单!AT156</f>
        <v>0</v>
      </c>
      <c r="G1600" s="113"/>
    </row>
    <row r="1601" customHeight="1" spans="1:7">
      <c r="A1601" s="113">
        <f>领料单!AO157</f>
        <v>0</v>
      </c>
      <c r="B1601" s="113">
        <f>领料单!AP157</f>
        <v>0</v>
      </c>
      <c r="C1601" s="113">
        <f>领料单!AQ157</f>
        <v>0</v>
      </c>
      <c r="D1601" s="113">
        <f>领料单!AR157</f>
        <v>0</v>
      </c>
      <c r="E1601" s="113">
        <f>领料单!AS157</f>
        <v>0</v>
      </c>
      <c r="F1601" s="113">
        <f>领料单!AT157</f>
        <v>0</v>
      </c>
      <c r="G1601" s="113"/>
    </row>
    <row r="1602" customHeight="1" spans="1:7">
      <c r="A1602" s="113">
        <f>领料单!AO158</f>
        <v>0</v>
      </c>
      <c r="B1602" s="113">
        <f>领料单!AP158</f>
        <v>0</v>
      </c>
      <c r="C1602" s="113">
        <f>领料单!AQ158</f>
        <v>0</v>
      </c>
      <c r="D1602" s="113">
        <f>领料单!AR158</f>
        <v>0</v>
      </c>
      <c r="E1602" s="113">
        <f>领料单!AS158</f>
        <v>0</v>
      </c>
      <c r="F1602" s="113">
        <f>领料单!AT158</f>
        <v>0</v>
      </c>
      <c r="G1602" s="113"/>
    </row>
    <row r="1603" customHeight="1" spans="1:7">
      <c r="A1603" s="113">
        <f>领料单!AO159</f>
        <v>0</v>
      </c>
      <c r="B1603" s="113">
        <f>领料单!AP159</f>
        <v>0</v>
      </c>
      <c r="C1603" s="113">
        <f>领料单!AQ159</f>
        <v>0</v>
      </c>
      <c r="D1603" s="113">
        <f>领料单!AR159</f>
        <v>0</v>
      </c>
      <c r="E1603" s="113">
        <f>领料单!AS159</f>
        <v>0</v>
      </c>
      <c r="F1603" s="113">
        <f>领料单!AT159</f>
        <v>0</v>
      </c>
      <c r="G1603" s="113"/>
    </row>
    <row r="1604" customHeight="1" spans="1:7">
      <c r="A1604" s="113">
        <f>领料单!AO160</f>
        <v>0</v>
      </c>
      <c r="B1604" s="113">
        <f>领料单!AP160</f>
        <v>0</v>
      </c>
      <c r="C1604" s="113">
        <f>领料单!AQ160</f>
        <v>0</v>
      </c>
      <c r="D1604" s="113">
        <f>领料单!AR160</f>
        <v>0</v>
      </c>
      <c r="E1604" s="113">
        <f>领料单!AS160</f>
        <v>0</v>
      </c>
      <c r="F1604" s="113">
        <f>领料单!AT160</f>
        <v>0</v>
      </c>
      <c r="G1604" s="113"/>
    </row>
    <row r="1605" customHeight="1" spans="1:7">
      <c r="A1605" s="113">
        <f>领料单!AO161</f>
        <v>0</v>
      </c>
      <c r="B1605" s="113">
        <f>领料单!AP161</f>
        <v>0</v>
      </c>
      <c r="C1605" s="113">
        <f>领料单!AQ161</f>
        <v>0</v>
      </c>
      <c r="D1605" s="113">
        <f>领料单!AR161</f>
        <v>0</v>
      </c>
      <c r="E1605" s="113">
        <f>领料单!AS161</f>
        <v>0</v>
      </c>
      <c r="F1605" s="113">
        <f>领料单!AT161</f>
        <v>0</v>
      </c>
      <c r="G1605" s="113"/>
    </row>
    <row r="1606" customHeight="1" spans="1:7">
      <c r="A1606" s="113">
        <f>领料单!AO162</f>
        <v>0</v>
      </c>
      <c r="B1606" s="113">
        <f>领料单!AP162</f>
        <v>0</v>
      </c>
      <c r="C1606" s="113">
        <f>领料单!AQ162</f>
        <v>0</v>
      </c>
      <c r="D1606" s="113">
        <f>领料单!AR162</f>
        <v>0</v>
      </c>
      <c r="E1606" s="113">
        <f>领料单!AS162</f>
        <v>0</v>
      </c>
      <c r="F1606" s="113">
        <f>领料单!AT162</f>
        <v>0</v>
      </c>
      <c r="G1606" s="113"/>
    </row>
    <row r="1607" customHeight="1" spans="1:7">
      <c r="A1607" s="113">
        <f>领料单!AO163</f>
        <v>0</v>
      </c>
      <c r="B1607" s="113">
        <f>领料单!AP163</f>
        <v>0</v>
      </c>
      <c r="C1607" s="113">
        <f>领料单!AQ163</f>
        <v>0</v>
      </c>
      <c r="D1607" s="113">
        <f>领料单!AR163</f>
        <v>0</v>
      </c>
      <c r="E1607" s="113">
        <f>领料单!AS163</f>
        <v>0</v>
      </c>
      <c r="F1607" s="113">
        <f>领料单!AT163</f>
        <v>0</v>
      </c>
      <c r="G1607" s="113"/>
    </row>
    <row r="1608" customHeight="1" spans="1:7">
      <c r="A1608" s="113">
        <f>领料单!AO164</f>
        <v>0</v>
      </c>
      <c r="B1608" s="113">
        <f>领料单!AP164</f>
        <v>0</v>
      </c>
      <c r="C1608" s="113">
        <f>领料单!AQ164</f>
        <v>0</v>
      </c>
      <c r="D1608" s="113">
        <f>领料单!AR164</f>
        <v>0</v>
      </c>
      <c r="E1608" s="113">
        <f>领料单!AS164</f>
        <v>0</v>
      </c>
      <c r="F1608" s="113">
        <f>领料单!AT164</f>
        <v>0</v>
      </c>
      <c r="G1608" s="113"/>
    </row>
    <row r="1609" customHeight="1" spans="1:7">
      <c r="A1609" s="113">
        <f>领料单!AO165</f>
        <v>0</v>
      </c>
      <c r="B1609" s="113">
        <f>领料单!AP165</f>
        <v>0</v>
      </c>
      <c r="C1609" s="113">
        <f>领料单!AQ165</f>
        <v>0</v>
      </c>
      <c r="D1609" s="113">
        <f>领料单!AR165</f>
        <v>0</v>
      </c>
      <c r="E1609" s="113">
        <f>领料单!AS165</f>
        <v>0</v>
      </c>
      <c r="F1609" s="113">
        <f>领料单!AT165</f>
        <v>0</v>
      </c>
      <c r="G1609" s="113"/>
    </row>
    <row r="1610" customHeight="1" spans="1:7">
      <c r="A1610" s="113">
        <f>领料单!AO166</f>
        <v>0</v>
      </c>
      <c r="B1610" s="113">
        <f>领料单!AP166</f>
        <v>0</v>
      </c>
      <c r="C1610" s="113">
        <f>领料单!AQ166</f>
        <v>0</v>
      </c>
      <c r="D1610" s="113">
        <f>领料单!AR166</f>
        <v>0</v>
      </c>
      <c r="E1610" s="113">
        <f>领料单!AS166</f>
        <v>0</v>
      </c>
      <c r="F1610" s="113">
        <f>领料单!AT166</f>
        <v>0</v>
      </c>
      <c r="G1610" s="113"/>
    </row>
    <row r="1611" customHeight="1" spans="1:7">
      <c r="A1611" s="113">
        <f>领料单!AO167</f>
        <v>0</v>
      </c>
      <c r="B1611" s="113">
        <f>领料单!AP167</f>
        <v>0</v>
      </c>
      <c r="C1611" s="113">
        <f>领料单!AQ167</f>
        <v>0</v>
      </c>
      <c r="D1611" s="113">
        <f>领料单!AR167</f>
        <v>0</v>
      </c>
      <c r="E1611" s="113">
        <f>领料单!AS167</f>
        <v>0</v>
      </c>
      <c r="F1611" s="113">
        <f>领料单!AT167</f>
        <v>0</v>
      </c>
      <c r="G1611" s="113"/>
    </row>
    <row r="1612" customHeight="1" spans="1:7">
      <c r="A1612" s="115" t="s">
        <v>340</v>
      </c>
      <c r="B1612" s="116"/>
      <c r="C1612" s="116"/>
      <c r="D1612" s="116"/>
      <c r="E1612" s="117"/>
      <c r="F1612" s="118">
        <f>SUM(F1600:F1611)</f>
        <v>0</v>
      </c>
      <c r="G1612" s="114"/>
    </row>
    <row r="1613" customHeight="1" spans="1:7">
      <c r="A1613" s="119" t="s">
        <v>341</v>
      </c>
      <c r="B1613" s="119"/>
      <c r="C1613" s="120"/>
      <c r="D1613" s="119"/>
      <c r="E1613" s="121" t="s">
        <v>342</v>
      </c>
      <c r="F1613" s="119"/>
      <c r="G1613" s="119"/>
    </row>
    <row r="1616" customHeight="1" spans="1:7">
      <c r="A1616" s="105"/>
      <c r="B1616" s="106"/>
      <c r="C1616" s="107" t="s">
        <v>330</v>
      </c>
      <c r="D1616" s="107"/>
      <c r="E1616" s="107"/>
      <c r="F1616" s="105"/>
      <c r="G1616" s="105"/>
    </row>
    <row r="1617" customHeight="1" spans="1:7">
      <c r="A1617" s="108" t="s">
        <v>331</v>
      </c>
      <c r="B1617" s="109"/>
      <c r="C1617" s="110">
        <v>45930</v>
      </c>
      <c r="D1617" s="110"/>
      <c r="E1617" s="110"/>
      <c r="F1617" s="111" t="s">
        <v>332</v>
      </c>
      <c r="G1617" s="112" t="str">
        <f>立项!$A$8</f>
        <v>RD06</v>
      </c>
    </row>
    <row r="1618" customHeight="1" spans="1:7">
      <c r="A1618" s="113" t="s">
        <v>333</v>
      </c>
      <c r="B1618" s="113" t="s">
        <v>334</v>
      </c>
      <c r="C1618" s="113" t="s">
        <v>335</v>
      </c>
      <c r="D1618" s="113" t="s">
        <v>336</v>
      </c>
      <c r="E1618" s="113" t="s">
        <v>337</v>
      </c>
      <c r="F1618" s="113" t="s">
        <v>338</v>
      </c>
      <c r="G1618" s="113" t="s">
        <v>339</v>
      </c>
    </row>
    <row r="1619" customHeight="1" spans="1:7">
      <c r="A1619" s="113">
        <f>领料单!AW156</f>
        <v>0</v>
      </c>
      <c r="B1619" s="113">
        <f>领料单!AX156</f>
        <v>0</v>
      </c>
      <c r="C1619" s="113">
        <f>领料单!AY156</f>
        <v>0</v>
      </c>
      <c r="D1619" s="113">
        <f>领料单!AZ156</f>
        <v>0</v>
      </c>
      <c r="E1619" s="113">
        <f>领料单!BA156</f>
        <v>0</v>
      </c>
      <c r="F1619" s="113">
        <f>领料单!BB156</f>
        <v>0</v>
      </c>
      <c r="G1619" s="113"/>
    </row>
    <row r="1620" customHeight="1" spans="1:7">
      <c r="A1620" s="113">
        <f>领料单!AW157</f>
        <v>0</v>
      </c>
      <c r="B1620" s="113">
        <f>领料单!AX157</f>
        <v>0</v>
      </c>
      <c r="C1620" s="113">
        <f>领料单!AY157</f>
        <v>0</v>
      </c>
      <c r="D1620" s="113">
        <f>领料单!AZ157</f>
        <v>0</v>
      </c>
      <c r="E1620" s="113">
        <f>领料单!BA157</f>
        <v>0</v>
      </c>
      <c r="F1620" s="113">
        <f>领料单!BB157</f>
        <v>0</v>
      </c>
      <c r="G1620" s="113"/>
    </row>
    <row r="1621" customHeight="1" spans="1:7">
      <c r="A1621" s="113">
        <f>领料单!AW158</f>
        <v>0</v>
      </c>
      <c r="B1621" s="113">
        <f>领料单!AX158</f>
        <v>0</v>
      </c>
      <c r="C1621" s="113">
        <f>领料单!AY158</f>
        <v>0</v>
      </c>
      <c r="D1621" s="113">
        <f>领料单!AZ158</f>
        <v>0</v>
      </c>
      <c r="E1621" s="113">
        <f>领料单!BA158</f>
        <v>0</v>
      </c>
      <c r="F1621" s="113">
        <f>领料单!BB158</f>
        <v>0</v>
      </c>
      <c r="G1621" s="113"/>
    </row>
    <row r="1622" customHeight="1" spans="1:7">
      <c r="A1622" s="113">
        <f>领料单!AW159</f>
        <v>0</v>
      </c>
      <c r="B1622" s="113">
        <f>领料单!AX159</f>
        <v>0</v>
      </c>
      <c r="C1622" s="113">
        <f>领料单!AY159</f>
        <v>0</v>
      </c>
      <c r="D1622" s="113">
        <f>领料单!AZ159</f>
        <v>0</v>
      </c>
      <c r="E1622" s="113">
        <f>领料单!BA159</f>
        <v>0</v>
      </c>
      <c r="F1622" s="113">
        <f>领料单!BB159</f>
        <v>0</v>
      </c>
      <c r="G1622" s="113"/>
    </row>
    <row r="1623" customHeight="1" spans="1:7">
      <c r="A1623" s="113">
        <f>领料单!AW160</f>
        <v>0</v>
      </c>
      <c r="B1623" s="113">
        <f>领料单!AX160</f>
        <v>0</v>
      </c>
      <c r="C1623" s="113">
        <f>领料单!AY160</f>
        <v>0</v>
      </c>
      <c r="D1623" s="113">
        <f>领料单!AZ160</f>
        <v>0</v>
      </c>
      <c r="E1623" s="113">
        <f>领料单!BA160</f>
        <v>0</v>
      </c>
      <c r="F1623" s="113">
        <f>领料单!BB160</f>
        <v>0</v>
      </c>
      <c r="G1623" s="113"/>
    </row>
    <row r="1624" customHeight="1" spans="1:7">
      <c r="A1624" s="113">
        <f>领料单!AW161</f>
        <v>0</v>
      </c>
      <c r="B1624" s="113">
        <f>领料单!AX161</f>
        <v>0</v>
      </c>
      <c r="C1624" s="113">
        <f>领料单!AY161</f>
        <v>0</v>
      </c>
      <c r="D1624" s="113">
        <f>领料单!AZ161</f>
        <v>0</v>
      </c>
      <c r="E1624" s="113">
        <f>领料单!BA161</f>
        <v>0</v>
      </c>
      <c r="F1624" s="113">
        <f>领料单!BB161</f>
        <v>0</v>
      </c>
      <c r="G1624" s="113"/>
    </row>
    <row r="1625" customHeight="1" spans="1:7">
      <c r="A1625" s="113">
        <f>领料单!AW162</f>
        <v>0</v>
      </c>
      <c r="B1625" s="113">
        <f>领料单!AX162</f>
        <v>0</v>
      </c>
      <c r="C1625" s="113">
        <f>领料单!AY162</f>
        <v>0</v>
      </c>
      <c r="D1625" s="113">
        <f>领料单!AZ162</f>
        <v>0</v>
      </c>
      <c r="E1625" s="113">
        <f>领料单!BA162</f>
        <v>0</v>
      </c>
      <c r="F1625" s="113">
        <f>领料单!BB162</f>
        <v>0</v>
      </c>
      <c r="G1625" s="113"/>
    </row>
    <row r="1626" customHeight="1" spans="1:7">
      <c r="A1626" s="113">
        <f>领料单!AW163</f>
        <v>0</v>
      </c>
      <c r="B1626" s="113">
        <f>领料单!AX163</f>
        <v>0</v>
      </c>
      <c r="C1626" s="113">
        <f>领料单!AY163</f>
        <v>0</v>
      </c>
      <c r="D1626" s="113">
        <f>领料单!AZ163</f>
        <v>0</v>
      </c>
      <c r="E1626" s="113">
        <f>领料单!BA163</f>
        <v>0</v>
      </c>
      <c r="F1626" s="113">
        <f>领料单!BB163</f>
        <v>0</v>
      </c>
      <c r="G1626" s="113"/>
    </row>
    <row r="1627" customHeight="1" spans="1:7">
      <c r="A1627" s="113">
        <f>领料单!AW164</f>
        <v>0</v>
      </c>
      <c r="B1627" s="113">
        <f>领料单!AX164</f>
        <v>0</v>
      </c>
      <c r="C1627" s="113">
        <f>领料单!AY164</f>
        <v>0</v>
      </c>
      <c r="D1627" s="113">
        <f>领料单!AZ164</f>
        <v>0</v>
      </c>
      <c r="E1627" s="113">
        <f>领料单!BA164</f>
        <v>0</v>
      </c>
      <c r="F1627" s="113">
        <f>领料单!BB164</f>
        <v>0</v>
      </c>
      <c r="G1627" s="113"/>
    </row>
    <row r="1628" customHeight="1" spans="1:7">
      <c r="A1628" s="113">
        <f>领料单!AW165</f>
        <v>0</v>
      </c>
      <c r="B1628" s="113">
        <f>领料单!AX165</f>
        <v>0</v>
      </c>
      <c r="C1628" s="113">
        <f>领料单!AY165</f>
        <v>0</v>
      </c>
      <c r="D1628" s="113">
        <f>领料单!AZ165</f>
        <v>0</v>
      </c>
      <c r="E1628" s="113">
        <f>领料单!BA165</f>
        <v>0</v>
      </c>
      <c r="F1628" s="113">
        <f>领料单!BB165</f>
        <v>0</v>
      </c>
      <c r="G1628" s="113"/>
    </row>
    <row r="1629" customHeight="1" spans="1:7">
      <c r="A1629" s="113">
        <f>领料单!AW166</f>
        <v>0</v>
      </c>
      <c r="B1629" s="113">
        <f>领料单!AX166</f>
        <v>0</v>
      </c>
      <c r="C1629" s="113">
        <f>领料单!AY166</f>
        <v>0</v>
      </c>
      <c r="D1629" s="113">
        <f>领料单!AZ166</f>
        <v>0</v>
      </c>
      <c r="E1629" s="113">
        <f>领料单!BA166</f>
        <v>0</v>
      </c>
      <c r="F1629" s="113">
        <f>领料单!BB166</f>
        <v>0</v>
      </c>
      <c r="G1629" s="113"/>
    </row>
    <row r="1630" customHeight="1" spans="1:7">
      <c r="A1630" s="113">
        <f>领料单!AW167</f>
        <v>0</v>
      </c>
      <c r="B1630" s="113">
        <f>领料单!AX167</f>
        <v>0</v>
      </c>
      <c r="C1630" s="113">
        <f>领料单!AY167</f>
        <v>0</v>
      </c>
      <c r="D1630" s="113">
        <f>领料单!AZ167</f>
        <v>0</v>
      </c>
      <c r="E1630" s="113">
        <f>领料单!BA167</f>
        <v>0</v>
      </c>
      <c r="F1630" s="113">
        <f>领料单!BB167</f>
        <v>0</v>
      </c>
      <c r="G1630" s="113"/>
    </row>
    <row r="1631" customHeight="1" spans="1:7">
      <c r="A1631" s="115" t="s">
        <v>340</v>
      </c>
      <c r="B1631" s="116"/>
      <c r="C1631" s="116"/>
      <c r="D1631" s="116"/>
      <c r="E1631" s="117"/>
      <c r="F1631" s="118">
        <f>SUM(F1619:F1630)</f>
        <v>0</v>
      </c>
      <c r="G1631" s="114"/>
    </row>
    <row r="1632" customHeight="1" spans="1:7">
      <c r="A1632" s="119" t="s">
        <v>341</v>
      </c>
      <c r="B1632" s="119"/>
      <c r="C1632" s="120"/>
      <c r="D1632" s="119"/>
      <c r="E1632" s="121" t="s">
        <v>342</v>
      </c>
      <c r="F1632" s="119"/>
      <c r="G1632" s="119"/>
    </row>
    <row r="1635" customHeight="1" spans="1:7">
      <c r="A1635" s="105"/>
      <c r="B1635" s="106"/>
      <c r="C1635" s="107" t="s">
        <v>330</v>
      </c>
      <c r="D1635" s="107"/>
      <c r="E1635" s="107"/>
      <c r="F1635" s="105"/>
      <c r="G1635" s="105"/>
    </row>
    <row r="1636" customHeight="1" spans="1:7">
      <c r="A1636" s="108" t="s">
        <v>331</v>
      </c>
      <c r="B1636" s="109"/>
      <c r="C1636" s="110">
        <v>45930</v>
      </c>
      <c r="D1636" s="110"/>
      <c r="E1636" s="110"/>
      <c r="F1636" s="111" t="s">
        <v>332</v>
      </c>
      <c r="G1636" s="112" t="str">
        <f>立项!$A$9</f>
        <v>RD07</v>
      </c>
    </row>
    <row r="1637" customHeight="1" spans="1:7">
      <c r="A1637" s="113" t="s">
        <v>333</v>
      </c>
      <c r="B1637" s="113" t="s">
        <v>334</v>
      </c>
      <c r="C1637" s="113" t="s">
        <v>335</v>
      </c>
      <c r="D1637" s="113" t="s">
        <v>336</v>
      </c>
      <c r="E1637" s="113" t="s">
        <v>337</v>
      </c>
      <c r="F1637" s="113" t="s">
        <v>338</v>
      </c>
      <c r="G1637" s="113" t="s">
        <v>339</v>
      </c>
    </row>
    <row r="1638" customHeight="1" spans="1:7">
      <c r="A1638" s="113">
        <f>领料单!BE156</f>
        <v>0</v>
      </c>
      <c r="B1638" s="113">
        <f>领料单!BF156</f>
        <v>0</v>
      </c>
      <c r="C1638" s="113">
        <f>领料单!BG156</f>
        <v>0</v>
      </c>
      <c r="D1638" s="113">
        <f>领料单!BH156</f>
        <v>0</v>
      </c>
      <c r="E1638" s="113">
        <f>领料单!BI156</f>
        <v>0</v>
      </c>
      <c r="F1638" s="113">
        <f>领料单!BJ156</f>
        <v>0</v>
      </c>
      <c r="G1638" s="113"/>
    </row>
    <row r="1639" customHeight="1" spans="1:7">
      <c r="A1639" s="113">
        <f>领料单!BE157</f>
        <v>0</v>
      </c>
      <c r="B1639" s="113">
        <f>领料单!BF157</f>
        <v>0</v>
      </c>
      <c r="C1639" s="113">
        <f>领料单!BG157</f>
        <v>0</v>
      </c>
      <c r="D1639" s="113">
        <f>领料单!BH157</f>
        <v>0</v>
      </c>
      <c r="E1639" s="113">
        <f>领料单!BI157</f>
        <v>0</v>
      </c>
      <c r="F1639" s="113">
        <f>领料单!BJ157</f>
        <v>0</v>
      </c>
      <c r="G1639" s="113"/>
    </row>
    <row r="1640" customHeight="1" spans="1:7">
      <c r="A1640" s="113">
        <f>领料单!BE158</f>
        <v>0</v>
      </c>
      <c r="B1640" s="113">
        <f>领料单!BF158</f>
        <v>0</v>
      </c>
      <c r="C1640" s="113">
        <f>领料单!BG158</f>
        <v>0</v>
      </c>
      <c r="D1640" s="113">
        <f>领料单!BH158</f>
        <v>0</v>
      </c>
      <c r="E1640" s="113">
        <f>领料单!BI158</f>
        <v>0</v>
      </c>
      <c r="F1640" s="113">
        <f>领料单!BJ158</f>
        <v>0</v>
      </c>
      <c r="G1640" s="113"/>
    </row>
    <row r="1641" customHeight="1" spans="1:7">
      <c r="A1641" s="113">
        <f>领料单!BE159</f>
        <v>0</v>
      </c>
      <c r="B1641" s="113">
        <f>领料单!BF159</f>
        <v>0</v>
      </c>
      <c r="C1641" s="113">
        <f>领料单!BG159</f>
        <v>0</v>
      </c>
      <c r="D1641" s="113">
        <f>领料单!BH159</f>
        <v>0</v>
      </c>
      <c r="E1641" s="113">
        <f>领料单!BI159</f>
        <v>0</v>
      </c>
      <c r="F1641" s="113">
        <f>领料单!BJ159</f>
        <v>0</v>
      </c>
      <c r="G1641" s="113"/>
    </row>
    <row r="1642" customHeight="1" spans="1:7">
      <c r="A1642" s="113">
        <f>领料单!BE160</f>
        <v>0</v>
      </c>
      <c r="B1642" s="113">
        <f>领料单!BF160</f>
        <v>0</v>
      </c>
      <c r="C1642" s="113">
        <f>领料单!BG160</f>
        <v>0</v>
      </c>
      <c r="D1642" s="113">
        <f>领料单!BH160</f>
        <v>0</v>
      </c>
      <c r="E1642" s="113">
        <f>领料单!BI160</f>
        <v>0</v>
      </c>
      <c r="F1642" s="113">
        <f>领料单!BJ160</f>
        <v>0</v>
      </c>
      <c r="G1642" s="113"/>
    </row>
    <row r="1643" customHeight="1" spans="1:7">
      <c r="A1643" s="113">
        <f>领料单!BE161</f>
        <v>0</v>
      </c>
      <c r="B1643" s="113">
        <f>领料单!BF161</f>
        <v>0</v>
      </c>
      <c r="C1643" s="113">
        <f>领料单!BG161</f>
        <v>0</v>
      </c>
      <c r="D1643" s="113">
        <f>领料单!BH161</f>
        <v>0</v>
      </c>
      <c r="E1643" s="113">
        <f>领料单!BI161</f>
        <v>0</v>
      </c>
      <c r="F1643" s="113">
        <f>领料单!BJ161</f>
        <v>0</v>
      </c>
      <c r="G1643" s="113"/>
    </row>
    <row r="1644" customHeight="1" spans="1:7">
      <c r="A1644" s="113">
        <f>领料单!BE162</f>
        <v>0</v>
      </c>
      <c r="B1644" s="113">
        <f>领料单!BF162</f>
        <v>0</v>
      </c>
      <c r="C1644" s="113">
        <f>领料单!BG162</f>
        <v>0</v>
      </c>
      <c r="D1644" s="113">
        <f>领料单!BH162</f>
        <v>0</v>
      </c>
      <c r="E1644" s="113">
        <f>领料单!BI162</f>
        <v>0</v>
      </c>
      <c r="F1644" s="113">
        <f>领料单!BJ162</f>
        <v>0</v>
      </c>
      <c r="G1644" s="113"/>
    </row>
    <row r="1645" customHeight="1" spans="1:7">
      <c r="A1645" s="113">
        <f>领料单!BE163</f>
        <v>0</v>
      </c>
      <c r="B1645" s="113">
        <f>领料单!BF163</f>
        <v>0</v>
      </c>
      <c r="C1645" s="113">
        <f>领料单!BG163</f>
        <v>0</v>
      </c>
      <c r="D1645" s="113">
        <f>领料单!BH163</f>
        <v>0</v>
      </c>
      <c r="E1645" s="113">
        <f>领料单!BI163</f>
        <v>0</v>
      </c>
      <c r="F1645" s="113">
        <f>领料单!BJ163</f>
        <v>0</v>
      </c>
      <c r="G1645" s="113"/>
    </row>
    <row r="1646" customHeight="1" spans="1:7">
      <c r="A1646" s="113">
        <f>领料单!BE164</f>
        <v>0</v>
      </c>
      <c r="B1646" s="113">
        <f>领料单!BF164</f>
        <v>0</v>
      </c>
      <c r="C1646" s="113">
        <f>领料单!BG164</f>
        <v>0</v>
      </c>
      <c r="D1646" s="113">
        <f>领料单!BH164</f>
        <v>0</v>
      </c>
      <c r="E1646" s="113">
        <f>领料单!BI164</f>
        <v>0</v>
      </c>
      <c r="F1646" s="113">
        <f>领料单!BJ164</f>
        <v>0</v>
      </c>
      <c r="G1646" s="113"/>
    </row>
    <row r="1647" customHeight="1" spans="1:7">
      <c r="A1647" s="113">
        <f>领料单!BE165</f>
        <v>0</v>
      </c>
      <c r="B1647" s="113">
        <f>领料单!BF165</f>
        <v>0</v>
      </c>
      <c r="C1647" s="113">
        <f>领料单!BG165</f>
        <v>0</v>
      </c>
      <c r="D1647" s="113">
        <f>领料单!BH165</f>
        <v>0</v>
      </c>
      <c r="E1647" s="113">
        <f>领料单!BI165</f>
        <v>0</v>
      </c>
      <c r="F1647" s="113">
        <f>领料单!BJ165</f>
        <v>0</v>
      </c>
      <c r="G1647" s="113"/>
    </row>
    <row r="1648" customHeight="1" spans="1:7">
      <c r="A1648" s="113">
        <f>领料单!BE166</f>
        <v>0</v>
      </c>
      <c r="B1648" s="113">
        <f>领料单!BF166</f>
        <v>0</v>
      </c>
      <c r="C1648" s="113">
        <f>领料单!BG166</f>
        <v>0</v>
      </c>
      <c r="D1648" s="113">
        <f>领料单!BH166</f>
        <v>0</v>
      </c>
      <c r="E1648" s="113">
        <f>领料单!BI166</f>
        <v>0</v>
      </c>
      <c r="F1648" s="113">
        <f>领料单!BJ166</f>
        <v>0</v>
      </c>
      <c r="G1648" s="113"/>
    </row>
    <row r="1649" customHeight="1" spans="1:7">
      <c r="A1649" s="113">
        <f>领料单!BE167</f>
        <v>0</v>
      </c>
      <c r="B1649" s="113">
        <f>领料单!BF167</f>
        <v>0</v>
      </c>
      <c r="C1649" s="113">
        <f>领料单!BG167</f>
        <v>0</v>
      </c>
      <c r="D1649" s="113">
        <f>领料单!BH167</f>
        <v>0</v>
      </c>
      <c r="E1649" s="113">
        <f>领料单!BI167</f>
        <v>0</v>
      </c>
      <c r="F1649" s="113">
        <f>领料单!BJ167</f>
        <v>0</v>
      </c>
      <c r="G1649" s="113"/>
    </row>
    <row r="1650" customHeight="1" spans="1:7">
      <c r="A1650" s="115" t="s">
        <v>340</v>
      </c>
      <c r="B1650" s="116"/>
      <c r="C1650" s="116"/>
      <c r="D1650" s="116"/>
      <c r="E1650" s="117"/>
      <c r="F1650" s="118">
        <f>SUM(F1638:F1649)</f>
        <v>0</v>
      </c>
      <c r="G1650" s="114"/>
    </row>
    <row r="1651" customHeight="1" spans="1:7">
      <c r="A1651" s="119" t="s">
        <v>341</v>
      </c>
      <c r="B1651" s="119"/>
      <c r="C1651" s="120"/>
      <c r="D1651" s="119"/>
      <c r="E1651" s="121" t="s">
        <v>342</v>
      </c>
      <c r="F1651" s="119"/>
      <c r="G1651" s="119"/>
    </row>
    <row r="1654" customHeight="1" spans="1:7">
      <c r="A1654" s="105"/>
      <c r="B1654" s="106"/>
      <c r="C1654" s="107" t="s">
        <v>330</v>
      </c>
      <c r="D1654" s="107"/>
      <c r="E1654" s="107"/>
      <c r="F1654" s="105"/>
      <c r="G1654" s="105"/>
    </row>
    <row r="1655" customHeight="1" spans="1:7">
      <c r="A1655" s="108" t="s">
        <v>331</v>
      </c>
      <c r="B1655" s="109"/>
      <c r="C1655" s="110">
        <v>45930</v>
      </c>
      <c r="D1655" s="110"/>
      <c r="E1655" s="110"/>
      <c r="F1655" s="111" t="s">
        <v>332</v>
      </c>
      <c r="G1655" s="112" t="str">
        <f>立项!$A$10</f>
        <v>RD08</v>
      </c>
    </row>
    <row r="1656" customHeight="1" spans="1:7">
      <c r="A1656" s="113" t="s">
        <v>333</v>
      </c>
      <c r="B1656" s="113" t="s">
        <v>334</v>
      </c>
      <c r="C1656" s="113" t="s">
        <v>335</v>
      </c>
      <c r="D1656" s="113" t="s">
        <v>336</v>
      </c>
      <c r="E1656" s="113" t="s">
        <v>337</v>
      </c>
      <c r="F1656" s="113" t="s">
        <v>338</v>
      </c>
      <c r="G1656" s="113" t="s">
        <v>339</v>
      </c>
    </row>
    <row r="1657" customHeight="1" spans="1:7">
      <c r="A1657" s="113">
        <f>领料单!BM156</f>
        <v>0</v>
      </c>
      <c r="B1657" s="113">
        <f>领料单!BN156</f>
        <v>0</v>
      </c>
      <c r="C1657" s="113">
        <f>领料单!BO156</f>
        <v>0</v>
      </c>
      <c r="D1657" s="113">
        <f>领料单!BP156</f>
        <v>0</v>
      </c>
      <c r="E1657" s="113">
        <f>领料单!BQ156</f>
        <v>0</v>
      </c>
      <c r="F1657" s="113">
        <f>领料单!BR156</f>
        <v>0</v>
      </c>
      <c r="G1657" s="113"/>
    </row>
    <row r="1658" customHeight="1" spans="1:7">
      <c r="A1658" s="113">
        <f>领料单!BM157</f>
        <v>0</v>
      </c>
      <c r="B1658" s="113">
        <f>领料单!BN157</f>
        <v>0</v>
      </c>
      <c r="C1658" s="113">
        <f>领料单!BO157</f>
        <v>0</v>
      </c>
      <c r="D1658" s="113">
        <f>领料单!BP157</f>
        <v>0</v>
      </c>
      <c r="E1658" s="113">
        <f>领料单!BQ157</f>
        <v>0</v>
      </c>
      <c r="F1658" s="113">
        <f>领料单!BR157</f>
        <v>0</v>
      </c>
      <c r="G1658" s="113"/>
    </row>
    <row r="1659" customHeight="1" spans="1:7">
      <c r="A1659" s="113">
        <f>领料单!BM158</f>
        <v>0</v>
      </c>
      <c r="B1659" s="113">
        <f>领料单!BN158</f>
        <v>0</v>
      </c>
      <c r="C1659" s="113">
        <f>领料单!BO158</f>
        <v>0</v>
      </c>
      <c r="D1659" s="113">
        <f>领料单!BP158</f>
        <v>0</v>
      </c>
      <c r="E1659" s="113">
        <f>领料单!BQ158</f>
        <v>0</v>
      </c>
      <c r="F1659" s="113">
        <f>领料单!BR158</f>
        <v>0</v>
      </c>
      <c r="G1659" s="113"/>
    </row>
    <row r="1660" customHeight="1" spans="1:7">
      <c r="A1660" s="113">
        <f>领料单!BM159</f>
        <v>0</v>
      </c>
      <c r="B1660" s="113">
        <f>领料单!BN159</f>
        <v>0</v>
      </c>
      <c r="C1660" s="113">
        <f>领料单!BO159</f>
        <v>0</v>
      </c>
      <c r="D1660" s="113">
        <f>领料单!BP159</f>
        <v>0</v>
      </c>
      <c r="E1660" s="113">
        <f>领料单!BQ159</f>
        <v>0</v>
      </c>
      <c r="F1660" s="113">
        <f>领料单!BR159</f>
        <v>0</v>
      </c>
      <c r="G1660" s="113"/>
    </row>
    <row r="1661" customHeight="1" spans="1:7">
      <c r="A1661" s="113">
        <f>领料单!BM160</f>
        <v>0</v>
      </c>
      <c r="B1661" s="113">
        <f>领料单!BN160</f>
        <v>0</v>
      </c>
      <c r="C1661" s="113">
        <f>领料单!BO160</f>
        <v>0</v>
      </c>
      <c r="D1661" s="113">
        <f>领料单!BP160</f>
        <v>0</v>
      </c>
      <c r="E1661" s="113">
        <f>领料单!BQ160</f>
        <v>0</v>
      </c>
      <c r="F1661" s="113">
        <f>领料单!BR160</f>
        <v>0</v>
      </c>
      <c r="G1661" s="113"/>
    </row>
    <row r="1662" customHeight="1" spans="1:7">
      <c r="A1662" s="113">
        <f>领料单!BM161</f>
        <v>0</v>
      </c>
      <c r="B1662" s="113">
        <f>领料单!BN161</f>
        <v>0</v>
      </c>
      <c r="C1662" s="113">
        <f>领料单!BO161</f>
        <v>0</v>
      </c>
      <c r="D1662" s="113">
        <f>领料单!BP161</f>
        <v>0</v>
      </c>
      <c r="E1662" s="113">
        <f>领料单!BQ161</f>
        <v>0</v>
      </c>
      <c r="F1662" s="113">
        <f>领料单!BR161</f>
        <v>0</v>
      </c>
      <c r="G1662" s="113"/>
    </row>
    <row r="1663" customHeight="1" spans="1:7">
      <c r="A1663" s="113">
        <f>领料单!BM162</f>
        <v>0</v>
      </c>
      <c r="B1663" s="113">
        <f>领料单!BN162</f>
        <v>0</v>
      </c>
      <c r="C1663" s="113">
        <f>领料单!BO162</f>
        <v>0</v>
      </c>
      <c r="D1663" s="113">
        <f>领料单!BP162</f>
        <v>0</v>
      </c>
      <c r="E1663" s="113">
        <f>领料单!BQ162</f>
        <v>0</v>
      </c>
      <c r="F1663" s="113">
        <f>领料单!BR162</f>
        <v>0</v>
      </c>
      <c r="G1663" s="113"/>
    </row>
    <row r="1664" customHeight="1" spans="1:7">
      <c r="A1664" s="113">
        <f>领料单!BM163</f>
        <v>0</v>
      </c>
      <c r="B1664" s="113">
        <f>领料单!BN163</f>
        <v>0</v>
      </c>
      <c r="C1664" s="113">
        <f>领料单!BO163</f>
        <v>0</v>
      </c>
      <c r="D1664" s="113">
        <f>领料单!BP163</f>
        <v>0</v>
      </c>
      <c r="E1664" s="113">
        <f>领料单!BQ163</f>
        <v>0</v>
      </c>
      <c r="F1664" s="113">
        <f>领料单!BR163</f>
        <v>0</v>
      </c>
      <c r="G1664" s="113"/>
    </row>
    <row r="1665" customHeight="1" spans="1:7">
      <c r="A1665" s="113">
        <f>领料单!BM164</f>
        <v>0</v>
      </c>
      <c r="B1665" s="113">
        <f>领料单!BN164</f>
        <v>0</v>
      </c>
      <c r="C1665" s="113">
        <f>领料单!BO164</f>
        <v>0</v>
      </c>
      <c r="D1665" s="113">
        <f>领料单!BP164</f>
        <v>0</v>
      </c>
      <c r="E1665" s="113">
        <f>领料单!BQ164</f>
        <v>0</v>
      </c>
      <c r="F1665" s="113">
        <f>领料单!BR164</f>
        <v>0</v>
      </c>
      <c r="G1665" s="113"/>
    </row>
    <row r="1666" customHeight="1" spans="1:7">
      <c r="A1666" s="113">
        <f>领料单!BM165</f>
        <v>0</v>
      </c>
      <c r="B1666" s="113">
        <f>领料单!BN165</f>
        <v>0</v>
      </c>
      <c r="C1666" s="113">
        <f>领料单!BO165</f>
        <v>0</v>
      </c>
      <c r="D1666" s="113">
        <f>领料单!BP165</f>
        <v>0</v>
      </c>
      <c r="E1666" s="113">
        <f>领料单!BQ165</f>
        <v>0</v>
      </c>
      <c r="F1666" s="113">
        <f>领料单!BR165</f>
        <v>0</v>
      </c>
      <c r="G1666" s="113"/>
    </row>
    <row r="1667" customHeight="1" spans="1:7">
      <c r="A1667" s="113">
        <f>领料单!BM166</f>
        <v>0</v>
      </c>
      <c r="B1667" s="113">
        <f>领料单!BN166</f>
        <v>0</v>
      </c>
      <c r="C1667" s="113">
        <f>领料单!BO166</f>
        <v>0</v>
      </c>
      <c r="D1667" s="113">
        <f>领料单!BP166</f>
        <v>0</v>
      </c>
      <c r="E1667" s="113">
        <f>领料单!BQ166</f>
        <v>0</v>
      </c>
      <c r="F1667" s="113">
        <f>领料单!BR166</f>
        <v>0</v>
      </c>
      <c r="G1667" s="113"/>
    </row>
    <row r="1668" customHeight="1" spans="1:7">
      <c r="A1668" s="113">
        <f>领料单!BM167</f>
        <v>0</v>
      </c>
      <c r="B1668" s="113">
        <f>领料单!BN167</f>
        <v>0</v>
      </c>
      <c r="C1668" s="113">
        <f>领料单!BO167</f>
        <v>0</v>
      </c>
      <c r="D1668" s="113">
        <f>领料单!BP167</f>
        <v>0</v>
      </c>
      <c r="E1668" s="113">
        <f>领料单!BQ167</f>
        <v>0</v>
      </c>
      <c r="F1668" s="113">
        <f>领料单!BR167</f>
        <v>0</v>
      </c>
      <c r="G1668" s="113"/>
    </row>
    <row r="1669" customHeight="1" spans="1:7">
      <c r="A1669" s="115" t="s">
        <v>340</v>
      </c>
      <c r="B1669" s="116"/>
      <c r="C1669" s="116"/>
      <c r="D1669" s="116"/>
      <c r="E1669" s="117"/>
      <c r="F1669" s="118">
        <f>SUM(F1657:F1668)</f>
        <v>0</v>
      </c>
      <c r="G1669" s="114"/>
    </row>
    <row r="1670" customHeight="1" spans="1:7">
      <c r="A1670" s="119" t="s">
        <v>341</v>
      </c>
      <c r="B1670" s="119"/>
      <c r="C1670" s="120"/>
      <c r="D1670" s="119"/>
      <c r="E1670" s="121" t="s">
        <v>342</v>
      </c>
      <c r="F1670" s="119"/>
      <c r="G1670" s="119"/>
    </row>
    <row r="1673" customHeight="1" spans="1:7">
      <c r="A1673" s="105"/>
      <c r="B1673" s="106"/>
      <c r="C1673" s="107" t="s">
        <v>330</v>
      </c>
      <c r="D1673" s="107"/>
      <c r="E1673" s="107"/>
      <c r="F1673" s="105"/>
      <c r="G1673" s="105"/>
    </row>
    <row r="1674" customHeight="1" spans="1:7">
      <c r="A1674" s="108" t="s">
        <v>331</v>
      </c>
      <c r="B1674" s="109"/>
      <c r="C1674" s="110">
        <v>45930</v>
      </c>
      <c r="D1674" s="110"/>
      <c r="E1674" s="110"/>
      <c r="F1674" s="111" t="s">
        <v>332</v>
      </c>
      <c r="G1674" s="112" t="str">
        <f>立项!$A$11</f>
        <v>RD09</v>
      </c>
    </row>
    <row r="1675" customHeight="1" spans="1:7">
      <c r="A1675" s="113" t="s">
        <v>333</v>
      </c>
      <c r="B1675" s="113" t="s">
        <v>334</v>
      </c>
      <c r="C1675" s="113" t="s">
        <v>335</v>
      </c>
      <c r="D1675" s="113" t="s">
        <v>336</v>
      </c>
      <c r="E1675" s="113" t="s">
        <v>337</v>
      </c>
      <c r="F1675" s="113" t="s">
        <v>338</v>
      </c>
      <c r="G1675" s="113" t="s">
        <v>339</v>
      </c>
    </row>
    <row r="1676" customHeight="1" spans="1:7">
      <c r="A1676" s="113">
        <f>领料单!BU156</f>
        <v>0</v>
      </c>
      <c r="B1676" s="113">
        <f>领料单!BV156</f>
        <v>0</v>
      </c>
      <c r="C1676" s="113">
        <f>领料单!BW156</f>
        <v>0</v>
      </c>
      <c r="D1676" s="113">
        <f>领料单!BX156</f>
        <v>0</v>
      </c>
      <c r="E1676" s="113">
        <f>领料单!BY156</f>
        <v>0</v>
      </c>
      <c r="F1676" s="113">
        <f>领料单!BZ156</f>
        <v>0</v>
      </c>
      <c r="G1676" s="113"/>
    </row>
    <row r="1677" customHeight="1" spans="1:7">
      <c r="A1677" s="113">
        <f>领料单!BU157</f>
        <v>0</v>
      </c>
      <c r="B1677" s="113">
        <f>领料单!BV157</f>
        <v>0</v>
      </c>
      <c r="C1677" s="113">
        <f>领料单!BW157</f>
        <v>0</v>
      </c>
      <c r="D1677" s="113">
        <f>领料单!BX157</f>
        <v>0</v>
      </c>
      <c r="E1677" s="113">
        <f>领料单!BY157</f>
        <v>0</v>
      </c>
      <c r="F1677" s="113">
        <f>领料单!BZ157</f>
        <v>0</v>
      </c>
      <c r="G1677" s="113"/>
    </row>
    <row r="1678" customHeight="1" spans="1:7">
      <c r="A1678" s="113">
        <f>领料单!BU158</f>
        <v>0</v>
      </c>
      <c r="B1678" s="113">
        <f>领料单!BV158</f>
        <v>0</v>
      </c>
      <c r="C1678" s="113">
        <f>领料单!BW158</f>
        <v>0</v>
      </c>
      <c r="D1678" s="113">
        <f>领料单!BX158</f>
        <v>0</v>
      </c>
      <c r="E1678" s="113">
        <f>领料单!BY158</f>
        <v>0</v>
      </c>
      <c r="F1678" s="113">
        <f>领料单!BZ158</f>
        <v>0</v>
      </c>
      <c r="G1678" s="113"/>
    </row>
    <row r="1679" customHeight="1" spans="1:7">
      <c r="A1679" s="113">
        <f>领料单!BU159</f>
        <v>0</v>
      </c>
      <c r="B1679" s="113">
        <f>领料单!BV159</f>
        <v>0</v>
      </c>
      <c r="C1679" s="113">
        <f>领料单!BW159</f>
        <v>0</v>
      </c>
      <c r="D1679" s="113">
        <f>领料单!BX159</f>
        <v>0</v>
      </c>
      <c r="E1679" s="113">
        <f>领料单!BY159</f>
        <v>0</v>
      </c>
      <c r="F1679" s="113">
        <f>领料单!BZ159</f>
        <v>0</v>
      </c>
      <c r="G1679" s="113"/>
    </row>
    <row r="1680" customHeight="1" spans="1:7">
      <c r="A1680" s="113">
        <f>领料单!BU160</f>
        <v>0</v>
      </c>
      <c r="B1680" s="113">
        <f>领料单!BV160</f>
        <v>0</v>
      </c>
      <c r="C1680" s="113">
        <f>领料单!BW160</f>
        <v>0</v>
      </c>
      <c r="D1680" s="113">
        <f>领料单!BX160</f>
        <v>0</v>
      </c>
      <c r="E1680" s="113">
        <f>领料单!BY160</f>
        <v>0</v>
      </c>
      <c r="F1680" s="113">
        <f>领料单!BZ160</f>
        <v>0</v>
      </c>
      <c r="G1680" s="113"/>
    </row>
    <row r="1681" customHeight="1" spans="1:7">
      <c r="A1681" s="113">
        <f>领料单!BU161</f>
        <v>0</v>
      </c>
      <c r="B1681" s="113">
        <f>领料单!BV161</f>
        <v>0</v>
      </c>
      <c r="C1681" s="113">
        <f>领料单!BW161</f>
        <v>0</v>
      </c>
      <c r="D1681" s="113">
        <f>领料单!BX161</f>
        <v>0</v>
      </c>
      <c r="E1681" s="113">
        <f>领料单!BY161</f>
        <v>0</v>
      </c>
      <c r="F1681" s="113">
        <f>领料单!BZ161</f>
        <v>0</v>
      </c>
      <c r="G1681" s="113"/>
    </row>
    <row r="1682" customHeight="1" spans="1:7">
      <c r="A1682" s="113">
        <f>领料单!BU162</f>
        <v>0</v>
      </c>
      <c r="B1682" s="113">
        <f>领料单!BV162</f>
        <v>0</v>
      </c>
      <c r="C1682" s="113">
        <f>领料单!BW162</f>
        <v>0</v>
      </c>
      <c r="D1682" s="113">
        <f>领料单!BX162</f>
        <v>0</v>
      </c>
      <c r="E1682" s="113">
        <f>领料单!BY162</f>
        <v>0</v>
      </c>
      <c r="F1682" s="113">
        <f>领料单!BZ162</f>
        <v>0</v>
      </c>
      <c r="G1682" s="113"/>
    </row>
    <row r="1683" customHeight="1" spans="1:7">
      <c r="A1683" s="113">
        <f>领料单!BU163</f>
        <v>0</v>
      </c>
      <c r="B1683" s="113">
        <f>领料单!BV163</f>
        <v>0</v>
      </c>
      <c r="C1683" s="113">
        <f>领料单!BW163</f>
        <v>0</v>
      </c>
      <c r="D1683" s="113">
        <f>领料单!BX163</f>
        <v>0</v>
      </c>
      <c r="E1683" s="113">
        <f>领料单!BY163</f>
        <v>0</v>
      </c>
      <c r="F1683" s="113">
        <f>领料单!BZ163</f>
        <v>0</v>
      </c>
      <c r="G1683" s="113"/>
    </row>
    <row r="1684" customHeight="1" spans="1:7">
      <c r="A1684" s="113">
        <f>领料单!BU164</f>
        <v>0</v>
      </c>
      <c r="B1684" s="113">
        <f>领料单!BV164</f>
        <v>0</v>
      </c>
      <c r="C1684" s="113">
        <f>领料单!BW164</f>
        <v>0</v>
      </c>
      <c r="D1684" s="113">
        <f>领料单!BX164</f>
        <v>0</v>
      </c>
      <c r="E1684" s="113">
        <f>领料单!BY164</f>
        <v>0</v>
      </c>
      <c r="F1684" s="113">
        <f>领料单!BZ164</f>
        <v>0</v>
      </c>
      <c r="G1684" s="113"/>
    </row>
    <row r="1685" customHeight="1" spans="1:7">
      <c r="A1685" s="113">
        <f>领料单!BU165</f>
        <v>0</v>
      </c>
      <c r="B1685" s="113">
        <f>领料单!BV165</f>
        <v>0</v>
      </c>
      <c r="C1685" s="113">
        <f>领料单!BW165</f>
        <v>0</v>
      </c>
      <c r="D1685" s="113">
        <f>领料单!BX165</f>
        <v>0</v>
      </c>
      <c r="E1685" s="113">
        <f>领料单!BY165</f>
        <v>0</v>
      </c>
      <c r="F1685" s="113">
        <f>领料单!BZ165</f>
        <v>0</v>
      </c>
      <c r="G1685" s="113"/>
    </row>
    <row r="1686" customHeight="1" spans="1:7">
      <c r="A1686" s="113">
        <f>领料单!BU166</f>
        <v>0</v>
      </c>
      <c r="B1686" s="113">
        <f>领料单!BV166</f>
        <v>0</v>
      </c>
      <c r="C1686" s="113">
        <f>领料单!BW166</f>
        <v>0</v>
      </c>
      <c r="D1686" s="113">
        <f>领料单!BX166</f>
        <v>0</v>
      </c>
      <c r="E1686" s="113">
        <f>领料单!BY166</f>
        <v>0</v>
      </c>
      <c r="F1686" s="113">
        <f>领料单!BZ166</f>
        <v>0</v>
      </c>
      <c r="G1686" s="113"/>
    </row>
    <row r="1687" customHeight="1" spans="1:7">
      <c r="A1687" s="113">
        <f>领料单!BU167</f>
        <v>0</v>
      </c>
      <c r="B1687" s="113">
        <f>领料单!BV167</f>
        <v>0</v>
      </c>
      <c r="C1687" s="113">
        <f>领料单!BW167</f>
        <v>0</v>
      </c>
      <c r="D1687" s="113">
        <f>领料单!BX167</f>
        <v>0</v>
      </c>
      <c r="E1687" s="113">
        <f>领料单!BY167</f>
        <v>0</v>
      </c>
      <c r="F1687" s="113">
        <f>领料单!BZ167</f>
        <v>0</v>
      </c>
      <c r="G1687" s="113"/>
    </row>
    <row r="1688" customHeight="1" spans="1:7">
      <c r="A1688" s="115" t="s">
        <v>340</v>
      </c>
      <c r="B1688" s="116"/>
      <c r="C1688" s="116"/>
      <c r="D1688" s="116"/>
      <c r="E1688" s="117"/>
      <c r="F1688" s="118">
        <f>SUM(F1676:F1687)</f>
        <v>0</v>
      </c>
      <c r="G1688" s="114"/>
    </row>
    <row r="1689" customHeight="1" spans="1:7">
      <c r="A1689" s="119" t="s">
        <v>341</v>
      </c>
      <c r="B1689" s="119"/>
      <c r="C1689" s="120"/>
      <c r="D1689" s="119"/>
      <c r="E1689" s="121" t="s">
        <v>342</v>
      </c>
      <c r="F1689" s="119"/>
      <c r="G1689" s="119"/>
    </row>
    <row r="1692" customHeight="1" spans="1:7">
      <c r="A1692" s="105"/>
      <c r="B1692" s="106"/>
      <c r="C1692" s="107" t="s">
        <v>330</v>
      </c>
      <c r="D1692" s="107"/>
      <c r="E1692" s="107"/>
      <c r="F1692" s="105"/>
      <c r="G1692" s="105"/>
    </row>
    <row r="1693" customHeight="1" spans="1:7">
      <c r="A1693" s="108" t="s">
        <v>331</v>
      </c>
      <c r="B1693" s="109"/>
      <c r="C1693" s="110">
        <v>45930</v>
      </c>
      <c r="D1693" s="110"/>
      <c r="E1693" s="110"/>
      <c r="F1693" s="111" t="s">
        <v>332</v>
      </c>
      <c r="G1693" s="112" t="str">
        <f>立项!$A$12</f>
        <v>RD10</v>
      </c>
    </row>
    <row r="1694" customHeight="1" spans="1:7">
      <c r="A1694" s="113" t="s">
        <v>333</v>
      </c>
      <c r="B1694" s="113" t="s">
        <v>334</v>
      </c>
      <c r="C1694" s="113" t="s">
        <v>335</v>
      </c>
      <c r="D1694" s="113" t="s">
        <v>336</v>
      </c>
      <c r="E1694" s="113" t="s">
        <v>337</v>
      </c>
      <c r="F1694" s="113" t="s">
        <v>338</v>
      </c>
      <c r="G1694" s="113" t="s">
        <v>339</v>
      </c>
    </row>
    <row r="1695" customHeight="1" spans="1:7">
      <c r="A1695" s="113">
        <f>领料单!CC156</f>
        <v>0</v>
      </c>
      <c r="B1695" s="113">
        <f>领料单!CD156</f>
        <v>0</v>
      </c>
      <c r="C1695" s="113">
        <f>领料单!CE156</f>
        <v>0</v>
      </c>
      <c r="D1695" s="113">
        <f>领料单!CF156</f>
        <v>0</v>
      </c>
      <c r="E1695" s="113">
        <f>领料单!CG156</f>
        <v>0</v>
      </c>
      <c r="F1695" s="113">
        <f>领料单!CH156</f>
        <v>0</v>
      </c>
      <c r="G1695" s="113"/>
    </row>
    <row r="1696" customHeight="1" spans="1:7">
      <c r="A1696" s="113">
        <f>领料单!CC157</f>
        <v>0</v>
      </c>
      <c r="B1696" s="113">
        <f>领料单!CD157</f>
        <v>0</v>
      </c>
      <c r="C1696" s="113">
        <f>领料单!CE157</f>
        <v>0</v>
      </c>
      <c r="D1696" s="113">
        <f>领料单!CF157</f>
        <v>0</v>
      </c>
      <c r="E1696" s="113">
        <f>领料单!CG157</f>
        <v>0</v>
      </c>
      <c r="F1696" s="113">
        <f>领料单!CH157</f>
        <v>0</v>
      </c>
      <c r="G1696" s="113"/>
    </row>
    <row r="1697" customHeight="1" spans="1:7">
      <c r="A1697" s="113">
        <f>领料单!CC158</f>
        <v>0</v>
      </c>
      <c r="B1697" s="113">
        <f>领料单!CD158</f>
        <v>0</v>
      </c>
      <c r="C1697" s="113">
        <f>领料单!CE158</f>
        <v>0</v>
      </c>
      <c r="D1697" s="113">
        <f>领料单!CF158</f>
        <v>0</v>
      </c>
      <c r="E1697" s="113">
        <f>领料单!CG158</f>
        <v>0</v>
      </c>
      <c r="F1697" s="113">
        <f>领料单!CH158</f>
        <v>0</v>
      </c>
      <c r="G1697" s="113"/>
    </row>
    <row r="1698" customHeight="1" spans="1:7">
      <c r="A1698" s="113">
        <f>领料单!CC159</f>
        <v>0</v>
      </c>
      <c r="B1698" s="113">
        <f>领料单!CD159</f>
        <v>0</v>
      </c>
      <c r="C1698" s="113">
        <f>领料单!CE159</f>
        <v>0</v>
      </c>
      <c r="D1698" s="113">
        <f>领料单!CF159</f>
        <v>0</v>
      </c>
      <c r="E1698" s="113">
        <f>领料单!CG159</f>
        <v>0</v>
      </c>
      <c r="F1698" s="113">
        <f>领料单!CH159</f>
        <v>0</v>
      </c>
      <c r="G1698" s="113"/>
    </row>
    <row r="1699" customHeight="1" spans="1:7">
      <c r="A1699" s="113">
        <f>领料单!CC160</f>
        <v>0</v>
      </c>
      <c r="B1699" s="113">
        <f>领料单!CD160</f>
        <v>0</v>
      </c>
      <c r="C1699" s="113">
        <f>领料单!CE160</f>
        <v>0</v>
      </c>
      <c r="D1699" s="113">
        <f>领料单!CF160</f>
        <v>0</v>
      </c>
      <c r="E1699" s="113">
        <f>领料单!CG160</f>
        <v>0</v>
      </c>
      <c r="F1699" s="113">
        <f>领料单!CH160</f>
        <v>0</v>
      </c>
      <c r="G1699" s="113"/>
    </row>
    <row r="1700" customHeight="1" spans="1:7">
      <c r="A1700" s="113">
        <f>领料单!CC161</f>
        <v>0</v>
      </c>
      <c r="B1700" s="113">
        <f>领料单!CD161</f>
        <v>0</v>
      </c>
      <c r="C1700" s="113">
        <f>领料单!CE161</f>
        <v>0</v>
      </c>
      <c r="D1700" s="113">
        <f>领料单!CF161</f>
        <v>0</v>
      </c>
      <c r="E1700" s="113">
        <f>领料单!CG161</f>
        <v>0</v>
      </c>
      <c r="F1700" s="113">
        <f>领料单!CH161</f>
        <v>0</v>
      </c>
      <c r="G1700" s="113"/>
    </row>
    <row r="1701" customHeight="1" spans="1:7">
      <c r="A1701" s="113">
        <f>领料单!CC162</f>
        <v>0</v>
      </c>
      <c r="B1701" s="113">
        <f>领料单!CD162</f>
        <v>0</v>
      </c>
      <c r="C1701" s="113">
        <f>领料单!CE162</f>
        <v>0</v>
      </c>
      <c r="D1701" s="113">
        <f>领料单!CF162</f>
        <v>0</v>
      </c>
      <c r="E1701" s="113">
        <f>领料单!CG162</f>
        <v>0</v>
      </c>
      <c r="F1701" s="113">
        <f>领料单!CH162</f>
        <v>0</v>
      </c>
      <c r="G1701" s="113"/>
    </row>
    <row r="1702" customHeight="1" spans="1:7">
      <c r="A1702" s="113">
        <f>领料单!CC163</f>
        <v>0</v>
      </c>
      <c r="B1702" s="113">
        <f>领料单!CD163</f>
        <v>0</v>
      </c>
      <c r="C1702" s="113">
        <f>领料单!CE163</f>
        <v>0</v>
      </c>
      <c r="D1702" s="113">
        <f>领料单!CF163</f>
        <v>0</v>
      </c>
      <c r="E1702" s="113">
        <f>领料单!CG163</f>
        <v>0</v>
      </c>
      <c r="F1702" s="113">
        <f>领料单!CH163</f>
        <v>0</v>
      </c>
      <c r="G1702" s="113"/>
    </row>
    <row r="1703" customHeight="1" spans="1:7">
      <c r="A1703" s="113">
        <f>领料单!CC164</f>
        <v>0</v>
      </c>
      <c r="B1703" s="113">
        <f>领料单!CD164</f>
        <v>0</v>
      </c>
      <c r="C1703" s="113">
        <f>领料单!CE164</f>
        <v>0</v>
      </c>
      <c r="D1703" s="113">
        <f>领料单!CF164</f>
        <v>0</v>
      </c>
      <c r="E1703" s="113">
        <f>领料单!CG164</f>
        <v>0</v>
      </c>
      <c r="F1703" s="113">
        <f>领料单!CH164</f>
        <v>0</v>
      </c>
      <c r="G1703" s="113"/>
    </row>
    <row r="1704" customHeight="1" spans="1:7">
      <c r="A1704" s="113">
        <f>领料单!CC165</f>
        <v>0</v>
      </c>
      <c r="B1704" s="113">
        <f>领料单!CD165</f>
        <v>0</v>
      </c>
      <c r="C1704" s="113">
        <f>领料单!CE165</f>
        <v>0</v>
      </c>
      <c r="D1704" s="113">
        <f>领料单!CF165</f>
        <v>0</v>
      </c>
      <c r="E1704" s="113">
        <f>领料单!CG165</f>
        <v>0</v>
      </c>
      <c r="F1704" s="113">
        <f>领料单!CH165</f>
        <v>0</v>
      </c>
      <c r="G1704" s="113"/>
    </row>
    <row r="1705" customHeight="1" spans="1:7">
      <c r="A1705" s="113">
        <f>领料单!CC166</f>
        <v>0</v>
      </c>
      <c r="B1705" s="113">
        <f>领料单!CD166</f>
        <v>0</v>
      </c>
      <c r="C1705" s="113">
        <f>领料单!CE166</f>
        <v>0</v>
      </c>
      <c r="D1705" s="113">
        <f>领料单!CF166</f>
        <v>0</v>
      </c>
      <c r="E1705" s="113">
        <f>领料单!CG166</f>
        <v>0</v>
      </c>
      <c r="F1705" s="113">
        <f>领料单!CH166</f>
        <v>0</v>
      </c>
      <c r="G1705" s="113"/>
    </row>
    <row r="1706" customHeight="1" spans="1:7">
      <c r="A1706" s="113">
        <f>领料单!CC167</f>
        <v>0</v>
      </c>
      <c r="B1706" s="113">
        <f>领料单!CD167</f>
        <v>0</v>
      </c>
      <c r="C1706" s="113">
        <f>领料单!CE167</f>
        <v>0</v>
      </c>
      <c r="D1706" s="113">
        <f>领料单!CF167</f>
        <v>0</v>
      </c>
      <c r="E1706" s="113">
        <f>领料单!CG167</f>
        <v>0</v>
      </c>
      <c r="F1706" s="113">
        <f>领料单!CH167</f>
        <v>0</v>
      </c>
      <c r="G1706" s="113"/>
    </row>
    <row r="1707" customHeight="1" spans="1:7">
      <c r="A1707" s="115" t="s">
        <v>340</v>
      </c>
      <c r="B1707" s="116"/>
      <c r="C1707" s="116"/>
      <c r="D1707" s="116"/>
      <c r="E1707" s="117"/>
      <c r="F1707" s="118">
        <f>SUM(F1695:F1706)</f>
        <v>0</v>
      </c>
      <c r="G1707" s="114"/>
    </row>
    <row r="1708" customHeight="1" spans="1:7">
      <c r="A1708" s="119" t="s">
        <v>341</v>
      </c>
      <c r="B1708" s="119"/>
      <c r="C1708" s="120"/>
      <c r="D1708" s="119"/>
      <c r="E1708" s="121" t="s">
        <v>342</v>
      </c>
      <c r="F1708" s="119"/>
      <c r="G1708" s="119"/>
    </row>
    <row r="1711" customHeight="1" spans="1:7">
      <c r="A1711" s="105"/>
      <c r="B1711" s="106"/>
      <c r="C1711" s="107" t="s">
        <v>330</v>
      </c>
      <c r="D1711" s="107"/>
      <c r="E1711" s="107"/>
      <c r="F1711" s="105"/>
      <c r="G1711" s="105"/>
    </row>
    <row r="1712" customHeight="1" spans="1:7">
      <c r="A1712" s="108" t="s">
        <v>331</v>
      </c>
      <c r="B1712" s="109"/>
      <c r="C1712" s="110">
        <v>45961</v>
      </c>
      <c r="D1712" s="110"/>
      <c r="E1712" s="110"/>
      <c r="F1712" s="111" t="s">
        <v>332</v>
      </c>
      <c r="G1712" s="112" t="str">
        <f>立项!$A$3</f>
        <v>RD01</v>
      </c>
    </row>
    <row r="1713" customHeight="1" spans="1:7">
      <c r="A1713" s="113" t="s">
        <v>333</v>
      </c>
      <c r="B1713" s="113" t="s">
        <v>334</v>
      </c>
      <c r="C1713" s="113" t="s">
        <v>335</v>
      </c>
      <c r="D1713" s="113" t="s">
        <v>336</v>
      </c>
      <c r="E1713" s="113" t="s">
        <v>337</v>
      </c>
      <c r="F1713" s="113" t="s">
        <v>338</v>
      </c>
      <c r="G1713" s="113" t="s">
        <v>339</v>
      </c>
    </row>
    <row r="1714" customHeight="1" spans="1:7">
      <c r="A1714" s="113">
        <f>领料单!I175</f>
        <v>0</v>
      </c>
      <c r="B1714" s="113">
        <f>领料单!J175</f>
        <v>0</v>
      </c>
      <c r="C1714" s="113">
        <f>领料单!K175</f>
        <v>0</v>
      </c>
      <c r="D1714" s="113">
        <f>领料单!L175</f>
        <v>0</v>
      </c>
      <c r="E1714" s="113">
        <f>领料单!M175</f>
        <v>0</v>
      </c>
      <c r="F1714" s="113">
        <f>领料单!N175</f>
        <v>0</v>
      </c>
      <c r="G1714" s="113"/>
    </row>
    <row r="1715" customHeight="1" spans="1:7">
      <c r="A1715" s="113">
        <f>领料单!I176</f>
        <v>0</v>
      </c>
      <c r="B1715" s="113">
        <f>领料单!J176</f>
        <v>0</v>
      </c>
      <c r="C1715" s="113">
        <f>领料单!K176</f>
        <v>0</v>
      </c>
      <c r="D1715" s="113">
        <f>领料单!L176</f>
        <v>0</v>
      </c>
      <c r="E1715" s="113">
        <f>领料单!M176</f>
        <v>0</v>
      </c>
      <c r="F1715" s="113">
        <f>领料单!N176</f>
        <v>0</v>
      </c>
      <c r="G1715" s="113"/>
    </row>
    <row r="1716" customHeight="1" spans="1:7">
      <c r="A1716" s="113">
        <f>领料单!I177</f>
        <v>0</v>
      </c>
      <c r="B1716" s="113">
        <f>领料单!J177</f>
        <v>0</v>
      </c>
      <c r="C1716" s="113">
        <f>领料单!K177</f>
        <v>0</v>
      </c>
      <c r="D1716" s="113">
        <f>领料单!L177</f>
        <v>0</v>
      </c>
      <c r="E1716" s="113">
        <f>领料单!M177</f>
        <v>0</v>
      </c>
      <c r="F1716" s="113">
        <f>领料单!N177</f>
        <v>0</v>
      </c>
      <c r="G1716" s="113"/>
    </row>
    <row r="1717" customHeight="1" spans="1:7">
      <c r="A1717" s="113">
        <f>领料单!I178</f>
        <v>0</v>
      </c>
      <c r="B1717" s="113">
        <f>领料单!J178</f>
        <v>0</v>
      </c>
      <c r="C1717" s="113">
        <f>领料单!K178</f>
        <v>0</v>
      </c>
      <c r="D1717" s="113">
        <f>领料单!L178</f>
        <v>0</v>
      </c>
      <c r="E1717" s="113">
        <f>领料单!M178</f>
        <v>0</v>
      </c>
      <c r="F1717" s="113">
        <f>领料单!N178</f>
        <v>0</v>
      </c>
      <c r="G1717" s="113"/>
    </row>
    <row r="1718" customHeight="1" spans="1:7">
      <c r="A1718" s="113">
        <f>领料单!I179</f>
        <v>0</v>
      </c>
      <c r="B1718" s="113">
        <f>领料单!J179</f>
        <v>0</v>
      </c>
      <c r="C1718" s="113">
        <f>领料单!K179</f>
        <v>0</v>
      </c>
      <c r="D1718" s="113">
        <f>领料单!L179</f>
        <v>0</v>
      </c>
      <c r="E1718" s="113">
        <f>领料单!M179</f>
        <v>0</v>
      </c>
      <c r="F1718" s="113">
        <f>领料单!N179</f>
        <v>0</v>
      </c>
      <c r="G1718" s="113"/>
    </row>
    <row r="1719" customHeight="1" spans="1:7">
      <c r="A1719" s="113">
        <f>领料单!I180</f>
        <v>0</v>
      </c>
      <c r="B1719" s="113">
        <f>领料单!J180</f>
        <v>0</v>
      </c>
      <c r="C1719" s="113">
        <f>领料单!K180</f>
        <v>0</v>
      </c>
      <c r="D1719" s="113">
        <f>领料单!L180</f>
        <v>0</v>
      </c>
      <c r="E1719" s="113">
        <f>领料单!M180</f>
        <v>0</v>
      </c>
      <c r="F1719" s="113">
        <f>领料单!N180</f>
        <v>0</v>
      </c>
      <c r="G1719" s="113"/>
    </row>
    <row r="1720" customHeight="1" spans="1:7">
      <c r="A1720" s="113">
        <f>领料单!I181</f>
        <v>0</v>
      </c>
      <c r="B1720" s="113">
        <f>领料单!J181</f>
        <v>0</v>
      </c>
      <c r="C1720" s="113">
        <f>领料单!K181</f>
        <v>0</v>
      </c>
      <c r="D1720" s="113">
        <f>领料单!L181</f>
        <v>0</v>
      </c>
      <c r="E1720" s="113">
        <f>领料单!M181</f>
        <v>0</v>
      </c>
      <c r="F1720" s="113">
        <f>领料单!N181</f>
        <v>0</v>
      </c>
      <c r="G1720" s="113"/>
    </row>
    <row r="1721" customHeight="1" spans="1:7">
      <c r="A1721" s="113">
        <f>领料单!I182</f>
        <v>0</v>
      </c>
      <c r="B1721" s="113">
        <f>领料单!J182</f>
        <v>0</v>
      </c>
      <c r="C1721" s="113">
        <f>领料单!K182</f>
        <v>0</v>
      </c>
      <c r="D1721" s="113">
        <f>领料单!L182</f>
        <v>0</v>
      </c>
      <c r="E1721" s="113">
        <f>领料单!M182</f>
        <v>0</v>
      </c>
      <c r="F1721" s="113">
        <f>领料单!N182</f>
        <v>0</v>
      </c>
      <c r="G1721" s="113"/>
    </row>
    <row r="1722" customHeight="1" spans="1:7">
      <c r="A1722" s="113">
        <f>领料单!I183</f>
        <v>0</v>
      </c>
      <c r="B1722" s="113">
        <f>领料单!J183</f>
        <v>0</v>
      </c>
      <c r="C1722" s="113">
        <f>领料单!K183</f>
        <v>0</v>
      </c>
      <c r="D1722" s="113">
        <f>领料单!L183</f>
        <v>0</v>
      </c>
      <c r="E1722" s="113">
        <f>领料单!M183</f>
        <v>0</v>
      </c>
      <c r="F1722" s="113">
        <f>领料单!N183</f>
        <v>0</v>
      </c>
      <c r="G1722" s="113"/>
    </row>
    <row r="1723" customHeight="1" spans="1:7">
      <c r="A1723" s="113">
        <f>领料单!I184</f>
        <v>0</v>
      </c>
      <c r="B1723" s="113">
        <f>领料单!J184</f>
        <v>0</v>
      </c>
      <c r="C1723" s="113">
        <f>领料单!K184</f>
        <v>0</v>
      </c>
      <c r="D1723" s="113">
        <f>领料单!L184</f>
        <v>0</v>
      </c>
      <c r="E1723" s="113">
        <f>领料单!M184</f>
        <v>0</v>
      </c>
      <c r="F1723" s="113">
        <f>领料单!N184</f>
        <v>0</v>
      </c>
      <c r="G1723" s="113"/>
    </row>
    <row r="1724" customHeight="1" spans="1:7">
      <c r="A1724" s="113">
        <f>领料单!I185</f>
        <v>0</v>
      </c>
      <c r="B1724" s="113">
        <f>领料单!J185</f>
        <v>0</v>
      </c>
      <c r="C1724" s="113">
        <f>领料单!K185</f>
        <v>0</v>
      </c>
      <c r="D1724" s="113">
        <f>领料单!L185</f>
        <v>0</v>
      </c>
      <c r="E1724" s="113">
        <f>领料单!M185</f>
        <v>0</v>
      </c>
      <c r="F1724" s="113">
        <f>领料单!N185</f>
        <v>0</v>
      </c>
      <c r="G1724" s="113"/>
    </row>
    <row r="1725" customHeight="1" spans="1:7">
      <c r="A1725" s="113">
        <f>领料单!I186</f>
        <v>0</v>
      </c>
      <c r="B1725" s="113">
        <f>领料单!J186</f>
        <v>0</v>
      </c>
      <c r="C1725" s="113">
        <f>领料单!K186</f>
        <v>0</v>
      </c>
      <c r="D1725" s="113">
        <f>领料单!L186</f>
        <v>0</v>
      </c>
      <c r="E1725" s="113">
        <f>领料单!M186</f>
        <v>0</v>
      </c>
      <c r="F1725" s="113">
        <f>领料单!N186</f>
        <v>0</v>
      </c>
      <c r="G1725" s="113"/>
    </row>
    <row r="1726" customHeight="1" spans="1:7">
      <c r="A1726" s="115" t="s">
        <v>340</v>
      </c>
      <c r="B1726" s="116"/>
      <c r="C1726" s="116"/>
      <c r="D1726" s="116"/>
      <c r="E1726" s="117"/>
      <c r="F1726" s="118">
        <f>SUM(F1714:F1725)</f>
        <v>0</v>
      </c>
      <c r="G1726" s="114"/>
    </row>
    <row r="1727" customHeight="1" spans="1:7">
      <c r="A1727" s="119" t="s">
        <v>341</v>
      </c>
      <c r="B1727" s="119"/>
      <c r="C1727" s="120"/>
      <c r="D1727" s="119"/>
      <c r="E1727" s="121" t="s">
        <v>342</v>
      </c>
      <c r="F1727" s="119"/>
      <c r="G1727" s="119"/>
    </row>
    <row r="1730" customHeight="1" spans="1:7">
      <c r="A1730" s="105"/>
      <c r="B1730" s="106"/>
      <c r="C1730" s="107" t="s">
        <v>330</v>
      </c>
      <c r="D1730" s="107"/>
      <c r="E1730" s="107"/>
      <c r="F1730" s="105"/>
      <c r="G1730" s="105"/>
    </row>
    <row r="1731" customHeight="1" spans="1:7">
      <c r="A1731" s="108" t="s">
        <v>331</v>
      </c>
      <c r="B1731" s="109"/>
      <c r="C1731" s="110">
        <v>45961</v>
      </c>
      <c r="D1731" s="110"/>
      <c r="E1731" s="110"/>
      <c r="F1731" s="111" t="s">
        <v>332</v>
      </c>
      <c r="G1731" s="112" t="str">
        <f>立项!$A$4</f>
        <v>RD02</v>
      </c>
    </row>
    <row r="1732" customHeight="1" spans="1:7">
      <c r="A1732" s="113" t="s">
        <v>333</v>
      </c>
      <c r="B1732" s="113" t="s">
        <v>334</v>
      </c>
      <c r="C1732" s="113" t="s">
        <v>335</v>
      </c>
      <c r="D1732" s="113" t="s">
        <v>336</v>
      </c>
      <c r="E1732" s="113" t="s">
        <v>337</v>
      </c>
      <c r="F1732" s="113" t="s">
        <v>338</v>
      </c>
      <c r="G1732" s="113" t="s">
        <v>339</v>
      </c>
    </row>
    <row r="1733" customHeight="1" spans="1:7">
      <c r="A1733" s="113">
        <f>领料单!Q175</f>
        <v>0</v>
      </c>
      <c r="B1733" s="113">
        <f>领料单!R175</f>
        <v>0</v>
      </c>
      <c r="C1733" s="113">
        <f>领料单!S175</f>
        <v>0</v>
      </c>
      <c r="D1733" s="113">
        <f>领料单!T175</f>
        <v>0</v>
      </c>
      <c r="E1733" s="113">
        <f>领料单!U175</f>
        <v>0</v>
      </c>
      <c r="F1733" s="113">
        <f>领料单!V175</f>
        <v>0</v>
      </c>
      <c r="G1733" s="113"/>
    </row>
    <row r="1734" customHeight="1" spans="1:7">
      <c r="A1734" s="113">
        <f>领料单!Q176</f>
        <v>0</v>
      </c>
      <c r="B1734" s="113">
        <f>领料单!R176</f>
        <v>0</v>
      </c>
      <c r="C1734" s="113">
        <f>领料单!S176</f>
        <v>0</v>
      </c>
      <c r="D1734" s="113">
        <f>领料单!T176</f>
        <v>0</v>
      </c>
      <c r="E1734" s="113">
        <f>领料单!U176</f>
        <v>0</v>
      </c>
      <c r="F1734" s="113">
        <f>领料单!V176</f>
        <v>0</v>
      </c>
      <c r="G1734" s="113"/>
    </row>
    <row r="1735" customHeight="1" spans="1:7">
      <c r="A1735" s="113">
        <f>领料单!Q177</f>
        <v>0</v>
      </c>
      <c r="B1735" s="113">
        <f>领料单!R177</f>
        <v>0</v>
      </c>
      <c r="C1735" s="113">
        <f>领料单!S177</f>
        <v>0</v>
      </c>
      <c r="D1735" s="113">
        <f>领料单!T177</f>
        <v>0</v>
      </c>
      <c r="E1735" s="113">
        <f>领料单!U177</f>
        <v>0</v>
      </c>
      <c r="F1735" s="113">
        <f>领料单!V177</f>
        <v>0</v>
      </c>
      <c r="G1735" s="113"/>
    </row>
    <row r="1736" customHeight="1" spans="1:7">
      <c r="A1736" s="113">
        <f>领料单!Q178</f>
        <v>0</v>
      </c>
      <c r="B1736" s="113">
        <f>领料单!R178</f>
        <v>0</v>
      </c>
      <c r="C1736" s="113">
        <f>领料单!S178</f>
        <v>0</v>
      </c>
      <c r="D1736" s="113">
        <f>领料单!T178</f>
        <v>0</v>
      </c>
      <c r="E1736" s="113">
        <f>领料单!U178</f>
        <v>0</v>
      </c>
      <c r="F1736" s="113">
        <f>领料单!V178</f>
        <v>0</v>
      </c>
      <c r="G1736" s="113"/>
    </row>
    <row r="1737" customHeight="1" spans="1:7">
      <c r="A1737" s="113">
        <f>领料单!Q179</f>
        <v>0</v>
      </c>
      <c r="B1737" s="113">
        <f>领料单!R179</f>
        <v>0</v>
      </c>
      <c r="C1737" s="113">
        <f>领料单!S179</f>
        <v>0</v>
      </c>
      <c r="D1737" s="113">
        <f>领料单!T179</f>
        <v>0</v>
      </c>
      <c r="E1737" s="113">
        <f>领料单!U179</f>
        <v>0</v>
      </c>
      <c r="F1737" s="113">
        <f>领料单!V179</f>
        <v>0</v>
      </c>
      <c r="G1737" s="113"/>
    </row>
    <row r="1738" customHeight="1" spans="1:7">
      <c r="A1738" s="113">
        <f>领料单!Q180</f>
        <v>0</v>
      </c>
      <c r="B1738" s="113">
        <f>领料单!R180</f>
        <v>0</v>
      </c>
      <c r="C1738" s="113">
        <f>领料单!S180</f>
        <v>0</v>
      </c>
      <c r="D1738" s="113">
        <f>领料单!T180</f>
        <v>0</v>
      </c>
      <c r="E1738" s="113">
        <f>领料单!U180</f>
        <v>0</v>
      </c>
      <c r="F1738" s="113">
        <f>领料单!V180</f>
        <v>0</v>
      </c>
      <c r="G1738" s="113"/>
    </row>
    <row r="1739" customHeight="1" spans="1:7">
      <c r="A1739" s="113">
        <f>领料单!Q181</f>
        <v>0</v>
      </c>
      <c r="B1739" s="113">
        <f>领料单!R181</f>
        <v>0</v>
      </c>
      <c r="C1739" s="113">
        <f>领料单!S181</f>
        <v>0</v>
      </c>
      <c r="D1739" s="113">
        <f>领料单!T181</f>
        <v>0</v>
      </c>
      <c r="E1739" s="113">
        <f>领料单!U181</f>
        <v>0</v>
      </c>
      <c r="F1739" s="113">
        <f>领料单!V181</f>
        <v>0</v>
      </c>
      <c r="G1739" s="113"/>
    </row>
    <row r="1740" customHeight="1" spans="1:7">
      <c r="A1740" s="113">
        <f>领料单!Q182</f>
        <v>0</v>
      </c>
      <c r="B1740" s="113">
        <f>领料单!R182</f>
        <v>0</v>
      </c>
      <c r="C1740" s="113">
        <f>领料单!S182</f>
        <v>0</v>
      </c>
      <c r="D1740" s="113">
        <f>领料单!T182</f>
        <v>0</v>
      </c>
      <c r="E1740" s="113">
        <f>领料单!U182</f>
        <v>0</v>
      </c>
      <c r="F1740" s="113">
        <f>领料单!V182</f>
        <v>0</v>
      </c>
      <c r="G1740" s="113"/>
    </row>
    <row r="1741" customHeight="1" spans="1:7">
      <c r="A1741" s="113">
        <f>领料单!Q183</f>
        <v>0</v>
      </c>
      <c r="B1741" s="113">
        <f>领料单!R183</f>
        <v>0</v>
      </c>
      <c r="C1741" s="113">
        <f>领料单!S183</f>
        <v>0</v>
      </c>
      <c r="D1741" s="113">
        <f>领料单!T183</f>
        <v>0</v>
      </c>
      <c r="E1741" s="113">
        <f>领料单!U183</f>
        <v>0</v>
      </c>
      <c r="F1741" s="113">
        <f>领料单!V183</f>
        <v>0</v>
      </c>
      <c r="G1741" s="113"/>
    </row>
    <row r="1742" customHeight="1" spans="1:7">
      <c r="A1742" s="113">
        <f>领料单!Q184</f>
        <v>0</v>
      </c>
      <c r="B1742" s="113">
        <f>领料单!R184</f>
        <v>0</v>
      </c>
      <c r="C1742" s="113">
        <f>领料单!S184</f>
        <v>0</v>
      </c>
      <c r="D1742" s="113">
        <f>领料单!T184</f>
        <v>0</v>
      </c>
      <c r="E1742" s="113">
        <f>领料单!U184</f>
        <v>0</v>
      </c>
      <c r="F1742" s="113">
        <f>领料单!V184</f>
        <v>0</v>
      </c>
      <c r="G1742" s="113"/>
    </row>
    <row r="1743" customHeight="1" spans="1:7">
      <c r="A1743" s="113">
        <f>领料单!Q185</f>
        <v>0</v>
      </c>
      <c r="B1743" s="113">
        <f>领料单!R185</f>
        <v>0</v>
      </c>
      <c r="C1743" s="113">
        <f>领料单!S185</f>
        <v>0</v>
      </c>
      <c r="D1743" s="113">
        <f>领料单!T185</f>
        <v>0</v>
      </c>
      <c r="E1743" s="113">
        <f>领料单!U185</f>
        <v>0</v>
      </c>
      <c r="F1743" s="113">
        <f>领料单!V185</f>
        <v>0</v>
      </c>
      <c r="G1743" s="113"/>
    </row>
    <row r="1744" customHeight="1" spans="1:7">
      <c r="A1744" s="113">
        <f>领料单!Q186</f>
        <v>0</v>
      </c>
      <c r="B1744" s="113">
        <f>领料单!R186</f>
        <v>0</v>
      </c>
      <c r="C1744" s="113">
        <f>领料单!S186</f>
        <v>0</v>
      </c>
      <c r="D1744" s="113">
        <f>领料单!T186</f>
        <v>0</v>
      </c>
      <c r="E1744" s="113">
        <f>领料单!U186</f>
        <v>0</v>
      </c>
      <c r="F1744" s="113">
        <f>领料单!V186</f>
        <v>0</v>
      </c>
      <c r="G1744" s="113"/>
    </row>
    <row r="1745" customHeight="1" spans="1:7">
      <c r="A1745" s="115" t="s">
        <v>340</v>
      </c>
      <c r="B1745" s="116"/>
      <c r="C1745" s="116"/>
      <c r="D1745" s="116"/>
      <c r="E1745" s="117"/>
      <c r="F1745" s="118">
        <f>SUM(F1733:F1744)</f>
        <v>0</v>
      </c>
      <c r="G1745" s="114"/>
    </row>
    <row r="1746" customHeight="1" spans="1:7">
      <c r="A1746" s="119" t="s">
        <v>341</v>
      </c>
      <c r="B1746" s="119"/>
      <c r="C1746" s="120"/>
      <c r="D1746" s="119"/>
      <c r="E1746" s="121" t="s">
        <v>342</v>
      </c>
      <c r="F1746" s="119"/>
      <c r="G1746" s="119"/>
    </row>
    <row r="1749" customHeight="1" spans="1:7">
      <c r="A1749" s="105"/>
      <c r="B1749" s="106"/>
      <c r="C1749" s="107" t="s">
        <v>330</v>
      </c>
      <c r="D1749" s="107"/>
      <c r="E1749" s="107"/>
      <c r="F1749" s="105"/>
      <c r="G1749" s="105"/>
    </row>
    <row r="1750" customHeight="1" spans="1:7">
      <c r="A1750" s="108" t="s">
        <v>331</v>
      </c>
      <c r="B1750" s="109"/>
      <c r="C1750" s="110">
        <v>45961</v>
      </c>
      <c r="D1750" s="110"/>
      <c r="E1750" s="110"/>
      <c r="F1750" s="111" t="s">
        <v>332</v>
      </c>
      <c r="G1750" s="112" t="str">
        <f>立项!$A$5</f>
        <v>RD03</v>
      </c>
    </row>
    <row r="1751" customHeight="1" spans="1:7">
      <c r="A1751" s="113" t="s">
        <v>333</v>
      </c>
      <c r="B1751" s="113" t="s">
        <v>334</v>
      </c>
      <c r="C1751" s="113" t="s">
        <v>335</v>
      </c>
      <c r="D1751" s="113" t="s">
        <v>336</v>
      </c>
      <c r="E1751" s="113" t="s">
        <v>337</v>
      </c>
      <c r="F1751" s="113" t="s">
        <v>338</v>
      </c>
      <c r="G1751" s="113" t="s">
        <v>339</v>
      </c>
    </row>
    <row r="1752" customHeight="1" spans="1:7">
      <c r="A1752" s="113">
        <f>领料单!Y175</f>
        <v>0</v>
      </c>
      <c r="B1752" s="113">
        <f>领料单!Z175</f>
        <v>0</v>
      </c>
      <c r="C1752" s="113">
        <f>领料单!AA175</f>
        <v>0</v>
      </c>
      <c r="D1752" s="113">
        <f>领料单!AB175</f>
        <v>0</v>
      </c>
      <c r="E1752" s="113">
        <f>领料单!AC175</f>
        <v>0</v>
      </c>
      <c r="F1752" s="113">
        <f>领料单!AD175</f>
        <v>0</v>
      </c>
      <c r="G1752" s="113"/>
    </row>
    <row r="1753" customHeight="1" spans="1:7">
      <c r="A1753" s="113">
        <f>领料单!Y176</f>
        <v>0</v>
      </c>
      <c r="B1753" s="113">
        <f>领料单!Z176</f>
        <v>0</v>
      </c>
      <c r="C1753" s="113">
        <f>领料单!AA176</f>
        <v>0</v>
      </c>
      <c r="D1753" s="113">
        <f>领料单!AB176</f>
        <v>0</v>
      </c>
      <c r="E1753" s="113">
        <f>领料单!AC176</f>
        <v>0</v>
      </c>
      <c r="F1753" s="113">
        <f>领料单!AD176</f>
        <v>0</v>
      </c>
      <c r="G1753" s="113"/>
    </row>
    <row r="1754" customHeight="1" spans="1:7">
      <c r="A1754" s="113">
        <f>领料单!Y177</f>
        <v>0</v>
      </c>
      <c r="B1754" s="113">
        <f>领料单!Z177</f>
        <v>0</v>
      </c>
      <c r="C1754" s="113">
        <f>领料单!AA177</f>
        <v>0</v>
      </c>
      <c r="D1754" s="113">
        <f>领料单!AB177</f>
        <v>0</v>
      </c>
      <c r="E1754" s="113">
        <f>领料单!AC177</f>
        <v>0</v>
      </c>
      <c r="F1754" s="113">
        <f>领料单!AD177</f>
        <v>0</v>
      </c>
      <c r="G1754" s="113"/>
    </row>
    <row r="1755" customHeight="1" spans="1:7">
      <c r="A1755" s="113">
        <f>领料单!Y178</f>
        <v>0</v>
      </c>
      <c r="B1755" s="113">
        <f>领料单!Z178</f>
        <v>0</v>
      </c>
      <c r="C1755" s="113">
        <f>领料单!AA178</f>
        <v>0</v>
      </c>
      <c r="D1755" s="113">
        <f>领料单!AB178</f>
        <v>0</v>
      </c>
      <c r="E1755" s="113">
        <f>领料单!AC178</f>
        <v>0</v>
      </c>
      <c r="F1755" s="113">
        <f>领料单!AD178</f>
        <v>0</v>
      </c>
      <c r="G1755" s="113"/>
    </row>
    <row r="1756" customHeight="1" spans="1:7">
      <c r="A1756" s="113">
        <f>领料单!Y179</f>
        <v>0</v>
      </c>
      <c r="B1756" s="113">
        <f>领料单!Z179</f>
        <v>0</v>
      </c>
      <c r="C1756" s="113">
        <f>领料单!AA179</f>
        <v>0</v>
      </c>
      <c r="D1756" s="113">
        <f>领料单!AB179</f>
        <v>0</v>
      </c>
      <c r="E1756" s="113">
        <f>领料单!AC179</f>
        <v>0</v>
      </c>
      <c r="F1756" s="113">
        <f>领料单!AD179</f>
        <v>0</v>
      </c>
      <c r="G1756" s="113"/>
    </row>
    <row r="1757" customHeight="1" spans="1:7">
      <c r="A1757" s="113">
        <f>领料单!Y180</f>
        <v>0</v>
      </c>
      <c r="B1757" s="113">
        <f>领料单!Z180</f>
        <v>0</v>
      </c>
      <c r="C1757" s="113">
        <f>领料单!AA180</f>
        <v>0</v>
      </c>
      <c r="D1757" s="113">
        <f>领料单!AB180</f>
        <v>0</v>
      </c>
      <c r="E1757" s="113">
        <f>领料单!AC180</f>
        <v>0</v>
      </c>
      <c r="F1757" s="113">
        <f>领料单!AD180</f>
        <v>0</v>
      </c>
      <c r="G1757" s="113"/>
    </row>
    <row r="1758" customHeight="1" spans="1:7">
      <c r="A1758" s="113">
        <f>领料单!Y181</f>
        <v>0</v>
      </c>
      <c r="B1758" s="113">
        <f>领料单!Z181</f>
        <v>0</v>
      </c>
      <c r="C1758" s="113">
        <f>领料单!AA181</f>
        <v>0</v>
      </c>
      <c r="D1758" s="113">
        <f>领料单!AB181</f>
        <v>0</v>
      </c>
      <c r="E1758" s="113">
        <f>领料单!AC181</f>
        <v>0</v>
      </c>
      <c r="F1758" s="113">
        <f>领料单!AD181</f>
        <v>0</v>
      </c>
      <c r="G1758" s="113"/>
    </row>
    <row r="1759" customHeight="1" spans="1:7">
      <c r="A1759" s="113">
        <f>领料单!Y182</f>
        <v>0</v>
      </c>
      <c r="B1759" s="113">
        <f>领料单!Z182</f>
        <v>0</v>
      </c>
      <c r="C1759" s="113">
        <f>领料单!AA182</f>
        <v>0</v>
      </c>
      <c r="D1759" s="113">
        <f>领料单!AB182</f>
        <v>0</v>
      </c>
      <c r="E1759" s="113">
        <f>领料单!AC182</f>
        <v>0</v>
      </c>
      <c r="F1759" s="113">
        <f>领料单!AD182</f>
        <v>0</v>
      </c>
      <c r="G1759" s="113"/>
    </row>
    <row r="1760" customHeight="1" spans="1:7">
      <c r="A1760" s="113">
        <f>领料单!Y183</f>
        <v>0</v>
      </c>
      <c r="B1760" s="113">
        <f>领料单!Z183</f>
        <v>0</v>
      </c>
      <c r="C1760" s="113">
        <f>领料单!AA183</f>
        <v>0</v>
      </c>
      <c r="D1760" s="113">
        <f>领料单!AB183</f>
        <v>0</v>
      </c>
      <c r="E1760" s="113">
        <f>领料单!AC183</f>
        <v>0</v>
      </c>
      <c r="F1760" s="113">
        <f>领料单!AD183</f>
        <v>0</v>
      </c>
      <c r="G1760" s="113"/>
    </row>
    <row r="1761" customHeight="1" spans="1:7">
      <c r="A1761" s="113">
        <f>领料单!Y184</f>
        <v>0</v>
      </c>
      <c r="B1761" s="113">
        <f>领料单!Z184</f>
        <v>0</v>
      </c>
      <c r="C1761" s="113">
        <f>领料单!AA184</f>
        <v>0</v>
      </c>
      <c r="D1761" s="113">
        <f>领料单!AB184</f>
        <v>0</v>
      </c>
      <c r="E1761" s="113">
        <f>领料单!AC184</f>
        <v>0</v>
      </c>
      <c r="F1761" s="113">
        <f>领料单!AD184</f>
        <v>0</v>
      </c>
      <c r="G1761" s="113"/>
    </row>
    <row r="1762" customHeight="1" spans="1:7">
      <c r="A1762" s="113">
        <f>领料单!Y185</f>
        <v>0</v>
      </c>
      <c r="B1762" s="113">
        <f>领料单!Z185</f>
        <v>0</v>
      </c>
      <c r="C1762" s="113">
        <f>领料单!AA185</f>
        <v>0</v>
      </c>
      <c r="D1762" s="113">
        <f>领料单!AB185</f>
        <v>0</v>
      </c>
      <c r="E1762" s="113">
        <f>领料单!AC185</f>
        <v>0</v>
      </c>
      <c r="F1762" s="113">
        <f>领料单!AD185</f>
        <v>0</v>
      </c>
      <c r="G1762" s="113"/>
    </row>
    <row r="1763" customHeight="1" spans="1:7">
      <c r="A1763" s="113">
        <f>领料单!Y186</f>
        <v>0</v>
      </c>
      <c r="B1763" s="113">
        <f>领料单!Z186</f>
        <v>0</v>
      </c>
      <c r="C1763" s="113">
        <f>领料单!AA186</f>
        <v>0</v>
      </c>
      <c r="D1763" s="113">
        <f>领料单!AB186</f>
        <v>0</v>
      </c>
      <c r="E1763" s="113">
        <f>领料单!AC186</f>
        <v>0</v>
      </c>
      <c r="F1763" s="113">
        <f>领料单!AD186</f>
        <v>0</v>
      </c>
      <c r="G1763" s="113"/>
    </row>
    <row r="1764" customHeight="1" spans="1:7">
      <c r="A1764" s="115" t="s">
        <v>340</v>
      </c>
      <c r="B1764" s="116"/>
      <c r="C1764" s="116"/>
      <c r="D1764" s="116"/>
      <c r="E1764" s="117"/>
      <c r="F1764" s="118">
        <f>SUM(F1752:F1763)</f>
        <v>0</v>
      </c>
      <c r="G1764" s="114"/>
    </row>
    <row r="1765" customHeight="1" spans="1:7">
      <c r="A1765" s="119" t="s">
        <v>341</v>
      </c>
      <c r="B1765" s="119"/>
      <c r="C1765" s="120"/>
      <c r="D1765" s="119"/>
      <c r="E1765" s="121" t="s">
        <v>342</v>
      </c>
      <c r="F1765" s="119"/>
      <c r="G1765" s="119"/>
    </row>
    <row r="1768" customHeight="1" spans="1:7">
      <c r="A1768" s="105"/>
      <c r="B1768" s="106"/>
      <c r="C1768" s="107" t="s">
        <v>330</v>
      </c>
      <c r="D1768" s="107"/>
      <c r="E1768" s="107"/>
      <c r="F1768" s="105"/>
      <c r="G1768" s="105"/>
    </row>
    <row r="1769" customHeight="1" spans="1:7">
      <c r="A1769" s="108" t="s">
        <v>331</v>
      </c>
      <c r="B1769" s="109"/>
      <c r="C1769" s="110">
        <v>45961</v>
      </c>
      <c r="D1769" s="110"/>
      <c r="E1769" s="110"/>
      <c r="F1769" s="111" t="s">
        <v>332</v>
      </c>
      <c r="G1769" s="112" t="str">
        <f>立项!$A$6</f>
        <v>RD04</v>
      </c>
    </row>
    <row r="1770" customHeight="1" spans="1:7">
      <c r="A1770" s="113" t="s">
        <v>333</v>
      </c>
      <c r="B1770" s="113" t="s">
        <v>334</v>
      </c>
      <c r="C1770" s="113" t="s">
        <v>335</v>
      </c>
      <c r="D1770" s="113" t="s">
        <v>336</v>
      </c>
      <c r="E1770" s="113" t="s">
        <v>337</v>
      </c>
      <c r="F1770" s="113" t="s">
        <v>338</v>
      </c>
      <c r="G1770" s="113" t="s">
        <v>339</v>
      </c>
    </row>
    <row r="1771" customHeight="1" spans="1:7">
      <c r="A1771" s="113">
        <f>领料单!AG175</f>
        <v>0</v>
      </c>
      <c r="B1771" s="113">
        <f>领料单!AH175</f>
        <v>0</v>
      </c>
      <c r="C1771" s="113">
        <f>领料单!AI175</f>
        <v>0</v>
      </c>
      <c r="D1771" s="113">
        <f>领料单!AJ175</f>
        <v>0</v>
      </c>
      <c r="E1771" s="113">
        <f>领料单!AK175</f>
        <v>0</v>
      </c>
      <c r="F1771" s="113">
        <f>领料单!AL175</f>
        <v>0</v>
      </c>
      <c r="G1771" s="113"/>
    </row>
    <row r="1772" customHeight="1" spans="1:7">
      <c r="A1772" s="113">
        <f>领料单!AG176</f>
        <v>0</v>
      </c>
      <c r="B1772" s="113">
        <f>领料单!AH176</f>
        <v>0</v>
      </c>
      <c r="C1772" s="113">
        <f>领料单!AI176</f>
        <v>0</v>
      </c>
      <c r="D1772" s="113">
        <f>领料单!AJ176</f>
        <v>0</v>
      </c>
      <c r="E1772" s="113">
        <f>领料单!AK176</f>
        <v>0</v>
      </c>
      <c r="F1772" s="113">
        <f>领料单!AL176</f>
        <v>0</v>
      </c>
      <c r="G1772" s="113"/>
    </row>
    <row r="1773" customHeight="1" spans="1:7">
      <c r="A1773" s="113">
        <f>领料单!AG177</f>
        <v>0</v>
      </c>
      <c r="B1773" s="113">
        <f>领料单!AH177</f>
        <v>0</v>
      </c>
      <c r="C1773" s="113">
        <f>领料单!AI177</f>
        <v>0</v>
      </c>
      <c r="D1773" s="113">
        <f>领料单!AJ177</f>
        <v>0</v>
      </c>
      <c r="E1773" s="113">
        <f>领料单!AK177</f>
        <v>0</v>
      </c>
      <c r="F1773" s="113">
        <f>领料单!AL177</f>
        <v>0</v>
      </c>
      <c r="G1773" s="113"/>
    </row>
    <row r="1774" customHeight="1" spans="1:7">
      <c r="A1774" s="113">
        <f>领料单!AG178</f>
        <v>0</v>
      </c>
      <c r="B1774" s="113">
        <f>领料单!AH178</f>
        <v>0</v>
      </c>
      <c r="C1774" s="113">
        <f>领料单!AI178</f>
        <v>0</v>
      </c>
      <c r="D1774" s="113">
        <f>领料单!AJ178</f>
        <v>0</v>
      </c>
      <c r="E1774" s="113">
        <f>领料单!AK178</f>
        <v>0</v>
      </c>
      <c r="F1774" s="113">
        <f>领料单!AL178</f>
        <v>0</v>
      </c>
      <c r="G1774" s="113"/>
    </row>
    <row r="1775" customHeight="1" spans="1:7">
      <c r="A1775" s="113">
        <f>领料单!AG179</f>
        <v>0</v>
      </c>
      <c r="B1775" s="113">
        <f>领料单!AH179</f>
        <v>0</v>
      </c>
      <c r="C1775" s="113">
        <f>领料单!AI179</f>
        <v>0</v>
      </c>
      <c r="D1775" s="113">
        <f>领料单!AJ179</f>
        <v>0</v>
      </c>
      <c r="E1775" s="113">
        <f>领料单!AK179</f>
        <v>0</v>
      </c>
      <c r="F1775" s="113">
        <f>领料单!AL179</f>
        <v>0</v>
      </c>
      <c r="G1775" s="113"/>
    </row>
    <row r="1776" customHeight="1" spans="1:7">
      <c r="A1776" s="113">
        <f>领料单!AG180</f>
        <v>0</v>
      </c>
      <c r="B1776" s="113">
        <f>领料单!AH180</f>
        <v>0</v>
      </c>
      <c r="C1776" s="113">
        <f>领料单!AI180</f>
        <v>0</v>
      </c>
      <c r="D1776" s="113">
        <f>领料单!AJ180</f>
        <v>0</v>
      </c>
      <c r="E1776" s="113">
        <f>领料单!AK180</f>
        <v>0</v>
      </c>
      <c r="F1776" s="113">
        <f>领料单!AL180</f>
        <v>0</v>
      </c>
      <c r="G1776" s="113"/>
    </row>
    <row r="1777" customHeight="1" spans="1:7">
      <c r="A1777" s="113">
        <f>领料单!AG181</f>
        <v>0</v>
      </c>
      <c r="B1777" s="113">
        <f>领料单!AH181</f>
        <v>0</v>
      </c>
      <c r="C1777" s="113">
        <f>领料单!AI181</f>
        <v>0</v>
      </c>
      <c r="D1777" s="113">
        <f>领料单!AJ181</f>
        <v>0</v>
      </c>
      <c r="E1777" s="113">
        <f>领料单!AK181</f>
        <v>0</v>
      </c>
      <c r="F1777" s="113">
        <f>领料单!AL181</f>
        <v>0</v>
      </c>
      <c r="G1777" s="113"/>
    </row>
    <row r="1778" customHeight="1" spans="1:7">
      <c r="A1778" s="113">
        <f>领料单!AG182</f>
        <v>0</v>
      </c>
      <c r="B1778" s="113">
        <f>领料单!AH182</f>
        <v>0</v>
      </c>
      <c r="C1778" s="113">
        <f>领料单!AI182</f>
        <v>0</v>
      </c>
      <c r="D1778" s="113">
        <f>领料单!AJ182</f>
        <v>0</v>
      </c>
      <c r="E1778" s="113">
        <f>领料单!AK182</f>
        <v>0</v>
      </c>
      <c r="F1778" s="113">
        <f>领料单!AL182</f>
        <v>0</v>
      </c>
      <c r="G1778" s="113"/>
    </row>
    <row r="1779" customHeight="1" spans="1:7">
      <c r="A1779" s="113">
        <f>领料单!AG183</f>
        <v>0</v>
      </c>
      <c r="B1779" s="113">
        <f>领料单!AH183</f>
        <v>0</v>
      </c>
      <c r="C1779" s="113">
        <f>领料单!AI183</f>
        <v>0</v>
      </c>
      <c r="D1779" s="113">
        <f>领料单!AJ183</f>
        <v>0</v>
      </c>
      <c r="E1779" s="113">
        <f>领料单!AK183</f>
        <v>0</v>
      </c>
      <c r="F1779" s="113">
        <f>领料单!AL183</f>
        <v>0</v>
      </c>
      <c r="G1779" s="113"/>
    </row>
    <row r="1780" customHeight="1" spans="1:7">
      <c r="A1780" s="113">
        <f>领料单!AG184</f>
        <v>0</v>
      </c>
      <c r="B1780" s="113">
        <f>领料单!AH184</f>
        <v>0</v>
      </c>
      <c r="C1780" s="113">
        <f>领料单!AI184</f>
        <v>0</v>
      </c>
      <c r="D1780" s="113">
        <f>领料单!AJ184</f>
        <v>0</v>
      </c>
      <c r="E1780" s="113">
        <f>领料单!AK184</f>
        <v>0</v>
      </c>
      <c r="F1780" s="113">
        <f>领料单!AL184</f>
        <v>0</v>
      </c>
      <c r="G1780" s="113"/>
    </row>
    <row r="1781" customHeight="1" spans="1:7">
      <c r="A1781" s="113">
        <f>领料单!AG185</f>
        <v>0</v>
      </c>
      <c r="B1781" s="113">
        <f>领料单!AH185</f>
        <v>0</v>
      </c>
      <c r="C1781" s="113">
        <f>领料单!AI185</f>
        <v>0</v>
      </c>
      <c r="D1781" s="113">
        <f>领料单!AJ185</f>
        <v>0</v>
      </c>
      <c r="E1781" s="113">
        <f>领料单!AK185</f>
        <v>0</v>
      </c>
      <c r="F1781" s="113">
        <f>领料单!AL185</f>
        <v>0</v>
      </c>
      <c r="G1781" s="113"/>
    </row>
    <row r="1782" customHeight="1" spans="1:7">
      <c r="A1782" s="113">
        <f>领料单!AG186</f>
        <v>0</v>
      </c>
      <c r="B1782" s="113">
        <f>领料单!AH186</f>
        <v>0</v>
      </c>
      <c r="C1782" s="113">
        <f>领料单!AI186</f>
        <v>0</v>
      </c>
      <c r="D1782" s="113">
        <f>领料单!AJ186</f>
        <v>0</v>
      </c>
      <c r="E1782" s="113">
        <f>领料单!AK186</f>
        <v>0</v>
      </c>
      <c r="F1782" s="113">
        <f>领料单!AL186</f>
        <v>0</v>
      </c>
      <c r="G1782" s="113"/>
    </row>
    <row r="1783" customHeight="1" spans="1:7">
      <c r="A1783" s="115" t="s">
        <v>340</v>
      </c>
      <c r="B1783" s="116"/>
      <c r="C1783" s="116"/>
      <c r="D1783" s="116"/>
      <c r="E1783" s="117"/>
      <c r="F1783" s="118">
        <f>SUM(F1771:F1782)</f>
        <v>0</v>
      </c>
      <c r="G1783" s="114"/>
    </row>
    <row r="1784" customHeight="1" spans="1:7">
      <c r="A1784" s="119" t="s">
        <v>341</v>
      </c>
      <c r="B1784" s="119"/>
      <c r="C1784" s="120"/>
      <c r="D1784" s="119"/>
      <c r="E1784" s="121" t="s">
        <v>342</v>
      </c>
      <c r="F1784" s="119"/>
      <c r="G1784" s="119"/>
    </row>
    <row r="1787" customHeight="1" spans="1:7">
      <c r="A1787" s="105"/>
      <c r="B1787" s="106"/>
      <c r="C1787" s="107" t="s">
        <v>330</v>
      </c>
      <c r="D1787" s="107"/>
      <c r="E1787" s="107"/>
      <c r="F1787" s="105"/>
      <c r="G1787" s="105"/>
    </row>
    <row r="1788" customHeight="1" spans="1:7">
      <c r="A1788" s="108" t="s">
        <v>331</v>
      </c>
      <c r="B1788" s="109"/>
      <c r="C1788" s="110">
        <v>45961</v>
      </c>
      <c r="D1788" s="110"/>
      <c r="E1788" s="110"/>
      <c r="F1788" s="111" t="s">
        <v>332</v>
      </c>
      <c r="G1788" s="112" t="str">
        <f>立项!$A$7</f>
        <v>RD05</v>
      </c>
    </row>
    <row r="1789" customHeight="1" spans="1:7">
      <c r="A1789" s="113" t="s">
        <v>333</v>
      </c>
      <c r="B1789" s="113" t="s">
        <v>334</v>
      </c>
      <c r="C1789" s="113" t="s">
        <v>335</v>
      </c>
      <c r="D1789" s="113" t="s">
        <v>336</v>
      </c>
      <c r="E1789" s="113" t="s">
        <v>337</v>
      </c>
      <c r="F1789" s="113" t="s">
        <v>338</v>
      </c>
      <c r="G1789" s="113" t="s">
        <v>339</v>
      </c>
    </row>
    <row r="1790" customHeight="1" spans="1:7">
      <c r="A1790" s="113">
        <f>领料单!AO175</f>
        <v>0</v>
      </c>
      <c r="B1790" s="113">
        <f>领料单!AP175</f>
        <v>0</v>
      </c>
      <c r="C1790" s="113">
        <f>领料单!AQ175</f>
        <v>0</v>
      </c>
      <c r="D1790" s="113">
        <f>领料单!AR175</f>
        <v>0</v>
      </c>
      <c r="E1790" s="113">
        <f>领料单!AS175</f>
        <v>0</v>
      </c>
      <c r="F1790" s="113">
        <f>领料单!AT175</f>
        <v>0</v>
      </c>
      <c r="G1790" s="113"/>
    </row>
    <row r="1791" customHeight="1" spans="1:7">
      <c r="A1791" s="113">
        <f>领料单!AO176</f>
        <v>0</v>
      </c>
      <c r="B1791" s="113">
        <f>领料单!AP176</f>
        <v>0</v>
      </c>
      <c r="C1791" s="113">
        <f>领料单!AQ176</f>
        <v>0</v>
      </c>
      <c r="D1791" s="113">
        <f>领料单!AR176</f>
        <v>0</v>
      </c>
      <c r="E1791" s="113">
        <f>领料单!AS176</f>
        <v>0</v>
      </c>
      <c r="F1791" s="113">
        <f>领料单!AT176</f>
        <v>0</v>
      </c>
      <c r="G1791" s="113"/>
    </row>
    <row r="1792" customHeight="1" spans="1:7">
      <c r="A1792" s="113">
        <f>领料单!AO177</f>
        <v>0</v>
      </c>
      <c r="B1792" s="113">
        <f>领料单!AP177</f>
        <v>0</v>
      </c>
      <c r="C1792" s="113">
        <f>领料单!AQ177</f>
        <v>0</v>
      </c>
      <c r="D1792" s="113">
        <f>领料单!AR177</f>
        <v>0</v>
      </c>
      <c r="E1792" s="113">
        <f>领料单!AS177</f>
        <v>0</v>
      </c>
      <c r="F1792" s="113">
        <f>领料单!AT177</f>
        <v>0</v>
      </c>
      <c r="G1792" s="113"/>
    </row>
    <row r="1793" customHeight="1" spans="1:7">
      <c r="A1793" s="113">
        <f>领料单!AO178</f>
        <v>0</v>
      </c>
      <c r="B1793" s="113">
        <f>领料单!AP178</f>
        <v>0</v>
      </c>
      <c r="C1793" s="113">
        <f>领料单!AQ178</f>
        <v>0</v>
      </c>
      <c r="D1793" s="113">
        <f>领料单!AR178</f>
        <v>0</v>
      </c>
      <c r="E1793" s="113">
        <f>领料单!AS178</f>
        <v>0</v>
      </c>
      <c r="F1793" s="113">
        <f>领料单!AT178</f>
        <v>0</v>
      </c>
      <c r="G1793" s="113"/>
    </row>
    <row r="1794" customHeight="1" spans="1:7">
      <c r="A1794" s="113">
        <f>领料单!AO179</f>
        <v>0</v>
      </c>
      <c r="B1794" s="113">
        <f>领料单!AP179</f>
        <v>0</v>
      </c>
      <c r="C1794" s="113">
        <f>领料单!AQ179</f>
        <v>0</v>
      </c>
      <c r="D1794" s="113">
        <f>领料单!AR179</f>
        <v>0</v>
      </c>
      <c r="E1794" s="113">
        <f>领料单!AS179</f>
        <v>0</v>
      </c>
      <c r="F1794" s="113">
        <f>领料单!AT179</f>
        <v>0</v>
      </c>
      <c r="G1794" s="113"/>
    </row>
    <row r="1795" customHeight="1" spans="1:7">
      <c r="A1795" s="113">
        <f>领料单!AO180</f>
        <v>0</v>
      </c>
      <c r="B1795" s="113">
        <f>领料单!AP180</f>
        <v>0</v>
      </c>
      <c r="C1795" s="113">
        <f>领料单!AQ180</f>
        <v>0</v>
      </c>
      <c r="D1795" s="113">
        <f>领料单!AR180</f>
        <v>0</v>
      </c>
      <c r="E1795" s="113">
        <f>领料单!AS180</f>
        <v>0</v>
      </c>
      <c r="F1795" s="113">
        <f>领料单!AT180</f>
        <v>0</v>
      </c>
      <c r="G1795" s="113"/>
    </row>
    <row r="1796" customHeight="1" spans="1:7">
      <c r="A1796" s="113">
        <f>领料单!AO181</f>
        <v>0</v>
      </c>
      <c r="B1796" s="113">
        <f>领料单!AP181</f>
        <v>0</v>
      </c>
      <c r="C1796" s="113">
        <f>领料单!AQ181</f>
        <v>0</v>
      </c>
      <c r="D1796" s="113">
        <f>领料单!AR181</f>
        <v>0</v>
      </c>
      <c r="E1796" s="113">
        <f>领料单!AS181</f>
        <v>0</v>
      </c>
      <c r="F1796" s="113">
        <f>领料单!AT181</f>
        <v>0</v>
      </c>
      <c r="G1796" s="113"/>
    </row>
    <row r="1797" customHeight="1" spans="1:7">
      <c r="A1797" s="113">
        <f>领料单!AO182</f>
        <v>0</v>
      </c>
      <c r="B1797" s="113">
        <f>领料单!AP182</f>
        <v>0</v>
      </c>
      <c r="C1797" s="113">
        <f>领料单!AQ182</f>
        <v>0</v>
      </c>
      <c r="D1797" s="113">
        <f>领料单!AR182</f>
        <v>0</v>
      </c>
      <c r="E1797" s="113">
        <f>领料单!AS182</f>
        <v>0</v>
      </c>
      <c r="F1797" s="113">
        <f>领料单!AT182</f>
        <v>0</v>
      </c>
      <c r="G1797" s="113"/>
    </row>
    <row r="1798" customHeight="1" spans="1:7">
      <c r="A1798" s="113">
        <f>领料单!AO183</f>
        <v>0</v>
      </c>
      <c r="B1798" s="113">
        <f>领料单!AP183</f>
        <v>0</v>
      </c>
      <c r="C1798" s="113">
        <f>领料单!AQ183</f>
        <v>0</v>
      </c>
      <c r="D1798" s="113">
        <f>领料单!AR183</f>
        <v>0</v>
      </c>
      <c r="E1798" s="113">
        <f>领料单!AS183</f>
        <v>0</v>
      </c>
      <c r="F1798" s="113">
        <f>领料单!AT183</f>
        <v>0</v>
      </c>
      <c r="G1798" s="113"/>
    </row>
    <row r="1799" customHeight="1" spans="1:7">
      <c r="A1799" s="113">
        <f>领料单!AO184</f>
        <v>0</v>
      </c>
      <c r="B1799" s="113">
        <f>领料单!AP184</f>
        <v>0</v>
      </c>
      <c r="C1799" s="113">
        <f>领料单!AQ184</f>
        <v>0</v>
      </c>
      <c r="D1799" s="113">
        <f>领料单!AR184</f>
        <v>0</v>
      </c>
      <c r="E1799" s="113">
        <f>领料单!AS184</f>
        <v>0</v>
      </c>
      <c r="F1799" s="113">
        <f>领料单!AT184</f>
        <v>0</v>
      </c>
      <c r="G1799" s="113"/>
    </row>
    <row r="1800" customHeight="1" spans="1:7">
      <c r="A1800" s="113">
        <f>领料单!AO185</f>
        <v>0</v>
      </c>
      <c r="B1800" s="113">
        <f>领料单!AP185</f>
        <v>0</v>
      </c>
      <c r="C1800" s="113">
        <f>领料单!AQ185</f>
        <v>0</v>
      </c>
      <c r="D1800" s="113">
        <f>领料单!AR185</f>
        <v>0</v>
      </c>
      <c r="E1800" s="113">
        <f>领料单!AS185</f>
        <v>0</v>
      </c>
      <c r="F1800" s="113">
        <f>领料单!AT185</f>
        <v>0</v>
      </c>
      <c r="G1800" s="113"/>
    </row>
    <row r="1801" customHeight="1" spans="1:7">
      <c r="A1801" s="113">
        <f>领料单!AO186</f>
        <v>0</v>
      </c>
      <c r="B1801" s="113">
        <f>领料单!AP186</f>
        <v>0</v>
      </c>
      <c r="C1801" s="113">
        <f>领料单!AQ186</f>
        <v>0</v>
      </c>
      <c r="D1801" s="113">
        <f>领料单!AR186</f>
        <v>0</v>
      </c>
      <c r="E1801" s="113">
        <f>领料单!AS186</f>
        <v>0</v>
      </c>
      <c r="F1801" s="113">
        <f>领料单!AT186</f>
        <v>0</v>
      </c>
      <c r="G1801" s="113"/>
    </row>
    <row r="1802" customHeight="1" spans="1:7">
      <c r="A1802" s="115" t="s">
        <v>340</v>
      </c>
      <c r="B1802" s="116"/>
      <c r="C1802" s="116"/>
      <c r="D1802" s="116"/>
      <c r="E1802" s="117"/>
      <c r="F1802" s="118">
        <f>SUM(F1790:F1801)</f>
        <v>0</v>
      </c>
      <c r="G1802" s="114"/>
    </row>
    <row r="1803" customHeight="1" spans="1:7">
      <c r="A1803" s="119" t="s">
        <v>341</v>
      </c>
      <c r="B1803" s="119"/>
      <c r="C1803" s="120"/>
      <c r="D1803" s="119"/>
      <c r="E1803" s="121" t="s">
        <v>342</v>
      </c>
      <c r="F1803" s="119"/>
      <c r="G1803" s="119"/>
    </row>
    <row r="1806" customHeight="1" spans="1:7">
      <c r="A1806" s="105"/>
      <c r="B1806" s="106"/>
      <c r="C1806" s="107" t="s">
        <v>330</v>
      </c>
      <c r="D1806" s="107"/>
      <c r="E1806" s="107"/>
      <c r="F1806" s="105"/>
      <c r="G1806" s="105"/>
    </row>
    <row r="1807" customHeight="1" spans="1:7">
      <c r="A1807" s="108" t="s">
        <v>331</v>
      </c>
      <c r="B1807" s="109"/>
      <c r="C1807" s="110">
        <v>45961</v>
      </c>
      <c r="D1807" s="110"/>
      <c r="E1807" s="110"/>
      <c r="F1807" s="111" t="s">
        <v>332</v>
      </c>
      <c r="G1807" s="112" t="str">
        <f>立项!$A$8</f>
        <v>RD06</v>
      </c>
    </row>
    <row r="1808" customHeight="1" spans="1:7">
      <c r="A1808" s="113" t="s">
        <v>333</v>
      </c>
      <c r="B1808" s="113" t="s">
        <v>334</v>
      </c>
      <c r="C1808" s="113" t="s">
        <v>335</v>
      </c>
      <c r="D1808" s="113" t="s">
        <v>336</v>
      </c>
      <c r="E1808" s="113" t="s">
        <v>337</v>
      </c>
      <c r="F1808" s="113" t="s">
        <v>338</v>
      </c>
      <c r="G1808" s="113" t="s">
        <v>339</v>
      </c>
    </row>
    <row r="1809" customHeight="1" spans="1:7">
      <c r="A1809" s="113">
        <f>领料单!AW175</f>
        <v>0</v>
      </c>
      <c r="B1809" s="113">
        <f>领料单!AX175</f>
        <v>0</v>
      </c>
      <c r="C1809" s="113">
        <f>领料单!AY175</f>
        <v>0</v>
      </c>
      <c r="D1809" s="113">
        <f>领料单!AZ175</f>
        <v>0</v>
      </c>
      <c r="E1809" s="113">
        <f>领料单!BA175</f>
        <v>0</v>
      </c>
      <c r="F1809" s="113">
        <f>领料单!BB175</f>
        <v>0</v>
      </c>
      <c r="G1809" s="113"/>
    </row>
    <row r="1810" customHeight="1" spans="1:7">
      <c r="A1810" s="113">
        <f>领料单!AW176</f>
        <v>0</v>
      </c>
      <c r="B1810" s="113">
        <f>领料单!AX176</f>
        <v>0</v>
      </c>
      <c r="C1810" s="113">
        <f>领料单!AY176</f>
        <v>0</v>
      </c>
      <c r="D1810" s="113">
        <f>领料单!AZ176</f>
        <v>0</v>
      </c>
      <c r="E1810" s="113">
        <f>领料单!BA176</f>
        <v>0</v>
      </c>
      <c r="F1810" s="113">
        <f>领料单!BB176</f>
        <v>0</v>
      </c>
      <c r="G1810" s="113"/>
    </row>
    <row r="1811" customHeight="1" spans="1:7">
      <c r="A1811" s="113">
        <f>领料单!AW177</f>
        <v>0</v>
      </c>
      <c r="B1811" s="113">
        <f>领料单!AX177</f>
        <v>0</v>
      </c>
      <c r="C1811" s="113">
        <f>领料单!AY177</f>
        <v>0</v>
      </c>
      <c r="D1811" s="113">
        <f>领料单!AZ177</f>
        <v>0</v>
      </c>
      <c r="E1811" s="113">
        <f>领料单!BA177</f>
        <v>0</v>
      </c>
      <c r="F1811" s="113">
        <f>领料单!BB177</f>
        <v>0</v>
      </c>
      <c r="G1811" s="113"/>
    </row>
    <row r="1812" customHeight="1" spans="1:7">
      <c r="A1812" s="113">
        <f>领料单!AW178</f>
        <v>0</v>
      </c>
      <c r="B1812" s="113">
        <f>领料单!AX178</f>
        <v>0</v>
      </c>
      <c r="C1812" s="113">
        <f>领料单!AY178</f>
        <v>0</v>
      </c>
      <c r="D1812" s="113">
        <f>领料单!AZ178</f>
        <v>0</v>
      </c>
      <c r="E1812" s="113">
        <f>领料单!BA178</f>
        <v>0</v>
      </c>
      <c r="F1812" s="113">
        <f>领料单!BB178</f>
        <v>0</v>
      </c>
      <c r="G1812" s="113"/>
    </row>
    <row r="1813" customHeight="1" spans="1:7">
      <c r="A1813" s="113">
        <f>领料单!AW179</f>
        <v>0</v>
      </c>
      <c r="B1813" s="113">
        <f>领料单!AX179</f>
        <v>0</v>
      </c>
      <c r="C1813" s="113">
        <f>领料单!AY179</f>
        <v>0</v>
      </c>
      <c r="D1813" s="113">
        <f>领料单!AZ179</f>
        <v>0</v>
      </c>
      <c r="E1813" s="113">
        <f>领料单!BA179</f>
        <v>0</v>
      </c>
      <c r="F1813" s="113">
        <f>领料单!BB179</f>
        <v>0</v>
      </c>
      <c r="G1813" s="113"/>
    </row>
    <row r="1814" customHeight="1" spans="1:7">
      <c r="A1814" s="113">
        <f>领料单!AW180</f>
        <v>0</v>
      </c>
      <c r="B1814" s="113">
        <f>领料单!AX180</f>
        <v>0</v>
      </c>
      <c r="C1814" s="113">
        <f>领料单!AY180</f>
        <v>0</v>
      </c>
      <c r="D1814" s="113">
        <f>领料单!AZ180</f>
        <v>0</v>
      </c>
      <c r="E1814" s="113">
        <f>领料单!BA180</f>
        <v>0</v>
      </c>
      <c r="F1814" s="113">
        <f>领料单!BB180</f>
        <v>0</v>
      </c>
      <c r="G1814" s="113"/>
    </row>
    <row r="1815" customHeight="1" spans="1:7">
      <c r="A1815" s="113">
        <f>领料单!AW181</f>
        <v>0</v>
      </c>
      <c r="B1815" s="113">
        <f>领料单!AX181</f>
        <v>0</v>
      </c>
      <c r="C1815" s="113">
        <f>领料单!AY181</f>
        <v>0</v>
      </c>
      <c r="D1815" s="113">
        <f>领料单!AZ181</f>
        <v>0</v>
      </c>
      <c r="E1815" s="113">
        <f>领料单!BA181</f>
        <v>0</v>
      </c>
      <c r="F1815" s="113">
        <f>领料单!BB181</f>
        <v>0</v>
      </c>
      <c r="G1815" s="113"/>
    </row>
    <row r="1816" customHeight="1" spans="1:7">
      <c r="A1816" s="113">
        <f>领料单!AW182</f>
        <v>0</v>
      </c>
      <c r="B1816" s="113">
        <f>领料单!AX182</f>
        <v>0</v>
      </c>
      <c r="C1816" s="113">
        <f>领料单!AY182</f>
        <v>0</v>
      </c>
      <c r="D1816" s="113">
        <f>领料单!AZ182</f>
        <v>0</v>
      </c>
      <c r="E1816" s="113">
        <f>领料单!BA182</f>
        <v>0</v>
      </c>
      <c r="F1816" s="113">
        <f>领料单!BB182</f>
        <v>0</v>
      </c>
      <c r="G1816" s="113"/>
    </row>
    <row r="1817" customHeight="1" spans="1:7">
      <c r="A1817" s="113">
        <f>领料单!AW183</f>
        <v>0</v>
      </c>
      <c r="B1817" s="113">
        <f>领料单!AX183</f>
        <v>0</v>
      </c>
      <c r="C1817" s="113">
        <f>领料单!AY183</f>
        <v>0</v>
      </c>
      <c r="D1817" s="113">
        <f>领料单!AZ183</f>
        <v>0</v>
      </c>
      <c r="E1817" s="113">
        <f>领料单!BA183</f>
        <v>0</v>
      </c>
      <c r="F1817" s="113">
        <f>领料单!BB183</f>
        <v>0</v>
      </c>
      <c r="G1817" s="113"/>
    </row>
    <row r="1818" customHeight="1" spans="1:7">
      <c r="A1818" s="113">
        <f>领料单!AW184</f>
        <v>0</v>
      </c>
      <c r="B1818" s="113">
        <f>领料单!AX184</f>
        <v>0</v>
      </c>
      <c r="C1818" s="113">
        <f>领料单!AY184</f>
        <v>0</v>
      </c>
      <c r="D1818" s="113">
        <f>领料单!AZ184</f>
        <v>0</v>
      </c>
      <c r="E1818" s="113">
        <f>领料单!BA184</f>
        <v>0</v>
      </c>
      <c r="F1818" s="113">
        <f>领料单!BB184</f>
        <v>0</v>
      </c>
      <c r="G1818" s="113"/>
    </row>
    <row r="1819" customHeight="1" spans="1:7">
      <c r="A1819" s="113">
        <f>领料单!AW185</f>
        <v>0</v>
      </c>
      <c r="B1819" s="113">
        <f>领料单!AX185</f>
        <v>0</v>
      </c>
      <c r="C1819" s="113">
        <f>领料单!AY185</f>
        <v>0</v>
      </c>
      <c r="D1819" s="113">
        <f>领料单!AZ185</f>
        <v>0</v>
      </c>
      <c r="E1819" s="113">
        <f>领料单!BA185</f>
        <v>0</v>
      </c>
      <c r="F1819" s="113">
        <f>领料单!BB185</f>
        <v>0</v>
      </c>
      <c r="G1819" s="113"/>
    </row>
    <row r="1820" customHeight="1" spans="1:7">
      <c r="A1820" s="113">
        <f>领料单!AW186</f>
        <v>0</v>
      </c>
      <c r="B1820" s="113">
        <f>领料单!AX186</f>
        <v>0</v>
      </c>
      <c r="C1820" s="113">
        <f>领料单!AY186</f>
        <v>0</v>
      </c>
      <c r="D1820" s="113">
        <f>领料单!AZ186</f>
        <v>0</v>
      </c>
      <c r="E1820" s="113">
        <f>领料单!BA186</f>
        <v>0</v>
      </c>
      <c r="F1820" s="113">
        <f>领料单!BB186</f>
        <v>0</v>
      </c>
      <c r="G1820" s="113"/>
    </row>
    <row r="1821" customHeight="1" spans="1:7">
      <c r="A1821" s="115" t="s">
        <v>340</v>
      </c>
      <c r="B1821" s="116"/>
      <c r="C1821" s="116"/>
      <c r="D1821" s="116"/>
      <c r="E1821" s="117"/>
      <c r="F1821" s="118">
        <f>SUM(F1809:F1820)</f>
        <v>0</v>
      </c>
      <c r="G1821" s="114"/>
    </row>
    <row r="1822" customHeight="1" spans="1:7">
      <c r="A1822" s="119" t="s">
        <v>341</v>
      </c>
      <c r="B1822" s="119"/>
      <c r="C1822" s="120"/>
      <c r="D1822" s="119"/>
      <c r="E1822" s="121" t="s">
        <v>342</v>
      </c>
      <c r="F1822" s="119"/>
      <c r="G1822" s="119"/>
    </row>
    <row r="1825" customHeight="1" spans="1:7">
      <c r="A1825" s="105"/>
      <c r="B1825" s="106"/>
      <c r="C1825" s="107" t="s">
        <v>330</v>
      </c>
      <c r="D1825" s="107"/>
      <c r="E1825" s="107"/>
      <c r="F1825" s="105"/>
      <c r="G1825" s="105"/>
    </row>
    <row r="1826" customHeight="1" spans="1:7">
      <c r="A1826" s="108" t="s">
        <v>331</v>
      </c>
      <c r="B1826" s="109"/>
      <c r="C1826" s="110">
        <v>45961</v>
      </c>
      <c r="D1826" s="110"/>
      <c r="E1826" s="110"/>
      <c r="F1826" s="111" t="s">
        <v>332</v>
      </c>
      <c r="G1826" s="112" t="str">
        <f>立项!$A$9</f>
        <v>RD07</v>
      </c>
    </row>
    <row r="1827" customHeight="1" spans="1:7">
      <c r="A1827" s="113" t="s">
        <v>333</v>
      </c>
      <c r="B1827" s="113" t="s">
        <v>334</v>
      </c>
      <c r="C1827" s="113" t="s">
        <v>335</v>
      </c>
      <c r="D1827" s="113" t="s">
        <v>336</v>
      </c>
      <c r="E1827" s="113" t="s">
        <v>337</v>
      </c>
      <c r="F1827" s="113" t="s">
        <v>338</v>
      </c>
      <c r="G1827" s="113" t="s">
        <v>339</v>
      </c>
    </row>
    <row r="1828" customHeight="1" spans="1:7">
      <c r="A1828" s="113">
        <f>领料单!BE175</f>
        <v>0</v>
      </c>
      <c r="B1828" s="113">
        <f>领料单!BF175</f>
        <v>0</v>
      </c>
      <c r="C1828" s="113">
        <f>领料单!BG175</f>
        <v>0</v>
      </c>
      <c r="D1828" s="113">
        <f>领料单!BH175</f>
        <v>0</v>
      </c>
      <c r="E1828" s="113">
        <f>领料单!BI175</f>
        <v>0</v>
      </c>
      <c r="F1828" s="113">
        <f>领料单!BJ175</f>
        <v>0</v>
      </c>
      <c r="G1828" s="113"/>
    </row>
    <row r="1829" customHeight="1" spans="1:7">
      <c r="A1829" s="113">
        <f>领料单!BE176</f>
        <v>0</v>
      </c>
      <c r="B1829" s="113">
        <f>领料单!BF176</f>
        <v>0</v>
      </c>
      <c r="C1829" s="113">
        <f>领料单!BG176</f>
        <v>0</v>
      </c>
      <c r="D1829" s="113">
        <f>领料单!BH176</f>
        <v>0</v>
      </c>
      <c r="E1829" s="113">
        <f>领料单!BI176</f>
        <v>0</v>
      </c>
      <c r="F1829" s="113">
        <f>领料单!BJ176</f>
        <v>0</v>
      </c>
      <c r="G1829" s="113"/>
    </row>
    <row r="1830" customHeight="1" spans="1:7">
      <c r="A1830" s="113">
        <f>领料单!BE177</f>
        <v>0</v>
      </c>
      <c r="B1830" s="113">
        <f>领料单!BF177</f>
        <v>0</v>
      </c>
      <c r="C1830" s="113">
        <f>领料单!BG177</f>
        <v>0</v>
      </c>
      <c r="D1830" s="113">
        <f>领料单!BH177</f>
        <v>0</v>
      </c>
      <c r="E1830" s="113">
        <f>领料单!BI177</f>
        <v>0</v>
      </c>
      <c r="F1830" s="113">
        <f>领料单!BJ177</f>
        <v>0</v>
      </c>
      <c r="G1830" s="113"/>
    </row>
    <row r="1831" customHeight="1" spans="1:7">
      <c r="A1831" s="113">
        <f>领料单!BE178</f>
        <v>0</v>
      </c>
      <c r="B1831" s="113">
        <f>领料单!BF178</f>
        <v>0</v>
      </c>
      <c r="C1831" s="113">
        <f>领料单!BG178</f>
        <v>0</v>
      </c>
      <c r="D1831" s="113">
        <f>领料单!BH178</f>
        <v>0</v>
      </c>
      <c r="E1831" s="113">
        <f>领料单!BI178</f>
        <v>0</v>
      </c>
      <c r="F1831" s="113">
        <f>领料单!BJ178</f>
        <v>0</v>
      </c>
      <c r="G1831" s="113"/>
    </row>
    <row r="1832" customHeight="1" spans="1:7">
      <c r="A1832" s="113">
        <f>领料单!BE179</f>
        <v>0</v>
      </c>
      <c r="B1832" s="113">
        <f>领料单!BF179</f>
        <v>0</v>
      </c>
      <c r="C1832" s="113">
        <f>领料单!BG179</f>
        <v>0</v>
      </c>
      <c r="D1832" s="113">
        <f>领料单!BH179</f>
        <v>0</v>
      </c>
      <c r="E1832" s="113">
        <f>领料单!BI179</f>
        <v>0</v>
      </c>
      <c r="F1832" s="113">
        <f>领料单!BJ179</f>
        <v>0</v>
      </c>
      <c r="G1832" s="113"/>
    </row>
    <row r="1833" customHeight="1" spans="1:7">
      <c r="A1833" s="113">
        <f>领料单!BE180</f>
        <v>0</v>
      </c>
      <c r="B1833" s="113">
        <f>领料单!BF180</f>
        <v>0</v>
      </c>
      <c r="C1833" s="113">
        <f>领料单!BG180</f>
        <v>0</v>
      </c>
      <c r="D1833" s="113">
        <f>领料单!BH180</f>
        <v>0</v>
      </c>
      <c r="E1833" s="113">
        <f>领料单!BI180</f>
        <v>0</v>
      </c>
      <c r="F1833" s="113">
        <f>领料单!BJ180</f>
        <v>0</v>
      </c>
      <c r="G1833" s="113"/>
    </row>
    <row r="1834" customHeight="1" spans="1:7">
      <c r="A1834" s="113">
        <f>领料单!BE181</f>
        <v>0</v>
      </c>
      <c r="B1834" s="113">
        <f>领料单!BF181</f>
        <v>0</v>
      </c>
      <c r="C1834" s="113">
        <f>领料单!BG181</f>
        <v>0</v>
      </c>
      <c r="D1834" s="113">
        <f>领料单!BH181</f>
        <v>0</v>
      </c>
      <c r="E1834" s="113">
        <f>领料单!BI181</f>
        <v>0</v>
      </c>
      <c r="F1834" s="113">
        <f>领料单!BJ181</f>
        <v>0</v>
      </c>
      <c r="G1834" s="113"/>
    </row>
    <row r="1835" customHeight="1" spans="1:7">
      <c r="A1835" s="113">
        <f>领料单!BE182</f>
        <v>0</v>
      </c>
      <c r="B1835" s="113">
        <f>领料单!BF182</f>
        <v>0</v>
      </c>
      <c r="C1835" s="113">
        <f>领料单!BG182</f>
        <v>0</v>
      </c>
      <c r="D1835" s="113">
        <f>领料单!BH182</f>
        <v>0</v>
      </c>
      <c r="E1835" s="113">
        <f>领料单!BI182</f>
        <v>0</v>
      </c>
      <c r="F1835" s="113">
        <f>领料单!BJ182</f>
        <v>0</v>
      </c>
      <c r="G1835" s="113"/>
    </row>
    <row r="1836" customHeight="1" spans="1:7">
      <c r="A1836" s="113">
        <f>领料单!BE183</f>
        <v>0</v>
      </c>
      <c r="B1836" s="113">
        <f>领料单!BF183</f>
        <v>0</v>
      </c>
      <c r="C1836" s="113">
        <f>领料单!BG183</f>
        <v>0</v>
      </c>
      <c r="D1836" s="113">
        <f>领料单!BH183</f>
        <v>0</v>
      </c>
      <c r="E1836" s="113">
        <f>领料单!BI183</f>
        <v>0</v>
      </c>
      <c r="F1836" s="113">
        <f>领料单!BJ183</f>
        <v>0</v>
      </c>
      <c r="G1836" s="113"/>
    </row>
    <row r="1837" customHeight="1" spans="1:7">
      <c r="A1837" s="113">
        <f>领料单!BE184</f>
        <v>0</v>
      </c>
      <c r="B1837" s="113">
        <f>领料单!BF184</f>
        <v>0</v>
      </c>
      <c r="C1837" s="113">
        <f>领料单!BG184</f>
        <v>0</v>
      </c>
      <c r="D1837" s="113">
        <f>领料单!BH184</f>
        <v>0</v>
      </c>
      <c r="E1837" s="113">
        <f>领料单!BI184</f>
        <v>0</v>
      </c>
      <c r="F1837" s="113">
        <f>领料单!BJ184</f>
        <v>0</v>
      </c>
      <c r="G1837" s="113"/>
    </row>
    <row r="1838" customHeight="1" spans="1:7">
      <c r="A1838" s="113">
        <f>领料单!BE185</f>
        <v>0</v>
      </c>
      <c r="B1838" s="113">
        <f>领料单!BF185</f>
        <v>0</v>
      </c>
      <c r="C1838" s="113">
        <f>领料单!BG185</f>
        <v>0</v>
      </c>
      <c r="D1838" s="113">
        <f>领料单!BH185</f>
        <v>0</v>
      </c>
      <c r="E1838" s="113">
        <f>领料单!BI185</f>
        <v>0</v>
      </c>
      <c r="F1838" s="113">
        <f>领料单!BJ185</f>
        <v>0</v>
      </c>
      <c r="G1838" s="113"/>
    </row>
    <row r="1839" customHeight="1" spans="1:7">
      <c r="A1839" s="113">
        <f>领料单!BE186</f>
        <v>0</v>
      </c>
      <c r="B1839" s="113">
        <f>领料单!BF186</f>
        <v>0</v>
      </c>
      <c r="C1839" s="113">
        <f>领料单!BG186</f>
        <v>0</v>
      </c>
      <c r="D1839" s="113">
        <f>领料单!BH186</f>
        <v>0</v>
      </c>
      <c r="E1839" s="113">
        <f>领料单!BI186</f>
        <v>0</v>
      </c>
      <c r="F1839" s="113">
        <f>领料单!BJ186</f>
        <v>0</v>
      </c>
      <c r="G1839" s="113"/>
    </row>
    <row r="1840" customHeight="1" spans="1:7">
      <c r="A1840" s="115" t="s">
        <v>340</v>
      </c>
      <c r="B1840" s="116"/>
      <c r="C1840" s="116"/>
      <c r="D1840" s="116"/>
      <c r="E1840" s="117"/>
      <c r="F1840" s="118">
        <f>SUM(F1828:F1839)</f>
        <v>0</v>
      </c>
      <c r="G1840" s="114"/>
    </row>
    <row r="1841" customHeight="1" spans="1:7">
      <c r="A1841" s="119" t="s">
        <v>341</v>
      </c>
      <c r="B1841" s="119"/>
      <c r="C1841" s="120"/>
      <c r="D1841" s="119"/>
      <c r="E1841" s="121" t="s">
        <v>342</v>
      </c>
      <c r="F1841" s="119"/>
      <c r="G1841" s="119"/>
    </row>
    <row r="1844" customHeight="1" spans="1:7">
      <c r="A1844" s="105"/>
      <c r="B1844" s="106"/>
      <c r="C1844" s="107" t="s">
        <v>330</v>
      </c>
      <c r="D1844" s="107"/>
      <c r="E1844" s="107"/>
      <c r="F1844" s="105"/>
      <c r="G1844" s="105"/>
    </row>
    <row r="1845" customHeight="1" spans="1:7">
      <c r="A1845" s="108" t="s">
        <v>331</v>
      </c>
      <c r="B1845" s="109"/>
      <c r="C1845" s="110">
        <v>45961</v>
      </c>
      <c r="D1845" s="110"/>
      <c r="E1845" s="110"/>
      <c r="F1845" s="111" t="s">
        <v>332</v>
      </c>
      <c r="G1845" s="112" t="str">
        <f>立项!$A$10</f>
        <v>RD08</v>
      </c>
    </row>
    <row r="1846" customHeight="1" spans="1:7">
      <c r="A1846" s="113" t="s">
        <v>333</v>
      </c>
      <c r="B1846" s="113" t="s">
        <v>334</v>
      </c>
      <c r="C1846" s="113" t="s">
        <v>335</v>
      </c>
      <c r="D1846" s="113" t="s">
        <v>336</v>
      </c>
      <c r="E1846" s="113" t="s">
        <v>337</v>
      </c>
      <c r="F1846" s="113" t="s">
        <v>338</v>
      </c>
      <c r="G1846" s="113" t="s">
        <v>339</v>
      </c>
    </row>
    <row r="1847" customHeight="1" spans="1:7">
      <c r="A1847" s="113">
        <f>领料单!BM175</f>
        <v>0</v>
      </c>
      <c r="B1847" s="113">
        <f>领料单!BN175</f>
        <v>0</v>
      </c>
      <c r="C1847" s="113">
        <f>领料单!BO175</f>
        <v>0</v>
      </c>
      <c r="D1847" s="113">
        <f>领料单!BP175</f>
        <v>0</v>
      </c>
      <c r="E1847" s="113">
        <f>领料单!BQ175</f>
        <v>0</v>
      </c>
      <c r="F1847" s="113">
        <f>领料单!BR175</f>
        <v>0</v>
      </c>
      <c r="G1847" s="113"/>
    </row>
    <row r="1848" customHeight="1" spans="1:7">
      <c r="A1848" s="113">
        <f>领料单!BM176</f>
        <v>0</v>
      </c>
      <c r="B1848" s="113">
        <f>领料单!BN176</f>
        <v>0</v>
      </c>
      <c r="C1848" s="113">
        <f>领料单!BO176</f>
        <v>0</v>
      </c>
      <c r="D1848" s="113">
        <f>领料单!BP176</f>
        <v>0</v>
      </c>
      <c r="E1848" s="113">
        <f>领料单!BQ176</f>
        <v>0</v>
      </c>
      <c r="F1848" s="113">
        <f>领料单!BR176</f>
        <v>0</v>
      </c>
      <c r="G1848" s="113"/>
    </row>
    <row r="1849" customHeight="1" spans="1:7">
      <c r="A1849" s="113">
        <f>领料单!BM177</f>
        <v>0</v>
      </c>
      <c r="B1849" s="113">
        <f>领料单!BN177</f>
        <v>0</v>
      </c>
      <c r="C1849" s="113">
        <f>领料单!BO177</f>
        <v>0</v>
      </c>
      <c r="D1849" s="113">
        <f>领料单!BP177</f>
        <v>0</v>
      </c>
      <c r="E1849" s="113">
        <f>领料单!BQ177</f>
        <v>0</v>
      </c>
      <c r="F1849" s="113">
        <f>领料单!BR177</f>
        <v>0</v>
      </c>
      <c r="G1849" s="113"/>
    </row>
    <row r="1850" customHeight="1" spans="1:7">
      <c r="A1850" s="113">
        <f>领料单!BM178</f>
        <v>0</v>
      </c>
      <c r="B1850" s="113">
        <f>领料单!BN178</f>
        <v>0</v>
      </c>
      <c r="C1850" s="113">
        <f>领料单!BO178</f>
        <v>0</v>
      </c>
      <c r="D1850" s="113">
        <f>领料单!BP178</f>
        <v>0</v>
      </c>
      <c r="E1850" s="113">
        <f>领料单!BQ178</f>
        <v>0</v>
      </c>
      <c r="F1850" s="113">
        <f>领料单!BR178</f>
        <v>0</v>
      </c>
      <c r="G1850" s="113"/>
    </row>
    <row r="1851" customHeight="1" spans="1:7">
      <c r="A1851" s="113">
        <f>领料单!BM179</f>
        <v>0</v>
      </c>
      <c r="B1851" s="113">
        <f>领料单!BN179</f>
        <v>0</v>
      </c>
      <c r="C1851" s="113">
        <f>领料单!BO179</f>
        <v>0</v>
      </c>
      <c r="D1851" s="113">
        <f>领料单!BP179</f>
        <v>0</v>
      </c>
      <c r="E1851" s="113">
        <f>领料单!BQ179</f>
        <v>0</v>
      </c>
      <c r="F1851" s="113">
        <f>领料单!BR179</f>
        <v>0</v>
      </c>
      <c r="G1851" s="113"/>
    </row>
    <row r="1852" customHeight="1" spans="1:7">
      <c r="A1852" s="113">
        <f>领料单!BM180</f>
        <v>0</v>
      </c>
      <c r="B1852" s="113">
        <f>领料单!BN180</f>
        <v>0</v>
      </c>
      <c r="C1852" s="113">
        <f>领料单!BO180</f>
        <v>0</v>
      </c>
      <c r="D1852" s="113">
        <f>领料单!BP180</f>
        <v>0</v>
      </c>
      <c r="E1852" s="113">
        <f>领料单!BQ180</f>
        <v>0</v>
      </c>
      <c r="F1852" s="113">
        <f>领料单!BR180</f>
        <v>0</v>
      </c>
      <c r="G1852" s="113"/>
    </row>
    <row r="1853" customHeight="1" spans="1:7">
      <c r="A1853" s="113">
        <f>领料单!BM181</f>
        <v>0</v>
      </c>
      <c r="B1853" s="113">
        <f>领料单!BN181</f>
        <v>0</v>
      </c>
      <c r="C1853" s="113">
        <f>领料单!BO181</f>
        <v>0</v>
      </c>
      <c r="D1853" s="113">
        <f>领料单!BP181</f>
        <v>0</v>
      </c>
      <c r="E1853" s="113">
        <f>领料单!BQ181</f>
        <v>0</v>
      </c>
      <c r="F1853" s="113">
        <f>领料单!BR181</f>
        <v>0</v>
      </c>
      <c r="G1853" s="113"/>
    </row>
    <row r="1854" customHeight="1" spans="1:7">
      <c r="A1854" s="113">
        <f>领料单!BM182</f>
        <v>0</v>
      </c>
      <c r="B1854" s="113">
        <f>领料单!BN182</f>
        <v>0</v>
      </c>
      <c r="C1854" s="113">
        <f>领料单!BO182</f>
        <v>0</v>
      </c>
      <c r="D1854" s="113">
        <f>领料单!BP182</f>
        <v>0</v>
      </c>
      <c r="E1854" s="113">
        <f>领料单!BQ182</f>
        <v>0</v>
      </c>
      <c r="F1854" s="113">
        <f>领料单!BR182</f>
        <v>0</v>
      </c>
      <c r="G1854" s="113"/>
    </row>
    <row r="1855" customHeight="1" spans="1:7">
      <c r="A1855" s="113">
        <f>领料单!BM183</f>
        <v>0</v>
      </c>
      <c r="B1855" s="113">
        <f>领料单!BN183</f>
        <v>0</v>
      </c>
      <c r="C1855" s="113">
        <f>领料单!BO183</f>
        <v>0</v>
      </c>
      <c r="D1855" s="113">
        <f>领料单!BP183</f>
        <v>0</v>
      </c>
      <c r="E1855" s="113">
        <f>领料单!BQ183</f>
        <v>0</v>
      </c>
      <c r="F1855" s="113">
        <f>领料单!BR183</f>
        <v>0</v>
      </c>
      <c r="G1855" s="113"/>
    </row>
    <row r="1856" customHeight="1" spans="1:7">
      <c r="A1856" s="113">
        <f>领料单!BM184</f>
        <v>0</v>
      </c>
      <c r="B1856" s="113">
        <f>领料单!BN184</f>
        <v>0</v>
      </c>
      <c r="C1856" s="113">
        <f>领料单!BO184</f>
        <v>0</v>
      </c>
      <c r="D1856" s="113">
        <f>领料单!BP184</f>
        <v>0</v>
      </c>
      <c r="E1856" s="113">
        <f>领料单!BQ184</f>
        <v>0</v>
      </c>
      <c r="F1856" s="113">
        <f>领料单!BR184</f>
        <v>0</v>
      </c>
      <c r="G1856" s="113"/>
    </row>
    <row r="1857" customHeight="1" spans="1:7">
      <c r="A1857" s="113">
        <f>领料单!BM185</f>
        <v>0</v>
      </c>
      <c r="B1857" s="113">
        <f>领料单!BN185</f>
        <v>0</v>
      </c>
      <c r="C1857" s="113">
        <f>领料单!BO185</f>
        <v>0</v>
      </c>
      <c r="D1857" s="113">
        <f>领料单!BP185</f>
        <v>0</v>
      </c>
      <c r="E1857" s="113">
        <f>领料单!BQ185</f>
        <v>0</v>
      </c>
      <c r="F1857" s="113">
        <f>领料单!BR185</f>
        <v>0</v>
      </c>
      <c r="G1857" s="113"/>
    </row>
    <row r="1858" customHeight="1" spans="1:7">
      <c r="A1858" s="113">
        <f>领料单!BM186</f>
        <v>0</v>
      </c>
      <c r="B1858" s="113">
        <f>领料单!BN186</f>
        <v>0</v>
      </c>
      <c r="C1858" s="113">
        <f>领料单!BO186</f>
        <v>0</v>
      </c>
      <c r="D1858" s="113">
        <f>领料单!BP186</f>
        <v>0</v>
      </c>
      <c r="E1858" s="113">
        <f>领料单!BQ186</f>
        <v>0</v>
      </c>
      <c r="F1858" s="113">
        <f>领料单!BR186</f>
        <v>0</v>
      </c>
      <c r="G1858" s="113"/>
    </row>
    <row r="1859" customHeight="1" spans="1:7">
      <c r="A1859" s="115" t="s">
        <v>340</v>
      </c>
      <c r="B1859" s="116"/>
      <c r="C1859" s="116"/>
      <c r="D1859" s="116"/>
      <c r="E1859" s="117"/>
      <c r="F1859" s="118">
        <f>SUM(F1847:F1858)</f>
        <v>0</v>
      </c>
      <c r="G1859" s="114"/>
    </row>
    <row r="1860" customHeight="1" spans="1:7">
      <c r="A1860" s="119" t="s">
        <v>341</v>
      </c>
      <c r="B1860" s="119"/>
      <c r="C1860" s="120"/>
      <c r="D1860" s="119"/>
      <c r="E1860" s="121" t="s">
        <v>342</v>
      </c>
      <c r="F1860" s="119"/>
      <c r="G1860" s="119"/>
    </row>
    <row r="1863" customHeight="1" spans="1:7">
      <c r="A1863" s="105"/>
      <c r="B1863" s="106"/>
      <c r="C1863" s="107" t="s">
        <v>330</v>
      </c>
      <c r="D1863" s="107"/>
      <c r="E1863" s="107"/>
      <c r="F1863" s="105"/>
      <c r="G1863" s="105"/>
    </row>
    <row r="1864" customHeight="1" spans="1:7">
      <c r="A1864" s="108" t="s">
        <v>331</v>
      </c>
      <c r="B1864" s="109"/>
      <c r="C1864" s="110">
        <v>45961</v>
      </c>
      <c r="D1864" s="110"/>
      <c r="E1864" s="110"/>
      <c r="F1864" s="111" t="s">
        <v>332</v>
      </c>
      <c r="G1864" s="112" t="str">
        <f>立项!$A$11</f>
        <v>RD09</v>
      </c>
    </row>
    <row r="1865" customHeight="1" spans="1:7">
      <c r="A1865" s="113" t="s">
        <v>333</v>
      </c>
      <c r="B1865" s="113" t="s">
        <v>334</v>
      </c>
      <c r="C1865" s="113" t="s">
        <v>335</v>
      </c>
      <c r="D1865" s="113" t="s">
        <v>336</v>
      </c>
      <c r="E1865" s="113" t="s">
        <v>337</v>
      </c>
      <c r="F1865" s="113" t="s">
        <v>338</v>
      </c>
      <c r="G1865" s="113" t="s">
        <v>339</v>
      </c>
    </row>
    <row r="1866" customHeight="1" spans="1:7">
      <c r="A1866" s="113">
        <f>领料单!BU175</f>
        <v>0</v>
      </c>
      <c r="B1866" s="113">
        <f>领料单!BV175</f>
        <v>0</v>
      </c>
      <c r="C1866" s="113">
        <f>领料单!BW175</f>
        <v>0</v>
      </c>
      <c r="D1866" s="113">
        <f>领料单!BX175</f>
        <v>0</v>
      </c>
      <c r="E1866" s="113">
        <f>领料单!BY175</f>
        <v>0</v>
      </c>
      <c r="F1866" s="113">
        <f>领料单!BZ175</f>
        <v>0</v>
      </c>
      <c r="G1866" s="113"/>
    </row>
    <row r="1867" customHeight="1" spans="1:7">
      <c r="A1867" s="113">
        <f>领料单!BU176</f>
        <v>0</v>
      </c>
      <c r="B1867" s="113">
        <f>领料单!BV176</f>
        <v>0</v>
      </c>
      <c r="C1867" s="113">
        <f>领料单!BW176</f>
        <v>0</v>
      </c>
      <c r="D1867" s="113">
        <f>领料单!BX176</f>
        <v>0</v>
      </c>
      <c r="E1867" s="113">
        <f>领料单!BY176</f>
        <v>0</v>
      </c>
      <c r="F1867" s="113">
        <f>领料单!BZ176</f>
        <v>0</v>
      </c>
      <c r="G1867" s="113"/>
    </row>
    <row r="1868" customHeight="1" spans="1:7">
      <c r="A1868" s="113">
        <f>领料单!BU177</f>
        <v>0</v>
      </c>
      <c r="B1868" s="113">
        <f>领料单!BV177</f>
        <v>0</v>
      </c>
      <c r="C1868" s="113">
        <f>领料单!BW177</f>
        <v>0</v>
      </c>
      <c r="D1868" s="113">
        <f>领料单!BX177</f>
        <v>0</v>
      </c>
      <c r="E1868" s="113">
        <f>领料单!BY177</f>
        <v>0</v>
      </c>
      <c r="F1868" s="113">
        <f>领料单!BZ177</f>
        <v>0</v>
      </c>
      <c r="G1868" s="113"/>
    </row>
    <row r="1869" customHeight="1" spans="1:7">
      <c r="A1869" s="113">
        <f>领料单!BU178</f>
        <v>0</v>
      </c>
      <c r="B1869" s="113">
        <f>领料单!BV178</f>
        <v>0</v>
      </c>
      <c r="C1869" s="113">
        <f>领料单!BW178</f>
        <v>0</v>
      </c>
      <c r="D1869" s="113">
        <f>领料单!BX178</f>
        <v>0</v>
      </c>
      <c r="E1869" s="113">
        <f>领料单!BY178</f>
        <v>0</v>
      </c>
      <c r="F1869" s="113">
        <f>领料单!BZ178</f>
        <v>0</v>
      </c>
      <c r="G1869" s="113"/>
    </row>
    <row r="1870" customHeight="1" spans="1:7">
      <c r="A1870" s="113">
        <f>领料单!BU179</f>
        <v>0</v>
      </c>
      <c r="B1870" s="113">
        <f>领料单!BV179</f>
        <v>0</v>
      </c>
      <c r="C1870" s="113">
        <f>领料单!BW179</f>
        <v>0</v>
      </c>
      <c r="D1870" s="113">
        <f>领料单!BX179</f>
        <v>0</v>
      </c>
      <c r="E1870" s="113">
        <f>领料单!BY179</f>
        <v>0</v>
      </c>
      <c r="F1870" s="113">
        <f>领料单!BZ179</f>
        <v>0</v>
      </c>
      <c r="G1870" s="113"/>
    </row>
    <row r="1871" customHeight="1" spans="1:7">
      <c r="A1871" s="113">
        <f>领料单!BU180</f>
        <v>0</v>
      </c>
      <c r="B1871" s="113">
        <f>领料单!BV180</f>
        <v>0</v>
      </c>
      <c r="C1871" s="113">
        <f>领料单!BW180</f>
        <v>0</v>
      </c>
      <c r="D1871" s="113">
        <f>领料单!BX180</f>
        <v>0</v>
      </c>
      <c r="E1871" s="113">
        <f>领料单!BY180</f>
        <v>0</v>
      </c>
      <c r="F1871" s="113">
        <f>领料单!BZ180</f>
        <v>0</v>
      </c>
      <c r="G1871" s="113"/>
    </row>
    <row r="1872" customHeight="1" spans="1:7">
      <c r="A1872" s="113">
        <f>领料单!BU181</f>
        <v>0</v>
      </c>
      <c r="B1872" s="113">
        <f>领料单!BV181</f>
        <v>0</v>
      </c>
      <c r="C1872" s="113">
        <f>领料单!BW181</f>
        <v>0</v>
      </c>
      <c r="D1872" s="113">
        <f>领料单!BX181</f>
        <v>0</v>
      </c>
      <c r="E1872" s="113">
        <f>领料单!BY181</f>
        <v>0</v>
      </c>
      <c r="F1872" s="113">
        <f>领料单!BZ181</f>
        <v>0</v>
      </c>
      <c r="G1872" s="113"/>
    </row>
    <row r="1873" customHeight="1" spans="1:7">
      <c r="A1873" s="113">
        <f>领料单!BU182</f>
        <v>0</v>
      </c>
      <c r="B1873" s="113">
        <f>领料单!BV182</f>
        <v>0</v>
      </c>
      <c r="C1873" s="113">
        <f>领料单!BW182</f>
        <v>0</v>
      </c>
      <c r="D1873" s="113">
        <f>领料单!BX182</f>
        <v>0</v>
      </c>
      <c r="E1873" s="113">
        <f>领料单!BY182</f>
        <v>0</v>
      </c>
      <c r="F1873" s="113">
        <f>领料单!BZ182</f>
        <v>0</v>
      </c>
      <c r="G1873" s="113"/>
    </row>
    <row r="1874" customHeight="1" spans="1:7">
      <c r="A1874" s="113">
        <f>领料单!BU183</f>
        <v>0</v>
      </c>
      <c r="B1874" s="113">
        <f>领料单!BV183</f>
        <v>0</v>
      </c>
      <c r="C1874" s="113">
        <f>领料单!BW183</f>
        <v>0</v>
      </c>
      <c r="D1874" s="113">
        <f>领料单!BX183</f>
        <v>0</v>
      </c>
      <c r="E1874" s="113">
        <f>领料单!BY183</f>
        <v>0</v>
      </c>
      <c r="F1874" s="113">
        <f>领料单!BZ183</f>
        <v>0</v>
      </c>
      <c r="G1874" s="113"/>
    </row>
    <row r="1875" customHeight="1" spans="1:7">
      <c r="A1875" s="113">
        <f>领料单!BU184</f>
        <v>0</v>
      </c>
      <c r="B1875" s="113">
        <f>领料单!BV184</f>
        <v>0</v>
      </c>
      <c r="C1875" s="113">
        <f>领料单!BW184</f>
        <v>0</v>
      </c>
      <c r="D1875" s="113">
        <f>领料单!BX184</f>
        <v>0</v>
      </c>
      <c r="E1875" s="113">
        <f>领料单!BY184</f>
        <v>0</v>
      </c>
      <c r="F1875" s="113">
        <f>领料单!BZ184</f>
        <v>0</v>
      </c>
      <c r="G1875" s="113"/>
    </row>
    <row r="1876" customHeight="1" spans="1:7">
      <c r="A1876" s="113">
        <f>领料单!BU185</f>
        <v>0</v>
      </c>
      <c r="B1876" s="113">
        <f>领料单!BV185</f>
        <v>0</v>
      </c>
      <c r="C1876" s="113">
        <f>领料单!BW185</f>
        <v>0</v>
      </c>
      <c r="D1876" s="113">
        <f>领料单!BX185</f>
        <v>0</v>
      </c>
      <c r="E1876" s="113">
        <f>领料单!BY185</f>
        <v>0</v>
      </c>
      <c r="F1876" s="113">
        <f>领料单!BZ185</f>
        <v>0</v>
      </c>
      <c r="G1876" s="113"/>
    </row>
    <row r="1877" customHeight="1" spans="1:7">
      <c r="A1877" s="113">
        <f>领料单!BU186</f>
        <v>0</v>
      </c>
      <c r="B1877" s="113">
        <f>领料单!BV186</f>
        <v>0</v>
      </c>
      <c r="C1877" s="113">
        <f>领料单!BW186</f>
        <v>0</v>
      </c>
      <c r="D1877" s="113">
        <f>领料单!BX186</f>
        <v>0</v>
      </c>
      <c r="E1877" s="113">
        <f>领料单!BY186</f>
        <v>0</v>
      </c>
      <c r="F1877" s="113">
        <f>领料单!BZ186</f>
        <v>0</v>
      </c>
      <c r="G1877" s="113"/>
    </row>
    <row r="1878" customHeight="1" spans="1:7">
      <c r="A1878" s="115" t="s">
        <v>340</v>
      </c>
      <c r="B1878" s="116"/>
      <c r="C1878" s="116"/>
      <c r="D1878" s="116"/>
      <c r="E1878" s="117"/>
      <c r="F1878" s="118">
        <f>SUM(F1866:F1877)</f>
        <v>0</v>
      </c>
      <c r="G1878" s="114"/>
    </row>
    <row r="1879" customHeight="1" spans="1:7">
      <c r="A1879" s="119" t="s">
        <v>341</v>
      </c>
      <c r="B1879" s="119"/>
      <c r="C1879" s="120"/>
      <c r="D1879" s="119"/>
      <c r="E1879" s="121" t="s">
        <v>342</v>
      </c>
      <c r="F1879" s="119"/>
      <c r="G1879" s="119"/>
    </row>
    <row r="1882" customHeight="1" spans="1:7">
      <c r="A1882" s="105"/>
      <c r="B1882" s="106"/>
      <c r="C1882" s="107" t="s">
        <v>330</v>
      </c>
      <c r="D1882" s="107"/>
      <c r="E1882" s="107"/>
      <c r="F1882" s="105"/>
      <c r="G1882" s="105"/>
    </row>
    <row r="1883" customHeight="1" spans="1:7">
      <c r="A1883" s="108" t="s">
        <v>331</v>
      </c>
      <c r="B1883" s="109"/>
      <c r="C1883" s="110">
        <v>45961</v>
      </c>
      <c r="D1883" s="110"/>
      <c r="E1883" s="110"/>
      <c r="F1883" s="111" t="s">
        <v>332</v>
      </c>
      <c r="G1883" s="112" t="str">
        <f>立项!$A$12</f>
        <v>RD10</v>
      </c>
    </row>
    <row r="1884" customHeight="1" spans="1:7">
      <c r="A1884" s="113" t="s">
        <v>333</v>
      </c>
      <c r="B1884" s="113" t="s">
        <v>334</v>
      </c>
      <c r="C1884" s="113" t="s">
        <v>335</v>
      </c>
      <c r="D1884" s="113" t="s">
        <v>336</v>
      </c>
      <c r="E1884" s="113" t="s">
        <v>337</v>
      </c>
      <c r="F1884" s="113" t="s">
        <v>338</v>
      </c>
      <c r="G1884" s="113" t="s">
        <v>339</v>
      </c>
    </row>
    <row r="1885" customHeight="1" spans="1:7">
      <c r="A1885" s="113">
        <f>领料单!CC175</f>
        <v>0</v>
      </c>
      <c r="B1885" s="113">
        <f>领料单!CD175</f>
        <v>0</v>
      </c>
      <c r="C1885" s="113">
        <f>领料单!CE175</f>
        <v>0</v>
      </c>
      <c r="D1885" s="113">
        <f>领料单!CF175</f>
        <v>0</v>
      </c>
      <c r="E1885" s="113">
        <f>领料单!CG175</f>
        <v>0</v>
      </c>
      <c r="F1885" s="113">
        <f>领料单!CH175</f>
        <v>0</v>
      </c>
      <c r="G1885" s="113"/>
    </row>
    <row r="1886" customHeight="1" spans="1:7">
      <c r="A1886" s="113">
        <f>领料单!CC176</f>
        <v>0</v>
      </c>
      <c r="B1886" s="113">
        <f>领料单!CD176</f>
        <v>0</v>
      </c>
      <c r="C1886" s="113">
        <f>领料单!CE176</f>
        <v>0</v>
      </c>
      <c r="D1886" s="113">
        <f>领料单!CF176</f>
        <v>0</v>
      </c>
      <c r="E1886" s="113">
        <f>领料单!CG176</f>
        <v>0</v>
      </c>
      <c r="F1886" s="113">
        <f>领料单!CH176</f>
        <v>0</v>
      </c>
      <c r="G1886" s="113"/>
    </row>
    <row r="1887" customHeight="1" spans="1:7">
      <c r="A1887" s="113">
        <f>领料单!CC177</f>
        <v>0</v>
      </c>
      <c r="B1887" s="113">
        <f>领料单!CD177</f>
        <v>0</v>
      </c>
      <c r="C1887" s="113">
        <f>领料单!CE177</f>
        <v>0</v>
      </c>
      <c r="D1887" s="113">
        <f>领料单!CF177</f>
        <v>0</v>
      </c>
      <c r="E1887" s="113">
        <f>领料单!CG177</f>
        <v>0</v>
      </c>
      <c r="F1887" s="113">
        <f>领料单!CH177</f>
        <v>0</v>
      </c>
      <c r="G1887" s="113"/>
    </row>
    <row r="1888" customHeight="1" spans="1:7">
      <c r="A1888" s="113">
        <f>领料单!CC178</f>
        <v>0</v>
      </c>
      <c r="B1888" s="113">
        <f>领料单!CD178</f>
        <v>0</v>
      </c>
      <c r="C1888" s="113">
        <f>领料单!CE178</f>
        <v>0</v>
      </c>
      <c r="D1888" s="113">
        <f>领料单!CF178</f>
        <v>0</v>
      </c>
      <c r="E1888" s="113">
        <f>领料单!CG178</f>
        <v>0</v>
      </c>
      <c r="F1888" s="113">
        <f>领料单!CH178</f>
        <v>0</v>
      </c>
      <c r="G1888" s="113"/>
    </row>
    <row r="1889" customHeight="1" spans="1:7">
      <c r="A1889" s="113">
        <f>领料单!CC179</f>
        <v>0</v>
      </c>
      <c r="B1889" s="113">
        <f>领料单!CD179</f>
        <v>0</v>
      </c>
      <c r="C1889" s="113">
        <f>领料单!CE179</f>
        <v>0</v>
      </c>
      <c r="D1889" s="113">
        <f>领料单!CF179</f>
        <v>0</v>
      </c>
      <c r="E1889" s="113">
        <f>领料单!CG179</f>
        <v>0</v>
      </c>
      <c r="F1889" s="113">
        <f>领料单!CH179</f>
        <v>0</v>
      </c>
      <c r="G1889" s="113"/>
    </row>
    <row r="1890" customHeight="1" spans="1:7">
      <c r="A1890" s="113">
        <f>领料单!CC180</f>
        <v>0</v>
      </c>
      <c r="B1890" s="113">
        <f>领料单!CD180</f>
        <v>0</v>
      </c>
      <c r="C1890" s="113">
        <f>领料单!CE180</f>
        <v>0</v>
      </c>
      <c r="D1890" s="113">
        <f>领料单!CF180</f>
        <v>0</v>
      </c>
      <c r="E1890" s="113">
        <f>领料单!CG180</f>
        <v>0</v>
      </c>
      <c r="F1890" s="113">
        <f>领料单!CH180</f>
        <v>0</v>
      </c>
      <c r="G1890" s="113"/>
    </row>
    <row r="1891" customHeight="1" spans="1:7">
      <c r="A1891" s="113">
        <f>领料单!CC181</f>
        <v>0</v>
      </c>
      <c r="B1891" s="113">
        <f>领料单!CD181</f>
        <v>0</v>
      </c>
      <c r="C1891" s="113">
        <f>领料单!CE181</f>
        <v>0</v>
      </c>
      <c r="D1891" s="113">
        <f>领料单!CF181</f>
        <v>0</v>
      </c>
      <c r="E1891" s="113">
        <f>领料单!CG181</f>
        <v>0</v>
      </c>
      <c r="F1891" s="113">
        <f>领料单!CH181</f>
        <v>0</v>
      </c>
      <c r="G1891" s="113"/>
    </row>
    <row r="1892" customHeight="1" spans="1:7">
      <c r="A1892" s="113">
        <f>领料单!CC182</f>
        <v>0</v>
      </c>
      <c r="B1892" s="113">
        <f>领料单!CD182</f>
        <v>0</v>
      </c>
      <c r="C1892" s="113">
        <f>领料单!CE182</f>
        <v>0</v>
      </c>
      <c r="D1892" s="113">
        <f>领料单!CF182</f>
        <v>0</v>
      </c>
      <c r="E1892" s="113">
        <f>领料单!CG182</f>
        <v>0</v>
      </c>
      <c r="F1892" s="113">
        <f>领料单!CH182</f>
        <v>0</v>
      </c>
      <c r="G1892" s="113"/>
    </row>
    <row r="1893" customHeight="1" spans="1:7">
      <c r="A1893" s="113">
        <f>领料单!CC183</f>
        <v>0</v>
      </c>
      <c r="B1893" s="113">
        <f>领料单!CD183</f>
        <v>0</v>
      </c>
      <c r="C1893" s="113">
        <f>领料单!CE183</f>
        <v>0</v>
      </c>
      <c r="D1893" s="113">
        <f>领料单!CF183</f>
        <v>0</v>
      </c>
      <c r="E1893" s="113">
        <f>领料单!CG183</f>
        <v>0</v>
      </c>
      <c r="F1893" s="113">
        <f>领料单!CH183</f>
        <v>0</v>
      </c>
      <c r="G1893" s="113"/>
    </row>
    <row r="1894" customHeight="1" spans="1:7">
      <c r="A1894" s="113">
        <f>领料单!CC184</f>
        <v>0</v>
      </c>
      <c r="B1894" s="113">
        <f>领料单!CD184</f>
        <v>0</v>
      </c>
      <c r="C1894" s="113">
        <f>领料单!CE184</f>
        <v>0</v>
      </c>
      <c r="D1894" s="113">
        <f>领料单!CF184</f>
        <v>0</v>
      </c>
      <c r="E1894" s="113">
        <f>领料单!CG184</f>
        <v>0</v>
      </c>
      <c r="F1894" s="113">
        <f>领料单!CH184</f>
        <v>0</v>
      </c>
      <c r="G1894" s="113"/>
    </row>
    <row r="1895" customHeight="1" spans="1:7">
      <c r="A1895" s="113">
        <f>领料单!CC185</f>
        <v>0</v>
      </c>
      <c r="B1895" s="113">
        <f>领料单!CD185</f>
        <v>0</v>
      </c>
      <c r="C1895" s="113">
        <f>领料单!CE185</f>
        <v>0</v>
      </c>
      <c r="D1895" s="113">
        <f>领料单!CF185</f>
        <v>0</v>
      </c>
      <c r="E1895" s="113">
        <f>领料单!CG185</f>
        <v>0</v>
      </c>
      <c r="F1895" s="113">
        <f>领料单!CH185</f>
        <v>0</v>
      </c>
      <c r="G1895" s="113"/>
    </row>
    <row r="1896" customHeight="1" spans="1:7">
      <c r="A1896" s="113">
        <f>领料单!CC186</f>
        <v>0</v>
      </c>
      <c r="B1896" s="113">
        <f>领料单!CD186</f>
        <v>0</v>
      </c>
      <c r="C1896" s="113">
        <f>领料单!CE186</f>
        <v>0</v>
      </c>
      <c r="D1896" s="113">
        <f>领料单!CF186</f>
        <v>0</v>
      </c>
      <c r="E1896" s="113">
        <f>领料单!CG186</f>
        <v>0</v>
      </c>
      <c r="F1896" s="113">
        <f>领料单!CH186</f>
        <v>0</v>
      </c>
      <c r="G1896" s="113"/>
    </row>
    <row r="1897" customHeight="1" spans="1:7">
      <c r="A1897" s="115" t="s">
        <v>340</v>
      </c>
      <c r="B1897" s="116"/>
      <c r="C1897" s="116"/>
      <c r="D1897" s="116"/>
      <c r="E1897" s="117"/>
      <c r="F1897" s="118">
        <f>SUM(F1885:F1896)</f>
        <v>0</v>
      </c>
      <c r="G1897" s="114"/>
    </row>
    <row r="1898" customHeight="1" spans="1:7">
      <c r="A1898" s="119" t="s">
        <v>341</v>
      </c>
      <c r="B1898" s="119"/>
      <c r="C1898" s="120"/>
      <c r="D1898" s="119"/>
      <c r="E1898" s="121" t="s">
        <v>342</v>
      </c>
      <c r="F1898" s="119"/>
      <c r="G1898" s="119"/>
    </row>
    <row r="1901" customHeight="1" spans="1:7">
      <c r="A1901" s="105"/>
      <c r="B1901" s="106"/>
      <c r="C1901" s="107" t="s">
        <v>330</v>
      </c>
      <c r="D1901" s="107"/>
      <c r="E1901" s="107"/>
      <c r="F1901" s="105"/>
      <c r="G1901" s="105"/>
    </row>
    <row r="1902" customHeight="1" spans="1:7">
      <c r="A1902" s="108" t="s">
        <v>331</v>
      </c>
      <c r="B1902" s="109"/>
      <c r="C1902" s="110">
        <v>45991</v>
      </c>
      <c r="D1902" s="110"/>
      <c r="E1902" s="110"/>
      <c r="F1902" s="111" t="s">
        <v>332</v>
      </c>
      <c r="G1902" s="112" t="str">
        <f>立项!$A$3</f>
        <v>RD01</v>
      </c>
    </row>
    <row r="1903" customHeight="1" spans="1:7">
      <c r="A1903" s="113" t="s">
        <v>333</v>
      </c>
      <c r="B1903" s="113" t="s">
        <v>334</v>
      </c>
      <c r="C1903" s="113" t="s">
        <v>335</v>
      </c>
      <c r="D1903" s="113" t="s">
        <v>336</v>
      </c>
      <c r="E1903" s="113" t="s">
        <v>337</v>
      </c>
      <c r="F1903" s="113" t="s">
        <v>338</v>
      </c>
      <c r="G1903" s="113" t="s">
        <v>339</v>
      </c>
    </row>
    <row r="1904" customHeight="1" spans="1:7">
      <c r="A1904" s="113">
        <f>领料单!I194</f>
        <v>0</v>
      </c>
      <c r="B1904" s="113">
        <f>领料单!J194</f>
        <v>0</v>
      </c>
      <c r="C1904" s="113">
        <f>领料单!K194</f>
        <v>0</v>
      </c>
      <c r="D1904" s="113">
        <f>领料单!L194</f>
        <v>0</v>
      </c>
      <c r="E1904" s="113">
        <f>领料单!M194</f>
        <v>0</v>
      </c>
      <c r="F1904" s="113">
        <f>领料单!N194</f>
        <v>0</v>
      </c>
      <c r="G1904" s="113"/>
    </row>
    <row r="1905" customHeight="1" spans="1:7">
      <c r="A1905" s="113">
        <f>领料单!I195</f>
        <v>0</v>
      </c>
      <c r="B1905" s="113">
        <f>领料单!J195</f>
        <v>0</v>
      </c>
      <c r="C1905" s="113">
        <f>领料单!K195</f>
        <v>0</v>
      </c>
      <c r="D1905" s="113">
        <f>领料单!L195</f>
        <v>0</v>
      </c>
      <c r="E1905" s="113">
        <f>领料单!M195</f>
        <v>0</v>
      </c>
      <c r="F1905" s="113">
        <f>领料单!N195</f>
        <v>0</v>
      </c>
      <c r="G1905" s="113"/>
    </row>
    <row r="1906" customHeight="1" spans="1:7">
      <c r="A1906" s="113">
        <f>领料单!I196</f>
        <v>0</v>
      </c>
      <c r="B1906" s="113">
        <f>领料单!J196</f>
        <v>0</v>
      </c>
      <c r="C1906" s="113">
        <f>领料单!K196</f>
        <v>0</v>
      </c>
      <c r="D1906" s="113">
        <f>领料单!L196</f>
        <v>0</v>
      </c>
      <c r="E1906" s="113">
        <f>领料单!M196</f>
        <v>0</v>
      </c>
      <c r="F1906" s="113">
        <f>领料单!N196</f>
        <v>0</v>
      </c>
      <c r="G1906" s="113"/>
    </row>
    <row r="1907" customHeight="1" spans="1:7">
      <c r="A1907" s="113">
        <f>领料单!I197</f>
        <v>0</v>
      </c>
      <c r="B1907" s="113">
        <f>领料单!J197</f>
        <v>0</v>
      </c>
      <c r="C1907" s="113">
        <f>领料单!K197</f>
        <v>0</v>
      </c>
      <c r="D1907" s="113">
        <f>领料单!L197</f>
        <v>0</v>
      </c>
      <c r="E1907" s="113">
        <f>领料单!M197</f>
        <v>0</v>
      </c>
      <c r="F1907" s="113">
        <f>领料单!N197</f>
        <v>0</v>
      </c>
      <c r="G1907" s="113"/>
    </row>
    <row r="1908" customHeight="1" spans="1:7">
      <c r="A1908" s="113">
        <f>领料单!I198</f>
        <v>0</v>
      </c>
      <c r="B1908" s="113">
        <f>领料单!J198</f>
        <v>0</v>
      </c>
      <c r="C1908" s="113">
        <f>领料单!K198</f>
        <v>0</v>
      </c>
      <c r="D1908" s="113">
        <f>领料单!L198</f>
        <v>0</v>
      </c>
      <c r="E1908" s="113">
        <f>领料单!M198</f>
        <v>0</v>
      </c>
      <c r="F1908" s="113">
        <f>领料单!N198</f>
        <v>0</v>
      </c>
      <c r="G1908" s="113"/>
    </row>
    <row r="1909" customHeight="1" spans="1:7">
      <c r="A1909" s="113">
        <f>领料单!I199</f>
        <v>0</v>
      </c>
      <c r="B1909" s="113">
        <f>领料单!J199</f>
        <v>0</v>
      </c>
      <c r="C1909" s="113">
        <f>领料单!K199</f>
        <v>0</v>
      </c>
      <c r="D1909" s="113">
        <f>领料单!L199</f>
        <v>0</v>
      </c>
      <c r="E1909" s="113">
        <f>领料单!M199</f>
        <v>0</v>
      </c>
      <c r="F1909" s="113">
        <f>领料单!N199</f>
        <v>0</v>
      </c>
      <c r="G1909" s="113"/>
    </row>
    <row r="1910" customHeight="1" spans="1:7">
      <c r="A1910" s="113">
        <f>领料单!I200</f>
        <v>0</v>
      </c>
      <c r="B1910" s="113">
        <f>领料单!J200</f>
        <v>0</v>
      </c>
      <c r="C1910" s="113">
        <f>领料单!K200</f>
        <v>0</v>
      </c>
      <c r="D1910" s="113">
        <f>领料单!L200</f>
        <v>0</v>
      </c>
      <c r="E1910" s="113">
        <f>领料单!M200</f>
        <v>0</v>
      </c>
      <c r="F1910" s="113">
        <f>领料单!N200</f>
        <v>0</v>
      </c>
      <c r="G1910" s="113"/>
    </row>
    <row r="1911" customHeight="1" spans="1:7">
      <c r="A1911" s="113">
        <f>领料单!I201</f>
        <v>0</v>
      </c>
      <c r="B1911" s="113">
        <f>领料单!J201</f>
        <v>0</v>
      </c>
      <c r="C1911" s="113">
        <f>领料单!K201</f>
        <v>0</v>
      </c>
      <c r="D1911" s="113">
        <f>领料单!L201</f>
        <v>0</v>
      </c>
      <c r="E1911" s="113">
        <f>领料单!M201</f>
        <v>0</v>
      </c>
      <c r="F1911" s="113">
        <f>领料单!N201</f>
        <v>0</v>
      </c>
      <c r="G1911" s="113"/>
    </row>
    <row r="1912" customHeight="1" spans="1:7">
      <c r="A1912" s="113">
        <f>领料单!I202</f>
        <v>0</v>
      </c>
      <c r="B1912" s="113">
        <f>领料单!J202</f>
        <v>0</v>
      </c>
      <c r="C1912" s="113">
        <f>领料单!K202</f>
        <v>0</v>
      </c>
      <c r="D1912" s="113">
        <f>领料单!L202</f>
        <v>0</v>
      </c>
      <c r="E1912" s="113">
        <f>领料单!M202</f>
        <v>0</v>
      </c>
      <c r="F1912" s="113">
        <f>领料单!N202</f>
        <v>0</v>
      </c>
      <c r="G1912" s="113"/>
    </row>
    <row r="1913" customHeight="1" spans="1:7">
      <c r="A1913" s="113">
        <f>领料单!I203</f>
        <v>0</v>
      </c>
      <c r="B1913" s="113">
        <f>领料单!J203</f>
        <v>0</v>
      </c>
      <c r="C1913" s="113">
        <f>领料单!K203</f>
        <v>0</v>
      </c>
      <c r="D1913" s="113">
        <f>领料单!L203</f>
        <v>0</v>
      </c>
      <c r="E1913" s="113">
        <f>领料单!M203</f>
        <v>0</v>
      </c>
      <c r="F1913" s="113">
        <f>领料单!N203</f>
        <v>0</v>
      </c>
      <c r="G1913" s="113"/>
    </row>
    <row r="1914" customHeight="1" spans="1:7">
      <c r="A1914" s="113">
        <f>领料单!I204</f>
        <v>0</v>
      </c>
      <c r="B1914" s="113">
        <f>领料单!J204</f>
        <v>0</v>
      </c>
      <c r="C1914" s="113">
        <f>领料单!K204</f>
        <v>0</v>
      </c>
      <c r="D1914" s="113">
        <f>领料单!L204</f>
        <v>0</v>
      </c>
      <c r="E1914" s="113">
        <f>领料单!M204</f>
        <v>0</v>
      </c>
      <c r="F1914" s="113">
        <f>领料单!N204</f>
        <v>0</v>
      </c>
      <c r="G1914" s="113"/>
    </row>
    <row r="1915" customHeight="1" spans="1:7">
      <c r="A1915" s="113">
        <f>领料单!I205</f>
        <v>0</v>
      </c>
      <c r="B1915" s="113">
        <f>领料单!J205</f>
        <v>0</v>
      </c>
      <c r="C1915" s="113">
        <f>领料单!K205</f>
        <v>0</v>
      </c>
      <c r="D1915" s="113">
        <f>领料单!L205</f>
        <v>0</v>
      </c>
      <c r="E1915" s="113">
        <f>领料单!M205</f>
        <v>0</v>
      </c>
      <c r="F1915" s="113">
        <f>领料单!N205</f>
        <v>0</v>
      </c>
      <c r="G1915" s="113"/>
    </row>
    <row r="1916" customHeight="1" spans="1:7">
      <c r="A1916" s="115" t="s">
        <v>340</v>
      </c>
      <c r="B1916" s="116"/>
      <c r="C1916" s="116"/>
      <c r="D1916" s="116"/>
      <c r="E1916" s="117"/>
      <c r="F1916" s="118">
        <f>SUM(F1904:F1915)</f>
        <v>0</v>
      </c>
      <c r="G1916" s="114"/>
    </row>
    <row r="1917" customHeight="1" spans="1:7">
      <c r="A1917" s="119" t="s">
        <v>341</v>
      </c>
      <c r="B1917" s="119"/>
      <c r="C1917" s="120"/>
      <c r="D1917" s="119"/>
      <c r="E1917" s="121" t="s">
        <v>342</v>
      </c>
      <c r="F1917" s="119"/>
      <c r="G1917" s="119"/>
    </row>
    <row r="1920" customHeight="1" spans="1:7">
      <c r="A1920" s="105"/>
      <c r="B1920" s="106"/>
      <c r="C1920" s="107" t="s">
        <v>330</v>
      </c>
      <c r="D1920" s="107"/>
      <c r="E1920" s="107"/>
      <c r="F1920" s="105"/>
      <c r="G1920" s="105"/>
    </row>
    <row r="1921" customHeight="1" spans="1:7">
      <c r="A1921" s="108" t="s">
        <v>331</v>
      </c>
      <c r="B1921" s="109"/>
      <c r="C1921" s="110">
        <v>45991</v>
      </c>
      <c r="D1921" s="110"/>
      <c r="E1921" s="110"/>
      <c r="F1921" s="111" t="s">
        <v>332</v>
      </c>
      <c r="G1921" s="112" t="str">
        <f>立项!$A$4</f>
        <v>RD02</v>
      </c>
    </row>
    <row r="1922" customHeight="1" spans="1:7">
      <c r="A1922" s="113" t="s">
        <v>333</v>
      </c>
      <c r="B1922" s="113" t="s">
        <v>334</v>
      </c>
      <c r="C1922" s="113" t="s">
        <v>335</v>
      </c>
      <c r="D1922" s="113" t="s">
        <v>336</v>
      </c>
      <c r="E1922" s="113" t="s">
        <v>337</v>
      </c>
      <c r="F1922" s="113" t="s">
        <v>338</v>
      </c>
      <c r="G1922" s="113" t="s">
        <v>339</v>
      </c>
    </row>
    <row r="1923" customHeight="1" spans="1:7">
      <c r="A1923" s="113">
        <f>领料单!Q194</f>
        <v>0</v>
      </c>
      <c r="B1923" s="113">
        <f>领料单!R194</f>
        <v>0</v>
      </c>
      <c r="C1923" s="113">
        <f>领料单!S194</f>
        <v>0</v>
      </c>
      <c r="D1923" s="113">
        <f>领料单!T194</f>
        <v>0</v>
      </c>
      <c r="E1923" s="113">
        <f>领料单!U194</f>
        <v>0</v>
      </c>
      <c r="F1923" s="113">
        <f>领料单!V194</f>
        <v>0</v>
      </c>
      <c r="G1923" s="113"/>
    </row>
    <row r="1924" customHeight="1" spans="1:7">
      <c r="A1924" s="113">
        <f>领料单!Q195</f>
        <v>0</v>
      </c>
      <c r="B1924" s="113">
        <f>领料单!R195</f>
        <v>0</v>
      </c>
      <c r="C1924" s="113">
        <f>领料单!S195</f>
        <v>0</v>
      </c>
      <c r="D1924" s="113">
        <f>领料单!T195</f>
        <v>0</v>
      </c>
      <c r="E1924" s="113">
        <f>领料单!U195</f>
        <v>0</v>
      </c>
      <c r="F1924" s="113">
        <f>领料单!V195</f>
        <v>0</v>
      </c>
      <c r="G1924" s="113"/>
    </row>
    <row r="1925" customHeight="1" spans="1:7">
      <c r="A1925" s="113">
        <f>领料单!Q196</f>
        <v>0</v>
      </c>
      <c r="B1925" s="113">
        <f>领料单!R196</f>
        <v>0</v>
      </c>
      <c r="C1925" s="113">
        <f>领料单!S196</f>
        <v>0</v>
      </c>
      <c r="D1925" s="113">
        <f>领料单!T196</f>
        <v>0</v>
      </c>
      <c r="E1925" s="113">
        <f>领料单!U196</f>
        <v>0</v>
      </c>
      <c r="F1925" s="113">
        <f>领料单!V196</f>
        <v>0</v>
      </c>
      <c r="G1925" s="113"/>
    </row>
    <row r="1926" customHeight="1" spans="1:7">
      <c r="A1926" s="113">
        <f>领料单!Q197</f>
        <v>0</v>
      </c>
      <c r="B1926" s="113">
        <f>领料单!R197</f>
        <v>0</v>
      </c>
      <c r="C1926" s="113">
        <f>领料单!S197</f>
        <v>0</v>
      </c>
      <c r="D1926" s="113">
        <f>领料单!T197</f>
        <v>0</v>
      </c>
      <c r="E1926" s="113">
        <f>领料单!U197</f>
        <v>0</v>
      </c>
      <c r="F1926" s="113">
        <f>领料单!V197</f>
        <v>0</v>
      </c>
      <c r="G1926" s="113"/>
    </row>
    <row r="1927" customHeight="1" spans="1:7">
      <c r="A1927" s="113">
        <f>领料单!Q198</f>
        <v>0</v>
      </c>
      <c r="B1927" s="113">
        <f>领料单!R198</f>
        <v>0</v>
      </c>
      <c r="C1927" s="113">
        <f>领料单!S198</f>
        <v>0</v>
      </c>
      <c r="D1927" s="113">
        <f>领料单!T198</f>
        <v>0</v>
      </c>
      <c r="E1927" s="113">
        <f>领料单!U198</f>
        <v>0</v>
      </c>
      <c r="F1927" s="113">
        <f>领料单!V198</f>
        <v>0</v>
      </c>
      <c r="G1927" s="113"/>
    </row>
    <row r="1928" customHeight="1" spans="1:7">
      <c r="A1928" s="113">
        <f>领料单!Q199</f>
        <v>0</v>
      </c>
      <c r="B1928" s="113">
        <f>领料单!R199</f>
        <v>0</v>
      </c>
      <c r="C1928" s="113">
        <f>领料单!S199</f>
        <v>0</v>
      </c>
      <c r="D1928" s="113">
        <f>领料单!T199</f>
        <v>0</v>
      </c>
      <c r="E1928" s="113">
        <f>领料单!U199</f>
        <v>0</v>
      </c>
      <c r="F1928" s="113">
        <f>领料单!V199</f>
        <v>0</v>
      </c>
      <c r="G1928" s="113"/>
    </row>
    <row r="1929" customHeight="1" spans="1:7">
      <c r="A1929" s="113">
        <f>领料单!Q200</f>
        <v>0</v>
      </c>
      <c r="B1929" s="113">
        <f>领料单!R200</f>
        <v>0</v>
      </c>
      <c r="C1929" s="113">
        <f>领料单!S200</f>
        <v>0</v>
      </c>
      <c r="D1929" s="113">
        <f>领料单!T200</f>
        <v>0</v>
      </c>
      <c r="E1929" s="113">
        <f>领料单!U200</f>
        <v>0</v>
      </c>
      <c r="F1929" s="113">
        <f>领料单!V200</f>
        <v>0</v>
      </c>
      <c r="G1929" s="113"/>
    </row>
    <row r="1930" customHeight="1" spans="1:7">
      <c r="A1930" s="113">
        <f>领料单!Q201</f>
        <v>0</v>
      </c>
      <c r="B1930" s="113">
        <f>领料单!R201</f>
        <v>0</v>
      </c>
      <c r="C1930" s="113">
        <f>领料单!S201</f>
        <v>0</v>
      </c>
      <c r="D1930" s="113">
        <f>领料单!T201</f>
        <v>0</v>
      </c>
      <c r="E1930" s="113">
        <f>领料单!U201</f>
        <v>0</v>
      </c>
      <c r="F1930" s="113">
        <f>领料单!V201</f>
        <v>0</v>
      </c>
      <c r="G1930" s="113"/>
    </row>
    <row r="1931" customHeight="1" spans="1:7">
      <c r="A1931" s="113">
        <f>领料单!Q202</f>
        <v>0</v>
      </c>
      <c r="B1931" s="113">
        <f>领料单!R202</f>
        <v>0</v>
      </c>
      <c r="C1931" s="113">
        <f>领料单!S202</f>
        <v>0</v>
      </c>
      <c r="D1931" s="113">
        <f>领料单!T202</f>
        <v>0</v>
      </c>
      <c r="E1931" s="113">
        <f>领料单!U202</f>
        <v>0</v>
      </c>
      <c r="F1931" s="113">
        <f>领料单!V202</f>
        <v>0</v>
      </c>
      <c r="G1931" s="113"/>
    </row>
    <row r="1932" customHeight="1" spans="1:7">
      <c r="A1932" s="113">
        <f>领料单!Q203</f>
        <v>0</v>
      </c>
      <c r="B1932" s="113">
        <f>领料单!R203</f>
        <v>0</v>
      </c>
      <c r="C1932" s="113">
        <f>领料单!S203</f>
        <v>0</v>
      </c>
      <c r="D1932" s="113">
        <f>领料单!T203</f>
        <v>0</v>
      </c>
      <c r="E1932" s="113">
        <f>领料单!U203</f>
        <v>0</v>
      </c>
      <c r="F1932" s="113">
        <f>领料单!V203</f>
        <v>0</v>
      </c>
      <c r="G1932" s="113"/>
    </row>
    <row r="1933" customHeight="1" spans="1:7">
      <c r="A1933" s="113">
        <f>领料单!Q204</f>
        <v>0</v>
      </c>
      <c r="B1933" s="113">
        <f>领料单!R204</f>
        <v>0</v>
      </c>
      <c r="C1933" s="113">
        <f>领料单!S204</f>
        <v>0</v>
      </c>
      <c r="D1933" s="113">
        <f>领料单!T204</f>
        <v>0</v>
      </c>
      <c r="E1933" s="113">
        <f>领料单!U204</f>
        <v>0</v>
      </c>
      <c r="F1933" s="113">
        <f>领料单!V204</f>
        <v>0</v>
      </c>
      <c r="G1933" s="113"/>
    </row>
    <row r="1934" customHeight="1" spans="1:7">
      <c r="A1934" s="113">
        <f>领料单!Q205</f>
        <v>0</v>
      </c>
      <c r="B1934" s="113">
        <f>领料单!R205</f>
        <v>0</v>
      </c>
      <c r="C1934" s="113">
        <f>领料单!S205</f>
        <v>0</v>
      </c>
      <c r="D1934" s="113">
        <f>领料单!T205</f>
        <v>0</v>
      </c>
      <c r="E1934" s="113">
        <f>领料单!U205</f>
        <v>0</v>
      </c>
      <c r="F1934" s="113">
        <f>领料单!V205</f>
        <v>0</v>
      </c>
      <c r="G1934" s="113"/>
    </row>
    <row r="1935" customHeight="1" spans="1:7">
      <c r="A1935" s="115" t="s">
        <v>340</v>
      </c>
      <c r="B1935" s="116"/>
      <c r="C1935" s="116"/>
      <c r="D1935" s="116"/>
      <c r="E1935" s="117"/>
      <c r="F1935" s="118">
        <f>SUM(F1923:F1934)</f>
        <v>0</v>
      </c>
      <c r="G1935" s="114"/>
    </row>
    <row r="1936" customHeight="1" spans="1:7">
      <c r="A1936" s="119" t="s">
        <v>341</v>
      </c>
      <c r="B1936" s="119"/>
      <c r="C1936" s="120"/>
      <c r="D1936" s="119"/>
      <c r="E1936" s="121" t="s">
        <v>342</v>
      </c>
      <c r="F1936" s="119"/>
      <c r="G1936" s="119"/>
    </row>
    <row r="1939" customHeight="1" spans="1:7">
      <c r="A1939" s="105"/>
      <c r="B1939" s="106"/>
      <c r="C1939" s="107" t="s">
        <v>330</v>
      </c>
      <c r="D1939" s="107"/>
      <c r="E1939" s="107"/>
      <c r="F1939" s="105"/>
      <c r="G1939" s="105"/>
    </row>
    <row r="1940" customHeight="1" spans="1:7">
      <c r="A1940" s="108" t="s">
        <v>331</v>
      </c>
      <c r="B1940" s="109"/>
      <c r="C1940" s="110">
        <v>45991</v>
      </c>
      <c r="D1940" s="110"/>
      <c r="E1940" s="110"/>
      <c r="F1940" s="111" t="s">
        <v>332</v>
      </c>
      <c r="G1940" s="112" t="str">
        <f>立项!$A$5</f>
        <v>RD03</v>
      </c>
    </row>
    <row r="1941" customHeight="1" spans="1:7">
      <c r="A1941" s="113" t="s">
        <v>333</v>
      </c>
      <c r="B1941" s="113" t="s">
        <v>334</v>
      </c>
      <c r="C1941" s="113" t="s">
        <v>335</v>
      </c>
      <c r="D1941" s="113" t="s">
        <v>336</v>
      </c>
      <c r="E1941" s="113" t="s">
        <v>337</v>
      </c>
      <c r="F1941" s="113" t="s">
        <v>338</v>
      </c>
      <c r="G1941" s="113" t="s">
        <v>339</v>
      </c>
    </row>
    <row r="1942" customHeight="1" spans="1:7">
      <c r="A1942" s="113">
        <f>领料单!Y194</f>
        <v>0</v>
      </c>
      <c r="B1942" s="113">
        <f>领料单!Z194</f>
        <v>0</v>
      </c>
      <c r="C1942" s="113">
        <f>领料单!AA194</f>
        <v>0</v>
      </c>
      <c r="D1942" s="113">
        <f>领料单!AB194</f>
        <v>0</v>
      </c>
      <c r="E1942" s="113">
        <f>领料单!AC194</f>
        <v>0</v>
      </c>
      <c r="F1942" s="113">
        <f>领料单!AD194</f>
        <v>0</v>
      </c>
      <c r="G1942" s="113"/>
    </row>
    <row r="1943" customHeight="1" spans="1:7">
      <c r="A1943" s="113">
        <f>领料单!Y195</f>
        <v>0</v>
      </c>
      <c r="B1943" s="113">
        <f>领料单!Z195</f>
        <v>0</v>
      </c>
      <c r="C1943" s="113">
        <f>领料单!AA195</f>
        <v>0</v>
      </c>
      <c r="D1943" s="113">
        <f>领料单!AB195</f>
        <v>0</v>
      </c>
      <c r="E1943" s="113">
        <f>领料单!AC195</f>
        <v>0</v>
      </c>
      <c r="F1943" s="113">
        <f>领料单!AD195</f>
        <v>0</v>
      </c>
      <c r="G1943" s="113"/>
    </row>
    <row r="1944" customHeight="1" spans="1:7">
      <c r="A1944" s="113">
        <f>领料单!Y196</f>
        <v>0</v>
      </c>
      <c r="B1944" s="113">
        <f>领料单!Z196</f>
        <v>0</v>
      </c>
      <c r="C1944" s="113">
        <f>领料单!AA196</f>
        <v>0</v>
      </c>
      <c r="D1944" s="113">
        <f>领料单!AB196</f>
        <v>0</v>
      </c>
      <c r="E1944" s="113">
        <f>领料单!AC196</f>
        <v>0</v>
      </c>
      <c r="F1944" s="113">
        <f>领料单!AD196</f>
        <v>0</v>
      </c>
      <c r="G1944" s="113"/>
    </row>
    <row r="1945" customHeight="1" spans="1:7">
      <c r="A1945" s="113">
        <f>领料单!Y197</f>
        <v>0</v>
      </c>
      <c r="B1945" s="113">
        <f>领料单!Z197</f>
        <v>0</v>
      </c>
      <c r="C1945" s="113">
        <f>领料单!AA197</f>
        <v>0</v>
      </c>
      <c r="D1945" s="113">
        <f>领料单!AB197</f>
        <v>0</v>
      </c>
      <c r="E1945" s="113">
        <f>领料单!AC197</f>
        <v>0</v>
      </c>
      <c r="F1945" s="113">
        <f>领料单!AD197</f>
        <v>0</v>
      </c>
      <c r="G1945" s="113"/>
    </row>
    <row r="1946" customHeight="1" spans="1:7">
      <c r="A1946" s="113">
        <f>领料单!Y198</f>
        <v>0</v>
      </c>
      <c r="B1946" s="113">
        <f>领料单!Z198</f>
        <v>0</v>
      </c>
      <c r="C1946" s="113">
        <f>领料单!AA198</f>
        <v>0</v>
      </c>
      <c r="D1946" s="113">
        <f>领料单!AB198</f>
        <v>0</v>
      </c>
      <c r="E1946" s="113">
        <f>领料单!AC198</f>
        <v>0</v>
      </c>
      <c r="F1946" s="113">
        <f>领料单!AD198</f>
        <v>0</v>
      </c>
      <c r="G1946" s="113"/>
    </row>
    <row r="1947" customHeight="1" spans="1:7">
      <c r="A1947" s="113">
        <f>领料单!Y199</f>
        <v>0</v>
      </c>
      <c r="B1947" s="113">
        <f>领料单!Z199</f>
        <v>0</v>
      </c>
      <c r="C1947" s="113">
        <f>领料单!AA199</f>
        <v>0</v>
      </c>
      <c r="D1947" s="113">
        <f>领料单!AB199</f>
        <v>0</v>
      </c>
      <c r="E1947" s="113">
        <f>领料单!AC199</f>
        <v>0</v>
      </c>
      <c r="F1947" s="113">
        <f>领料单!AD199</f>
        <v>0</v>
      </c>
      <c r="G1947" s="113"/>
    </row>
    <row r="1948" customHeight="1" spans="1:7">
      <c r="A1948" s="113">
        <f>领料单!Y200</f>
        <v>0</v>
      </c>
      <c r="B1948" s="113">
        <f>领料单!Z200</f>
        <v>0</v>
      </c>
      <c r="C1948" s="113">
        <f>领料单!AA200</f>
        <v>0</v>
      </c>
      <c r="D1948" s="113">
        <f>领料单!AB200</f>
        <v>0</v>
      </c>
      <c r="E1948" s="113">
        <f>领料单!AC200</f>
        <v>0</v>
      </c>
      <c r="F1948" s="113">
        <f>领料单!AD200</f>
        <v>0</v>
      </c>
      <c r="G1948" s="113"/>
    </row>
    <row r="1949" customHeight="1" spans="1:7">
      <c r="A1949" s="113">
        <f>领料单!Y201</f>
        <v>0</v>
      </c>
      <c r="B1949" s="113">
        <f>领料单!Z201</f>
        <v>0</v>
      </c>
      <c r="C1949" s="113">
        <f>领料单!AA201</f>
        <v>0</v>
      </c>
      <c r="D1949" s="113">
        <f>领料单!AB201</f>
        <v>0</v>
      </c>
      <c r="E1949" s="113">
        <f>领料单!AC201</f>
        <v>0</v>
      </c>
      <c r="F1949" s="113">
        <f>领料单!AD201</f>
        <v>0</v>
      </c>
      <c r="G1949" s="113"/>
    </row>
    <row r="1950" customHeight="1" spans="1:7">
      <c r="A1950" s="113">
        <f>领料单!Y202</f>
        <v>0</v>
      </c>
      <c r="B1950" s="113">
        <f>领料单!Z202</f>
        <v>0</v>
      </c>
      <c r="C1950" s="113">
        <f>领料单!AA202</f>
        <v>0</v>
      </c>
      <c r="D1950" s="113">
        <f>领料单!AB202</f>
        <v>0</v>
      </c>
      <c r="E1950" s="113">
        <f>领料单!AC202</f>
        <v>0</v>
      </c>
      <c r="F1950" s="113">
        <f>领料单!AD202</f>
        <v>0</v>
      </c>
      <c r="G1950" s="113"/>
    </row>
    <row r="1951" customHeight="1" spans="1:7">
      <c r="A1951" s="113">
        <f>领料单!Y203</f>
        <v>0</v>
      </c>
      <c r="B1951" s="113">
        <f>领料单!Z203</f>
        <v>0</v>
      </c>
      <c r="C1951" s="113">
        <f>领料单!AA203</f>
        <v>0</v>
      </c>
      <c r="D1951" s="113">
        <f>领料单!AB203</f>
        <v>0</v>
      </c>
      <c r="E1951" s="113">
        <f>领料单!AC203</f>
        <v>0</v>
      </c>
      <c r="F1951" s="113">
        <f>领料单!AD203</f>
        <v>0</v>
      </c>
      <c r="G1951" s="113"/>
    </row>
    <row r="1952" customHeight="1" spans="1:7">
      <c r="A1952" s="113">
        <f>领料单!Y204</f>
        <v>0</v>
      </c>
      <c r="B1952" s="113">
        <f>领料单!Z204</f>
        <v>0</v>
      </c>
      <c r="C1952" s="113">
        <f>领料单!AA204</f>
        <v>0</v>
      </c>
      <c r="D1952" s="113">
        <f>领料单!AB204</f>
        <v>0</v>
      </c>
      <c r="E1952" s="113">
        <f>领料单!AC204</f>
        <v>0</v>
      </c>
      <c r="F1952" s="113">
        <f>领料单!AD204</f>
        <v>0</v>
      </c>
      <c r="G1952" s="113"/>
    </row>
    <row r="1953" customHeight="1" spans="1:7">
      <c r="A1953" s="113">
        <f>领料单!Y205</f>
        <v>0</v>
      </c>
      <c r="B1953" s="113">
        <f>领料单!Z205</f>
        <v>0</v>
      </c>
      <c r="C1953" s="113">
        <f>领料单!AA205</f>
        <v>0</v>
      </c>
      <c r="D1953" s="113">
        <f>领料单!AB205</f>
        <v>0</v>
      </c>
      <c r="E1953" s="113">
        <f>领料单!AC205</f>
        <v>0</v>
      </c>
      <c r="F1953" s="113">
        <f>领料单!AD205</f>
        <v>0</v>
      </c>
      <c r="G1953" s="113"/>
    </row>
    <row r="1954" customHeight="1" spans="1:7">
      <c r="A1954" s="115" t="s">
        <v>340</v>
      </c>
      <c r="B1954" s="116"/>
      <c r="C1954" s="116"/>
      <c r="D1954" s="116"/>
      <c r="E1954" s="117"/>
      <c r="F1954" s="118">
        <f>SUM(F1942:F1953)</f>
        <v>0</v>
      </c>
      <c r="G1954" s="114"/>
    </row>
    <row r="1955" customHeight="1" spans="1:7">
      <c r="A1955" s="119" t="s">
        <v>341</v>
      </c>
      <c r="B1955" s="119"/>
      <c r="C1955" s="120"/>
      <c r="D1955" s="119"/>
      <c r="E1955" s="121" t="s">
        <v>342</v>
      </c>
      <c r="F1955" s="119"/>
      <c r="G1955" s="119"/>
    </row>
    <row r="1958" customHeight="1" spans="1:7">
      <c r="A1958" s="105"/>
      <c r="B1958" s="106"/>
      <c r="C1958" s="107" t="s">
        <v>330</v>
      </c>
      <c r="D1958" s="107"/>
      <c r="E1958" s="107"/>
      <c r="F1958" s="105"/>
      <c r="G1958" s="105"/>
    </row>
    <row r="1959" customHeight="1" spans="1:7">
      <c r="A1959" s="108" t="s">
        <v>331</v>
      </c>
      <c r="B1959" s="109"/>
      <c r="C1959" s="110">
        <v>45991</v>
      </c>
      <c r="D1959" s="110"/>
      <c r="E1959" s="110"/>
      <c r="F1959" s="111" t="s">
        <v>332</v>
      </c>
      <c r="G1959" s="112" t="str">
        <f>立项!$A$6</f>
        <v>RD04</v>
      </c>
    </row>
    <row r="1960" customHeight="1" spans="1:7">
      <c r="A1960" s="113" t="s">
        <v>333</v>
      </c>
      <c r="B1960" s="113" t="s">
        <v>334</v>
      </c>
      <c r="C1960" s="113" t="s">
        <v>335</v>
      </c>
      <c r="D1960" s="113" t="s">
        <v>336</v>
      </c>
      <c r="E1960" s="113" t="s">
        <v>337</v>
      </c>
      <c r="F1960" s="113" t="s">
        <v>338</v>
      </c>
      <c r="G1960" s="113" t="s">
        <v>339</v>
      </c>
    </row>
    <row r="1961" customHeight="1" spans="1:7">
      <c r="A1961" s="113">
        <f>领料单!AG194</f>
        <v>0</v>
      </c>
      <c r="B1961" s="113">
        <f>领料单!AH194</f>
        <v>0</v>
      </c>
      <c r="C1961" s="113">
        <f>领料单!AI194</f>
        <v>0</v>
      </c>
      <c r="D1961" s="113">
        <f>领料单!AJ194</f>
        <v>0</v>
      </c>
      <c r="E1961" s="113">
        <f>领料单!AK194</f>
        <v>0</v>
      </c>
      <c r="F1961" s="113">
        <f>领料单!AL194</f>
        <v>0</v>
      </c>
      <c r="G1961" s="113"/>
    </row>
    <row r="1962" customHeight="1" spans="1:7">
      <c r="A1962" s="113">
        <f>领料单!AG195</f>
        <v>0</v>
      </c>
      <c r="B1962" s="113">
        <f>领料单!AH195</f>
        <v>0</v>
      </c>
      <c r="C1962" s="113">
        <f>领料单!AI195</f>
        <v>0</v>
      </c>
      <c r="D1962" s="113">
        <f>领料单!AJ195</f>
        <v>0</v>
      </c>
      <c r="E1962" s="113">
        <f>领料单!AK195</f>
        <v>0</v>
      </c>
      <c r="F1962" s="113">
        <f>领料单!AL195</f>
        <v>0</v>
      </c>
      <c r="G1962" s="113"/>
    </row>
    <row r="1963" customHeight="1" spans="1:7">
      <c r="A1963" s="113">
        <f>领料单!AG196</f>
        <v>0</v>
      </c>
      <c r="B1963" s="113">
        <f>领料单!AH196</f>
        <v>0</v>
      </c>
      <c r="C1963" s="113">
        <f>领料单!AI196</f>
        <v>0</v>
      </c>
      <c r="D1963" s="113">
        <f>领料单!AJ196</f>
        <v>0</v>
      </c>
      <c r="E1963" s="113">
        <f>领料单!AK196</f>
        <v>0</v>
      </c>
      <c r="F1963" s="113">
        <f>领料单!AL196</f>
        <v>0</v>
      </c>
      <c r="G1963" s="113"/>
    </row>
    <row r="1964" customHeight="1" spans="1:7">
      <c r="A1964" s="113">
        <f>领料单!AG197</f>
        <v>0</v>
      </c>
      <c r="B1964" s="113">
        <f>领料单!AH197</f>
        <v>0</v>
      </c>
      <c r="C1964" s="113">
        <f>领料单!AI197</f>
        <v>0</v>
      </c>
      <c r="D1964" s="113">
        <f>领料单!AJ197</f>
        <v>0</v>
      </c>
      <c r="E1964" s="113">
        <f>领料单!AK197</f>
        <v>0</v>
      </c>
      <c r="F1964" s="113">
        <f>领料单!AL197</f>
        <v>0</v>
      </c>
      <c r="G1964" s="113"/>
    </row>
    <row r="1965" customHeight="1" spans="1:7">
      <c r="A1965" s="113">
        <f>领料单!AG198</f>
        <v>0</v>
      </c>
      <c r="B1965" s="113">
        <f>领料单!AH198</f>
        <v>0</v>
      </c>
      <c r="C1965" s="113">
        <f>领料单!AI198</f>
        <v>0</v>
      </c>
      <c r="D1965" s="113">
        <f>领料单!AJ198</f>
        <v>0</v>
      </c>
      <c r="E1965" s="113">
        <f>领料单!AK198</f>
        <v>0</v>
      </c>
      <c r="F1965" s="113">
        <f>领料单!AL198</f>
        <v>0</v>
      </c>
      <c r="G1965" s="113"/>
    </row>
    <row r="1966" customHeight="1" spans="1:7">
      <c r="A1966" s="113">
        <f>领料单!AG199</f>
        <v>0</v>
      </c>
      <c r="B1966" s="113">
        <f>领料单!AH199</f>
        <v>0</v>
      </c>
      <c r="C1966" s="113">
        <f>领料单!AI199</f>
        <v>0</v>
      </c>
      <c r="D1966" s="113">
        <f>领料单!AJ199</f>
        <v>0</v>
      </c>
      <c r="E1966" s="113">
        <f>领料单!AK199</f>
        <v>0</v>
      </c>
      <c r="F1966" s="113">
        <f>领料单!AL199</f>
        <v>0</v>
      </c>
      <c r="G1966" s="113"/>
    </row>
    <row r="1967" customHeight="1" spans="1:7">
      <c r="A1967" s="113">
        <f>领料单!AG200</f>
        <v>0</v>
      </c>
      <c r="B1967" s="113">
        <f>领料单!AH200</f>
        <v>0</v>
      </c>
      <c r="C1967" s="113">
        <f>领料单!AI200</f>
        <v>0</v>
      </c>
      <c r="D1967" s="113">
        <f>领料单!AJ200</f>
        <v>0</v>
      </c>
      <c r="E1967" s="113">
        <f>领料单!AK200</f>
        <v>0</v>
      </c>
      <c r="F1967" s="113">
        <f>领料单!AL200</f>
        <v>0</v>
      </c>
      <c r="G1967" s="113"/>
    </row>
    <row r="1968" customHeight="1" spans="1:7">
      <c r="A1968" s="113">
        <f>领料单!AG201</f>
        <v>0</v>
      </c>
      <c r="B1968" s="113">
        <f>领料单!AH201</f>
        <v>0</v>
      </c>
      <c r="C1968" s="113">
        <f>领料单!AI201</f>
        <v>0</v>
      </c>
      <c r="D1968" s="113">
        <f>领料单!AJ201</f>
        <v>0</v>
      </c>
      <c r="E1968" s="113">
        <f>领料单!AK201</f>
        <v>0</v>
      </c>
      <c r="F1968" s="113">
        <f>领料单!AL201</f>
        <v>0</v>
      </c>
      <c r="G1968" s="113"/>
    </row>
    <row r="1969" customHeight="1" spans="1:7">
      <c r="A1969" s="113">
        <f>领料单!AG202</f>
        <v>0</v>
      </c>
      <c r="B1969" s="113">
        <f>领料单!AH202</f>
        <v>0</v>
      </c>
      <c r="C1969" s="113">
        <f>领料单!AI202</f>
        <v>0</v>
      </c>
      <c r="D1969" s="113">
        <f>领料单!AJ202</f>
        <v>0</v>
      </c>
      <c r="E1969" s="113">
        <f>领料单!AK202</f>
        <v>0</v>
      </c>
      <c r="F1969" s="113">
        <f>领料单!AL202</f>
        <v>0</v>
      </c>
      <c r="G1969" s="113"/>
    </row>
    <row r="1970" customHeight="1" spans="1:7">
      <c r="A1970" s="113">
        <f>领料单!AG203</f>
        <v>0</v>
      </c>
      <c r="B1970" s="113">
        <f>领料单!AH203</f>
        <v>0</v>
      </c>
      <c r="C1970" s="113">
        <f>领料单!AI203</f>
        <v>0</v>
      </c>
      <c r="D1970" s="113">
        <f>领料单!AJ203</f>
        <v>0</v>
      </c>
      <c r="E1970" s="113">
        <f>领料单!AK203</f>
        <v>0</v>
      </c>
      <c r="F1970" s="113">
        <f>领料单!AL203</f>
        <v>0</v>
      </c>
      <c r="G1970" s="113"/>
    </row>
    <row r="1971" customHeight="1" spans="1:7">
      <c r="A1971" s="113">
        <f>领料单!AG204</f>
        <v>0</v>
      </c>
      <c r="B1971" s="113">
        <f>领料单!AH204</f>
        <v>0</v>
      </c>
      <c r="C1971" s="113">
        <f>领料单!AI204</f>
        <v>0</v>
      </c>
      <c r="D1971" s="113">
        <f>领料单!AJ204</f>
        <v>0</v>
      </c>
      <c r="E1971" s="113">
        <f>领料单!AK204</f>
        <v>0</v>
      </c>
      <c r="F1971" s="113">
        <f>领料单!AL204</f>
        <v>0</v>
      </c>
      <c r="G1971" s="113"/>
    </row>
    <row r="1972" customHeight="1" spans="1:7">
      <c r="A1972" s="113">
        <f>领料单!AG205</f>
        <v>0</v>
      </c>
      <c r="B1972" s="113">
        <f>领料单!AH205</f>
        <v>0</v>
      </c>
      <c r="C1972" s="113">
        <f>领料单!AI205</f>
        <v>0</v>
      </c>
      <c r="D1972" s="113">
        <f>领料单!AJ205</f>
        <v>0</v>
      </c>
      <c r="E1972" s="113">
        <f>领料单!AK205</f>
        <v>0</v>
      </c>
      <c r="F1972" s="113">
        <f>领料单!AL205</f>
        <v>0</v>
      </c>
      <c r="G1972" s="113"/>
    </row>
    <row r="1973" customHeight="1" spans="1:7">
      <c r="A1973" s="115" t="s">
        <v>340</v>
      </c>
      <c r="B1973" s="116"/>
      <c r="C1973" s="116"/>
      <c r="D1973" s="116"/>
      <c r="E1973" s="117"/>
      <c r="F1973" s="118">
        <f>SUM(F1961:F1972)</f>
        <v>0</v>
      </c>
      <c r="G1973" s="114"/>
    </row>
    <row r="1974" customHeight="1" spans="1:7">
      <c r="A1974" s="119" t="s">
        <v>341</v>
      </c>
      <c r="B1974" s="119"/>
      <c r="C1974" s="120"/>
      <c r="D1974" s="119"/>
      <c r="E1974" s="121" t="s">
        <v>342</v>
      </c>
      <c r="F1974" s="119"/>
      <c r="G1974" s="119"/>
    </row>
    <row r="1977" customHeight="1" spans="1:7">
      <c r="A1977" s="105"/>
      <c r="B1977" s="106"/>
      <c r="C1977" s="107" t="s">
        <v>330</v>
      </c>
      <c r="D1977" s="107"/>
      <c r="E1977" s="107"/>
      <c r="F1977" s="105"/>
      <c r="G1977" s="105"/>
    </row>
    <row r="1978" customHeight="1" spans="1:7">
      <c r="A1978" s="108" t="s">
        <v>331</v>
      </c>
      <c r="B1978" s="109"/>
      <c r="C1978" s="110">
        <v>45991</v>
      </c>
      <c r="D1978" s="110"/>
      <c r="E1978" s="110"/>
      <c r="F1978" s="111" t="s">
        <v>332</v>
      </c>
      <c r="G1978" s="112" t="str">
        <f>立项!$A$7</f>
        <v>RD05</v>
      </c>
    </row>
    <row r="1979" customHeight="1" spans="1:7">
      <c r="A1979" s="113" t="s">
        <v>333</v>
      </c>
      <c r="B1979" s="113" t="s">
        <v>334</v>
      </c>
      <c r="C1979" s="113" t="s">
        <v>335</v>
      </c>
      <c r="D1979" s="113" t="s">
        <v>336</v>
      </c>
      <c r="E1979" s="113" t="s">
        <v>337</v>
      </c>
      <c r="F1979" s="113" t="s">
        <v>338</v>
      </c>
      <c r="G1979" s="113" t="s">
        <v>339</v>
      </c>
    </row>
    <row r="1980" customHeight="1" spans="1:7">
      <c r="A1980" s="113">
        <f>领料单!AO194</f>
        <v>0</v>
      </c>
      <c r="B1980" s="113">
        <f>领料单!AP194</f>
        <v>0</v>
      </c>
      <c r="C1980" s="113">
        <f>领料单!AQ194</f>
        <v>0</v>
      </c>
      <c r="D1980" s="113">
        <f>领料单!AR194</f>
        <v>0</v>
      </c>
      <c r="E1980" s="113">
        <f>领料单!AS194</f>
        <v>0</v>
      </c>
      <c r="F1980" s="113">
        <f>领料单!AT194</f>
        <v>0</v>
      </c>
      <c r="G1980" s="113"/>
    </row>
    <row r="1981" customHeight="1" spans="1:7">
      <c r="A1981" s="113">
        <f>领料单!AO195</f>
        <v>0</v>
      </c>
      <c r="B1981" s="113">
        <f>领料单!AP195</f>
        <v>0</v>
      </c>
      <c r="C1981" s="113">
        <f>领料单!AQ195</f>
        <v>0</v>
      </c>
      <c r="D1981" s="113">
        <f>领料单!AR195</f>
        <v>0</v>
      </c>
      <c r="E1981" s="113">
        <f>领料单!AS195</f>
        <v>0</v>
      </c>
      <c r="F1981" s="113">
        <f>领料单!AT195</f>
        <v>0</v>
      </c>
      <c r="G1981" s="113"/>
    </row>
    <row r="1982" customHeight="1" spans="1:7">
      <c r="A1982" s="113">
        <f>领料单!AO196</f>
        <v>0</v>
      </c>
      <c r="B1982" s="113">
        <f>领料单!AP196</f>
        <v>0</v>
      </c>
      <c r="C1982" s="113">
        <f>领料单!AQ196</f>
        <v>0</v>
      </c>
      <c r="D1982" s="113">
        <f>领料单!AR196</f>
        <v>0</v>
      </c>
      <c r="E1982" s="113">
        <f>领料单!AS196</f>
        <v>0</v>
      </c>
      <c r="F1982" s="113">
        <f>领料单!AT196</f>
        <v>0</v>
      </c>
      <c r="G1982" s="113"/>
    </row>
    <row r="1983" customHeight="1" spans="1:7">
      <c r="A1983" s="113">
        <f>领料单!AO197</f>
        <v>0</v>
      </c>
      <c r="B1983" s="113">
        <f>领料单!AP197</f>
        <v>0</v>
      </c>
      <c r="C1983" s="113">
        <f>领料单!AQ197</f>
        <v>0</v>
      </c>
      <c r="D1983" s="113">
        <f>领料单!AR197</f>
        <v>0</v>
      </c>
      <c r="E1983" s="113">
        <f>领料单!AS197</f>
        <v>0</v>
      </c>
      <c r="F1983" s="113">
        <f>领料单!AT197</f>
        <v>0</v>
      </c>
      <c r="G1983" s="113"/>
    </row>
    <row r="1984" customHeight="1" spans="1:7">
      <c r="A1984" s="113">
        <f>领料单!AO198</f>
        <v>0</v>
      </c>
      <c r="B1984" s="113">
        <f>领料单!AP198</f>
        <v>0</v>
      </c>
      <c r="C1984" s="113">
        <f>领料单!AQ198</f>
        <v>0</v>
      </c>
      <c r="D1984" s="113">
        <f>领料单!AR198</f>
        <v>0</v>
      </c>
      <c r="E1984" s="113">
        <f>领料单!AS198</f>
        <v>0</v>
      </c>
      <c r="F1984" s="113">
        <f>领料单!AT198</f>
        <v>0</v>
      </c>
      <c r="G1984" s="113"/>
    </row>
    <row r="1985" customHeight="1" spans="1:7">
      <c r="A1985" s="113">
        <f>领料单!AO199</f>
        <v>0</v>
      </c>
      <c r="B1985" s="113">
        <f>领料单!AP199</f>
        <v>0</v>
      </c>
      <c r="C1985" s="113">
        <f>领料单!AQ199</f>
        <v>0</v>
      </c>
      <c r="D1985" s="113">
        <f>领料单!AR199</f>
        <v>0</v>
      </c>
      <c r="E1985" s="113">
        <f>领料单!AS199</f>
        <v>0</v>
      </c>
      <c r="F1985" s="113">
        <f>领料单!AT199</f>
        <v>0</v>
      </c>
      <c r="G1985" s="113"/>
    </row>
    <row r="1986" customHeight="1" spans="1:7">
      <c r="A1986" s="113">
        <f>领料单!AO200</f>
        <v>0</v>
      </c>
      <c r="B1986" s="113">
        <f>领料单!AP200</f>
        <v>0</v>
      </c>
      <c r="C1986" s="113">
        <f>领料单!AQ200</f>
        <v>0</v>
      </c>
      <c r="D1986" s="113">
        <f>领料单!AR200</f>
        <v>0</v>
      </c>
      <c r="E1986" s="113">
        <f>领料单!AS200</f>
        <v>0</v>
      </c>
      <c r="F1986" s="113">
        <f>领料单!AT200</f>
        <v>0</v>
      </c>
      <c r="G1986" s="113"/>
    </row>
    <row r="1987" customHeight="1" spans="1:7">
      <c r="A1987" s="113">
        <f>领料单!AO201</f>
        <v>0</v>
      </c>
      <c r="B1987" s="113">
        <f>领料单!AP201</f>
        <v>0</v>
      </c>
      <c r="C1987" s="113">
        <f>领料单!AQ201</f>
        <v>0</v>
      </c>
      <c r="D1987" s="113">
        <f>领料单!AR201</f>
        <v>0</v>
      </c>
      <c r="E1987" s="113">
        <f>领料单!AS201</f>
        <v>0</v>
      </c>
      <c r="F1987" s="113">
        <f>领料单!AT201</f>
        <v>0</v>
      </c>
      <c r="G1987" s="113"/>
    </row>
    <row r="1988" customHeight="1" spans="1:7">
      <c r="A1988" s="113">
        <f>领料单!AO202</f>
        <v>0</v>
      </c>
      <c r="B1988" s="113">
        <f>领料单!AP202</f>
        <v>0</v>
      </c>
      <c r="C1988" s="113">
        <f>领料单!AQ202</f>
        <v>0</v>
      </c>
      <c r="D1988" s="113">
        <f>领料单!AR202</f>
        <v>0</v>
      </c>
      <c r="E1988" s="113">
        <f>领料单!AS202</f>
        <v>0</v>
      </c>
      <c r="F1988" s="113">
        <f>领料单!AT202</f>
        <v>0</v>
      </c>
      <c r="G1988" s="113"/>
    </row>
    <row r="1989" customHeight="1" spans="1:7">
      <c r="A1989" s="113">
        <f>领料单!AO203</f>
        <v>0</v>
      </c>
      <c r="B1989" s="113">
        <f>领料单!AP203</f>
        <v>0</v>
      </c>
      <c r="C1989" s="113">
        <f>领料单!AQ203</f>
        <v>0</v>
      </c>
      <c r="D1989" s="113">
        <f>领料单!AR203</f>
        <v>0</v>
      </c>
      <c r="E1989" s="113">
        <f>领料单!AS203</f>
        <v>0</v>
      </c>
      <c r="F1989" s="113">
        <f>领料单!AT203</f>
        <v>0</v>
      </c>
      <c r="G1989" s="113"/>
    </row>
    <row r="1990" customHeight="1" spans="1:7">
      <c r="A1990" s="113">
        <f>领料单!AO204</f>
        <v>0</v>
      </c>
      <c r="B1990" s="113">
        <f>领料单!AP204</f>
        <v>0</v>
      </c>
      <c r="C1990" s="113">
        <f>领料单!AQ204</f>
        <v>0</v>
      </c>
      <c r="D1990" s="113">
        <f>领料单!AR204</f>
        <v>0</v>
      </c>
      <c r="E1990" s="113">
        <f>领料单!AS204</f>
        <v>0</v>
      </c>
      <c r="F1990" s="113">
        <f>领料单!AT204</f>
        <v>0</v>
      </c>
      <c r="G1990" s="113"/>
    </row>
    <row r="1991" customHeight="1" spans="1:7">
      <c r="A1991" s="113">
        <f>领料单!AO205</f>
        <v>0</v>
      </c>
      <c r="B1991" s="113">
        <f>领料单!AP205</f>
        <v>0</v>
      </c>
      <c r="C1991" s="113">
        <f>领料单!AQ205</f>
        <v>0</v>
      </c>
      <c r="D1991" s="113">
        <f>领料单!AR205</f>
        <v>0</v>
      </c>
      <c r="E1991" s="113">
        <f>领料单!AS205</f>
        <v>0</v>
      </c>
      <c r="F1991" s="113">
        <f>领料单!AT205</f>
        <v>0</v>
      </c>
      <c r="G1991" s="113"/>
    </row>
    <row r="1992" customHeight="1" spans="1:7">
      <c r="A1992" s="115" t="s">
        <v>340</v>
      </c>
      <c r="B1992" s="116"/>
      <c r="C1992" s="116"/>
      <c r="D1992" s="116"/>
      <c r="E1992" s="117"/>
      <c r="F1992" s="118">
        <f>SUM(F1980:F1991)</f>
        <v>0</v>
      </c>
      <c r="G1992" s="114"/>
    </row>
    <row r="1993" customHeight="1" spans="1:7">
      <c r="A1993" s="119" t="s">
        <v>341</v>
      </c>
      <c r="B1993" s="119"/>
      <c r="C1993" s="120"/>
      <c r="D1993" s="119"/>
      <c r="E1993" s="121" t="s">
        <v>342</v>
      </c>
      <c r="F1993" s="119"/>
      <c r="G1993" s="119"/>
    </row>
    <row r="1996" customHeight="1" spans="1:7">
      <c r="A1996" s="105"/>
      <c r="B1996" s="106"/>
      <c r="C1996" s="107" t="s">
        <v>330</v>
      </c>
      <c r="D1996" s="107"/>
      <c r="E1996" s="107"/>
      <c r="F1996" s="105"/>
      <c r="G1996" s="105"/>
    </row>
    <row r="1997" customHeight="1" spans="1:7">
      <c r="A1997" s="108" t="s">
        <v>331</v>
      </c>
      <c r="B1997" s="109"/>
      <c r="C1997" s="110">
        <v>45991</v>
      </c>
      <c r="D1997" s="110"/>
      <c r="E1997" s="110"/>
      <c r="F1997" s="111" t="s">
        <v>332</v>
      </c>
      <c r="G1997" s="112" t="str">
        <f>立项!$A$8</f>
        <v>RD06</v>
      </c>
    </row>
    <row r="1998" customHeight="1" spans="1:7">
      <c r="A1998" s="113" t="s">
        <v>333</v>
      </c>
      <c r="B1998" s="113" t="s">
        <v>334</v>
      </c>
      <c r="C1998" s="113" t="s">
        <v>335</v>
      </c>
      <c r="D1998" s="113" t="s">
        <v>336</v>
      </c>
      <c r="E1998" s="113" t="s">
        <v>337</v>
      </c>
      <c r="F1998" s="113" t="s">
        <v>338</v>
      </c>
      <c r="G1998" s="113" t="s">
        <v>339</v>
      </c>
    </row>
    <row r="1999" customHeight="1" spans="1:7">
      <c r="A1999" s="113">
        <f>领料单!AW194</f>
        <v>0</v>
      </c>
      <c r="B1999" s="113">
        <f>领料单!AX194</f>
        <v>0</v>
      </c>
      <c r="C1999" s="113">
        <f>领料单!AY194</f>
        <v>0</v>
      </c>
      <c r="D1999" s="113">
        <f>领料单!AZ194</f>
        <v>0</v>
      </c>
      <c r="E1999" s="113">
        <f>领料单!BA194</f>
        <v>0</v>
      </c>
      <c r="F1999" s="113">
        <f>领料单!BB194</f>
        <v>0</v>
      </c>
      <c r="G1999" s="113"/>
    </row>
    <row r="2000" customHeight="1" spans="1:7">
      <c r="A2000" s="113">
        <f>领料单!AW195</f>
        <v>0</v>
      </c>
      <c r="B2000" s="113">
        <f>领料单!AX195</f>
        <v>0</v>
      </c>
      <c r="C2000" s="113">
        <f>领料单!AY195</f>
        <v>0</v>
      </c>
      <c r="D2000" s="113">
        <f>领料单!AZ195</f>
        <v>0</v>
      </c>
      <c r="E2000" s="113">
        <f>领料单!BA195</f>
        <v>0</v>
      </c>
      <c r="F2000" s="113">
        <f>领料单!BB195</f>
        <v>0</v>
      </c>
      <c r="G2000" s="113"/>
    </row>
    <row r="2001" customHeight="1" spans="1:7">
      <c r="A2001" s="113">
        <f>领料单!AW196</f>
        <v>0</v>
      </c>
      <c r="B2001" s="113">
        <f>领料单!AX196</f>
        <v>0</v>
      </c>
      <c r="C2001" s="113">
        <f>领料单!AY196</f>
        <v>0</v>
      </c>
      <c r="D2001" s="113">
        <f>领料单!AZ196</f>
        <v>0</v>
      </c>
      <c r="E2001" s="113">
        <f>领料单!BA196</f>
        <v>0</v>
      </c>
      <c r="F2001" s="113">
        <f>领料单!BB196</f>
        <v>0</v>
      </c>
      <c r="G2001" s="113"/>
    </row>
    <row r="2002" customHeight="1" spans="1:7">
      <c r="A2002" s="113">
        <f>领料单!AW197</f>
        <v>0</v>
      </c>
      <c r="B2002" s="113">
        <f>领料单!AX197</f>
        <v>0</v>
      </c>
      <c r="C2002" s="113">
        <f>领料单!AY197</f>
        <v>0</v>
      </c>
      <c r="D2002" s="113">
        <f>领料单!AZ197</f>
        <v>0</v>
      </c>
      <c r="E2002" s="113">
        <f>领料单!BA197</f>
        <v>0</v>
      </c>
      <c r="F2002" s="113">
        <f>领料单!BB197</f>
        <v>0</v>
      </c>
      <c r="G2002" s="113"/>
    </row>
    <row r="2003" customHeight="1" spans="1:7">
      <c r="A2003" s="113">
        <f>领料单!AW198</f>
        <v>0</v>
      </c>
      <c r="B2003" s="113">
        <f>领料单!AX198</f>
        <v>0</v>
      </c>
      <c r="C2003" s="113">
        <f>领料单!AY198</f>
        <v>0</v>
      </c>
      <c r="D2003" s="113">
        <f>领料单!AZ198</f>
        <v>0</v>
      </c>
      <c r="E2003" s="113">
        <f>领料单!BA198</f>
        <v>0</v>
      </c>
      <c r="F2003" s="113">
        <f>领料单!BB198</f>
        <v>0</v>
      </c>
      <c r="G2003" s="113"/>
    </row>
    <row r="2004" customHeight="1" spans="1:7">
      <c r="A2004" s="113">
        <f>领料单!AW199</f>
        <v>0</v>
      </c>
      <c r="B2004" s="113">
        <f>领料单!AX199</f>
        <v>0</v>
      </c>
      <c r="C2004" s="113">
        <f>领料单!AY199</f>
        <v>0</v>
      </c>
      <c r="D2004" s="113">
        <f>领料单!AZ199</f>
        <v>0</v>
      </c>
      <c r="E2004" s="113">
        <f>领料单!BA199</f>
        <v>0</v>
      </c>
      <c r="F2004" s="113">
        <f>领料单!BB199</f>
        <v>0</v>
      </c>
      <c r="G2004" s="113"/>
    </row>
    <row r="2005" customHeight="1" spans="1:7">
      <c r="A2005" s="113">
        <f>领料单!AW200</f>
        <v>0</v>
      </c>
      <c r="B2005" s="113">
        <f>领料单!AX200</f>
        <v>0</v>
      </c>
      <c r="C2005" s="113">
        <f>领料单!AY200</f>
        <v>0</v>
      </c>
      <c r="D2005" s="113">
        <f>领料单!AZ200</f>
        <v>0</v>
      </c>
      <c r="E2005" s="113">
        <f>领料单!BA200</f>
        <v>0</v>
      </c>
      <c r="F2005" s="113">
        <f>领料单!BB200</f>
        <v>0</v>
      </c>
      <c r="G2005" s="113"/>
    </row>
    <row r="2006" customHeight="1" spans="1:7">
      <c r="A2006" s="113">
        <f>领料单!AW201</f>
        <v>0</v>
      </c>
      <c r="B2006" s="113">
        <f>领料单!AX201</f>
        <v>0</v>
      </c>
      <c r="C2006" s="113">
        <f>领料单!AY201</f>
        <v>0</v>
      </c>
      <c r="D2006" s="113">
        <f>领料单!AZ201</f>
        <v>0</v>
      </c>
      <c r="E2006" s="113">
        <f>领料单!BA201</f>
        <v>0</v>
      </c>
      <c r="F2006" s="113">
        <f>领料单!BB201</f>
        <v>0</v>
      </c>
      <c r="G2006" s="113"/>
    </row>
    <row r="2007" customHeight="1" spans="1:7">
      <c r="A2007" s="113">
        <f>领料单!AW202</f>
        <v>0</v>
      </c>
      <c r="B2007" s="113">
        <f>领料单!AX202</f>
        <v>0</v>
      </c>
      <c r="C2007" s="113">
        <f>领料单!AY202</f>
        <v>0</v>
      </c>
      <c r="D2007" s="113">
        <f>领料单!AZ202</f>
        <v>0</v>
      </c>
      <c r="E2007" s="113">
        <f>领料单!BA202</f>
        <v>0</v>
      </c>
      <c r="F2007" s="113">
        <f>领料单!BB202</f>
        <v>0</v>
      </c>
      <c r="G2007" s="113"/>
    </row>
    <row r="2008" customHeight="1" spans="1:7">
      <c r="A2008" s="113">
        <f>领料单!AW203</f>
        <v>0</v>
      </c>
      <c r="B2008" s="113">
        <f>领料单!AX203</f>
        <v>0</v>
      </c>
      <c r="C2008" s="113">
        <f>领料单!AY203</f>
        <v>0</v>
      </c>
      <c r="D2008" s="113">
        <f>领料单!AZ203</f>
        <v>0</v>
      </c>
      <c r="E2008" s="113">
        <f>领料单!BA203</f>
        <v>0</v>
      </c>
      <c r="F2008" s="113">
        <f>领料单!BB203</f>
        <v>0</v>
      </c>
      <c r="G2008" s="113"/>
    </row>
    <row r="2009" customHeight="1" spans="1:7">
      <c r="A2009" s="113">
        <f>领料单!AW204</f>
        <v>0</v>
      </c>
      <c r="B2009" s="113">
        <f>领料单!AX204</f>
        <v>0</v>
      </c>
      <c r="C2009" s="113">
        <f>领料单!AY204</f>
        <v>0</v>
      </c>
      <c r="D2009" s="113">
        <f>领料单!AZ204</f>
        <v>0</v>
      </c>
      <c r="E2009" s="113">
        <f>领料单!BA204</f>
        <v>0</v>
      </c>
      <c r="F2009" s="113">
        <f>领料单!BB204</f>
        <v>0</v>
      </c>
      <c r="G2009" s="113"/>
    </row>
    <row r="2010" customHeight="1" spans="1:7">
      <c r="A2010" s="113">
        <f>领料单!AW205</f>
        <v>0</v>
      </c>
      <c r="B2010" s="113">
        <f>领料单!AX205</f>
        <v>0</v>
      </c>
      <c r="C2010" s="113">
        <f>领料单!AY205</f>
        <v>0</v>
      </c>
      <c r="D2010" s="113">
        <f>领料单!AZ205</f>
        <v>0</v>
      </c>
      <c r="E2010" s="113">
        <f>领料单!BA205</f>
        <v>0</v>
      </c>
      <c r="F2010" s="113">
        <f>领料单!BB205</f>
        <v>0</v>
      </c>
      <c r="G2010" s="113"/>
    </row>
    <row r="2011" customHeight="1" spans="1:7">
      <c r="A2011" s="115" t="s">
        <v>340</v>
      </c>
      <c r="B2011" s="116"/>
      <c r="C2011" s="116"/>
      <c r="D2011" s="116"/>
      <c r="E2011" s="117"/>
      <c r="F2011" s="118">
        <f>SUM(F1999:F2010)</f>
        <v>0</v>
      </c>
      <c r="G2011" s="114"/>
    </row>
    <row r="2012" customHeight="1" spans="1:7">
      <c r="A2012" s="119" t="s">
        <v>341</v>
      </c>
      <c r="B2012" s="119"/>
      <c r="C2012" s="120"/>
      <c r="D2012" s="119"/>
      <c r="E2012" s="121" t="s">
        <v>342</v>
      </c>
      <c r="F2012" s="119"/>
      <c r="G2012" s="119"/>
    </row>
    <row r="2015" customHeight="1" spans="1:7">
      <c r="A2015" s="105"/>
      <c r="B2015" s="106"/>
      <c r="C2015" s="107" t="s">
        <v>330</v>
      </c>
      <c r="D2015" s="107"/>
      <c r="E2015" s="107"/>
      <c r="F2015" s="105"/>
      <c r="G2015" s="105"/>
    </row>
    <row r="2016" customHeight="1" spans="1:7">
      <c r="A2016" s="108" t="s">
        <v>331</v>
      </c>
      <c r="B2016" s="109"/>
      <c r="C2016" s="110">
        <v>45991</v>
      </c>
      <c r="D2016" s="110"/>
      <c r="E2016" s="110"/>
      <c r="F2016" s="111" t="s">
        <v>332</v>
      </c>
      <c r="G2016" s="112" t="str">
        <f>立项!$A$9</f>
        <v>RD07</v>
      </c>
    </row>
    <row r="2017" customHeight="1" spans="1:7">
      <c r="A2017" s="113" t="s">
        <v>333</v>
      </c>
      <c r="B2017" s="113" t="s">
        <v>334</v>
      </c>
      <c r="C2017" s="113" t="s">
        <v>335</v>
      </c>
      <c r="D2017" s="113" t="s">
        <v>336</v>
      </c>
      <c r="E2017" s="113" t="s">
        <v>337</v>
      </c>
      <c r="F2017" s="113" t="s">
        <v>338</v>
      </c>
      <c r="G2017" s="113" t="s">
        <v>339</v>
      </c>
    </row>
    <row r="2018" customHeight="1" spans="1:7">
      <c r="A2018" s="113">
        <f>领料单!BE194</f>
        <v>0</v>
      </c>
      <c r="B2018" s="113">
        <f>领料单!BF194</f>
        <v>0</v>
      </c>
      <c r="C2018" s="113">
        <f>领料单!BG194</f>
        <v>0</v>
      </c>
      <c r="D2018" s="113">
        <f>领料单!BH194</f>
        <v>0</v>
      </c>
      <c r="E2018" s="113">
        <f>领料单!BI194</f>
        <v>0</v>
      </c>
      <c r="F2018" s="113">
        <f>领料单!BJ194</f>
        <v>0</v>
      </c>
      <c r="G2018" s="113"/>
    </row>
    <row r="2019" customHeight="1" spans="1:7">
      <c r="A2019" s="113">
        <f>领料单!BE195</f>
        <v>0</v>
      </c>
      <c r="B2019" s="113">
        <f>领料单!BF195</f>
        <v>0</v>
      </c>
      <c r="C2019" s="113">
        <f>领料单!BG195</f>
        <v>0</v>
      </c>
      <c r="D2019" s="113">
        <f>领料单!BH195</f>
        <v>0</v>
      </c>
      <c r="E2019" s="113">
        <f>领料单!BI195</f>
        <v>0</v>
      </c>
      <c r="F2019" s="113">
        <f>领料单!BJ195</f>
        <v>0</v>
      </c>
      <c r="G2019" s="113"/>
    </row>
    <row r="2020" customHeight="1" spans="1:7">
      <c r="A2020" s="113">
        <f>领料单!BE196</f>
        <v>0</v>
      </c>
      <c r="B2020" s="113">
        <f>领料单!BF196</f>
        <v>0</v>
      </c>
      <c r="C2020" s="113">
        <f>领料单!BG196</f>
        <v>0</v>
      </c>
      <c r="D2020" s="113">
        <f>领料单!BH196</f>
        <v>0</v>
      </c>
      <c r="E2020" s="113">
        <f>领料单!BI196</f>
        <v>0</v>
      </c>
      <c r="F2020" s="113">
        <f>领料单!BJ196</f>
        <v>0</v>
      </c>
      <c r="G2020" s="113"/>
    </row>
    <row r="2021" customHeight="1" spans="1:7">
      <c r="A2021" s="113">
        <f>领料单!BE197</f>
        <v>0</v>
      </c>
      <c r="B2021" s="113">
        <f>领料单!BF197</f>
        <v>0</v>
      </c>
      <c r="C2021" s="113">
        <f>领料单!BG197</f>
        <v>0</v>
      </c>
      <c r="D2021" s="113">
        <f>领料单!BH197</f>
        <v>0</v>
      </c>
      <c r="E2021" s="113">
        <f>领料单!BI197</f>
        <v>0</v>
      </c>
      <c r="F2021" s="113">
        <f>领料单!BJ197</f>
        <v>0</v>
      </c>
      <c r="G2021" s="113"/>
    </row>
    <row r="2022" customHeight="1" spans="1:7">
      <c r="A2022" s="113">
        <f>领料单!BE198</f>
        <v>0</v>
      </c>
      <c r="B2022" s="113">
        <f>领料单!BF198</f>
        <v>0</v>
      </c>
      <c r="C2022" s="113">
        <f>领料单!BG198</f>
        <v>0</v>
      </c>
      <c r="D2022" s="113">
        <f>领料单!BH198</f>
        <v>0</v>
      </c>
      <c r="E2022" s="113">
        <f>领料单!BI198</f>
        <v>0</v>
      </c>
      <c r="F2022" s="113">
        <f>领料单!BJ198</f>
        <v>0</v>
      </c>
      <c r="G2022" s="113"/>
    </row>
    <row r="2023" customHeight="1" spans="1:7">
      <c r="A2023" s="113">
        <f>领料单!BE199</f>
        <v>0</v>
      </c>
      <c r="B2023" s="113">
        <f>领料单!BF199</f>
        <v>0</v>
      </c>
      <c r="C2023" s="113">
        <f>领料单!BG199</f>
        <v>0</v>
      </c>
      <c r="D2023" s="113">
        <f>领料单!BH199</f>
        <v>0</v>
      </c>
      <c r="E2023" s="113">
        <f>领料单!BI199</f>
        <v>0</v>
      </c>
      <c r="F2023" s="113">
        <f>领料单!BJ199</f>
        <v>0</v>
      </c>
      <c r="G2023" s="113"/>
    </row>
    <row r="2024" customHeight="1" spans="1:7">
      <c r="A2024" s="113">
        <f>领料单!BE200</f>
        <v>0</v>
      </c>
      <c r="B2024" s="113">
        <f>领料单!BF200</f>
        <v>0</v>
      </c>
      <c r="C2024" s="113">
        <f>领料单!BG200</f>
        <v>0</v>
      </c>
      <c r="D2024" s="113">
        <f>领料单!BH200</f>
        <v>0</v>
      </c>
      <c r="E2024" s="113">
        <f>领料单!BI200</f>
        <v>0</v>
      </c>
      <c r="F2024" s="113">
        <f>领料单!BJ200</f>
        <v>0</v>
      </c>
      <c r="G2024" s="113"/>
    </row>
    <row r="2025" customHeight="1" spans="1:7">
      <c r="A2025" s="113">
        <f>领料单!BE201</f>
        <v>0</v>
      </c>
      <c r="B2025" s="113">
        <f>领料单!BF201</f>
        <v>0</v>
      </c>
      <c r="C2025" s="113">
        <f>领料单!BG201</f>
        <v>0</v>
      </c>
      <c r="D2025" s="113">
        <f>领料单!BH201</f>
        <v>0</v>
      </c>
      <c r="E2025" s="113">
        <f>领料单!BI201</f>
        <v>0</v>
      </c>
      <c r="F2025" s="113">
        <f>领料单!BJ201</f>
        <v>0</v>
      </c>
      <c r="G2025" s="113"/>
    </row>
    <row r="2026" customHeight="1" spans="1:7">
      <c r="A2026" s="113">
        <f>领料单!BE202</f>
        <v>0</v>
      </c>
      <c r="B2026" s="113">
        <f>领料单!BF202</f>
        <v>0</v>
      </c>
      <c r="C2026" s="113">
        <f>领料单!BG202</f>
        <v>0</v>
      </c>
      <c r="D2026" s="113">
        <f>领料单!BH202</f>
        <v>0</v>
      </c>
      <c r="E2026" s="113">
        <f>领料单!BI202</f>
        <v>0</v>
      </c>
      <c r="F2026" s="113">
        <f>领料单!BJ202</f>
        <v>0</v>
      </c>
      <c r="G2026" s="113"/>
    </row>
    <row r="2027" customHeight="1" spans="1:7">
      <c r="A2027" s="113">
        <f>领料单!BE203</f>
        <v>0</v>
      </c>
      <c r="B2027" s="113">
        <f>领料单!BF203</f>
        <v>0</v>
      </c>
      <c r="C2027" s="113">
        <f>领料单!BG203</f>
        <v>0</v>
      </c>
      <c r="D2027" s="113">
        <f>领料单!BH203</f>
        <v>0</v>
      </c>
      <c r="E2027" s="113">
        <f>领料单!BI203</f>
        <v>0</v>
      </c>
      <c r="F2027" s="113">
        <f>领料单!BJ203</f>
        <v>0</v>
      </c>
      <c r="G2027" s="113"/>
    </row>
    <row r="2028" customHeight="1" spans="1:7">
      <c r="A2028" s="113">
        <f>领料单!BE204</f>
        <v>0</v>
      </c>
      <c r="B2028" s="113">
        <f>领料单!BF204</f>
        <v>0</v>
      </c>
      <c r="C2028" s="113">
        <f>领料单!BG204</f>
        <v>0</v>
      </c>
      <c r="D2028" s="113">
        <f>领料单!BH204</f>
        <v>0</v>
      </c>
      <c r="E2028" s="113">
        <f>领料单!BI204</f>
        <v>0</v>
      </c>
      <c r="F2028" s="113">
        <f>领料单!BJ204</f>
        <v>0</v>
      </c>
      <c r="G2028" s="113"/>
    </row>
    <row r="2029" customHeight="1" spans="1:7">
      <c r="A2029" s="113">
        <f>领料单!BE205</f>
        <v>0</v>
      </c>
      <c r="B2029" s="113">
        <f>领料单!BF205</f>
        <v>0</v>
      </c>
      <c r="C2029" s="113">
        <f>领料单!BG205</f>
        <v>0</v>
      </c>
      <c r="D2029" s="113">
        <f>领料单!BH205</f>
        <v>0</v>
      </c>
      <c r="E2029" s="113">
        <f>领料单!BI205</f>
        <v>0</v>
      </c>
      <c r="F2029" s="113">
        <f>领料单!BJ205</f>
        <v>0</v>
      </c>
      <c r="G2029" s="113"/>
    </row>
    <row r="2030" customHeight="1" spans="1:7">
      <c r="A2030" s="115" t="s">
        <v>340</v>
      </c>
      <c r="B2030" s="116"/>
      <c r="C2030" s="116"/>
      <c r="D2030" s="116"/>
      <c r="E2030" s="117"/>
      <c r="F2030" s="118">
        <f>SUM(F2018:F2029)</f>
        <v>0</v>
      </c>
      <c r="G2030" s="114"/>
    </row>
    <row r="2031" customHeight="1" spans="1:7">
      <c r="A2031" s="119" t="s">
        <v>341</v>
      </c>
      <c r="B2031" s="119"/>
      <c r="C2031" s="120"/>
      <c r="D2031" s="119"/>
      <c r="E2031" s="121" t="s">
        <v>342</v>
      </c>
      <c r="F2031" s="119"/>
      <c r="G2031" s="119"/>
    </row>
    <row r="2034" customHeight="1" spans="1:7">
      <c r="A2034" s="105"/>
      <c r="B2034" s="106"/>
      <c r="C2034" s="107" t="s">
        <v>330</v>
      </c>
      <c r="D2034" s="107"/>
      <c r="E2034" s="107"/>
      <c r="F2034" s="105"/>
      <c r="G2034" s="105"/>
    </row>
    <row r="2035" customHeight="1" spans="1:7">
      <c r="A2035" s="108" t="s">
        <v>331</v>
      </c>
      <c r="B2035" s="109"/>
      <c r="C2035" s="110">
        <v>45991</v>
      </c>
      <c r="D2035" s="110"/>
      <c r="E2035" s="110"/>
      <c r="F2035" s="111" t="s">
        <v>332</v>
      </c>
      <c r="G2035" s="112" t="str">
        <f>立项!$A$10</f>
        <v>RD08</v>
      </c>
    </row>
    <row r="2036" customHeight="1" spans="1:7">
      <c r="A2036" s="113" t="s">
        <v>333</v>
      </c>
      <c r="B2036" s="113" t="s">
        <v>334</v>
      </c>
      <c r="C2036" s="113" t="s">
        <v>335</v>
      </c>
      <c r="D2036" s="113" t="s">
        <v>336</v>
      </c>
      <c r="E2036" s="113" t="s">
        <v>337</v>
      </c>
      <c r="F2036" s="113" t="s">
        <v>338</v>
      </c>
      <c r="G2036" s="113" t="s">
        <v>339</v>
      </c>
    </row>
    <row r="2037" customHeight="1" spans="1:7">
      <c r="A2037" s="113">
        <f>领料单!BM194</f>
        <v>0</v>
      </c>
      <c r="B2037" s="113">
        <f>领料单!BN194</f>
        <v>0</v>
      </c>
      <c r="C2037" s="113">
        <f>领料单!BO194</f>
        <v>0</v>
      </c>
      <c r="D2037" s="113">
        <f>领料单!BP194</f>
        <v>0</v>
      </c>
      <c r="E2037" s="113">
        <f>领料单!BQ194</f>
        <v>0</v>
      </c>
      <c r="F2037" s="113">
        <f>领料单!BR194</f>
        <v>0</v>
      </c>
      <c r="G2037" s="113"/>
    </row>
    <row r="2038" customHeight="1" spans="1:7">
      <c r="A2038" s="113">
        <f>领料单!BM195</f>
        <v>0</v>
      </c>
      <c r="B2038" s="113">
        <f>领料单!BN195</f>
        <v>0</v>
      </c>
      <c r="C2038" s="113">
        <f>领料单!BO195</f>
        <v>0</v>
      </c>
      <c r="D2038" s="113">
        <f>领料单!BP195</f>
        <v>0</v>
      </c>
      <c r="E2038" s="113">
        <f>领料单!BQ195</f>
        <v>0</v>
      </c>
      <c r="F2038" s="113">
        <f>领料单!BR195</f>
        <v>0</v>
      </c>
      <c r="G2038" s="113"/>
    </row>
    <row r="2039" customHeight="1" spans="1:7">
      <c r="A2039" s="113">
        <f>领料单!BM196</f>
        <v>0</v>
      </c>
      <c r="B2039" s="113">
        <f>领料单!BN196</f>
        <v>0</v>
      </c>
      <c r="C2039" s="113">
        <f>领料单!BO196</f>
        <v>0</v>
      </c>
      <c r="D2039" s="113">
        <f>领料单!BP196</f>
        <v>0</v>
      </c>
      <c r="E2039" s="113">
        <f>领料单!BQ196</f>
        <v>0</v>
      </c>
      <c r="F2039" s="113">
        <f>领料单!BR196</f>
        <v>0</v>
      </c>
      <c r="G2039" s="113"/>
    </row>
    <row r="2040" customHeight="1" spans="1:7">
      <c r="A2040" s="113">
        <f>领料单!BM197</f>
        <v>0</v>
      </c>
      <c r="B2040" s="113">
        <f>领料单!BN197</f>
        <v>0</v>
      </c>
      <c r="C2040" s="113">
        <f>领料单!BO197</f>
        <v>0</v>
      </c>
      <c r="D2040" s="113">
        <f>领料单!BP197</f>
        <v>0</v>
      </c>
      <c r="E2040" s="113">
        <f>领料单!BQ197</f>
        <v>0</v>
      </c>
      <c r="F2040" s="113">
        <f>领料单!BR197</f>
        <v>0</v>
      </c>
      <c r="G2040" s="113"/>
    </row>
    <row r="2041" customHeight="1" spans="1:7">
      <c r="A2041" s="113">
        <f>领料单!BM198</f>
        <v>0</v>
      </c>
      <c r="B2041" s="113">
        <f>领料单!BN198</f>
        <v>0</v>
      </c>
      <c r="C2041" s="113">
        <f>领料单!BO198</f>
        <v>0</v>
      </c>
      <c r="D2041" s="113">
        <f>领料单!BP198</f>
        <v>0</v>
      </c>
      <c r="E2041" s="113">
        <f>领料单!BQ198</f>
        <v>0</v>
      </c>
      <c r="F2041" s="113">
        <f>领料单!BR198</f>
        <v>0</v>
      </c>
      <c r="G2041" s="113"/>
    </row>
    <row r="2042" customHeight="1" spans="1:7">
      <c r="A2042" s="113">
        <f>领料单!BM199</f>
        <v>0</v>
      </c>
      <c r="B2042" s="113">
        <f>领料单!BN199</f>
        <v>0</v>
      </c>
      <c r="C2042" s="113">
        <f>领料单!BO199</f>
        <v>0</v>
      </c>
      <c r="D2042" s="113">
        <f>领料单!BP199</f>
        <v>0</v>
      </c>
      <c r="E2042" s="113">
        <f>领料单!BQ199</f>
        <v>0</v>
      </c>
      <c r="F2042" s="113">
        <f>领料单!BR199</f>
        <v>0</v>
      </c>
      <c r="G2042" s="113"/>
    </row>
    <row r="2043" customHeight="1" spans="1:7">
      <c r="A2043" s="113">
        <f>领料单!BM200</f>
        <v>0</v>
      </c>
      <c r="B2043" s="113">
        <f>领料单!BN200</f>
        <v>0</v>
      </c>
      <c r="C2043" s="113">
        <f>领料单!BO200</f>
        <v>0</v>
      </c>
      <c r="D2043" s="113">
        <f>领料单!BP200</f>
        <v>0</v>
      </c>
      <c r="E2043" s="113">
        <f>领料单!BQ200</f>
        <v>0</v>
      </c>
      <c r="F2043" s="113">
        <f>领料单!BR200</f>
        <v>0</v>
      </c>
      <c r="G2043" s="113"/>
    </row>
    <row r="2044" customHeight="1" spans="1:7">
      <c r="A2044" s="113">
        <f>领料单!BM201</f>
        <v>0</v>
      </c>
      <c r="B2044" s="113">
        <f>领料单!BN201</f>
        <v>0</v>
      </c>
      <c r="C2044" s="113">
        <f>领料单!BO201</f>
        <v>0</v>
      </c>
      <c r="D2044" s="113">
        <f>领料单!BP201</f>
        <v>0</v>
      </c>
      <c r="E2044" s="113">
        <f>领料单!BQ201</f>
        <v>0</v>
      </c>
      <c r="F2044" s="113">
        <f>领料单!BR201</f>
        <v>0</v>
      </c>
      <c r="G2044" s="113"/>
    </row>
    <row r="2045" customHeight="1" spans="1:7">
      <c r="A2045" s="113">
        <f>领料单!BM202</f>
        <v>0</v>
      </c>
      <c r="B2045" s="113">
        <f>领料单!BN202</f>
        <v>0</v>
      </c>
      <c r="C2045" s="113">
        <f>领料单!BO202</f>
        <v>0</v>
      </c>
      <c r="D2045" s="113">
        <f>领料单!BP202</f>
        <v>0</v>
      </c>
      <c r="E2045" s="113">
        <f>领料单!BQ202</f>
        <v>0</v>
      </c>
      <c r="F2045" s="113">
        <f>领料单!BR202</f>
        <v>0</v>
      </c>
      <c r="G2045" s="113"/>
    </row>
    <row r="2046" customHeight="1" spans="1:7">
      <c r="A2046" s="113">
        <f>领料单!BM203</f>
        <v>0</v>
      </c>
      <c r="B2046" s="113">
        <f>领料单!BN203</f>
        <v>0</v>
      </c>
      <c r="C2046" s="113">
        <f>领料单!BO203</f>
        <v>0</v>
      </c>
      <c r="D2046" s="113">
        <f>领料单!BP203</f>
        <v>0</v>
      </c>
      <c r="E2046" s="113">
        <f>领料单!BQ203</f>
        <v>0</v>
      </c>
      <c r="F2046" s="113">
        <f>领料单!BR203</f>
        <v>0</v>
      </c>
      <c r="G2046" s="113"/>
    </row>
    <row r="2047" customHeight="1" spans="1:7">
      <c r="A2047" s="113">
        <f>领料单!BM204</f>
        <v>0</v>
      </c>
      <c r="B2047" s="113">
        <f>领料单!BN204</f>
        <v>0</v>
      </c>
      <c r="C2047" s="113">
        <f>领料单!BO204</f>
        <v>0</v>
      </c>
      <c r="D2047" s="113">
        <f>领料单!BP204</f>
        <v>0</v>
      </c>
      <c r="E2047" s="113">
        <f>领料单!BQ204</f>
        <v>0</v>
      </c>
      <c r="F2047" s="113">
        <f>领料单!BR204</f>
        <v>0</v>
      </c>
      <c r="G2047" s="113"/>
    </row>
    <row r="2048" customHeight="1" spans="1:7">
      <c r="A2048" s="113">
        <f>领料单!BM205</f>
        <v>0</v>
      </c>
      <c r="B2048" s="113">
        <f>领料单!BN205</f>
        <v>0</v>
      </c>
      <c r="C2048" s="113">
        <f>领料单!BO205</f>
        <v>0</v>
      </c>
      <c r="D2048" s="113">
        <f>领料单!BP205</f>
        <v>0</v>
      </c>
      <c r="E2048" s="113">
        <f>领料单!BQ205</f>
        <v>0</v>
      </c>
      <c r="F2048" s="113">
        <f>领料单!BR205</f>
        <v>0</v>
      </c>
      <c r="G2048" s="113"/>
    </row>
    <row r="2049" customHeight="1" spans="1:7">
      <c r="A2049" s="115" t="s">
        <v>340</v>
      </c>
      <c r="B2049" s="116"/>
      <c r="C2049" s="116"/>
      <c r="D2049" s="116"/>
      <c r="E2049" s="117"/>
      <c r="F2049" s="118">
        <f>SUM(F2037:F2048)</f>
        <v>0</v>
      </c>
      <c r="G2049" s="114"/>
    </row>
    <row r="2050" customHeight="1" spans="1:7">
      <c r="A2050" s="119" t="s">
        <v>341</v>
      </c>
      <c r="B2050" s="119"/>
      <c r="C2050" s="120"/>
      <c r="D2050" s="119"/>
      <c r="E2050" s="121" t="s">
        <v>342</v>
      </c>
      <c r="F2050" s="119"/>
      <c r="G2050" s="119"/>
    </row>
    <row r="2053" customHeight="1" spans="1:7">
      <c r="A2053" s="105"/>
      <c r="B2053" s="106"/>
      <c r="C2053" s="107" t="s">
        <v>330</v>
      </c>
      <c r="D2053" s="107"/>
      <c r="E2053" s="107"/>
      <c r="F2053" s="105"/>
      <c r="G2053" s="105"/>
    </row>
    <row r="2054" customHeight="1" spans="1:7">
      <c r="A2054" s="108" t="s">
        <v>331</v>
      </c>
      <c r="B2054" s="109"/>
      <c r="C2054" s="110">
        <v>45991</v>
      </c>
      <c r="D2054" s="110"/>
      <c r="E2054" s="110"/>
      <c r="F2054" s="111" t="s">
        <v>332</v>
      </c>
      <c r="G2054" s="112" t="str">
        <f>立项!$A$11</f>
        <v>RD09</v>
      </c>
    </row>
    <row r="2055" customHeight="1" spans="1:7">
      <c r="A2055" s="113" t="s">
        <v>333</v>
      </c>
      <c r="B2055" s="113" t="s">
        <v>334</v>
      </c>
      <c r="C2055" s="113" t="s">
        <v>335</v>
      </c>
      <c r="D2055" s="113" t="s">
        <v>336</v>
      </c>
      <c r="E2055" s="113" t="s">
        <v>337</v>
      </c>
      <c r="F2055" s="113" t="s">
        <v>338</v>
      </c>
      <c r="G2055" s="113" t="s">
        <v>339</v>
      </c>
    </row>
    <row r="2056" customHeight="1" spans="1:7">
      <c r="A2056" s="113">
        <f>领料单!BU194</f>
        <v>0</v>
      </c>
      <c r="B2056" s="113">
        <f>领料单!BV194</f>
        <v>0</v>
      </c>
      <c r="C2056" s="113">
        <f>领料单!BW194</f>
        <v>0</v>
      </c>
      <c r="D2056" s="113">
        <f>领料单!BX194</f>
        <v>0</v>
      </c>
      <c r="E2056" s="113">
        <f>领料单!BY194</f>
        <v>0</v>
      </c>
      <c r="F2056" s="113">
        <f>领料单!BZ194</f>
        <v>0</v>
      </c>
      <c r="G2056" s="113"/>
    </row>
    <row r="2057" customHeight="1" spans="1:7">
      <c r="A2057" s="113">
        <f>领料单!BU195</f>
        <v>0</v>
      </c>
      <c r="B2057" s="113">
        <f>领料单!BV195</f>
        <v>0</v>
      </c>
      <c r="C2057" s="113">
        <f>领料单!BW195</f>
        <v>0</v>
      </c>
      <c r="D2057" s="113">
        <f>领料单!BX195</f>
        <v>0</v>
      </c>
      <c r="E2057" s="113">
        <f>领料单!BY195</f>
        <v>0</v>
      </c>
      <c r="F2057" s="113">
        <f>领料单!BZ195</f>
        <v>0</v>
      </c>
      <c r="G2057" s="113"/>
    </row>
    <row r="2058" customHeight="1" spans="1:7">
      <c r="A2058" s="113">
        <f>领料单!BU196</f>
        <v>0</v>
      </c>
      <c r="B2058" s="113">
        <f>领料单!BV196</f>
        <v>0</v>
      </c>
      <c r="C2058" s="113">
        <f>领料单!BW196</f>
        <v>0</v>
      </c>
      <c r="D2058" s="113">
        <f>领料单!BX196</f>
        <v>0</v>
      </c>
      <c r="E2058" s="113">
        <f>领料单!BY196</f>
        <v>0</v>
      </c>
      <c r="F2058" s="113">
        <f>领料单!BZ196</f>
        <v>0</v>
      </c>
      <c r="G2058" s="113"/>
    </row>
    <row r="2059" customHeight="1" spans="1:7">
      <c r="A2059" s="113">
        <f>领料单!BU197</f>
        <v>0</v>
      </c>
      <c r="B2059" s="113">
        <f>领料单!BV197</f>
        <v>0</v>
      </c>
      <c r="C2059" s="113">
        <f>领料单!BW197</f>
        <v>0</v>
      </c>
      <c r="D2059" s="113">
        <f>领料单!BX197</f>
        <v>0</v>
      </c>
      <c r="E2059" s="113">
        <f>领料单!BY197</f>
        <v>0</v>
      </c>
      <c r="F2059" s="113">
        <f>领料单!BZ197</f>
        <v>0</v>
      </c>
      <c r="G2059" s="113"/>
    </row>
    <row r="2060" customHeight="1" spans="1:7">
      <c r="A2060" s="113">
        <f>领料单!BU198</f>
        <v>0</v>
      </c>
      <c r="B2060" s="113">
        <f>领料单!BV198</f>
        <v>0</v>
      </c>
      <c r="C2060" s="113">
        <f>领料单!BW198</f>
        <v>0</v>
      </c>
      <c r="D2060" s="113">
        <f>领料单!BX198</f>
        <v>0</v>
      </c>
      <c r="E2060" s="113">
        <f>领料单!BY198</f>
        <v>0</v>
      </c>
      <c r="F2060" s="113">
        <f>领料单!BZ198</f>
        <v>0</v>
      </c>
      <c r="G2060" s="113"/>
    </row>
    <row r="2061" customHeight="1" spans="1:7">
      <c r="A2061" s="113">
        <f>领料单!BU199</f>
        <v>0</v>
      </c>
      <c r="B2061" s="113">
        <f>领料单!BV199</f>
        <v>0</v>
      </c>
      <c r="C2061" s="113">
        <f>领料单!BW199</f>
        <v>0</v>
      </c>
      <c r="D2061" s="113">
        <f>领料单!BX199</f>
        <v>0</v>
      </c>
      <c r="E2061" s="113">
        <f>领料单!BY199</f>
        <v>0</v>
      </c>
      <c r="F2061" s="113">
        <f>领料单!BZ199</f>
        <v>0</v>
      </c>
      <c r="G2061" s="113"/>
    </row>
    <row r="2062" customHeight="1" spans="1:7">
      <c r="A2062" s="113">
        <f>领料单!BU200</f>
        <v>0</v>
      </c>
      <c r="B2062" s="113">
        <f>领料单!BV200</f>
        <v>0</v>
      </c>
      <c r="C2062" s="113">
        <f>领料单!BW200</f>
        <v>0</v>
      </c>
      <c r="D2062" s="113">
        <f>领料单!BX200</f>
        <v>0</v>
      </c>
      <c r="E2062" s="113">
        <f>领料单!BY200</f>
        <v>0</v>
      </c>
      <c r="F2062" s="113">
        <f>领料单!BZ200</f>
        <v>0</v>
      </c>
      <c r="G2062" s="113"/>
    </row>
    <row r="2063" customHeight="1" spans="1:7">
      <c r="A2063" s="113">
        <f>领料单!BU201</f>
        <v>0</v>
      </c>
      <c r="B2063" s="113">
        <f>领料单!BV201</f>
        <v>0</v>
      </c>
      <c r="C2063" s="113">
        <f>领料单!BW201</f>
        <v>0</v>
      </c>
      <c r="D2063" s="113">
        <f>领料单!BX201</f>
        <v>0</v>
      </c>
      <c r="E2063" s="113">
        <f>领料单!BY201</f>
        <v>0</v>
      </c>
      <c r="F2063" s="113">
        <f>领料单!BZ201</f>
        <v>0</v>
      </c>
      <c r="G2063" s="113"/>
    </row>
    <row r="2064" customHeight="1" spans="1:7">
      <c r="A2064" s="113">
        <f>领料单!BU202</f>
        <v>0</v>
      </c>
      <c r="B2064" s="113">
        <f>领料单!BV202</f>
        <v>0</v>
      </c>
      <c r="C2064" s="113">
        <f>领料单!BW202</f>
        <v>0</v>
      </c>
      <c r="D2064" s="113">
        <f>领料单!BX202</f>
        <v>0</v>
      </c>
      <c r="E2064" s="113">
        <f>领料单!BY202</f>
        <v>0</v>
      </c>
      <c r="F2064" s="113">
        <f>领料单!BZ202</f>
        <v>0</v>
      </c>
      <c r="G2064" s="113"/>
    </row>
    <row r="2065" customHeight="1" spans="1:7">
      <c r="A2065" s="113">
        <f>领料单!BU203</f>
        <v>0</v>
      </c>
      <c r="B2065" s="113">
        <f>领料单!BV203</f>
        <v>0</v>
      </c>
      <c r="C2065" s="113">
        <f>领料单!BW203</f>
        <v>0</v>
      </c>
      <c r="D2065" s="113">
        <f>领料单!BX203</f>
        <v>0</v>
      </c>
      <c r="E2065" s="113">
        <f>领料单!BY203</f>
        <v>0</v>
      </c>
      <c r="F2065" s="113">
        <f>领料单!BZ203</f>
        <v>0</v>
      </c>
      <c r="G2065" s="113"/>
    </row>
    <row r="2066" customHeight="1" spans="1:7">
      <c r="A2066" s="113">
        <f>领料单!BU204</f>
        <v>0</v>
      </c>
      <c r="B2066" s="113">
        <f>领料单!BV204</f>
        <v>0</v>
      </c>
      <c r="C2066" s="113">
        <f>领料单!BW204</f>
        <v>0</v>
      </c>
      <c r="D2066" s="113">
        <f>领料单!BX204</f>
        <v>0</v>
      </c>
      <c r="E2066" s="113">
        <f>领料单!BY204</f>
        <v>0</v>
      </c>
      <c r="F2066" s="113">
        <f>领料单!BZ204</f>
        <v>0</v>
      </c>
      <c r="G2066" s="113"/>
    </row>
    <row r="2067" customHeight="1" spans="1:7">
      <c r="A2067" s="113">
        <f>领料单!BU205</f>
        <v>0</v>
      </c>
      <c r="B2067" s="113">
        <f>领料单!BV205</f>
        <v>0</v>
      </c>
      <c r="C2067" s="113">
        <f>领料单!BW205</f>
        <v>0</v>
      </c>
      <c r="D2067" s="113">
        <f>领料单!BX205</f>
        <v>0</v>
      </c>
      <c r="E2067" s="113">
        <f>领料单!BY205</f>
        <v>0</v>
      </c>
      <c r="F2067" s="113">
        <f>领料单!BZ205</f>
        <v>0</v>
      </c>
      <c r="G2067" s="113"/>
    </row>
    <row r="2068" customHeight="1" spans="1:7">
      <c r="A2068" s="115" t="s">
        <v>340</v>
      </c>
      <c r="B2068" s="116"/>
      <c r="C2068" s="116"/>
      <c r="D2068" s="116"/>
      <c r="E2068" s="117"/>
      <c r="F2068" s="118">
        <f>SUM(F2056:F2067)</f>
        <v>0</v>
      </c>
      <c r="G2068" s="114"/>
    </row>
    <row r="2069" customHeight="1" spans="1:7">
      <c r="A2069" s="119" t="s">
        <v>341</v>
      </c>
      <c r="B2069" s="119"/>
      <c r="C2069" s="120"/>
      <c r="D2069" s="119"/>
      <c r="E2069" s="121" t="s">
        <v>342</v>
      </c>
      <c r="F2069" s="119"/>
      <c r="G2069" s="119"/>
    </row>
    <row r="2072" customHeight="1" spans="1:7">
      <c r="A2072" s="105"/>
      <c r="B2072" s="106"/>
      <c r="C2072" s="107" t="s">
        <v>330</v>
      </c>
      <c r="D2072" s="107"/>
      <c r="E2072" s="107"/>
      <c r="F2072" s="105"/>
      <c r="G2072" s="105"/>
    </row>
    <row r="2073" customHeight="1" spans="1:7">
      <c r="A2073" s="108" t="s">
        <v>331</v>
      </c>
      <c r="B2073" s="109"/>
      <c r="C2073" s="110">
        <v>45991</v>
      </c>
      <c r="D2073" s="110"/>
      <c r="E2073" s="110"/>
      <c r="F2073" s="111" t="s">
        <v>332</v>
      </c>
      <c r="G2073" s="112" t="str">
        <f>立项!$A$12</f>
        <v>RD10</v>
      </c>
    </row>
    <row r="2074" customHeight="1" spans="1:7">
      <c r="A2074" s="113" t="s">
        <v>333</v>
      </c>
      <c r="B2074" s="113" t="s">
        <v>334</v>
      </c>
      <c r="C2074" s="113" t="s">
        <v>335</v>
      </c>
      <c r="D2074" s="113" t="s">
        <v>336</v>
      </c>
      <c r="E2074" s="113" t="s">
        <v>337</v>
      </c>
      <c r="F2074" s="113" t="s">
        <v>338</v>
      </c>
      <c r="G2074" s="113" t="s">
        <v>339</v>
      </c>
    </row>
    <row r="2075" customHeight="1" spans="1:7">
      <c r="A2075" s="113">
        <f>领料单!CC194</f>
        <v>0</v>
      </c>
      <c r="B2075" s="113">
        <f>领料单!CD194</f>
        <v>0</v>
      </c>
      <c r="C2075" s="113">
        <f>领料单!CE194</f>
        <v>0</v>
      </c>
      <c r="D2075" s="113">
        <f>领料单!CF194</f>
        <v>0</v>
      </c>
      <c r="E2075" s="113">
        <f>领料单!CG194</f>
        <v>0</v>
      </c>
      <c r="F2075" s="113">
        <f>领料单!CH194</f>
        <v>0</v>
      </c>
      <c r="G2075" s="113"/>
    </row>
    <row r="2076" customHeight="1" spans="1:7">
      <c r="A2076" s="113">
        <f>领料单!CC195</f>
        <v>0</v>
      </c>
      <c r="B2076" s="113">
        <f>领料单!CD195</f>
        <v>0</v>
      </c>
      <c r="C2076" s="113">
        <f>领料单!CE195</f>
        <v>0</v>
      </c>
      <c r="D2076" s="113">
        <f>领料单!CF195</f>
        <v>0</v>
      </c>
      <c r="E2076" s="113">
        <f>领料单!CG195</f>
        <v>0</v>
      </c>
      <c r="F2076" s="113">
        <f>领料单!CH195</f>
        <v>0</v>
      </c>
      <c r="G2076" s="113"/>
    </row>
    <row r="2077" customHeight="1" spans="1:7">
      <c r="A2077" s="113">
        <f>领料单!CC196</f>
        <v>0</v>
      </c>
      <c r="B2077" s="113">
        <f>领料单!CD196</f>
        <v>0</v>
      </c>
      <c r="C2077" s="113">
        <f>领料单!CE196</f>
        <v>0</v>
      </c>
      <c r="D2077" s="113">
        <f>领料单!CF196</f>
        <v>0</v>
      </c>
      <c r="E2077" s="113">
        <f>领料单!CG196</f>
        <v>0</v>
      </c>
      <c r="F2077" s="113">
        <f>领料单!CH196</f>
        <v>0</v>
      </c>
      <c r="G2077" s="113"/>
    </row>
    <row r="2078" customHeight="1" spans="1:7">
      <c r="A2078" s="113">
        <f>领料单!CC197</f>
        <v>0</v>
      </c>
      <c r="B2078" s="113">
        <f>领料单!CD197</f>
        <v>0</v>
      </c>
      <c r="C2078" s="113">
        <f>领料单!CE197</f>
        <v>0</v>
      </c>
      <c r="D2078" s="113">
        <f>领料单!CF197</f>
        <v>0</v>
      </c>
      <c r="E2078" s="113">
        <f>领料单!CG197</f>
        <v>0</v>
      </c>
      <c r="F2078" s="113">
        <f>领料单!CH197</f>
        <v>0</v>
      </c>
      <c r="G2078" s="113"/>
    </row>
    <row r="2079" customHeight="1" spans="1:7">
      <c r="A2079" s="113">
        <f>领料单!CC198</f>
        <v>0</v>
      </c>
      <c r="B2079" s="113">
        <f>领料单!CD198</f>
        <v>0</v>
      </c>
      <c r="C2079" s="113">
        <f>领料单!CE198</f>
        <v>0</v>
      </c>
      <c r="D2079" s="113">
        <f>领料单!CF198</f>
        <v>0</v>
      </c>
      <c r="E2079" s="113">
        <f>领料单!CG198</f>
        <v>0</v>
      </c>
      <c r="F2079" s="113">
        <f>领料单!CH198</f>
        <v>0</v>
      </c>
      <c r="G2079" s="113"/>
    </row>
    <row r="2080" customHeight="1" spans="1:7">
      <c r="A2080" s="113">
        <f>领料单!CC199</f>
        <v>0</v>
      </c>
      <c r="B2080" s="113">
        <f>领料单!CD199</f>
        <v>0</v>
      </c>
      <c r="C2080" s="113">
        <f>领料单!CE199</f>
        <v>0</v>
      </c>
      <c r="D2080" s="113">
        <f>领料单!CF199</f>
        <v>0</v>
      </c>
      <c r="E2080" s="113">
        <f>领料单!CG199</f>
        <v>0</v>
      </c>
      <c r="F2080" s="113">
        <f>领料单!CH199</f>
        <v>0</v>
      </c>
      <c r="G2080" s="113"/>
    </row>
    <row r="2081" customHeight="1" spans="1:7">
      <c r="A2081" s="113">
        <f>领料单!CC200</f>
        <v>0</v>
      </c>
      <c r="B2081" s="113">
        <f>领料单!CD200</f>
        <v>0</v>
      </c>
      <c r="C2081" s="113">
        <f>领料单!CE200</f>
        <v>0</v>
      </c>
      <c r="D2081" s="113">
        <f>领料单!CF200</f>
        <v>0</v>
      </c>
      <c r="E2081" s="113">
        <f>领料单!CG200</f>
        <v>0</v>
      </c>
      <c r="F2081" s="113">
        <f>领料单!CH200</f>
        <v>0</v>
      </c>
      <c r="G2081" s="113"/>
    </row>
    <row r="2082" customHeight="1" spans="1:7">
      <c r="A2082" s="113">
        <f>领料单!CC201</f>
        <v>0</v>
      </c>
      <c r="B2082" s="113">
        <f>领料单!CD201</f>
        <v>0</v>
      </c>
      <c r="C2082" s="113">
        <f>领料单!CE201</f>
        <v>0</v>
      </c>
      <c r="D2082" s="113">
        <f>领料单!CF201</f>
        <v>0</v>
      </c>
      <c r="E2082" s="113">
        <f>领料单!CG201</f>
        <v>0</v>
      </c>
      <c r="F2082" s="113">
        <f>领料单!CH201</f>
        <v>0</v>
      </c>
      <c r="G2082" s="113"/>
    </row>
    <row r="2083" customHeight="1" spans="1:7">
      <c r="A2083" s="113">
        <f>领料单!CC202</f>
        <v>0</v>
      </c>
      <c r="B2083" s="113">
        <f>领料单!CD202</f>
        <v>0</v>
      </c>
      <c r="C2083" s="113">
        <f>领料单!CE202</f>
        <v>0</v>
      </c>
      <c r="D2083" s="113">
        <f>领料单!CF202</f>
        <v>0</v>
      </c>
      <c r="E2083" s="113">
        <f>领料单!CG202</f>
        <v>0</v>
      </c>
      <c r="F2083" s="113">
        <f>领料单!CH202</f>
        <v>0</v>
      </c>
      <c r="G2083" s="113"/>
    </row>
    <row r="2084" customHeight="1" spans="1:7">
      <c r="A2084" s="113">
        <f>领料单!CC203</f>
        <v>0</v>
      </c>
      <c r="B2084" s="113">
        <f>领料单!CD203</f>
        <v>0</v>
      </c>
      <c r="C2084" s="113">
        <f>领料单!CE203</f>
        <v>0</v>
      </c>
      <c r="D2084" s="113">
        <f>领料单!CF203</f>
        <v>0</v>
      </c>
      <c r="E2084" s="113">
        <f>领料单!CG203</f>
        <v>0</v>
      </c>
      <c r="F2084" s="113">
        <f>领料单!CH203</f>
        <v>0</v>
      </c>
      <c r="G2084" s="113"/>
    </row>
    <row r="2085" customHeight="1" spans="1:7">
      <c r="A2085" s="113">
        <f>领料单!CC204</f>
        <v>0</v>
      </c>
      <c r="B2085" s="113">
        <f>领料单!CD204</f>
        <v>0</v>
      </c>
      <c r="C2085" s="113">
        <f>领料单!CE204</f>
        <v>0</v>
      </c>
      <c r="D2085" s="113">
        <f>领料单!CF204</f>
        <v>0</v>
      </c>
      <c r="E2085" s="113">
        <f>领料单!CG204</f>
        <v>0</v>
      </c>
      <c r="F2085" s="113">
        <f>领料单!CH204</f>
        <v>0</v>
      </c>
      <c r="G2085" s="113"/>
    </row>
    <row r="2086" customHeight="1" spans="1:7">
      <c r="A2086" s="113">
        <f>领料单!CC205</f>
        <v>0</v>
      </c>
      <c r="B2086" s="113">
        <f>领料单!CD205</f>
        <v>0</v>
      </c>
      <c r="C2086" s="113">
        <f>领料单!CE205</f>
        <v>0</v>
      </c>
      <c r="D2086" s="113">
        <f>领料单!CF205</f>
        <v>0</v>
      </c>
      <c r="E2086" s="113">
        <f>领料单!CG205</f>
        <v>0</v>
      </c>
      <c r="F2086" s="113">
        <f>领料单!CH205</f>
        <v>0</v>
      </c>
      <c r="G2086" s="113"/>
    </row>
    <row r="2087" customHeight="1" spans="1:7">
      <c r="A2087" s="115" t="s">
        <v>340</v>
      </c>
      <c r="B2087" s="116"/>
      <c r="C2087" s="116"/>
      <c r="D2087" s="116"/>
      <c r="E2087" s="117"/>
      <c r="F2087" s="118">
        <f>SUM(F2075:F2086)</f>
        <v>0</v>
      </c>
      <c r="G2087" s="114"/>
    </row>
    <row r="2088" customHeight="1" spans="1:7">
      <c r="A2088" s="119" t="s">
        <v>341</v>
      </c>
      <c r="B2088" s="119"/>
      <c r="C2088" s="120"/>
      <c r="D2088" s="119"/>
      <c r="E2088" s="121" t="s">
        <v>342</v>
      </c>
      <c r="F2088" s="119"/>
      <c r="G2088" s="119"/>
    </row>
    <row r="2091" customHeight="1" spans="1:7">
      <c r="A2091" s="105"/>
      <c r="B2091" s="106"/>
      <c r="C2091" s="107" t="s">
        <v>330</v>
      </c>
      <c r="D2091" s="107"/>
      <c r="E2091" s="107"/>
      <c r="F2091" s="105"/>
      <c r="G2091" s="105"/>
    </row>
    <row r="2092" customHeight="1" spans="1:7">
      <c r="A2092" s="108" t="s">
        <v>331</v>
      </c>
      <c r="B2092" s="109"/>
      <c r="C2092" s="110">
        <v>46022</v>
      </c>
      <c r="D2092" s="110"/>
      <c r="E2092" s="110"/>
      <c r="F2092" s="111" t="s">
        <v>332</v>
      </c>
      <c r="G2092" s="112" t="str">
        <f>立项!$A$3</f>
        <v>RD01</v>
      </c>
    </row>
    <row r="2093" customHeight="1" spans="1:7">
      <c r="A2093" s="113" t="s">
        <v>333</v>
      </c>
      <c r="B2093" s="113" t="s">
        <v>334</v>
      </c>
      <c r="C2093" s="113" t="s">
        <v>335</v>
      </c>
      <c r="D2093" s="113" t="s">
        <v>336</v>
      </c>
      <c r="E2093" s="113" t="s">
        <v>337</v>
      </c>
      <c r="F2093" s="113" t="s">
        <v>338</v>
      </c>
      <c r="G2093" s="113" t="s">
        <v>339</v>
      </c>
    </row>
    <row r="2094" customHeight="1" spans="1:7">
      <c r="A2094" s="113">
        <f>领料单!I213</f>
        <v>0</v>
      </c>
      <c r="B2094" s="113">
        <f>领料单!J213</f>
        <v>0</v>
      </c>
      <c r="C2094" s="113">
        <f>领料单!K213</f>
        <v>0</v>
      </c>
      <c r="D2094" s="113">
        <f>领料单!L213</f>
        <v>0</v>
      </c>
      <c r="E2094" s="113">
        <f>领料单!M213</f>
        <v>0</v>
      </c>
      <c r="F2094" s="113">
        <f>领料单!N213</f>
        <v>0</v>
      </c>
      <c r="G2094" s="113">
        <f>领料单!O213</f>
        <v>0</v>
      </c>
    </row>
    <row r="2095" customHeight="1" spans="1:7">
      <c r="A2095" s="113">
        <f>领料单!I214</f>
        <v>0</v>
      </c>
      <c r="B2095" s="113">
        <f>领料单!J214</f>
        <v>0</v>
      </c>
      <c r="C2095" s="113">
        <f>领料单!K214</f>
        <v>0</v>
      </c>
      <c r="D2095" s="113">
        <f>领料单!L214</f>
        <v>0</v>
      </c>
      <c r="E2095" s="113">
        <f>领料单!M214</f>
        <v>0</v>
      </c>
      <c r="F2095" s="113">
        <f>领料单!N214</f>
        <v>0</v>
      </c>
      <c r="G2095" s="113">
        <f>领料单!O214</f>
        <v>0</v>
      </c>
    </row>
    <row r="2096" customHeight="1" spans="1:7">
      <c r="A2096" s="113">
        <f>领料单!I215</f>
        <v>0</v>
      </c>
      <c r="B2096" s="113">
        <f>领料单!J215</f>
        <v>0</v>
      </c>
      <c r="C2096" s="113">
        <f>领料单!K215</f>
        <v>0</v>
      </c>
      <c r="D2096" s="113">
        <f>领料单!L215</f>
        <v>0</v>
      </c>
      <c r="E2096" s="113">
        <f>领料单!M215</f>
        <v>0</v>
      </c>
      <c r="F2096" s="113">
        <f>领料单!N215</f>
        <v>0</v>
      </c>
      <c r="G2096" s="113">
        <f>领料单!O215</f>
        <v>0</v>
      </c>
    </row>
    <row r="2097" customHeight="1" spans="1:7">
      <c r="A2097" s="113">
        <f>领料单!I216</f>
        <v>0</v>
      </c>
      <c r="B2097" s="113">
        <f>领料单!J216</f>
        <v>0</v>
      </c>
      <c r="C2097" s="113">
        <f>领料单!K216</f>
        <v>0</v>
      </c>
      <c r="D2097" s="113">
        <f>领料单!L216</f>
        <v>0</v>
      </c>
      <c r="E2097" s="113">
        <f>领料单!M216</f>
        <v>0</v>
      </c>
      <c r="F2097" s="113">
        <f>领料单!N216</f>
        <v>0</v>
      </c>
      <c r="G2097" s="113">
        <f>领料单!O216</f>
        <v>0</v>
      </c>
    </row>
    <row r="2098" customHeight="1" spans="1:7">
      <c r="A2098" s="113">
        <f>领料单!I217</f>
        <v>0</v>
      </c>
      <c r="B2098" s="113">
        <f>领料单!J217</f>
        <v>0</v>
      </c>
      <c r="C2098" s="113">
        <f>领料单!K217</f>
        <v>0</v>
      </c>
      <c r="D2098" s="113">
        <f>领料单!L217</f>
        <v>0</v>
      </c>
      <c r="E2098" s="113">
        <f>领料单!M217</f>
        <v>0</v>
      </c>
      <c r="F2098" s="113">
        <f>领料单!N217</f>
        <v>0</v>
      </c>
      <c r="G2098" s="113">
        <f>领料单!O217</f>
        <v>0</v>
      </c>
    </row>
    <row r="2099" customHeight="1" spans="1:7">
      <c r="A2099" s="113">
        <f>领料单!I218</f>
        <v>0</v>
      </c>
      <c r="B2099" s="113">
        <f>领料单!J218</f>
        <v>0</v>
      </c>
      <c r="C2099" s="113">
        <f>领料单!K218</f>
        <v>0</v>
      </c>
      <c r="D2099" s="113">
        <f>领料单!L218</f>
        <v>0</v>
      </c>
      <c r="E2099" s="113">
        <f>领料单!M218</f>
        <v>0</v>
      </c>
      <c r="F2099" s="113">
        <f>领料单!N218</f>
        <v>0</v>
      </c>
      <c r="G2099" s="113">
        <f>领料单!O218</f>
        <v>0</v>
      </c>
    </row>
    <row r="2100" customHeight="1" spans="1:7">
      <c r="A2100" s="113">
        <f>领料单!I219</f>
        <v>0</v>
      </c>
      <c r="B2100" s="113">
        <f>领料单!J219</f>
        <v>0</v>
      </c>
      <c r="C2100" s="113">
        <f>领料单!K219</f>
        <v>0</v>
      </c>
      <c r="D2100" s="113">
        <f>领料单!L219</f>
        <v>0</v>
      </c>
      <c r="E2100" s="113">
        <f>领料单!M219</f>
        <v>0</v>
      </c>
      <c r="F2100" s="113">
        <f>领料单!N219</f>
        <v>0</v>
      </c>
      <c r="G2100" s="113">
        <f>领料单!O219</f>
        <v>0</v>
      </c>
    </row>
    <row r="2101" customHeight="1" spans="1:7">
      <c r="A2101" s="113">
        <f>领料单!I220</f>
        <v>0</v>
      </c>
      <c r="B2101" s="113">
        <f>领料单!J220</f>
        <v>0</v>
      </c>
      <c r="C2101" s="113">
        <f>领料单!K220</f>
        <v>0</v>
      </c>
      <c r="D2101" s="113">
        <f>领料单!L220</f>
        <v>0</v>
      </c>
      <c r="E2101" s="113">
        <f>领料单!M220</f>
        <v>0</v>
      </c>
      <c r="F2101" s="113">
        <f>领料单!N220</f>
        <v>0</v>
      </c>
      <c r="G2101" s="113">
        <f>领料单!O220</f>
        <v>0</v>
      </c>
    </row>
    <row r="2102" customHeight="1" spans="1:7">
      <c r="A2102" s="113">
        <f>领料单!I221</f>
        <v>0</v>
      </c>
      <c r="B2102" s="113">
        <f>领料单!J221</f>
        <v>0</v>
      </c>
      <c r="C2102" s="113">
        <f>领料单!K221</f>
        <v>0</v>
      </c>
      <c r="D2102" s="113">
        <f>领料单!L221</f>
        <v>0</v>
      </c>
      <c r="E2102" s="113">
        <f>领料单!M221</f>
        <v>0</v>
      </c>
      <c r="F2102" s="113">
        <f>领料单!N221</f>
        <v>0</v>
      </c>
      <c r="G2102" s="113">
        <f>领料单!O221</f>
        <v>0</v>
      </c>
    </row>
    <row r="2103" customHeight="1" spans="1:7">
      <c r="A2103" s="113">
        <f>领料单!I222</f>
        <v>0</v>
      </c>
      <c r="B2103" s="113">
        <f>领料单!J222</f>
        <v>0</v>
      </c>
      <c r="C2103" s="113">
        <f>领料单!K222</f>
        <v>0</v>
      </c>
      <c r="D2103" s="113">
        <f>领料单!L222</f>
        <v>0</v>
      </c>
      <c r="E2103" s="113">
        <f>领料单!M222</f>
        <v>0</v>
      </c>
      <c r="F2103" s="113">
        <f>领料单!N222</f>
        <v>0</v>
      </c>
      <c r="G2103" s="113">
        <f>领料单!O222</f>
        <v>0</v>
      </c>
    </row>
    <row r="2104" customHeight="1" spans="1:7">
      <c r="A2104" s="113">
        <f>领料单!I223</f>
        <v>0</v>
      </c>
      <c r="B2104" s="113">
        <f>领料单!J223</f>
        <v>0</v>
      </c>
      <c r="C2104" s="113">
        <f>领料单!K223</f>
        <v>0</v>
      </c>
      <c r="D2104" s="113">
        <f>领料单!L223</f>
        <v>0</v>
      </c>
      <c r="E2104" s="113">
        <f>领料单!M223</f>
        <v>0</v>
      </c>
      <c r="F2104" s="113">
        <f>领料单!N223</f>
        <v>0</v>
      </c>
      <c r="G2104" s="113">
        <f>领料单!O223</f>
        <v>0</v>
      </c>
    </row>
    <row r="2105" customHeight="1" spans="1:7">
      <c r="A2105" s="115" t="s">
        <v>340</v>
      </c>
      <c r="B2105" s="116"/>
      <c r="C2105" s="116"/>
      <c r="D2105" s="116"/>
      <c r="E2105" s="117"/>
      <c r="F2105" s="118">
        <f>SUM(F2094:F2104)</f>
        <v>0</v>
      </c>
      <c r="G2105" s="114"/>
    </row>
    <row r="2106" customHeight="1" spans="1:7">
      <c r="A2106" s="119" t="s">
        <v>341</v>
      </c>
      <c r="B2106" s="119"/>
      <c r="C2106" s="120"/>
      <c r="D2106" s="119"/>
      <c r="E2106" s="121" t="s">
        <v>342</v>
      </c>
      <c r="F2106" s="119"/>
      <c r="G2106" s="119"/>
    </row>
    <row r="2109" customHeight="1" spans="1:7">
      <c r="A2109" s="105"/>
      <c r="B2109" s="106"/>
      <c r="C2109" s="107" t="s">
        <v>330</v>
      </c>
      <c r="D2109" s="107"/>
      <c r="E2109" s="107"/>
      <c r="F2109" s="105"/>
      <c r="G2109" s="105"/>
    </row>
    <row r="2110" customHeight="1" spans="1:7">
      <c r="A2110" s="108" t="s">
        <v>331</v>
      </c>
      <c r="B2110" s="109"/>
      <c r="C2110" s="110">
        <v>46022</v>
      </c>
      <c r="D2110" s="110"/>
      <c r="E2110" s="110"/>
      <c r="F2110" s="111" t="s">
        <v>332</v>
      </c>
      <c r="G2110" s="112" t="str">
        <f>立项!$A$4</f>
        <v>RD02</v>
      </c>
    </row>
    <row r="2111" customHeight="1" spans="1:7">
      <c r="A2111" s="113" t="s">
        <v>333</v>
      </c>
      <c r="B2111" s="113" t="s">
        <v>334</v>
      </c>
      <c r="C2111" s="113" t="s">
        <v>335</v>
      </c>
      <c r="D2111" s="113" t="s">
        <v>336</v>
      </c>
      <c r="E2111" s="113" t="s">
        <v>337</v>
      </c>
      <c r="F2111" s="113" t="s">
        <v>338</v>
      </c>
      <c r="G2111" s="113" t="s">
        <v>339</v>
      </c>
    </row>
    <row r="2112" customHeight="1" spans="1:7">
      <c r="A2112" s="113">
        <f>领料单!Q213</f>
        <v>0</v>
      </c>
      <c r="B2112" s="113">
        <f>领料单!R213</f>
        <v>0</v>
      </c>
      <c r="C2112" s="113">
        <f>领料单!S213</f>
        <v>0</v>
      </c>
      <c r="D2112" s="113">
        <f>领料单!T213</f>
        <v>0</v>
      </c>
      <c r="E2112" s="113">
        <f>领料单!U213</f>
        <v>0</v>
      </c>
      <c r="F2112" s="113">
        <f>领料单!V213</f>
        <v>0</v>
      </c>
      <c r="G2112" s="113">
        <f>领料单!W213</f>
        <v>0</v>
      </c>
    </row>
    <row r="2113" customHeight="1" spans="1:7">
      <c r="A2113" s="113">
        <f>领料单!Q214</f>
        <v>0</v>
      </c>
      <c r="B2113" s="113">
        <f>领料单!R214</f>
        <v>0</v>
      </c>
      <c r="C2113" s="113">
        <f>领料单!S214</f>
        <v>0</v>
      </c>
      <c r="D2113" s="113">
        <f>领料单!T214</f>
        <v>0</v>
      </c>
      <c r="E2113" s="113">
        <f>领料单!U214</f>
        <v>0</v>
      </c>
      <c r="F2113" s="113">
        <f>领料单!V214</f>
        <v>0</v>
      </c>
      <c r="G2113" s="113">
        <f>领料单!W214</f>
        <v>0</v>
      </c>
    </row>
    <row r="2114" customHeight="1" spans="1:7">
      <c r="A2114" s="113">
        <f>领料单!Q215</f>
        <v>0</v>
      </c>
      <c r="B2114" s="113">
        <f>领料单!R215</f>
        <v>0</v>
      </c>
      <c r="C2114" s="113">
        <f>领料单!S215</f>
        <v>0</v>
      </c>
      <c r="D2114" s="113">
        <f>领料单!T215</f>
        <v>0</v>
      </c>
      <c r="E2114" s="113">
        <f>领料单!U215</f>
        <v>0</v>
      </c>
      <c r="F2114" s="113">
        <f>领料单!V215</f>
        <v>0</v>
      </c>
      <c r="G2114" s="113">
        <f>领料单!W215</f>
        <v>0</v>
      </c>
    </row>
    <row r="2115" customHeight="1" spans="1:7">
      <c r="A2115" s="113">
        <f>领料单!Q216</f>
        <v>0</v>
      </c>
      <c r="B2115" s="113">
        <f>领料单!R216</f>
        <v>0</v>
      </c>
      <c r="C2115" s="113">
        <f>领料单!S216</f>
        <v>0</v>
      </c>
      <c r="D2115" s="113">
        <f>领料单!T216</f>
        <v>0</v>
      </c>
      <c r="E2115" s="113">
        <f>领料单!U216</f>
        <v>0</v>
      </c>
      <c r="F2115" s="113">
        <f>领料单!V216</f>
        <v>0</v>
      </c>
      <c r="G2115" s="113">
        <f>领料单!W216</f>
        <v>0</v>
      </c>
    </row>
    <row r="2116" customHeight="1" spans="1:7">
      <c r="A2116" s="113">
        <f>领料单!Q217</f>
        <v>0</v>
      </c>
      <c r="B2116" s="113">
        <f>领料单!R217</f>
        <v>0</v>
      </c>
      <c r="C2116" s="113">
        <f>领料单!S217</f>
        <v>0</v>
      </c>
      <c r="D2116" s="113">
        <f>领料单!T217</f>
        <v>0</v>
      </c>
      <c r="E2116" s="113">
        <f>领料单!U217</f>
        <v>0</v>
      </c>
      <c r="F2116" s="113">
        <f>领料单!V217</f>
        <v>0</v>
      </c>
      <c r="G2116" s="113">
        <f>领料单!W217</f>
        <v>0</v>
      </c>
    </row>
    <row r="2117" customHeight="1" spans="1:7">
      <c r="A2117" s="113">
        <f>领料单!Q218</f>
        <v>0</v>
      </c>
      <c r="B2117" s="113">
        <f>领料单!R218</f>
        <v>0</v>
      </c>
      <c r="C2117" s="113">
        <f>领料单!S218</f>
        <v>0</v>
      </c>
      <c r="D2117" s="113">
        <f>领料单!T218</f>
        <v>0</v>
      </c>
      <c r="E2117" s="113">
        <f>领料单!U218</f>
        <v>0</v>
      </c>
      <c r="F2117" s="113">
        <f>领料单!V218</f>
        <v>0</v>
      </c>
      <c r="G2117" s="113">
        <f>领料单!W218</f>
        <v>0</v>
      </c>
    </row>
    <row r="2118" customHeight="1" spans="1:7">
      <c r="A2118" s="113">
        <f>领料单!Q219</f>
        <v>0</v>
      </c>
      <c r="B2118" s="113">
        <f>领料单!R219</f>
        <v>0</v>
      </c>
      <c r="C2118" s="113">
        <f>领料单!S219</f>
        <v>0</v>
      </c>
      <c r="D2118" s="113">
        <f>领料单!T219</f>
        <v>0</v>
      </c>
      <c r="E2118" s="113">
        <f>领料单!U219</f>
        <v>0</v>
      </c>
      <c r="F2118" s="113">
        <f>领料单!V219</f>
        <v>0</v>
      </c>
      <c r="G2118" s="113">
        <f>领料单!W219</f>
        <v>0</v>
      </c>
    </row>
    <row r="2119" customHeight="1" spans="1:7">
      <c r="A2119" s="113">
        <f>领料单!Q220</f>
        <v>0</v>
      </c>
      <c r="B2119" s="113">
        <f>领料单!R220</f>
        <v>0</v>
      </c>
      <c r="C2119" s="113">
        <f>领料单!S220</f>
        <v>0</v>
      </c>
      <c r="D2119" s="113">
        <f>领料单!T220</f>
        <v>0</v>
      </c>
      <c r="E2119" s="113">
        <f>领料单!U220</f>
        <v>0</v>
      </c>
      <c r="F2119" s="113">
        <f>领料单!V220</f>
        <v>0</v>
      </c>
      <c r="G2119" s="113">
        <f>领料单!W220</f>
        <v>0</v>
      </c>
    </row>
    <row r="2120" customHeight="1" spans="1:7">
      <c r="A2120" s="113">
        <f>领料单!Q221</f>
        <v>0</v>
      </c>
      <c r="B2120" s="113">
        <f>领料单!R221</f>
        <v>0</v>
      </c>
      <c r="C2120" s="113">
        <f>领料单!S221</f>
        <v>0</v>
      </c>
      <c r="D2120" s="113">
        <f>领料单!T221</f>
        <v>0</v>
      </c>
      <c r="E2120" s="113">
        <f>领料单!U221</f>
        <v>0</v>
      </c>
      <c r="F2120" s="113">
        <f>领料单!V221</f>
        <v>0</v>
      </c>
      <c r="G2120" s="113">
        <f>领料单!W221</f>
        <v>0</v>
      </c>
    </row>
    <row r="2121" customHeight="1" spans="1:7">
      <c r="A2121" s="113">
        <f>领料单!Q222</f>
        <v>0</v>
      </c>
      <c r="B2121" s="113">
        <f>领料单!R222</f>
        <v>0</v>
      </c>
      <c r="C2121" s="113">
        <f>领料单!S222</f>
        <v>0</v>
      </c>
      <c r="D2121" s="113">
        <f>领料单!T222</f>
        <v>0</v>
      </c>
      <c r="E2121" s="113">
        <f>领料单!U222</f>
        <v>0</v>
      </c>
      <c r="F2121" s="113">
        <f>领料单!V222</f>
        <v>0</v>
      </c>
      <c r="G2121" s="113">
        <f>领料单!W222</f>
        <v>0</v>
      </c>
    </row>
    <row r="2122" customHeight="1" spans="1:7">
      <c r="A2122" s="113">
        <f>领料单!Q223</f>
        <v>0</v>
      </c>
      <c r="B2122" s="113">
        <f>领料单!R223</f>
        <v>0</v>
      </c>
      <c r="C2122" s="113">
        <f>领料单!S223</f>
        <v>0</v>
      </c>
      <c r="D2122" s="113">
        <f>领料单!T223</f>
        <v>0</v>
      </c>
      <c r="E2122" s="113">
        <f>领料单!U223</f>
        <v>0</v>
      </c>
      <c r="F2122" s="113">
        <f>领料单!V223</f>
        <v>0</v>
      </c>
      <c r="G2122" s="113">
        <f>领料单!W223</f>
        <v>0</v>
      </c>
    </row>
    <row r="2123" customHeight="1" spans="1:7">
      <c r="A2123" s="115" t="s">
        <v>340</v>
      </c>
      <c r="B2123" s="116"/>
      <c r="C2123" s="116"/>
      <c r="D2123" s="116"/>
      <c r="E2123" s="117"/>
      <c r="F2123" s="118">
        <f>SUM(F2112:F2122)</f>
        <v>0</v>
      </c>
      <c r="G2123" s="114"/>
    </row>
    <row r="2124" customHeight="1" spans="1:7">
      <c r="A2124" s="119" t="s">
        <v>341</v>
      </c>
      <c r="B2124" s="119"/>
      <c r="C2124" s="120"/>
      <c r="D2124" s="119"/>
      <c r="E2124" s="121" t="s">
        <v>342</v>
      </c>
      <c r="F2124" s="119"/>
      <c r="G2124" s="119"/>
    </row>
    <row r="2127" customHeight="1" spans="1:7">
      <c r="A2127" s="105"/>
      <c r="B2127" s="106"/>
      <c r="C2127" s="107" t="s">
        <v>330</v>
      </c>
      <c r="D2127" s="107"/>
      <c r="E2127" s="107"/>
      <c r="F2127" s="105"/>
      <c r="G2127" s="105"/>
    </row>
    <row r="2128" customHeight="1" spans="1:7">
      <c r="A2128" s="108" t="s">
        <v>331</v>
      </c>
      <c r="B2128" s="109"/>
      <c r="C2128" s="110">
        <v>46022</v>
      </c>
      <c r="D2128" s="110"/>
      <c r="E2128" s="110"/>
      <c r="F2128" s="111" t="s">
        <v>332</v>
      </c>
      <c r="G2128" s="112" t="str">
        <f>立项!$A$5</f>
        <v>RD03</v>
      </c>
    </row>
    <row r="2129" customHeight="1" spans="1:7">
      <c r="A2129" s="113" t="s">
        <v>333</v>
      </c>
      <c r="B2129" s="113" t="s">
        <v>334</v>
      </c>
      <c r="C2129" s="113" t="s">
        <v>335</v>
      </c>
      <c r="D2129" s="113" t="s">
        <v>336</v>
      </c>
      <c r="E2129" s="113" t="s">
        <v>337</v>
      </c>
      <c r="F2129" s="113" t="s">
        <v>338</v>
      </c>
      <c r="G2129" s="113" t="s">
        <v>339</v>
      </c>
    </row>
    <row r="2130" customHeight="1" spans="1:7">
      <c r="A2130" s="113">
        <f>领料单!Y213</f>
        <v>0</v>
      </c>
      <c r="B2130" s="113">
        <f>领料单!Z213</f>
        <v>0</v>
      </c>
      <c r="C2130" s="113">
        <f>领料单!AA213</f>
        <v>0</v>
      </c>
      <c r="D2130" s="113">
        <f>领料单!AB213</f>
        <v>0</v>
      </c>
      <c r="E2130" s="113">
        <f>领料单!AC213</f>
        <v>0</v>
      </c>
      <c r="F2130" s="113">
        <f>领料单!AD213</f>
        <v>0</v>
      </c>
      <c r="G2130" s="113">
        <f>领料单!AE213</f>
        <v>0</v>
      </c>
    </row>
    <row r="2131" customHeight="1" spans="1:7">
      <c r="A2131" s="113">
        <f>领料单!Y214</f>
        <v>0</v>
      </c>
      <c r="B2131" s="113">
        <f>领料单!Z214</f>
        <v>0</v>
      </c>
      <c r="C2131" s="113">
        <f>领料单!AA214</f>
        <v>0</v>
      </c>
      <c r="D2131" s="113">
        <f>领料单!AB214</f>
        <v>0</v>
      </c>
      <c r="E2131" s="113">
        <f>领料单!AC214</f>
        <v>0</v>
      </c>
      <c r="F2131" s="113">
        <f>领料单!AD214</f>
        <v>0</v>
      </c>
      <c r="G2131" s="113">
        <f>领料单!AE214</f>
        <v>0</v>
      </c>
    </row>
    <row r="2132" customHeight="1" spans="1:7">
      <c r="A2132" s="113">
        <f>领料单!Y215</f>
        <v>0</v>
      </c>
      <c r="B2132" s="113">
        <f>领料单!Z215</f>
        <v>0</v>
      </c>
      <c r="C2132" s="113">
        <f>领料单!AA215</f>
        <v>0</v>
      </c>
      <c r="D2132" s="113">
        <f>领料单!AB215</f>
        <v>0</v>
      </c>
      <c r="E2132" s="113">
        <f>领料单!AC215</f>
        <v>0</v>
      </c>
      <c r="F2132" s="113">
        <f>领料单!AD215</f>
        <v>0</v>
      </c>
      <c r="G2132" s="113">
        <f>领料单!AE215</f>
        <v>0</v>
      </c>
    </row>
    <row r="2133" customHeight="1" spans="1:7">
      <c r="A2133" s="113">
        <f>领料单!Y216</f>
        <v>0</v>
      </c>
      <c r="B2133" s="113">
        <f>领料单!Z216</f>
        <v>0</v>
      </c>
      <c r="C2133" s="113">
        <f>领料单!AA216</f>
        <v>0</v>
      </c>
      <c r="D2133" s="113">
        <f>领料单!AB216</f>
        <v>0</v>
      </c>
      <c r="E2133" s="113">
        <f>领料单!AC216</f>
        <v>0</v>
      </c>
      <c r="F2133" s="113">
        <f>领料单!AD216</f>
        <v>0</v>
      </c>
      <c r="G2133" s="113">
        <f>领料单!AE216</f>
        <v>0</v>
      </c>
    </row>
    <row r="2134" customHeight="1" spans="1:7">
      <c r="A2134" s="113">
        <f>领料单!Y217</f>
        <v>0</v>
      </c>
      <c r="B2134" s="113">
        <f>领料单!Z217</f>
        <v>0</v>
      </c>
      <c r="C2134" s="113">
        <f>领料单!AA217</f>
        <v>0</v>
      </c>
      <c r="D2134" s="113">
        <f>领料单!AB217</f>
        <v>0</v>
      </c>
      <c r="E2134" s="113">
        <f>领料单!AC217</f>
        <v>0</v>
      </c>
      <c r="F2134" s="113">
        <f>领料单!AD217</f>
        <v>0</v>
      </c>
      <c r="G2134" s="113">
        <f>领料单!AE217</f>
        <v>0</v>
      </c>
    </row>
    <row r="2135" customHeight="1" spans="1:7">
      <c r="A2135" s="113">
        <f>领料单!Y218</f>
        <v>0</v>
      </c>
      <c r="B2135" s="113">
        <f>领料单!Z218</f>
        <v>0</v>
      </c>
      <c r="C2135" s="113">
        <f>领料单!AA218</f>
        <v>0</v>
      </c>
      <c r="D2135" s="113">
        <f>领料单!AB218</f>
        <v>0</v>
      </c>
      <c r="E2135" s="113">
        <f>领料单!AC218</f>
        <v>0</v>
      </c>
      <c r="F2135" s="113">
        <f>领料单!AD218</f>
        <v>0</v>
      </c>
      <c r="G2135" s="113">
        <f>领料单!AE218</f>
        <v>0</v>
      </c>
    </row>
    <row r="2136" customHeight="1" spans="1:7">
      <c r="A2136" s="113">
        <f>领料单!Y219</f>
        <v>0</v>
      </c>
      <c r="B2136" s="113">
        <f>领料单!Z219</f>
        <v>0</v>
      </c>
      <c r="C2136" s="113">
        <f>领料单!AA219</f>
        <v>0</v>
      </c>
      <c r="D2136" s="113">
        <f>领料单!AB219</f>
        <v>0</v>
      </c>
      <c r="E2136" s="113">
        <f>领料单!AC219</f>
        <v>0</v>
      </c>
      <c r="F2136" s="113">
        <f>领料单!AD219</f>
        <v>0</v>
      </c>
      <c r="G2136" s="113">
        <f>领料单!AE219</f>
        <v>0</v>
      </c>
    </row>
    <row r="2137" customHeight="1" spans="1:7">
      <c r="A2137" s="113">
        <f>领料单!Y220</f>
        <v>0</v>
      </c>
      <c r="B2137" s="113">
        <f>领料单!Z220</f>
        <v>0</v>
      </c>
      <c r="C2137" s="113">
        <f>领料单!AA220</f>
        <v>0</v>
      </c>
      <c r="D2137" s="113">
        <f>领料单!AB220</f>
        <v>0</v>
      </c>
      <c r="E2137" s="113">
        <f>领料单!AC220</f>
        <v>0</v>
      </c>
      <c r="F2137" s="113">
        <f>领料单!AD220</f>
        <v>0</v>
      </c>
      <c r="G2137" s="113">
        <f>领料单!AE220</f>
        <v>0</v>
      </c>
    </row>
    <row r="2138" customHeight="1" spans="1:7">
      <c r="A2138" s="113">
        <f>领料单!Y221</f>
        <v>0</v>
      </c>
      <c r="B2138" s="113">
        <f>领料单!Z221</f>
        <v>0</v>
      </c>
      <c r="C2138" s="113">
        <f>领料单!AA221</f>
        <v>0</v>
      </c>
      <c r="D2138" s="113">
        <f>领料单!AB221</f>
        <v>0</v>
      </c>
      <c r="E2138" s="113">
        <f>领料单!AC221</f>
        <v>0</v>
      </c>
      <c r="F2138" s="113">
        <f>领料单!AD221</f>
        <v>0</v>
      </c>
      <c r="G2138" s="113">
        <f>领料单!AE221</f>
        <v>0</v>
      </c>
    </row>
    <row r="2139" customHeight="1" spans="1:7">
      <c r="A2139" s="113">
        <f>领料单!Y222</f>
        <v>0</v>
      </c>
      <c r="B2139" s="113">
        <f>领料单!Z222</f>
        <v>0</v>
      </c>
      <c r="C2139" s="113">
        <f>领料单!AA222</f>
        <v>0</v>
      </c>
      <c r="D2139" s="113">
        <f>领料单!AB222</f>
        <v>0</v>
      </c>
      <c r="E2139" s="113">
        <f>领料单!AC222</f>
        <v>0</v>
      </c>
      <c r="F2139" s="113">
        <f>领料单!AD222</f>
        <v>0</v>
      </c>
      <c r="G2139" s="113">
        <f>领料单!AE222</f>
        <v>0</v>
      </c>
    </row>
    <row r="2140" customHeight="1" spans="1:7">
      <c r="A2140" s="113">
        <f>领料单!Y223</f>
        <v>0</v>
      </c>
      <c r="B2140" s="113">
        <f>领料单!Z223</f>
        <v>0</v>
      </c>
      <c r="C2140" s="113">
        <f>领料单!AA223</f>
        <v>0</v>
      </c>
      <c r="D2140" s="113">
        <f>领料单!AB223</f>
        <v>0</v>
      </c>
      <c r="E2140" s="113">
        <f>领料单!AC223</f>
        <v>0</v>
      </c>
      <c r="F2140" s="113">
        <f>领料单!AD223</f>
        <v>0</v>
      </c>
      <c r="G2140" s="113">
        <f>领料单!AE223</f>
        <v>0</v>
      </c>
    </row>
    <row r="2141" customHeight="1" spans="1:7">
      <c r="A2141" s="115" t="s">
        <v>340</v>
      </c>
      <c r="B2141" s="116"/>
      <c r="C2141" s="116"/>
      <c r="D2141" s="116"/>
      <c r="E2141" s="117"/>
      <c r="F2141" s="118">
        <f>SUM(F2130:F2140)</f>
        <v>0</v>
      </c>
      <c r="G2141" s="114"/>
    </row>
    <row r="2142" customHeight="1" spans="1:7">
      <c r="A2142" s="119" t="s">
        <v>341</v>
      </c>
      <c r="B2142" s="119"/>
      <c r="C2142" s="120"/>
      <c r="D2142" s="119"/>
      <c r="E2142" s="121" t="s">
        <v>342</v>
      </c>
      <c r="F2142" s="119"/>
      <c r="G2142" s="119"/>
    </row>
    <row r="2145" customHeight="1" spans="1:7">
      <c r="A2145" s="105"/>
      <c r="B2145" s="106"/>
      <c r="C2145" s="107" t="s">
        <v>330</v>
      </c>
      <c r="D2145" s="107"/>
      <c r="E2145" s="107"/>
      <c r="F2145" s="105"/>
      <c r="G2145" s="105"/>
    </row>
    <row r="2146" customHeight="1" spans="1:7">
      <c r="A2146" s="108" t="s">
        <v>331</v>
      </c>
      <c r="B2146" s="109"/>
      <c r="C2146" s="110">
        <v>46022</v>
      </c>
      <c r="D2146" s="110"/>
      <c r="E2146" s="110"/>
      <c r="F2146" s="111" t="s">
        <v>332</v>
      </c>
      <c r="G2146" s="112" t="str">
        <f>立项!$A$6</f>
        <v>RD04</v>
      </c>
    </row>
    <row r="2147" customHeight="1" spans="1:7">
      <c r="A2147" s="113" t="s">
        <v>333</v>
      </c>
      <c r="B2147" s="113" t="s">
        <v>334</v>
      </c>
      <c r="C2147" s="113" t="s">
        <v>335</v>
      </c>
      <c r="D2147" s="113" t="s">
        <v>336</v>
      </c>
      <c r="E2147" s="113" t="s">
        <v>337</v>
      </c>
      <c r="F2147" s="113" t="s">
        <v>338</v>
      </c>
      <c r="G2147" s="113" t="s">
        <v>339</v>
      </c>
    </row>
    <row r="2148" customHeight="1" spans="1:7">
      <c r="A2148" s="113">
        <f>领料单!AG213</f>
        <v>0</v>
      </c>
      <c r="B2148" s="113">
        <f>领料单!AH213</f>
        <v>0</v>
      </c>
      <c r="C2148" s="113">
        <f>领料单!AI213</f>
        <v>0</v>
      </c>
      <c r="D2148" s="113">
        <f>领料单!AJ213</f>
        <v>0</v>
      </c>
      <c r="E2148" s="113">
        <f>领料单!AK213</f>
        <v>0</v>
      </c>
      <c r="F2148" s="113">
        <f>领料单!AL213</f>
        <v>0</v>
      </c>
      <c r="G2148" s="113">
        <f>领料单!AM213</f>
        <v>0</v>
      </c>
    </row>
    <row r="2149" customHeight="1" spans="1:7">
      <c r="A2149" s="113">
        <f>领料单!AG214</f>
        <v>0</v>
      </c>
      <c r="B2149" s="113">
        <f>领料单!AH214</f>
        <v>0</v>
      </c>
      <c r="C2149" s="113">
        <f>领料单!AI214</f>
        <v>0</v>
      </c>
      <c r="D2149" s="113">
        <f>领料单!AJ214</f>
        <v>0</v>
      </c>
      <c r="E2149" s="113">
        <f>领料单!AK214</f>
        <v>0</v>
      </c>
      <c r="F2149" s="113">
        <f>领料单!AL214</f>
        <v>0</v>
      </c>
      <c r="G2149" s="113">
        <f>领料单!AM214</f>
        <v>0</v>
      </c>
    </row>
    <row r="2150" customHeight="1" spans="1:7">
      <c r="A2150" s="113">
        <f>领料单!AG215</f>
        <v>0</v>
      </c>
      <c r="B2150" s="113">
        <f>领料单!AH215</f>
        <v>0</v>
      </c>
      <c r="C2150" s="113">
        <f>领料单!AI215</f>
        <v>0</v>
      </c>
      <c r="D2150" s="113">
        <f>领料单!AJ215</f>
        <v>0</v>
      </c>
      <c r="E2150" s="113">
        <f>领料单!AK215</f>
        <v>0</v>
      </c>
      <c r="F2150" s="113">
        <f>领料单!AL215</f>
        <v>0</v>
      </c>
      <c r="G2150" s="113">
        <f>领料单!AM215</f>
        <v>0</v>
      </c>
    </row>
    <row r="2151" customHeight="1" spans="1:7">
      <c r="A2151" s="113">
        <f>领料单!AG216</f>
        <v>0</v>
      </c>
      <c r="B2151" s="113">
        <f>领料单!AH216</f>
        <v>0</v>
      </c>
      <c r="C2151" s="113">
        <f>领料单!AI216</f>
        <v>0</v>
      </c>
      <c r="D2151" s="113">
        <f>领料单!AJ216</f>
        <v>0</v>
      </c>
      <c r="E2151" s="113">
        <f>领料单!AK216</f>
        <v>0</v>
      </c>
      <c r="F2151" s="113">
        <f>领料单!AL216</f>
        <v>0</v>
      </c>
      <c r="G2151" s="113">
        <f>领料单!AM216</f>
        <v>0</v>
      </c>
    </row>
    <row r="2152" customHeight="1" spans="1:7">
      <c r="A2152" s="113">
        <f>领料单!AG217</f>
        <v>0</v>
      </c>
      <c r="B2152" s="113">
        <f>领料单!AH217</f>
        <v>0</v>
      </c>
      <c r="C2152" s="113">
        <f>领料单!AI217</f>
        <v>0</v>
      </c>
      <c r="D2152" s="113">
        <f>领料单!AJ217</f>
        <v>0</v>
      </c>
      <c r="E2152" s="113">
        <f>领料单!AK217</f>
        <v>0</v>
      </c>
      <c r="F2152" s="113">
        <f>领料单!AL217</f>
        <v>0</v>
      </c>
      <c r="G2152" s="113">
        <f>领料单!AM217</f>
        <v>0</v>
      </c>
    </row>
    <row r="2153" customHeight="1" spans="1:7">
      <c r="A2153" s="113">
        <f>领料单!AG218</f>
        <v>0</v>
      </c>
      <c r="B2153" s="113">
        <f>领料单!AH218</f>
        <v>0</v>
      </c>
      <c r="C2153" s="113">
        <f>领料单!AI218</f>
        <v>0</v>
      </c>
      <c r="D2153" s="113">
        <f>领料单!AJ218</f>
        <v>0</v>
      </c>
      <c r="E2153" s="113">
        <f>领料单!AK218</f>
        <v>0</v>
      </c>
      <c r="F2153" s="113">
        <f>领料单!AL218</f>
        <v>0</v>
      </c>
      <c r="G2153" s="113">
        <f>领料单!AM218</f>
        <v>0</v>
      </c>
    </row>
    <row r="2154" customHeight="1" spans="1:7">
      <c r="A2154" s="113">
        <f>领料单!AG219</f>
        <v>0</v>
      </c>
      <c r="B2154" s="113">
        <f>领料单!AH219</f>
        <v>0</v>
      </c>
      <c r="C2154" s="113">
        <f>领料单!AI219</f>
        <v>0</v>
      </c>
      <c r="D2154" s="113">
        <f>领料单!AJ219</f>
        <v>0</v>
      </c>
      <c r="E2154" s="113">
        <f>领料单!AK219</f>
        <v>0</v>
      </c>
      <c r="F2154" s="113">
        <f>领料单!AL219</f>
        <v>0</v>
      </c>
      <c r="G2154" s="113">
        <f>领料单!AM219</f>
        <v>0</v>
      </c>
    </row>
    <row r="2155" customHeight="1" spans="1:7">
      <c r="A2155" s="113">
        <f>领料单!AG220</f>
        <v>0</v>
      </c>
      <c r="B2155" s="113">
        <f>领料单!AH220</f>
        <v>0</v>
      </c>
      <c r="C2155" s="113">
        <f>领料单!AI220</f>
        <v>0</v>
      </c>
      <c r="D2155" s="113">
        <f>领料单!AJ220</f>
        <v>0</v>
      </c>
      <c r="E2155" s="113">
        <f>领料单!AK220</f>
        <v>0</v>
      </c>
      <c r="F2155" s="113">
        <f>领料单!AL220</f>
        <v>0</v>
      </c>
      <c r="G2155" s="113">
        <f>领料单!AM220</f>
        <v>0</v>
      </c>
    </row>
    <row r="2156" customHeight="1" spans="1:7">
      <c r="A2156" s="113">
        <f>领料单!AG221</f>
        <v>0</v>
      </c>
      <c r="B2156" s="113">
        <f>领料单!AH221</f>
        <v>0</v>
      </c>
      <c r="C2156" s="113">
        <f>领料单!AI221</f>
        <v>0</v>
      </c>
      <c r="D2156" s="113">
        <f>领料单!AJ221</f>
        <v>0</v>
      </c>
      <c r="E2156" s="113">
        <f>领料单!AK221</f>
        <v>0</v>
      </c>
      <c r="F2156" s="113">
        <f>领料单!AL221</f>
        <v>0</v>
      </c>
      <c r="G2156" s="113">
        <f>领料单!AM221</f>
        <v>0</v>
      </c>
    </row>
    <row r="2157" customHeight="1" spans="1:7">
      <c r="A2157" s="113">
        <f>领料单!AG222</f>
        <v>0</v>
      </c>
      <c r="B2157" s="113">
        <f>领料单!AH222</f>
        <v>0</v>
      </c>
      <c r="C2157" s="113">
        <f>领料单!AI222</f>
        <v>0</v>
      </c>
      <c r="D2157" s="113">
        <f>领料单!AJ222</f>
        <v>0</v>
      </c>
      <c r="E2157" s="113">
        <f>领料单!AK222</f>
        <v>0</v>
      </c>
      <c r="F2157" s="113">
        <f>领料单!AL222</f>
        <v>0</v>
      </c>
      <c r="G2157" s="113">
        <f>领料单!AM222</f>
        <v>0</v>
      </c>
    </row>
    <row r="2158" customHeight="1" spans="1:7">
      <c r="A2158" s="113">
        <f>领料单!AG223</f>
        <v>0</v>
      </c>
      <c r="B2158" s="113">
        <f>领料单!AH223</f>
        <v>0</v>
      </c>
      <c r="C2158" s="113">
        <f>领料单!AI223</f>
        <v>0</v>
      </c>
      <c r="D2158" s="113">
        <f>领料单!AJ223</f>
        <v>0</v>
      </c>
      <c r="E2158" s="113">
        <f>领料单!AK223</f>
        <v>0</v>
      </c>
      <c r="F2158" s="113">
        <f>领料单!AL223</f>
        <v>0</v>
      </c>
      <c r="G2158" s="113">
        <f>领料单!AM223</f>
        <v>0</v>
      </c>
    </row>
    <row r="2159" customHeight="1" spans="1:7">
      <c r="A2159" s="115" t="s">
        <v>340</v>
      </c>
      <c r="B2159" s="116"/>
      <c r="C2159" s="116"/>
      <c r="D2159" s="116"/>
      <c r="E2159" s="117"/>
      <c r="F2159" s="118">
        <f>SUM(F2148:F2158)</f>
        <v>0</v>
      </c>
      <c r="G2159" s="114"/>
    </row>
    <row r="2160" customHeight="1" spans="1:7">
      <c r="A2160" s="119" t="s">
        <v>341</v>
      </c>
      <c r="B2160" s="119"/>
      <c r="C2160" s="120"/>
      <c r="D2160" s="119"/>
      <c r="E2160" s="121" t="s">
        <v>342</v>
      </c>
      <c r="F2160" s="119"/>
      <c r="G2160" s="119"/>
    </row>
    <row r="2163" customHeight="1" spans="1:7">
      <c r="A2163" s="105"/>
      <c r="B2163" s="106"/>
      <c r="C2163" s="107" t="s">
        <v>330</v>
      </c>
      <c r="D2163" s="107"/>
      <c r="E2163" s="107"/>
      <c r="F2163" s="105"/>
      <c r="G2163" s="105"/>
    </row>
    <row r="2164" customHeight="1" spans="1:7">
      <c r="A2164" s="108" t="s">
        <v>331</v>
      </c>
      <c r="B2164" s="109"/>
      <c r="C2164" s="110">
        <v>46022</v>
      </c>
      <c r="D2164" s="110"/>
      <c r="E2164" s="110"/>
      <c r="F2164" s="111" t="s">
        <v>332</v>
      </c>
      <c r="G2164" s="112" t="str">
        <f>立项!$A$7</f>
        <v>RD05</v>
      </c>
    </row>
    <row r="2165" customHeight="1" spans="1:7">
      <c r="A2165" s="113" t="s">
        <v>333</v>
      </c>
      <c r="B2165" s="113" t="s">
        <v>334</v>
      </c>
      <c r="C2165" s="113" t="s">
        <v>335</v>
      </c>
      <c r="D2165" s="113" t="s">
        <v>336</v>
      </c>
      <c r="E2165" s="113" t="s">
        <v>337</v>
      </c>
      <c r="F2165" s="113" t="s">
        <v>338</v>
      </c>
      <c r="G2165" s="113" t="s">
        <v>339</v>
      </c>
    </row>
    <row r="2166" customHeight="1" spans="1:7">
      <c r="A2166" s="113">
        <f>领料单!AO213</f>
        <v>0</v>
      </c>
      <c r="B2166" s="113">
        <f>领料单!AP213</f>
        <v>0</v>
      </c>
      <c r="C2166" s="113">
        <f>领料单!AQ213</f>
        <v>0</v>
      </c>
      <c r="D2166" s="113">
        <f>领料单!AR213</f>
        <v>0</v>
      </c>
      <c r="E2166" s="113">
        <f>领料单!AS213</f>
        <v>0</v>
      </c>
      <c r="F2166" s="113">
        <f>领料单!AT213</f>
        <v>0</v>
      </c>
      <c r="G2166" s="113">
        <f>领料单!AU213</f>
        <v>0</v>
      </c>
    </row>
    <row r="2167" customHeight="1" spans="1:7">
      <c r="A2167" s="113">
        <f>领料单!AO214</f>
        <v>0</v>
      </c>
      <c r="B2167" s="113">
        <f>领料单!AP214</f>
        <v>0</v>
      </c>
      <c r="C2167" s="113">
        <f>领料单!AQ214</f>
        <v>0</v>
      </c>
      <c r="D2167" s="113">
        <f>领料单!AR214</f>
        <v>0</v>
      </c>
      <c r="E2167" s="113">
        <f>领料单!AS214</f>
        <v>0</v>
      </c>
      <c r="F2167" s="113">
        <f>领料单!AT214</f>
        <v>0</v>
      </c>
      <c r="G2167" s="113">
        <f>领料单!AU214</f>
        <v>0</v>
      </c>
    </row>
    <row r="2168" customHeight="1" spans="1:7">
      <c r="A2168" s="113">
        <f>领料单!AO215</f>
        <v>0</v>
      </c>
      <c r="B2168" s="113">
        <f>领料单!AP215</f>
        <v>0</v>
      </c>
      <c r="C2168" s="113">
        <f>领料单!AQ215</f>
        <v>0</v>
      </c>
      <c r="D2168" s="113">
        <f>领料单!AR215</f>
        <v>0</v>
      </c>
      <c r="E2168" s="113">
        <f>领料单!AS215</f>
        <v>0</v>
      </c>
      <c r="F2168" s="113">
        <f>领料单!AT215</f>
        <v>0</v>
      </c>
      <c r="G2168" s="113">
        <f>领料单!AU215</f>
        <v>0</v>
      </c>
    </row>
    <row r="2169" customHeight="1" spans="1:7">
      <c r="A2169" s="113">
        <f>领料单!AO216</f>
        <v>0</v>
      </c>
      <c r="B2169" s="113">
        <f>领料单!AP216</f>
        <v>0</v>
      </c>
      <c r="C2169" s="113">
        <f>领料单!AQ216</f>
        <v>0</v>
      </c>
      <c r="D2169" s="113">
        <f>领料单!AR216</f>
        <v>0</v>
      </c>
      <c r="E2169" s="113">
        <f>领料单!AS216</f>
        <v>0</v>
      </c>
      <c r="F2169" s="113">
        <f>领料单!AT216</f>
        <v>0</v>
      </c>
      <c r="G2169" s="113">
        <f>领料单!AU216</f>
        <v>0</v>
      </c>
    </row>
    <row r="2170" customHeight="1" spans="1:7">
      <c r="A2170" s="113">
        <f>领料单!AO217</f>
        <v>0</v>
      </c>
      <c r="B2170" s="113">
        <f>领料单!AP217</f>
        <v>0</v>
      </c>
      <c r="C2170" s="113">
        <f>领料单!AQ217</f>
        <v>0</v>
      </c>
      <c r="D2170" s="113">
        <f>领料单!AR217</f>
        <v>0</v>
      </c>
      <c r="E2170" s="113">
        <f>领料单!AS217</f>
        <v>0</v>
      </c>
      <c r="F2170" s="113">
        <f>领料单!AT217</f>
        <v>0</v>
      </c>
      <c r="G2170" s="113">
        <f>领料单!AU217</f>
        <v>0</v>
      </c>
    </row>
    <row r="2171" customHeight="1" spans="1:7">
      <c r="A2171" s="113">
        <f>领料单!AO218</f>
        <v>0</v>
      </c>
      <c r="B2171" s="113">
        <f>领料单!AP218</f>
        <v>0</v>
      </c>
      <c r="C2171" s="113">
        <f>领料单!AQ218</f>
        <v>0</v>
      </c>
      <c r="D2171" s="113">
        <f>领料单!AR218</f>
        <v>0</v>
      </c>
      <c r="E2171" s="113">
        <f>领料单!AS218</f>
        <v>0</v>
      </c>
      <c r="F2171" s="113">
        <f>领料单!AT218</f>
        <v>0</v>
      </c>
      <c r="G2171" s="113">
        <f>领料单!AU218</f>
        <v>0</v>
      </c>
    </row>
    <row r="2172" customHeight="1" spans="1:7">
      <c r="A2172" s="113">
        <f>领料单!AO219</f>
        <v>0</v>
      </c>
      <c r="B2172" s="113">
        <f>领料单!AP219</f>
        <v>0</v>
      </c>
      <c r="C2172" s="113">
        <f>领料单!AQ219</f>
        <v>0</v>
      </c>
      <c r="D2172" s="113">
        <f>领料单!AR219</f>
        <v>0</v>
      </c>
      <c r="E2172" s="113">
        <f>领料单!AS219</f>
        <v>0</v>
      </c>
      <c r="F2172" s="113">
        <f>领料单!AT219</f>
        <v>0</v>
      </c>
      <c r="G2172" s="113">
        <f>领料单!AU219</f>
        <v>0</v>
      </c>
    </row>
    <row r="2173" customHeight="1" spans="1:7">
      <c r="A2173" s="113">
        <f>领料单!AO220</f>
        <v>0</v>
      </c>
      <c r="B2173" s="113">
        <f>领料单!AP220</f>
        <v>0</v>
      </c>
      <c r="C2173" s="113">
        <f>领料单!AQ220</f>
        <v>0</v>
      </c>
      <c r="D2173" s="113">
        <f>领料单!AR220</f>
        <v>0</v>
      </c>
      <c r="E2173" s="113">
        <f>领料单!AS220</f>
        <v>0</v>
      </c>
      <c r="F2173" s="113">
        <f>领料单!AT220</f>
        <v>0</v>
      </c>
      <c r="G2173" s="113">
        <f>领料单!AU220</f>
        <v>0</v>
      </c>
    </row>
    <row r="2174" customHeight="1" spans="1:7">
      <c r="A2174" s="113">
        <f>领料单!AO221</f>
        <v>0</v>
      </c>
      <c r="B2174" s="113">
        <f>领料单!AP221</f>
        <v>0</v>
      </c>
      <c r="C2174" s="113">
        <f>领料单!AQ221</f>
        <v>0</v>
      </c>
      <c r="D2174" s="113">
        <f>领料单!AR221</f>
        <v>0</v>
      </c>
      <c r="E2174" s="113">
        <f>领料单!AS221</f>
        <v>0</v>
      </c>
      <c r="F2174" s="113">
        <f>领料单!AT221</f>
        <v>0</v>
      </c>
      <c r="G2174" s="113">
        <f>领料单!AU221</f>
        <v>0</v>
      </c>
    </row>
    <row r="2175" customHeight="1" spans="1:7">
      <c r="A2175" s="113">
        <f>领料单!AO222</f>
        <v>0</v>
      </c>
      <c r="B2175" s="113">
        <f>领料单!AP222</f>
        <v>0</v>
      </c>
      <c r="C2175" s="113">
        <f>领料单!AQ222</f>
        <v>0</v>
      </c>
      <c r="D2175" s="113">
        <f>领料单!AR222</f>
        <v>0</v>
      </c>
      <c r="E2175" s="113">
        <f>领料单!AS222</f>
        <v>0</v>
      </c>
      <c r="F2175" s="113">
        <f>领料单!AT222</f>
        <v>0</v>
      </c>
      <c r="G2175" s="113">
        <f>领料单!AU222</f>
        <v>0</v>
      </c>
    </row>
    <row r="2176" customHeight="1" spans="1:7">
      <c r="A2176" s="113">
        <f>领料单!AO223</f>
        <v>0</v>
      </c>
      <c r="B2176" s="113">
        <f>领料单!AP223</f>
        <v>0</v>
      </c>
      <c r="C2176" s="113">
        <f>领料单!AQ223</f>
        <v>0</v>
      </c>
      <c r="D2176" s="113">
        <f>领料单!AR223</f>
        <v>0</v>
      </c>
      <c r="E2176" s="113">
        <f>领料单!AS223</f>
        <v>0</v>
      </c>
      <c r="F2176" s="113">
        <f>领料单!AT223</f>
        <v>0</v>
      </c>
      <c r="G2176" s="113">
        <f>领料单!AU223</f>
        <v>0</v>
      </c>
    </row>
    <row r="2177" customHeight="1" spans="1:7">
      <c r="A2177" s="115" t="s">
        <v>340</v>
      </c>
      <c r="B2177" s="116"/>
      <c r="C2177" s="116"/>
      <c r="D2177" s="116"/>
      <c r="E2177" s="117"/>
      <c r="F2177" s="118">
        <f>SUM(F2166:F2176)</f>
        <v>0</v>
      </c>
      <c r="G2177" s="114"/>
    </row>
    <row r="2178" customHeight="1" spans="1:7">
      <c r="A2178" s="119" t="s">
        <v>341</v>
      </c>
      <c r="B2178" s="119"/>
      <c r="C2178" s="120"/>
      <c r="D2178" s="119"/>
      <c r="E2178" s="121" t="s">
        <v>342</v>
      </c>
      <c r="F2178" s="119"/>
      <c r="G2178" s="119"/>
    </row>
    <row r="2181" customHeight="1" spans="1:7">
      <c r="A2181" s="105"/>
      <c r="B2181" s="106"/>
      <c r="C2181" s="107" t="s">
        <v>330</v>
      </c>
      <c r="D2181" s="107"/>
      <c r="E2181" s="107"/>
      <c r="F2181" s="105"/>
      <c r="G2181" s="105"/>
    </row>
    <row r="2182" customHeight="1" spans="1:7">
      <c r="A2182" s="108" t="s">
        <v>331</v>
      </c>
      <c r="B2182" s="109"/>
      <c r="C2182" s="110">
        <v>46022</v>
      </c>
      <c r="D2182" s="110"/>
      <c r="E2182" s="110"/>
      <c r="F2182" s="111" t="s">
        <v>332</v>
      </c>
      <c r="G2182" s="112" t="str">
        <f>立项!$A$8</f>
        <v>RD06</v>
      </c>
    </row>
    <row r="2183" customHeight="1" spans="1:7">
      <c r="A2183" s="113" t="s">
        <v>333</v>
      </c>
      <c r="B2183" s="113" t="s">
        <v>334</v>
      </c>
      <c r="C2183" s="113" t="s">
        <v>335</v>
      </c>
      <c r="D2183" s="113" t="s">
        <v>336</v>
      </c>
      <c r="E2183" s="113" t="s">
        <v>337</v>
      </c>
      <c r="F2183" s="113" t="s">
        <v>338</v>
      </c>
      <c r="G2183" s="113" t="s">
        <v>339</v>
      </c>
    </row>
    <row r="2184" customHeight="1" spans="1:7">
      <c r="A2184" s="113">
        <f>领料单!AW213</f>
        <v>0</v>
      </c>
      <c r="B2184" s="113">
        <f>领料单!AX213</f>
        <v>0</v>
      </c>
      <c r="C2184" s="113">
        <f>领料单!AY213</f>
        <v>0</v>
      </c>
      <c r="D2184" s="113">
        <f>领料单!AZ213</f>
        <v>0</v>
      </c>
      <c r="E2184" s="113">
        <f>领料单!BA213</f>
        <v>0</v>
      </c>
      <c r="F2184" s="113">
        <f>领料单!BB213</f>
        <v>0</v>
      </c>
      <c r="G2184" s="113">
        <f>领料单!BC213</f>
        <v>0</v>
      </c>
    </row>
    <row r="2185" customHeight="1" spans="1:7">
      <c r="A2185" s="113">
        <f>领料单!AW214</f>
        <v>0</v>
      </c>
      <c r="B2185" s="113">
        <f>领料单!AX214</f>
        <v>0</v>
      </c>
      <c r="C2185" s="113">
        <f>领料单!AY214</f>
        <v>0</v>
      </c>
      <c r="D2185" s="113">
        <f>领料单!AZ214</f>
        <v>0</v>
      </c>
      <c r="E2185" s="113">
        <f>领料单!BA214</f>
        <v>0</v>
      </c>
      <c r="F2185" s="113">
        <f>领料单!BB214</f>
        <v>0</v>
      </c>
      <c r="G2185" s="113">
        <f>领料单!BC214</f>
        <v>0</v>
      </c>
    </row>
    <row r="2186" customHeight="1" spans="1:7">
      <c r="A2186" s="113">
        <f>领料单!AW215</f>
        <v>0</v>
      </c>
      <c r="B2186" s="113">
        <f>领料单!AX215</f>
        <v>0</v>
      </c>
      <c r="C2186" s="113">
        <f>领料单!AY215</f>
        <v>0</v>
      </c>
      <c r="D2186" s="113">
        <f>领料单!AZ215</f>
        <v>0</v>
      </c>
      <c r="E2186" s="113">
        <f>领料单!BA215</f>
        <v>0</v>
      </c>
      <c r="F2186" s="113">
        <f>领料单!BB215</f>
        <v>0</v>
      </c>
      <c r="G2186" s="113">
        <f>领料单!BC215</f>
        <v>0</v>
      </c>
    </row>
    <row r="2187" customHeight="1" spans="1:7">
      <c r="A2187" s="113">
        <f>领料单!AW216</f>
        <v>0</v>
      </c>
      <c r="B2187" s="113">
        <f>领料单!AX216</f>
        <v>0</v>
      </c>
      <c r="C2187" s="113">
        <f>领料单!AY216</f>
        <v>0</v>
      </c>
      <c r="D2187" s="113">
        <f>领料单!AZ216</f>
        <v>0</v>
      </c>
      <c r="E2187" s="113">
        <f>领料单!BA216</f>
        <v>0</v>
      </c>
      <c r="F2187" s="113">
        <f>领料单!BB216</f>
        <v>0</v>
      </c>
      <c r="G2187" s="113">
        <f>领料单!BC216</f>
        <v>0</v>
      </c>
    </row>
    <row r="2188" customHeight="1" spans="1:7">
      <c r="A2188" s="113">
        <f>领料单!AW217</f>
        <v>0</v>
      </c>
      <c r="B2188" s="113">
        <f>领料单!AX217</f>
        <v>0</v>
      </c>
      <c r="C2188" s="113">
        <f>领料单!AY217</f>
        <v>0</v>
      </c>
      <c r="D2188" s="113">
        <f>领料单!AZ217</f>
        <v>0</v>
      </c>
      <c r="E2188" s="113">
        <f>领料单!BA217</f>
        <v>0</v>
      </c>
      <c r="F2188" s="113">
        <f>领料单!BB217</f>
        <v>0</v>
      </c>
      <c r="G2188" s="113">
        <f>领料单!BC217</f>
        <v>0</v>
      </c>
    </row>
    <row r="2189" customHeight="1" spans="1:7">
      <c r="A2189" s="113">
        <f>领料单!AW218</f>
        <v>0</v>
      </c>
      <c r="B2189" s="113">
        <f>领料单!AX218</f>
        <v>0</v>
      </c>
      <c r="C2189" s="113">
        <f>领料单!AY218</f>
        <v>0</v>
      </c>
      <c r="D2189" s="113">
        <f>领料单!AZ218</f>
        <v>0</v>
      </c>
      <c r="E2189" s="113">
        <f>领料单!BA218</f>
        <v>0</v>
      </c>
      <c r="F2189" s="113">
        <f>领料单!BB218</f>
        <v>0</v>
      </c>
      <c r="G2189" s="113">
        <f>领料单!BC218</f>
        <v>0</v>
      </c>
    </row>
    <row r="2190" customHeight="1" spans="1:7">
      <c r="A2190" s="113">
        <f>领料单!AW219</f>
        <v>0</v>
      </c>
      <c r="B2190" s="113">
        <f>领料单!AX219</f>
        <v>0</v>
      </c>
      <c r="C2190" s="113">
        <f>领料单!AY219</f>
        <v>0</v>
      </c>
      <c r="D2190" s="113">
        <f>领料单!AZ219</f>
        <v>0</v>
      </c>
      <c r="E2190" s="113">
        <f>领料单!BA219</f>
        <v>0</v>
      </c>
      <c r="F2190" s="113">
        <f>领料单!BB219</f>
        <v>0</v>
      </c>
      <c r="G2190" s="113">
        <f>领料单!BC219</f>
        <v>0</v>
      </c>
    </row>
    <row r="2191" customHeight="1" spans="1:7">
      <c r="A2191" s="113">
        <f>领料单!AW220</f>
        <v>0</v>
      </c>
      <c r="B2191" s="113">
        <f>领料单!AX220</f>
        <v>0</v>
      </c>
      <c r="C2191" s="113">
        <f>领料单!AY220</f>
        <v>0</v>
      </c>
      <c r="D2191" s="113">
        <f>领料单!AZ220</f>
        <v>0</v>
      </c>
      <c r="E2191" s="113">
        <f>领料单!BA220</f>
        <v>0</v>
      </c>
      <c r="F2191" s="113">
        <f>领料单!BB220</f>
        <v>0</v>
      </c>
      <c r="G2191" s="113">
        <f>领料单!BC220</f>
        <v>0</v>
      </c>
    </row>
    <row r="2192" customHeight="1" spans="1:7">
      <c r="A2192" s="113">
        <f>领料单!AW221</f>
        <v>0</v>
      </c>
      <c r="B2192" s="113">
        <f>领料单!AX221</f>
        <v>0</v>
      </c>
      <c r="C2192" s="113">
        <f>领料单!AY221</f>
        <v>0</v>
      </c>
      <c r="D2192" s="113">
        <f>领料单!AZ221</f>
        <v>0</v>
      </c>
      <c r="E2192" s="113">
        <f>领料单!BA221</f>
        <v>0</v>
      </c>
      <c r="F2192" s="113">
        <f>领料单!BB221</f>
        <v>0</v>
      </c>
      <c r="G2192" s="113">
        <f>领料单!BC221</f>
        <v>0</v>
      </c>
    </row>
    <row r="2193" customHeight="1" spans="1:7">
      <c r="A2193" s="113">
        <f>领料单!AW222</f>
        <v>0</v>
      </c>
      <c r="B2193" s="113">
        <f>领料单!AX222</f>
        <v>0</v>
      </c>
      <c r="C2193" s="113">
        <f>领料单!AY222</f>
        <v>0</v>
      </c>
      <c r="D2193" s="113">
        <f>领料单!AZ222</f>
        <v>0</v>
      </c>
      <c r="E2193" s="113">
        <f>领料单!BA222</f>
        <v>0</v>
      </c>
      <c r="F2193" s="113">
        <f>领料单!BB222</f>
        <v>0</v>
      </c>
      <c r="G2193" s="113">
        <f>领料单!BC222</f>
        <v>0</v>
      </c>
    </row>
    <row r="2194" customHeight="1" spans="1:7">
      <c r="A2194" s="113">
        <f>领料单!AW223</f>
        <v>0</v>
      </c>
      <c r="B2194" s="113">
        <f>领料单!AX223</f>
        <v>0</v>
      </c>
      <c r="C2194" s="113">
        <f>领料单!AY223</f>
        <v>0</v>
      </c>
      <c r="D2194" s="113">
        <f>领料单!AZ223</f>
        <v>0</v>
      </c>
      <c r="E2194" s="113">
        <f>领料单!BA223</f>
        <v>0</v>
      </c>
      <c r="F2194" s="113">
        <f>领料单!BB223</f>
        <v>0</v>
      </c>
      <c r="G2194" s="113">
        <f>领料单!BC223</f>
        <v>0</v>
      </c>
    </row>
    <row r="2195" customHeight="1" spans="1:7">
      <c r="A2195" s="115" t="s">
        <v>340</v>
      </c>
      <c r="B2195" s="116"/>
      <c r="C2195" s="116"/>
      <c r="D2195" s="116"/>
      <c r="E2195" s="117"/>
      <c r="F2195" s="118">
        <f>SUM(F2184:F2194)</f>
        <v>0</v>
      </c>
      <c r="G2195" s="114"/>
    </row>
    <row r="2196" customHeight="1" spans="1:7">
      <c r="A2196" s="119" t="s">
        <v>341</v>
      </c>
      <c r="B2196" s="119"/>
      <c r="C2196" s="120"/>
      <c r="D2196" s="119"/>
      <c r="E2196" s="121" t="s">
        <v>342</v>
      </c>
      <c r="F2196" s="119"/>
      <c r="G2196" s="119"/>
    </row>
    <row r="2199" customHeight="1" spans="1:7">
      <c r="A2199" s="105"/>
      <c r="B2199" s="106"/>
      <c r="C2199" s="107" t="s">
        <v>330</v>
      </c>
      <c r="D2199" s="107"/>
      <c r="E2199" s="107"/>
      <c r="F2199" s="105"/>
      <c r="G2199" s="105"/>
    </row>
    <row r="2200" customHeight="1" spans="1:7">
      <c r="A2200" s="108" t="s">
        <v>331</v>
      </c>
      <c r="B2200" s="109"/>
      <c r="C2200" s="110">
        <v>46022</v>
      </c>
      <c r="D2200" s="110"/>
      <c r="E2200" s="110"/>
      <c r="F2200" s="111" t="s">
        <v>332</v>
      </c>
      <c r="G2200" s="112" t="str">
        <f>立项!$A$9</f>
        <v>RD07</v>
      </c>
    </row>
    <row r="2201" customHeight="1" spans="1:7">
      <c r="A2201" s="113" t="s">
        <v>333</v>
      </c>
      <c r="B2201" s="113" t="s">
        <v>334</v>
      </c>
      <c r="C2201" s="113" t="s">
        <v>335</v>
      </c>
      <c r="D2201" s="113" t="s">
        <v>336</v>
      </c>
      <c r="E2201" s="113" t="s">
        <v>337</v>
      </c>
      <c r="F2201" s="113" t="s">
        <v>338</v>
      </c>
      <c r="G2201" s="113" t="s">
        <v>339</v>
      </c>
    </row>
    <row r="2202" customHeight="1" spans="1:7">
      <c r="A2202" s="113">
        <f>领料单!BE213</f>
        <v>0</v>
      </c>
      <c r="B2202" s="113">
        <f>领料单!BF213</f>
        <v>0</v>
      </c>
      <c r="C2202" s="113">
        <f>领料单!BG213</f>
        <v>0</v>
      </c>
      <c r="D2202" s="113">
        <f>领料单!BH213</f>
        <v>0</v>
      </c>
      <c r="E2202" s="113">
        <f>领料单!BI213</f>
        <v>0</v>
      </c>
      <c r="F2202" s="113">
        <f>领料单!BJ213</f>
        <v>0</v>
      </c>
      <c r="G2202" s="113">
        <f>领料单!BK213</f>
        <v>0</v>
      </c>
    </row>
    <row r="2203" customHeight="1" spans="1:7">
      <c r="A2203" s="113">
        <f>领料单!BE214</f>
        <v>0</v>
      </c>
      <c r="B2203" s="113">
        <f>领料单!BF214</f>
        <v>0</v>
      </c>
      <c r="C2203" s="113">
        <f>领料单!BG214</f>
        <v>0</v>
      </c>
      <c r="D2203" s="113">
        <f>领料单!BH214</f>
        <v>0</v>
      </c>
      <c r="E2203" s="113">
        <f>领料单!BI214</f>
        <v>0</v>
      </c>
      <c r="F2203" s="113">
        <f>领料单!BJ214</f>
        <v>0</v>
      </c>
      <c r="G2203" s="113">
        <f>领料单!BK214</f>
        <v>0</v>
      </c>
    </row>
    <row r="2204" customHeight="1" spans="1:7">
      <c r="A2204" s="113">
        <f>领料单!BE215</f>
        <v>0</v>
      </c>
      <c r="B2204" s="113">
        <f>领料单!BF215</f>
        <v>0</v>
      </c>
      <c r="C2204" s="113">
        <f>领料单!BG215</f>
        <v>0</v>
      </c>
      <c r="D2204" s="113">
        <f>领料单!BH215</f>
        <v>0</v>
      </c>
      <c r="E2204" s="113">
        <f>领料单!BI215</f>
        <v>0</v>
      </c>
      <c r="F2204" s="113">
        <f>领料单!BJ215</f>
        <v>0</v>
      </c>
      <c r="G2204" s="113">
        <f>领料单!BK215</f>
        <v>0</v>
      </c>
    </row>
    <row r="2205" customHeight="1" spans="1:7">
      <c r="A2205" s="113">
        <f>领料单!BE216</f>
        <v>0</v>
      </c>
      <c r="B2205" s="113">
        <f>领料单!BF216</f>
        <v>0</v>
      </c>
      <c r="C2205" s="113">
        <f>领料单!BG216</f>
        <v>0</v>
      </c>
      <c r="D2205" s="113">
        <f>领料单!BH216</f>
        <v>0</v>
      </c>
      <c r="E2205" s="113">
        <f>领料单!BI216</f>
        <v>0</v>
      </c>
      <c r="F2205" s="113">
        <f>领料单!BJ216</f>
        <v>0</v>
      </c>
      <c r="G2205" s="113">
        <f>领料单!BK216</f>
        <v>0</v>
      </c>
    </row>
    <row r="2206" customHeight="1" spans="1:7">
      <c r="A2206" s="113">
        <f>领料单!BE217</f>
        <v>0</v>
      </c>
      <c r="B2206" s="113">
        <f>领料单!BF217</f>
        <v>0</v>
      </c>
      <c r="C2206" s="113">
        <f>领料单!BG217</f>
        <v>0</v>
      </c>
      <c r="D2206" s="113">
        <f>领料单!BH217</f>
        <v>0</v>
      </c>
      <c r="E2206" s="113">
        <f>领料单!BI217</f>
        <v>0</v>
      </c>
      <c r="F2206" s="113">
        <f>领料单!BJ217</f>
        <v>0</v>
      </c>
      <c r="G2206" s="113">
        <f>领料单!BK217</f>
        <v>0</v>
      </c>
    </row>
    <row r="2207" customHeight="1" spans="1:7">
      <c r="A2207" s="113">
        <f>领料单!BE218</f>
        <v>0</v>
      </c>
      <c r="B2207" s="113">
        <f>领料单!BF218</f>
        <v>0</v>
      </c>
      <c r="C2207" s="113">
        <f>领料单!BG218</f>
        <v>0</v>
      </c>
      <c r="D2207" s="113">
        <f>领料单!BH218</f>
        <v>0</v>
      </c>
      <c r="E2207" s="113">
        <f>领料单!BI218</f>
        <v>0</v>
      </c>
      <c r="F2207" s="113">
        <f>领料单!BJ218</f>
        <v>0</v>
      </c>
      <c r="G2207" s="113">
        <f>领料单!BK218</f>
        <v>0</v>
      </c>
    </row>
    <row r="2208" customHeight="1" spans="1:7">
      <c r="A2208" s="113">
        <f>领料单!BE219</f>
        <v>0</v>
      </c>
      <c r="B2208" s="113">
        <f>领料单!BF219</f>
        <v>0</v>
      </c>
      <c r="C2208" s="113">
        <f>领料单!BG219</f>
        <v>0</v>
      </c>
      <c r="D2208" s="113">
        <f>领料单!BH219</f>
        <v>0</v>
      </c>
      <c r="E2208" s="113">
        <f>领料单!BI219</f>
        <v>0</v>
      </c>
      <c r="F2208" s="113">
        <f>领料单!BJ219</f>
        <v>0</v>
      </c>
      <c r="G2208" s="113">
        <f>领料单!BK219</f>
        <v>0</v>
      </c>
    </row>
    <row r="2209" customHeight="1" spans="1:7">
      <c r="A2209" s="113">
        <f>领料单!BE220</f>
        <v>0</v>
      </c>
      <c r="B2209" s="113">
        <f>领料单!BF220</f>
        <v>0</v>
      </c>
      <c r="C2209" s="113">
        <f>领料单!BG220</f>
        <v>0</v>
      </c>
      <c r="D2209" s="113">
        <f>领料单!BH220</f>
        <v>0</v>
      </c>
      <c r="E2209" s="113">
        <f>领料单!BI220</f>
        <v>0</v>
      </c>
      <c r="F2209" s="113">
        <f>领料单!BJ220</f>
        <v>0</v>
      </c>
      <c r="G2209" s="113">
        <f>领料单!BK220</f>
        <v>0</v>
      </c>
    </row>
    <row r="2210" customHeight="1" spans="1:7">
      <c r="A2210" s="113">
        <f>领料单!BE221</f>
        <v>0</v>
      </c>
      <c r="B2210" s="113">
        <f>领料单!BF221</f>
        <v>0</v>
      </c>
      <c r="C2210" s="113">
        <f>领料单!BG221</f>
        <v>0</v>
      </c>
      <c r="D2210" s="113">
        <f>领料单!BH221</f>
        <v>0</v>
      </c>
      <c r="E2210" s="113">
        <f>领料单!BI221</f>
        <v>0</v>
      </c>
      <c r="F2210" s="113">
        <f>领料单!BJ221</f>
        <v>0</v>
      </c>
      <c r="G2210" s="113">
        <f>领料单!BK221</f>
        <v>0</v>
      </c>
    </row>
    <row r="2211" customHeight="1" spans="1:7">
      <c r="A2211" s="113">
        <f>领料单!BE222</f>
        <v>0</v>
      </c>
      <c r="B2211" s="113">
        <f>领料单!BF222</f>
        <v>0</v>
      </c>
      <c r="C2211" s="113">
        <f>领料单!BG222</f>
        <v>0</v>
      </c>
      <c r="D2211" s="113">
        <f>领料单!BH222</f>
        <v>0</v>
      </c>
      <c r="E2211" s="113">
        <f>领料单!BI222</f>
        <v>0</v>
      </c>
      <c r="F2211" s="113">
        <f>领料单!BJ222</f>
        <v>0</v>
      </c>
      <c r="G2211" s="113">
        <f>领料单!BK222</f>
        <v>0</v>
      </c>
    </row>
    <row r="2212" customHeight="1" spans="1:7">
      <c r="A2212" s="113">
        <f>领料单!BE223</f>
        <v>0</v>
      </c>
      <c r="B2212" s="113">
        <f>领料单!BF223</f>
        <v>0</v>
      </c>
      <c r="C2212" s="113">
        <f>领料单!BG223</f>
        <v>0</v>
      </c>
      <c r="D2212" s="113">
        <f>领料单!BH223</f>
        <v>0</v>
      </c>
      <c r="E2212" s="113">
        <f>领料单!BI223</f>
        <v>0</v>
      </c>
      <c r="F2212" s="113">
        <f>领料单!BJ223</f>
        <v>0</v>
      </c>
      <c r="G2212" s="113">
        <f>领料单!BK223</f>
        <v>0</v>
      </c>
    </row>
    <row r="2213" customHeight="1" spans="1:7">
      <c r="A2213" s="115" t="s">
        <v>340</v>
      </c>
      <c r="B2213" s="116"/>
      <c r="C2213" s="116"/>
      <c r="D2213" s="116"/>
      <c r="E2213" s="117"/>
      <c r="F2213" s="118">
        <f>SUM(F2202:F2212)</f>
        <v>0</v>
      </c>
      <c r="G2213" s="114"/>
    </row>
    <row r="2214" customHeight="1" spans="1:7">
      <c r="A2214" s="119" t="s">
        <v>341</v>
      </c>
      <c r="B2214" s="119"/>
      <c r="C2214" s="120"/>
      <c r="D2214" s="119"/>
      <c r="E2214" s="121" t="s">
        <v>342</v>
      </c>
      <c r="F2214" s="119"/>
      <c r="G2214" s="119"/>
    </row>
    <row r="2217" customHeight="1" spans="1:7">
      <c r="A2217" s="105"/>
      <c r="B2217" s="106"/>
      <c r="C2217" s="107" t="s">
        <v>330</v>
      </c>
      <c r="D2217" s="107"/>
      <c r="E2217" s="107"/>
      <c r="F2217" s="105"/>
      <c r="G2217" s="105"/>
    </row>
    <row r="2218" customHeight="1" spans="1:7">
      <c r="A2218" s="108" t="s">
        <v>331</v>
      </c>
      <c r="B2218" s="109"/>
      <c r="C2218" s="110">
        <v>46022</v>
      </c>
      <c r="D2218" s="110"/>
      <c r="E2218" s="110"/>
      <c r="F2218" s="111" t="s">
        <v>332</v>
      </c>
      <c r="G2218" s="112" t="str">
        <f>立项!$A$10</f>
        <v>RD08</v>
      </c>
    </row>
    <row r="2219" customHeight="1" spans="1:7">
      <c r="A2219" s="113" t="s">
        <v>333</v>
      </c>
      <c r="B2219" s="113" t="s">
        <v>334</v>
      </c>
      <c r="C2219" s="113" t="s">
        <v>335</v>
      </c>
      <c r="D2219" s="113" t="s">
        <v>336</v>
      </c>
      <c r="E2219" s="113" t="s">
        <v>337</v>
      </c>
      <c r="F2219" s="113" t="s">
        <v>338</v>
      </c>
      <c r="G2219" s="113" t="s">
        <v>339</v>
      </c>
    </row>
    <row r="2220" customHeight="1" spans="1:7">
      <c r="A2220" s="113">
        <f>领料单!BM213</f>
        <v>0</v>
      </c>
      <c r="B2220" s="113">
        <f>领料单!BN213</f>
        <v>0</v>
      </c>
      <c r="C2220" s="113">
        <f>领料单!BO213</f>
        <v>0</v>
      </c>
      <c r="D2220" s="113">
        <f>领料单!BP213</f>
        <v>0</v>
      </c>
      <c r="E2220" s="113">
        <f>领料单!BQ213</f>
        <v>0</v>
      </c>
      <c r="F2220" s="113">
        <f>领料单!BR213</f>
        <v>0</v>
      </c>
      <c r="G2220" s="113">
        <f>领料单!BS213</f>
        <v>0</v>
      </c>
    </row>
    <row r="2221" customHeight="1" spans="1:7">
      <c r="A2221" s="113">
        <f>领料单!BM214</f>
        <v>0</v>
      </c>
      <c r="B2221" s="113">
        <f>领料单!BN214</f>
        <v>0</v>
      </c>
      <c r="C2221" s="113">
        <f>领料单!BO214</f>
        <v>0</v>
      </c>
      <c r="D2221" s="113">
        <f>领料单!BP214</f>
        <v>0</v>
      </c>
      <c r="E2221" s="113">
        <f>领料单!BQ214</f>
        <v>0</v>
      </c>
      <c r="F2221" s="113">
        <f>领料单!BR214</f>
        <v>0</v>
      </c>
      <c r="G2221" s="113">
        <f>领料单!BS214</f>
        <v>0</v>
      </c>
    </row>
    <row r="2222" customHeight="1" spans="1:7">
      <c r="A2222" s="113">
        <f>领料单!BM215</f>
        <v>0</v>
      </c>
      <c r="B2222" s="113">
        <f>领料单!BN215</f>
        <v>0</v>
      </c>
      <c r="C2222" s="113">
        <f>领料单!BO215</f>
        <v>0</v>
      </c>
      <c r="D2222" s="113">
        <f>领料单!BP215</f>
        <v>0</v>
      </c>
      <c r="E2222" s="113">
        <f>领料单!BQ215</f>
        <v>0</v>
      </c>
      <c r="F2222" s="113">
        <f>领料单!BR215</f>
        <v>0</v>
      </c>
      <c r="G2222" s="113">
        <f>领料单!BS215</f>
        <v>0</v>
      </c>
    </row>
    <row r="2223" customHeight="1" spans="1:7">
      <c r="A2223" s="113">
        <f>领料单!BM216</f>
        <v>0</v>
      </c>
      <c r="B2223" s="113">
        <f>领料单!BN216</f>
        <v>0</v>
      </c>
      <c r="C2223" s="113">
        <f>领料单!BO216</f>
        <v>0</v>
      </c>
      <c r="D2223" s="113">
        <f>领料单!BP216</f>
        <v>0</v>
      </c>
      <c r="E2223" s="113">
        <f>领料单!BQ216</f>
        <v>0</v>
      </c>
      <c r="F2223" s="113">
        <f>领料单!BR216</f>
        <v>0</v>
      </c>
      <c r="G2223" s="113">
        <f>领料单!BS216</f>
        <v>0</v>
      </c>
    </row>
    <row r="2224" customHeight="1" spans="1:7">
      <c r="A2224" s="113">
        <f>领料单!BM217</f>
        <v>0</v>
      </c>
      <c r="B2224" s="113">
        <f>领料单!BN217</f>
        <v>0</v>
      </c>
      <c r="C2224" s="113">
        <f>领料单!BO217</f>
        <v>0</v>
      </c>
      <c r="D2224" s="113">
        <f>领料单!BP217</f>
        <v>0</v>
      </c>
      <c r="E2224" s="113">
        <f>领料单!BQ217</f>
        <v>0</v>
      </c>
      <c r="F2224" s="113">
        <f>领料单!BR217</f>
        <v>0</v>
      </c>
      <c r="G2224" s="113">
        <f>领料单!BS217</f>
        <v>0</v>
      </c>
    </row>
    <row r="2225" customHeight="1" spans="1:7">
      <c r="A2225" s="113">
        <f>领料单!BM218</f>
        <v>0</v>
      </c>
      <c r="B2225" s="113">
        <f>领料单!BN218</f>
        <v>0</v>
      </c>
      <c r="C2225" s="113">
        <f>领料单!BO218</f>
        <v>0</v>
      </c>
      <c r="D2225" s="113">
        <f>领料单!BP218</f>
        <v>0</v>
      </c>
      <c r="E2225" s="113">
        <f>领料单!BQ218</f>
        <v>0</v>
      </c>
      <c r="F2225" s="113">
        <f>领料单!BR218</f>
        <v>0</v>
      </c>
      <c r="G2225" s="113">
        <f>领料单!BS218</f>
        <v>0</v>
      </c>
    </row>
    <row r="2226" customHeight="1" spans="1:7">
      <c r="A2226" s="113">
        <f>领料单!BM219</f>
        <v>0</v>
      </c>
      <c r="B2226" s="113">
        <f>领料单!BN219</f>
        <v>0</v>
      </c>
      <c r="C2226" s="113">
        <f>领料单!BO219</f>
        <v>0</v>
      </c>
      <c r="D2226" s="113">
        <f>领料单!BP219</f>
        <v>0</v>
      </c>
      <c r="E2226" s="113">
        <f>领料单!BQ219</f>
        <v>0</v>
      </c>
      <c r="F2226" s="113">
        <f>领料单!BR219</f>
        <v>0</v>
      </c>
      <c r="G2226" s="113">
        <f>领料单!BS219</f>
        <v>0</v>
      </c>
    </row>
    <row r="2227" customHeight="1" spans="1:7">
      <c r="A2227" s="113">
        <f>领料单!BM220</f>
        <v>0</v>
      </c>
      <c r="B2227" s="113">
        <f>领料单!BN220</f>
        <v>0</v>
      </c>
      <c r="C2227" s="113">
        <f>领料单!BO220</f>
        <v>0</v>
      </c>
      <c r="D2227" s="113">
        <f>领料单!BP220</f>
        <v>0</v>
      </c>
      <c r="E2227" s="113">
        <f>领料单!BQ220</f>
        <v>0</v>
      </c>
      <c r="F2227" s="113">
        <f>领料单!BR220</f>
        <v>0</v>
      </c>
      <c r="G2227" s="113">
        <f>领料单!BS220</f>
        <v>0</v>
      </c>
    </row>
    <row r="2228" customHeight="1" spans="1:7">
      <c r="A2228" s="113">
        <f>领料单!BM221</f>
        <v>0</v>
      </c>
      <c r="B2228" s="113">
        <f>领料单!BN221</f>
        <v>0</v>
      </c>
      <c r="C2228" s="113">
        <f>领料单!BO221</f>
        <v>0</v>
      </c>
      <c r="D2228" s="113">
        <f>领料单!BP221</f>
        <v>0</v>
      </c>
      <c r="E2228" s="113">
        <f>领料单!BQ221</f>
        <v>0</v>
      </c>
      <c r="F2228" s="113">
        <f>领料单!BR221</f>
        <v>0</v>
      </c>
      <c r="G2228" s="113">
        <f>领料单!BS221</f>
        <v>0</v>
      </c>
    </row>
    <row r="2229" customHeight="1" spans="1:7">
      <c r="A2229" s="113">
        <f>领料单!BM222</f>
        <v>0</v>
      </c>
      <c r="B2229" s="113">
        <f>领料单!BN222</f>
        <v>0</v>
      </c>
      <c r="C2229" s="113">
        <f>领料单!BO222</f>
        <v>0</v>
      </c>
      <c r="D2229" s="113">
        <f>领料单!BP222</f>
        <v>0</v>
      </c>
      <c r="E2229" s="113">
        <f>领料单!BQ222</f>
        <v>0</v>
      </c>
      <c r="F2229" s="113">
        <f>领料单!BR222</f>
        <v>0</v>
      </c>
      <c r="G2229" s="113">
        <f>领料单!BS222</f>
        <v>0</v>
      </c>
    </row>
    <row r="2230" customHeight="1" spans="1:7">
      <c r="A2230" s="113">
        <f>领料单!BM223</f>
        <v>0</v>
      </c>
      <c r="B2230" s="113">
        <f>领料单!BN223</f>
        <v>0</v>
      </c>
      <c r="C2230" s="113">
        <f>领料单!BO223</f>
        <v>0</v>
      </c>
      <c r="D2230" s="113">
        <f>领料单!BP223</f>
        <v>0</v>
      </c>
      <c r="E2230" s="113">
        <f>领料单!BQ223</f>
        <v>0</v>
      </c>
      <c r="F2230" s="113">
        <f>领料单!BR223</f>
        <v>0</v>
      </c>
      <c r="G2230" s="113">
        <f>领料单!BS223</f>
        <v>0</v>
      </c>
    </row>
    <row r="2231" customHeight="1" spans="1:7">
      <c r="A2231" s="115" t="s">
        <v>340</v>
      </c>
      <c r="B2231" s="116"/>
      <c r="C2231" s="116"/>
      <c r="D2231" s="116"/>
      <c r="E2231" s="117"/>
      <c r="F2231" s="118">
        <f>SUM(F2220:F2230)</f>
        <v>0</v>
      </c>
      <c r="G2231" s="114"/>
    </row>
    <row r="2232" customHeight="1" spans="1:7">
      <c r="A2232" s="119" t="s">
        <v>341</v>
      </c>
      <c r="B2232" s="119"/>
      <c r="C2232" s="120"/>
      <c r="D2232" s="119"/>
      <c r="E2232" s="121" t="s">
        <v>342</v>
      </c>
      <c r="F2232" s="119"/>
      <c r="G2232" s="119"/>
    </row>
    <row r="2235" customHeight="1" spans="1:7">
      <c r="A2235" s="105"/>
      <c r="B2235" s="106"/>
      <c r="C2235" s="107" t="s">
        <v>330</v>
      </c>
      <c r="D2235" s="107"/>
      <c r="E2235" s="107"/>
      <c r="F2235" s="105"/>
      <c r="G2235" s="105"/>
    </row>
    <row r="2236" customHeight="1" spans="1:7">
      <c r="A2236" s="108" t="s">
        <v>331</v>
      </c>
      <c r="B2236" s="109"/>
      <c r="C2236" s="110">
        <v>46022</v>
      </c>
      <c r="D2236" s="110"/>
      <c r="E2236" s="110"/>
      <c r="F2236" s="111" t="s">
        <v>332</v>
      </c>
      <c r="G2236" s="112" t="str">
        <f>立项!$A$11</f>
        <v>RD09</v>
      </c>
    </row>
    <row r="2237" customHeight="1" spans="1:7">
      <c r="A2237" s="113" t="s">
        <v>333</v>
      </c>
      <c r="B2237" s="113" t="s">
        <v>334</v>
      </c>
      <c r="C2237" s="113" t="s">
        <v>335</v>
      </c>
      <c r="D2237" s="113" t="s">
        <v>336</v>
      </c>
      <c r="E2237" s="113" t="s">
        <v>337</v>
      </c>
      <c r="F2237" s="113" t="s">
        <v>338</v>
      </c>
      <c r="G2237" s="113" t="s">
        <v>339</v>
      </c>
    </row>
    <row r="2238" customHeight="1" spans="1:7">
      <c r="A2238" s="113">
        <f>领料单!BU213</f>
        <v>0</v>
      </c>
      <c r="B2238" s="113">
        <f>领料单!BV213</f>
        <v>0</v>
      </c>
      <c r="C2238" s="113">
        <f>领料单!BW213</f>
        <v>0</v>
      </c>
      <c r="D2238" s="113">
        <f>领料单!BX213</f>
        <v>0</v>
      </c>
      <c r="E2238" s="113">
        <f>领料单!BY213</f>
        <v>0</v>
      </c>
      <c r="F2238" s="113">
        <f>领料单!BZ213</f>
        <v>0</v>
      </c>
      <c r="G2238" s="113">
        <f>领料单!CA213</f>
        <v>0</v>
      </c>
    </row>
    <row r="2239" customHeight="1" spans="1:7">
      <c r="A2239" s="113">
        <f>领料单!BU214</f>
        <v>0</v>
      </c>
      <c r="B2239" s="113">
        <f>领料单!BV214</f>
        <v>0</v>
      </c>
      <c r="C2239" s="113">
        <f>领料单!BW214</f>
        <v>0</v>
      </c>
      <c r="D2239" s="113">
        <f>领料单!BX214</f>
        <v>0</v>
      </c>
      <c r="E2239" s="113">
        <f>领料单!BY214</f>
        <v>0</v>
      </c>
      <c r="F2239" s="113">
        <f>领料单!BZ214</f>
        <v>0</v>
      </c>
      <c r="G2239" s="113">
        <f>领料单!CA214</f>
        <v>0</v>
      </c>
    </row>
    <row r="2240" customHeight="1" spans="1:7">
      <c r="A2240" s="113">
        <f>领料单!BU215</f>
        <v>0</v>
      </c>
      <c r="B2240" s="113">
        <f>领料单!BV215</f>
        <v>0</v>
      </c>
      <c r="C2240" s="113">
        <f>领料单!BW215</f>
        <v>0</v>
      </c>
      <c r="D2240" s="113">
        <f>领料单!BX215</f>
        <v>0</v>
      </c>
      <c r="E2240" s="113">
        <f>领料单!BY215</f>
        <v>0</v>
      </c>
      <c r="F2240" s="113">
        <f>领料单!BZ215</f>
        <v>0</v>
      </c>
      <c r="G2240" s="113">
        <f>领料单!CA215</f>
        <v>0</v>
      </c>
    </row>
    <row r="2241" customHeight="1" spans="1:7">
      <c r="A2241" s="113">
        <f>领料单!BU216</f>
        <v>0</v>
      </c>
      <c r="B2241" s="113">
        <f>领料单!BV216</f>
        <v>0</v>
      </c>
      <c r="C2241" s="113">
        <f>领料单!BW216</f>
        <v>0</v>
      </c>
      <c r="D2241" s="113">
        <f>领料单!BX216</f>
        <v>0</v>
      </c>
      <c r="E2241" s="113">
        <f>领料单!BY216</f>
        <v>0</v>
      </c>
      <c r="F2241" s="113">
        <f>领料单!BZ216</f>
        <v>0</v>
      </c>
      <c r="G2241" s="113">
        <f>领料单!CA216</f>
        <v>0</v>
      </c>
    </row>
    <row r="2242" customHeight="1" spans="1:7">
      <c r="A2242" s="113">
        <f>领料单!BU217</f>
        <v>0</v>
      </c>
      <c r="B2242" s="113">
        <f>领料单!BV217</f>
        <v>0</v>
      </c>
      <c r="C2242" s="113">
        <f>领料单!BW217</f>
        <v>0</v>
      </c>
      <c r="D2242" s="113">
        <f>领料单!BX217</f>
        <v>0</v>
      </c>
      <c r="E2242" s="113">
        <f>领料单!BY217</f>
        <v>0</v>
      </c>
      <c r="F2242" s="113">
        <f>领料单!BZ217</f>
        <v>0</v>
      </c>
      <c r="G2242" s="113">
        <f>领料单!CA217</f>
        <v>0</v>
      </c>
    </row>
    <row r="2243" customHeight="1" spans="1:7">
      <c r="A2243" s="113">
        <f>领料单!BU218</f>
        <v>0</v>
      </c>
      <c r="B2243" s="113">
        <f>领料单!BV218</f>
        <v>0</v>
      </c>
      <c r="C2243" s="113">
        <f>领料单!BW218</f>
        <v>0</v>
      </c>
      <c r="D2243" s="113">
        <f>领料单!BX218</f>
        <v>0</v>
      </c>
      <c r="E2243" s="113">
        <f>领料单!BY218</f>
        <v>0</v>
      </c>
      <c r="F2243" s="113">
        <f>领料单!BZ218</f>
        <v>0</v>
      </c>
      <c r="G2243" s="113">
        <f>领料单!CA218</f>
        <v>0</v>
      </c>
    </row>
    <row r="2244" customHeight="1" spans="1:7">
      <c r="A2244" s="113">
        <f>领料单!BU219</f>
        <v>0</v>
      </c>
      <c r="B2244" s="113">
        <f>领料单!BV219</f>
        <v>0</v>
      </c>
      <c r="C2244" s="113">
        <f>领料单!BW219</f>
        <v>0</v>
      </c>
      <c r="D2244" s="113">
        <f>领料单!BX219</f>
        <v>0</v>
      </c>
      <c r="E2244" s="113">
        <f>领料单!BY219</f>
        <v>0</v>
      </c>
      <c r="F2244" s="113">
        <f>领料单!BZ219</f>
        <v>0</v>
      </c>
      <c r="G2244" s="113">
        <f>领料单!CA219</f>
        <v>0</v>
      </c>
    </row>
    <row r="2245" customHeight="1" spans="1:7">
      <c r="A2245" s="113">
        <f>领料单!BU220</f>
        <v>0</v>
      </c>
      <c r="B2245" s="113">
        <f>领料单!BV220</f>
        <v>0</v>
      </c>
      <c r="C2245" s="113">
        <f>领料单!BW220</f>
        <v>0</v>
      </c>
      <c r="D2245" s="113">
        <f>领料单!BX220</f>
        <v>0</v>
      </c>
      <c r="E2245" s="113">
        <f>领料单!BY220</f>
        <v>0</v>
      </c>
      <c r="F2245" s="113">
        <f>领料单!BZ220</f>
        <v>0</v>
      </c>
      <c r="G2245" s="113">
        <f>领料单!CA220</f>
        <v>0</v>
      </c>
    </row>
    <row r="2246" customHeight="1" spans="1:7">
      <c r="A2246" s="113">
        <f>领料单!BU221</f>
        <v>0</v>
      </c>
      <c r="B2246" s="113">
        <f>领料单!BV221</f>
        <v>0</v>
      </c>
      <c r="C2246" s="113">
        <f>领料单!BW221</f>
        <v>0</v>
      </c>
      <c r="D2246" s="113">
        <f>领料单!BX221</f>
        <v>0</v>
      </c>
      <c r="E2246" s="113">
        <f>领料单!BY221</f>
        <v>0</v>
      </c>
      <c r="F2246" s="113">
        <f>领料单!BZ221</f>
        <v>0</v>
      </c>
      <c r="G2246" s="113">
        <f>领料单!CA221</f>
        <v>0</v>
      </c>
    </row>
    <row r="2247" customHeight="1" spans="1:7">
      <c r="A2247" s="113">
        <f>领料单!BU222</f>
        <v>0</v>
      </c>
      <c r="B2247" s="113">
        <f>领料单!BV222</f>
        <v>0</v>
      </c>
      <c r="C2247" s="113">
        <f>领料单!BW222</f>
        <v>0</v>
      </c>
      <c r="D2247" s="113">
        <f>领料单!BX222</f>
        <v>0</v>
      </c>
      <c r="E2247" s="113">
        <f>领料单!BY222</f>
        <v>0</v>
      </c>
      <c r="F2247" s="113">
        <f>领料单!BZ222</f>
        <v>0</v>
      </c>
      <c r="G2247" s="113">
        <f>领料单!CA222</f>
        <v>0</v>
      </c>
    </row>
    <row r="2248" customHeight="1" spans="1:7">
      <c r="A2248" s="113">
        <f>领料单!BU223</f>
        <v>0</v>
      </c>
      <c r="B2248" s="113">
        <f>领料单!BV223</f>
        <v>0</v>
      </c>
      <c r="C2248" s="113">
        <f>领料单!BW223</f>
        <v>0</v>
      </c>
      <c r="D2248" s="113">
        <f>领料单!BX223</f>
        <v>0</v>
      </c>
      <c r="E2248" s="113">
        <f>领料单!BY223</f>
        <v>0</v>
      </c>
      <c r="F2248" s="113">
        <f>领料单!BZ223</f>
        <v>0</v>
      </c>
      <c r="G2248" s="113">
        <f>领料单!CA223</f>
        <v>0</v>
      </c>
    </row>
    <row r="2249" customHeight="1" spans="1:7">
      <c r="A2249" s="115" t="s">
        <v>340</v>
      </c>
      <c r="B2249" s="116"/>
      <c r="C2249" s="116"/>
      <c r="D2249" s="116"/>
      <c r="E2249" s="117"/>
      <c r="F2249" s="118">
        <f>SUM(F2238:F2248)</f>
        <v>0</v>
      </c>
      <c r="G2249" s="114"/>
    </row>
    <row r="2250" customHeight="1" spans="1:7">
      <c r="A2250" s="119" t="s">
        <v>341</v>
      </c>
      <c r="B2250" s="119"/>
      <c r="C2250" s="120"/>
      <c r="D2250" s="119"/>
      <c r="E2250" s="121" t="s">
        <v>342</v>
      </c>
      <c r="F2250" s="119"/>
      <c r="G2250" s="119"/>
    </row>
    <row r="2253" customHeight="1" spans="1:7">
      <c r="A2253" s="105"/>
      <c r="B2253" s="106"/>
      <c r="C2253" s="107" t="s">
        <v>330</v>
      </c>
      <c r="D2253" s="107"/>
      <c r="E2253" s="107"/>
      <c r="F2253" s="105"/>
      <c r="G2253" s="105"/>
    </row>
    <row r="2254" customHeight="1" spans="1:7">
      <c r="A2254" s="108" t="s">
        <v>331</v>
      </c>
      <c r="B2254" s="109"/>
      <c r="C2254" s="110">
        <v>46022</v>
      </c>
      <c r="D2254" s="110"/>
      <c r="E2254" s="110"/>
      <c r="F2254" s="111" t="s">
        <v>332</v>
      </c>
      <c r="G2254" s="112" t="str">
        <f>立项!$A$12</f>
        <v>RD10</v>
      </c>
    </row>
    <row r="2255" customHeight="1" spans="1:7">
      <c r="A2255" s="113" t="s">
        <v>333</v>
      </c>
      <c r="B2255" s="113" t="s">
        <v>334</v>
      </c>
      <c r="C2255" s="113" t="s">
        <v>335</v>
      </c>
      <c r="D2255" s="113" t="s">
        <v>336</v>
      </c>
      <c r="E2255" s="113" t="s">
        <v>337</v>
      </c>
      <c r="F2255" s="113" t="s">
        <v>338</v>
      </c>
      <c r="G2255" s="113" t="s">
        <v>339</v>
      </c>
    </row>
    <row r="2256" customHeight="1" spans="1:7">
      <c r="A2256" s="113">
        <f>领料单!CC213</f>
        <v>0</v>
      </c>
      <c r="B2256" s="113">
        <f>领料单!CD213</f>
        <v>0</v>
      </c>
      <c r="C2256" s="113">
        <f>领料单!CE213</f>
        <v>0</v>
      </c>
      <c r="D2256" s="113">
        <f>领料单!CF213</f>
        <v>0</v>
      </c>
      <c r="E2256" s="113">
        <f>领料单!CG213</f>
        <v>0</v>
      </c>
      <c r="F2256" s="113">
        <f>领料单!CH213</f>
        <v>0</v>
      </c>
      <c r="G2256" s="113">
        <f>领料单!CI213</f>
        <v>0</v>
      </c>
    </row>
    <row r="2257" customHeight="1" spans="1:7">
      <c r="A2257" s="113">
        <f>领料单!CC214</f>
        <v>0</v>
      </c>
      <c r="B2257" s="113">
        <f>领料单!CD214</f>
        <v>0</v>
      </c>
      <c r="C2257" s="113">
        <f>领料单!CE214</f>
        <v>0</v>
      </c>
      <c r="D2257" s="113">
        <f>领料单!CF214</f>
        <v>0</v>
      </c>
      <c r="E2257" s="113">
        <f>领料单!CG214</f>
        <v>0</v>
      </c>
      <c r="F2257" s="113">
        <f>领料单!CH214</f>
        <v>0</v>
      </c>
      <c r="G2257" s="113">
        <f>领料单!CI214</f>
        <v>0</v>
      </c>
    </row>
    <row r="2258" customHeight="1" spans="1:7">
      <c r="A2258" s="113">
        <f>领料单!CC215</f>
        <v>0</v>
      </c>
      <c r="B2258" s="113">
        <f>领料单!CD215</f>
        <v>0</v>
      </c>
      <c r="C2258" s="113">
        <f>领料单!CE215</f>
        <v>0</v>
      </c>
      <c r="D2258" s="113">
        <f>领料单!CF215</f>
        <v>0</v>
      </c>
      <c r="E2258" s="113">
        <f>领料单!CG215</f>
        <v>0</v>
      </c>
      <c r="F2258" s="113">
        <f>领料单!CH215</f>
        <v>0</v>
      </c>
      <c r="G2258" s="113">
        <f>领料单!CI215</f>
        <v>0</v>
      </c>
    </row>
    <row r="2259" customHeight="1" spans="1:7">
      <c r="A2259" s="113">
        <f>领料单!CC216</f>
        <v>0</v>
      </c>
      <c r="B2259" s="113">
        <f>领料单!CD216</f>
        <v>0</v>
      </c>
      <c r="C2259" s="113">
        <f>领料单!CE216</f>
        <v>0</v>
      </c>
      <c r="D2259" s="113">
        <f>领料单!CF216</f>
        <v>0</v>
      </c>
      <c r="E2259" s="113">
        <f>领料单!CG216</f>
        <v>0</v>
      </c>
      <c r="F2259" s="113">
        <f>领料单!CH216</f>
        <v>0</v>
      </c>
      <c r="G2259" s="113">
        <f>领料单!CI216</f>
        <v>0</v>
      </c>
    </row>
    <row r="2260" customHeight="1" spans="1:7">
      <c r="A2260" s="113">
        <f>领料单!CC217</f>
        <v>0</v>
      </c>
      <c r="B2260" s="113">
        <f>领料单!CD217</f>
        <v>0</v>
      </c>
      <c r="C2260" s="113">
        <f>领料单!CE217</f>
        <v>0</v>
      </c>
      <c r="D2260" s="113">
        <f>领料单!CF217</f>
        <v>0</v>
      </c>
      <c r="E2260" s="113">
        <f>领料单!CG217</f>
        <v>0</v>
      </c>
      <c r="F2260" s="113">
        <f>领料单!CH217</f>
        <v>0</v>
      </c>
      <c r="G2260" s="113">
        <f>领料单!CI217</f>
        <v>0</v>
      </c>
    </row>
    <row r="2261" customHeight="1" spans="1:7">
      <c r="A2261" s="113">
        <f>领料单!CC218</f>
        <v>0</v>
      </c>
      <c r="B2261" s="113">
        <f>领料单!CD218</f>
        <v>0</v>
      </c>
      <c r="C2261" s="113">
        <f>领料单!CE218</f>
        <v>0</v>
      </c>
      <c r="D2261" s="113">
        <f>领料单!CF218</f>
        <v>0</v>
      </c>
      <c r="E2261" s="113">
        <f>领料单!CG218</f>
        <v>0</v>
      </c>
      <c r="F2261" s="113">
        <f>领料单!CH218</f>
        <v>0</v>
      </c>
      <c r="G2261" s="113">
        <f>领料单!CI218</f>
        <v>0</v>
      </c>
    </row>
    <row r="2262" customHeight="1" spans="1:7">
      <c r="A2262" s="113">
        <f>领料单!CC219</f>
        <v>0</v>
      </c>
      <c r="B2262" s="113">
        <f>领料单!CD219</f>
        <v>0</v>
      </c>
      <c r="C2262" s="113">
        <f>领料单!CE219</f>
        <v>0</v>
      </c>
      <c r="D2262" s="113">
        <f>领料单!CF219</f>
        <v>0</v>
      </c>
      <c r="E2262" s="113">
        <f>领料单!CG219</f>
        <v>0</v>
      </c>
      <c r="F2262" s="113">
        <f>领料单!CH219</f>
        <v>0</v>
      </c>
      <c r="G2262" s="113">
        <f>领料单!CI219</f>
        <v>0</v>
      </c>
    </row>
    <row r="2263" customHeight="1" spans="1:7">
      <c r="A2263" s="113">
        <f>领料单!CC220</f>
        <v>0</v>
      </c>
      <c r="B2263" s="113">
        <f>领料单!CD220</f>
        <v>0</v>
      </c>
      <c r="C2263" s="113">
        <f>领料单!CE220</f>
        <v>0</v>
      </c>
      <c r="D2263" s="113">
        <f>领料单!CF220</f>
        <v>0</v>
      </c>
      <c r="E2263" s="113">
        <f>领料单!CG220</f>
        <v>0</v>
      </c>
      <c r="F2263" s="113">
        <f>领料单!CH220</f>
        <v>0</v>
      </c>
      <c r="G2263" s="113">
        <f>领料单!CI220</f>
        <v>0</v>
      </c>
    </row>
    <row r="2264" customHeight="1" spans="1:7">
      <c r="A2264" s="113">
        <f>领料单!CC221</f>
        <v>0</v>
      </c>
      <c r="B2264" s="113">
        <f>领料单!CD221</f>
        <v>0</v>
      </c>
      <c r="C2264" s="113">
        <f>领料单!CE221</f>
        <v>0</v>
      </c>
      <c r="D2264" s="113">
        <f>领料单!CF221</f>
        <v>0</v>
      </c>
      <c r="E2264" s="113">
        <f>领料单!CG221</f>
        <v>0</v>
      </c>
      <c r="F2264" s="113">
        <f>领料单!CH221</f>
        <v>0</v>
      </c>
      <c r="G2264" s="113">
        <f>领料单!CI221</f>
        <v>0</v>
      </c>
    </row>
    <row r="2265" customHeight="1" spans="1:7">
      <c r="A2265" s="113">
        <f>领料单!CC222</f>
        <v>0</v>
      </c>
      <c r="B2265" s="113">
        <f>领料单!CD222</f>
        <v>0</v>
      </c>
      <c r="C2265" s="113">
        <f>领料单!CE222</f>
        <v>0</v>
      </c>
      <c r="D2265" s="113">
        <f>领料单!CF222</f>
        <v>0</v>
      </c>
      <c r="E2265" s="113">
        <f>领料单!CG222</f>
        <v>0</v>
      </c>
      <c r="F2265" s="113">
        <f>领料单!CH222</f>
        <v>0</v>
      </c>
      <c r="G2265" s="113">
        <f>领料单!CI222</f>
        <v>0</v>
      </c>
    </row>
    <row r="2266" customHeight="1" spans="1:7">
      <c r="A2266" s="113">
        <f>领料单!CC223</f>
        <v>0</v>
      </c>
      <c r="B2266" s="113">
        <f>领料单!CD223</f>
        <v>0</v>
      </c>
      <c r="C2266" s="113">
        <f>领料单!CE223</f>
        <v>0</v>
      </c>
      <c r="D2266" s="113">
        <f>领料单!CF223</f>
        <v>0</v>
      </c>
      <c r="E2266" s="113">
        <f>领料单!CG223</f>
        <v>0</v>
      </c>
      <c r="F2266" s="113">
        <f>领料单!CH223</f>
        <v>0</v>
      </c>
      <c r="G2266" s="113">
        <f>领料单!CI223</f>
        <v>0</v>
      </c>
    </row>
    <row r="2267" customHeight="1" spans="1:7">
      <c r="A2267" s="115" t="s">
        <v>340</v>
      </c>
      <c r="B2267" s="116"/>
      <c r="C2267" s="116"/>
      <c r="D2267" s="116"/>
      <c r="E2267" s="117"/>
      <c r="F2267" s="118">
        <f>SUM(F2256:F2266)</f>
        <v>0</v>
      </c>
      <c r="G2267" s="114"/>
    </row>
    <row r="2268" customHeight="1" spans="1:7">
      <c r="A2268" s="119" t="s">
        <v>341</v>
      </c>
      <c r="B2268" s="119"/>
      <c r="C2268" s="120"/>
      <c r="D2268" s="119"/>
      <c r="E2268" s="121" t="s">
        <v>342</v>
      </c>
      <c r="F2268" s="119"/>
      <c r="G2268" s="119"/>
    </row>
  </sheetData>
  <mergeCells count="360">
    <mergeCell ref="C1:E1"/>
    <mergeCell ref="C2:E2"/>
    <mergeCell ref="A16:E16"/>
    <mergeCell ref="C20:E20"/>
    <mergeCell ref="C21:E21"/>
    <mergeCell ref="A35:E35"/>
    <mergeCell ref="C39:E39"/>
    <mergeCell ref="C40:E40"/>
    <mergeCell ref="A54:E54"/>
    <mergeCell ref="C58:E58"/>
    <mergeCell ref="C59:E59"/>
    <mergeCell ref="A73:E73"/>
    <mergeCell ref="C77:E77"/>
    <mergeCell ref="C78:E78"/>
    <mergeCell ref="A92:E92"/>
    <mergeCell ref="C96:E96"/>
    <mergeCell ref="C97:E97"/>
    <mergeCell ref="A111:E111"/>
    <mergeCell ref="C115:E115"/>
    <mergeCell ref="C116:E116"/>
    <mergeCell ref="A130:E130"/>
    <mergeCell ref="C134:E134"/>
    <mergeCell ref="C135:E135"/>
    <mergeCell ref="A149:E149"/>
    <mergeCell ref="C153:E153"/>
    <mergeCell ref="C154:E154"/>
    <mergeCell ref="A168:E168"/>
    <mergeCell ref="C172:E172"/>
    <mergeCell ref="C173:E173"/>
    <mergeCell ref="A187:E187"/>
    <mergeCell ref="C191:E191"/>
    <mergeCell ref="C192:E192"/>
    <mergeCell ref="A206:E206"/>
    <mergeCell ref="C210:E210"/>
    <mergeCell ref="C211:E211"/>
    <mergeCell ref="A225:E225"/>
    <mergeCell ref="C229:E229"/>
    <mergeCell ref="C230:E230"/>
    <mergeCell ref="A244:E244"/>
    <mergeCell ref="C248:E248"/>
    <mergeCell ref="C249:E249"/>
    <mergeCell ref="A263:E263"/>
    <mergeCell ref="C267:E267"/>
    <mergeCell ref="C268:E268"/>
    <mergeCell ref="A282:E282"/>
    <mergeCell ref="C286:E286"/>
    <mergeCell ref="C287:E287"/>
    <mergeCell ref="A301:E301"/>
    <mergeCell ref="C305:E305"/>
    <mergeCell ref="C306:E306"/>
    <mergeCell ref="A320:E320"/>
    <mergeCell ref="C324:E324"/>
    <mergeCell ref="C325:E325"/>
    <mergeCell ref="A339:E339"/>
    <mergeCell ref="C343:E343"/>
    <mergeCell ref="C344:E344"/>
    <mergeCell ref="A358:E358"/>
    <mergeCell ref="C362:E362"/>
    <mergeCell ref="C363:E363"/>
    <mergeCell ref="A377:E377"/>
    <mergeCell ref="C381:E381"/>
    <mergeCell ref="C382:E382"/>
    <mergeCell ref="A396:E396"/>
    <mergeCell ref="C400:E400"/>
    <mergeCell ref="C401:E401"/>
    <mergeCell ref="A415:E415"/>
    <mergeCell ref="C419:E419"/>
    <mergeCell ref="C420:E420"/>
    <mergeCell ref="A434:E434"/>
    <mergeCell ref="C438:E438"/>
    <mergeCell ref="C439:E439"/>
    <mergeCell ref="A453:E453"/>
    <mergeCell ref="C457:E457"/>
    <mergeCell ref="C458:E458"/>
    <mergeCell ref="A472:E472"/>
    <mergeCell ref="C476:E476"/>
    <mergeCell ref="C477:E477"/>
    <mergeCell ref="A491:E491"/>
    <mergeCell ref="C495:E495"/>
    <mergeCell ref="C496:E496"/>
    <mergeCell ref="A510:E510"/>
    <mergeCell ref="C514:E514"/>
    <mergeCell ref="C515:E515"/>
    <mergeCell ref="A529:E529"/>
    <mergeCell ref="C533:E533"/>
    <mergeCell ref="C534:E534"/>
    <mergeCell ref="A548:E548"/>
    <mergeCell ref="C552:E552"/>
    <mergeCell ref="C553:E553"/>
    <mergeCell ref="A567:E567"/>
    <mergeCell ref="C571:E571"/>
    <mergeCell ref="C572:E572"/>
    <mergeCell ref="A586:E586"/>
    <mergeCell ref="C590:E590"/>
    <mergeCell ref="C591:E591"/>
    <mergeCell ref="A605:E605"/>
    <mergeCell ref="C609:E609"/>
    <mergeCell ref="C610:E610"/>
    <mergeCell ref="A624:E624"/>
    <mergeCell ref="C628:E628"/>
    <mergeCell ref="C629:E629"/>
    <mergeCell ref="A643:E643"/>
    <mergeCell ref="C647:E647"/>
    <mergeCell ref="C648:E648"/>
    <mergeCell ref="A662:E662"/>
    <mergeCell ref="C666:E666"/>
    <mergeCell ref="C667:E667"/>
    <mergeCell ref="A681:E681"/>
    <mergeCell ref="C685:E685"/>
    <mergeCell ref="C686:E686"/>
    <mergeCell ref="A700:E700"/>
    <mergeCell ref="C704:E704"/>
    <mergeCell ref="C705:E705"/>
    <mergeCell ref="A719:E719"/>
    <mergeCell ref="C723:E723"/>
    <mergeCell ref="C724:E724"/>
    <mergeCell ref="A738:E738"/>
    <mergeCell ref="C742:E742"/>
    <mergeCell ref="C743:E743"/>
    <mergeCell ref="A757:E757"/>
    <mergeCell ref="C761:E761"/>
    <mergeCell ref="C762:E762"/>
    <mergeCell ref="A776:E776"/>
    <mergeCell ref="C780:E780"/>
    <mergeCell ref="C781:E781"/>
    <mergeCell ref="A795:E795"/>
    <mergeCell ref="C799:E799"/>
    <mergeCell ref="C800:E800"/>
    <mergeCell ref="A814:E814"/>
    <mergeCell ref="C818:E818"/>
    <mergeCell ref="C819:E819"/>
    <mergeCell ref="A833:E833"/>
    <mergeCell ref="C837:E837"/>
    <mergeCell ref="C838:E838"/>
    <mergeCell ref="A852:E852"/>
    <mergeCell ref="C856:E856"/>
    <mergeCell ref="C857:E857"/>
    <mergeCell ref="A871:E871"/>
    <mergeCell ref="C875:E875"/>
    <mergeCell ref="C876:E876"/>
    <mergeCell ref="A890:E890"/>
    <mergeCell ref="C894:E894"/>
    <mergeCell ref="C895:E895"/>
    <mergeCell ref="A909:E909"/>
    <mergeCell ref="C913:E913"/>
    <mergeCell ref="C914:E914"/>
    <mergeCell ref="A928:E928"/>
    <mergeCell ref="C932:E932"/>
    <mergeCell ref="C933:E933"/>
    <mergeCell ref="A947:E947"/>
    <mergeCell ref="C951:E951"/>
    <mergeCell ref="C952:E952"/>
    <mergeCell ref="A966:E966"/>
    <mergeCell ref="C970:E970"/>
    <mergeCell ref="C971:E971"/>
    <mergeCell ref="A985:E985"/>
    <mergeCell ref="C989:E989"/>
    <mergeCell ref="C990:E990"/>
    <mergeCell ref="A1004:E1004"/>
    <mergeCell ref="C1008:E1008"/>
    <mergeCell ref="C1009:E1009"/>
    <mergeCell ref="A1023:E1023"/>
    <mergeCell ref="C1027:E1027"/>
    <mergeCell ref="C1028:E1028"/>
    <mergeCell ref="A1042:E1042"/>
    <mergeCell ref="C1046:E1046"/>
    <mergeCell ref="C1047:E1047"/>
    <mergeCell ref="A1061:E1061"/>
    <mergeCell ref="C1065:E1065"/>
    <mergeCell ref="C1066:E1066"/>
    <mergeCell ref="A1080:E1080"/>
    <mergeCell ref="C1084:E1084"/>
    <mergeCell ref="C1085:E1085"/>
    <mergeCell ref="A1099:E1099"/>
    <mergeCell ref="C1103:E1103"/>
    <mergeCell ref="C1104:E1104"/>
    <mergeCell ref="A1118:E1118"/>
    <mergeCell ref="C1122:E1122"/>
    <mergeCell ref="C1123:E1123"/>
    <mergeCell ref="A1137:E1137"/>
    <mergeCell ref="C1141:E1141"/>
    <mergeCell ref="C1142:E1142"/>
    <mergeCell ref="A1156:E1156"/>
    <mergeCell ref="C1160:E1160"/>
    <mergeCell ref="C1161:E1161"/>
    <mergeCell ref="A1175:E1175"/>
    <mergeCell ref="C1179:E1179"/>
    <mergeCell ref="C1180:E1180"/>
    <mergeCell ref="A1194:E1194"/>
    <mergeCell ref="C1198:E1198"/>
    <mergeCell ref="C1199:E1199"/>
    <mergeCell ref="A1213:E1213"/>
    <mergeCell ref="C1217:E1217"/>
    <mergeCell ref="C1218:E1218"/>
    <mergeCell ref="A1232:E1232"/>
    <mergeCell ref="C1236:E1236"/>
    <mergeCell ref="C1237:E1237"/>
    <mergeCell ref="A1251:E1251"/>
    <mergeCell ref="C1255:E1255"/>
    <mergeCell ref="C1256:E1256"/>
    <mergeCell ref="A1270:E1270"/>
    <mergeCell ref="C1274:E1274"/>
    <mergeCell ref="C1275:E1275"/>
    <mergeCell ref="A1289:E1289"/>
    <mergeCell ref="C1293:E1293"/>
    <mergeCell ref="C1294:E1294"/>
    <mergeCell ref="A1308:E1308"/>
    <mergeCell ref="C1312:E1312"/>
    <mergeCell ref="C1313:E1313"/>
    <mergeCell ref="A1327:E1327"/>
    <mergeCell ref="C1331:E1331"/>
    <mergeCell ref="C1332:E1332"/>
    <mergeCell ref="A1346:E1346"/>
    <mergeCell ref="C1350:E1350"/>
    <mergeCell ref="C1351:E1351"/>
    <mergeCell ref="A1365:E1365"/>
    <mergeCell ref="C1369:E1369"/>
    <mergeCell ref="C1370:E1370"/>
    <mergeCell ref="A1384:E1384"/>
    <mergeCell ref="C1388:E1388"/>
    <mergeCell ref="C1389:E1389"/>
    <mergeCell ref="A1403:E1403"/>
    <mergeCell ref="C1407:E1407"/>
    <mergeCell ref="C1408:E1408"/>
    <mergeCell ref="A1422:E1422"/>
    <mergeCell ref="C1426:E1426"/>
    <mergeCell ref="C1427:E1427"/>
    <mergeCell ref="A1441:E1441"/>
    <mergeCell ref="C1445:E1445"/>
    <mergeCell ref="C1446:E1446"/>
    <mergeCell ref="A1460:E1460"/>
    <mergeCell ref="C1464:E1464"/>
    <mergeCell ref="C1465:E1465"/>
    <mergeCell ref="A1479:E1479"/>
    <mergeCell ref="C1483:E1483"/>
    <mergeCell ref="C1484:E1484"/>
    <mergeCell ref="A1498:E1498"/>
    <mergeCell ref="C1502:E1502"/>
    <mergeCell ref="C1503:E1503"/>
    <mergeCell ref="A1517:E1517"/>
    <mergeCell ref="C1521:E1521"/>
    <mergeCell ref="C1522:E1522"/>
    <mergeCell ref="A1536:E1536"/>
    <mergeCell ref="C1540:E1540"/>
    <mergeCell ref="C1541:E1541"/>
    <mergeCell ref="A1555:E1555"/>
    <mergeCell ref="C1559:E1559"/>
    <mergeCell ref="C1560:E1560"/>
    <mergeCell ref="A1574:E1574"/>
    <mergeCell ref="C1578:E1578"/>
    <mergeCell ref="C1579:E1579"/>
    <mergeCell ref="A1593:E1593"/>
    <mergeCell ref="C1597:E1597"/>
    <mergeCell ref="C1598:E1598"/>
    <mergeCell ref="A1612:E1612"/>
    <mergeCell ref="C1616:E1616"/>
    <mergeCell ref="C1617:E1617"/>
    <mergeCell ref="A1631:E1631"/>
    <mergeCell ref="C1635:E1635"/>
    <mergeCell ref="C1636:E1636"/>
    <mergeCell ref="A1650:E1650"/>
    <mergeCell ref="C1654:E1654"/>
    <mergeCell ref="C1655:E1655"/>
    <mergeCell ref="A1669:E1669"/>
    <mergeCell ref="C1673:E1673"/>
    <mergeCell ref="C1674:E1674"/>
    <mergeCell ref="A1688:E1688"/>
    <mergeCell ref="C1692:E1692"/>
    <mergeCell ref="C1693:E1693"/>
    <mergeCell ref="A1707:E1707"/>
    <mergeCell ref="C1711:E1711"/>
    <mergeCell ref="C1712:E1712"/>
    <mergeCell ref="A1726:E1726"/>
    <mergeCell ref="C1730:E1730"/>
    <mergeCell ref="C1731:E1731"/>
    <mergeCell ref="A1745:E1745"/>
    <mergeCell ref="C1749:E1749"/>
    <mergeCell ref="C1750:E1750"/>
    <mergeCell ref="A1764:E1764"/>
    <mergeCell ref="C1768:E1768"/>
    <mergeCell ref="C1769:E1769"/>
    <mergeCell ref="A1783:E1783"/>
    <mergeCell ref="C1787:E1787"/>
    <mergeCell ref="C1788:E1788"/>
    <mergeCell ref="A1802:E1802"/>
    <mergeCell ref="C1806:E1806"/>
    <mergeCell ref="C1807:E1807"/>
    <mergeCell ref="A1821:E1821"/>
    <mergeCell ref="C1825:E1825"/>
    <mergeCell ref="C1826:E1826"/>
    <mergeCell ref="A1840:E1840"/>
    <mergeCell ref="C1844:E1844"/>
    <mergeCell ref="C1845:E1845"/>
    <mergeCell ref="A1859:E1859"/>
    <mergeCell ref="C1863:E1863"/>
    <mergeCell ref="C1864:E1864"/>
    <mergeCell ref="A1878:E1878"/>
    <mergeCell ref="C1882:E1882"/>
    <mergeCell ref="C1883:E1883"/>
    <mergeCell ref="A1897:E1897"/>
    <mergeCell ref="C1901:E1901"/>
    <mergeCell ref="C1902:E1902"/>
    <mergeCell ref="A1916:E1916"/>
    <mergeCell ref="C1920:E1920"/>
    <mergeCell ref="C1921:E1921"/>
    <mergeCell ref="A1935:E1935"/>
    <mergeCell ref="C1939:E1939"/>
    <mergeCell ref="C1940:E1940"/>
    <mergeCell ref="A1954:E1954"/>
    <mergeCell ref="C1958:E1958"/>
    <mergeCell ref="C1959:E1959"/>
    <mergeCell ref="A1973:E1973"/>
    <mergeCell ref="C1977:E1977"/>
    <mergeCell ref="C1978:E1978"/>
    <mergeCell ref="A1992:E1992"/>
    <mergeCell ref="C1996:E1996"/>
    <mergeCell ref="C1997:E1997"/>
    <mergeCell ref="A2011:E2011"/>
    <mergeCell ref="C2015:E2015"/>
    <mergeCell ref="C2016:E2016"/>
    <mergeCell ref="A2030:E2030"/>
    <mergeCell ref="C2034:E2034"/>
    <mergeCell ref="C2035:E2035"/>
    <mergeCell ref="A2049:E2049"/>
    <mergeCell ref="C2053:E2053"/>
    <mergeCell ref="C2054:E2054"/>
    <mergeCell ref="A2068:E2068"/>
    <mergeCell ref="C2072:E2072"/>
    <mergeCell ref="C2073:E2073"/>
    <mergeCell ref="A2087:E2087"/>
    <mergeCell ref="C2091:E2091"/>
    <mergeCell ref="C2092:E2092"/>
    <mergeCell ref="A2105:E2105"/>
    <mergeCell ref="C2109:E2109"/>
    <mergeCell ref="C2110:E2110"/>
    <mergeCell ref="A2123:E2123"/>
    <mergeCell ref="C2127:E2127"/>
    <mergeCell ref="C2128:E2128"/>
    <mergeCell ref="A2141:E2141"/>
    <mergeCell ref="C2145:E2145"/>
    <mergeCell ref="C2146:E2146"/>
    <mergeCell ref="A2159:E2159"/>
    <mergeCell ref="C2163:E2163"/>
    <mergeCell ref="C2164:E2164"/>
    <mergeCell ref="A2177:E2177"/>
    <mergeCell ref="C2181:E2181"/>
    <mergeCell ref="C2182:E2182"/>
    <mergeCell ref="A2195:E2195"/>
    <mergeCell ref="C2199:E2199"/>
    <mergeCell ref="C2200:E2200"/>
    <mergeCell ref="A2213:E2213"/>
    <mergeCell ref="C2217:E2217"/>
    <mergeCell ref="C2218:E2218"/>
    <mergeCell ref="A2231:E2231"/>
    <mergeCell ref="C2235:E2235"/>
    <mergeCell ref="C2236:E2236"/>
    <mergeCell ref="A2249:E2249"/>
    <mergeCell ref="C2253:E2253"/>
    <mergeCell ref="C2254:E2254"/>
    <mergeCell ref="A2267:E2267"/>
  </mergeCells>
  <pageMargins left="0.75" right="0.75" top="1" bottom="1" header="0.5" footer="0.5"/>
  <pageSetup paperSize="9" scale="96" fitToHeight="0" orientation="portrait"/>
  <headerFooter/>
  <rowBreaks count="59" manualBreakCount="59">
    <brk id="36" max="16383" man="1"/>
    <brk id="74" max="16383" man="1"/>
    <brk id="112" max="16383" man="1"/>
    <brk id="150" max="16383" man="1"/>
    <brk id="188" max="16383" man="1"/>
    <brk id="226" max="16383" man="1"/>
    <brk id="264" max="16383" man="1"/>
    <brk id="302" max="16383" man="1"/>
    <brk id="340" max="16383" man="1"/>
    <brk id="378" max="16383" man="1"/>
    <brk id="416" max="16383" man="1"/>
    <brk id="454" max="16383" man="1"/>
    <brk id="492" max="16383" man="1"/>
    <brk id="530" max="16383" man="1"/>
    <brk id="568" max="16383" man="1"/>
    <brk id="606" max="16383" man="1"/>
    <brk id="644" max="16383" man="1"/>
    <brk id="682" max="16383" man="1"/>
    <brk id="720" max="16383" man="1"/>
    <brk id="758" max="16383" man="1"/>
    <brk id="796" max="16383" man="1"/>
    <brk id="834" max="16383" man="1"/>
    <brk id="872" max="16383" man="1"/>
    <brk id="910" max="16383" man="1"/>
    <brk id="948" max="16383" man="1"/>
    <brk id="986" max="16383" man="1"/>
    <brk id="1024" max="16383" man="1"/>
    <brk id="1062" max="16383" man="1"/>
    <brk id="1100" max="16383" man="1"/>
    <brk id="1138" max="16383" man="1"/>
    <brk id="1176" max="16383" man="1"/>
    <brk id="1214" max="16383" man="1"/>
    <brk id="1252" max="16383" man="1"/>
    <brk id="1290" max="16383" man="1"/>
    <brk id="1328" max="16383" man="1"/>
    <brk id="1366" max="16383" man="1"/>
    <brk id="1404" max="16383" man="1"/>
    <brk id="1442" max="16383" man="1"/>
    <brk id="1480" max="16383" man="1"/>
    <brk id="1518" max="16383" man="1"/>
    <brk id="1556" max="16383" man="1"/>
    <brk id="1594" max="16383" man="1"/>
    <brk id="1632" max="16383" man="1"/>
    <brk id="1670" max="16383" man="1"/>
    <brk id="1708" max="16383" man="1"/>
    <brk id="1746" max="16383" man="1"/>
    <brk id="1784" max="16383" man="1"/>
    <brk id="1822" max="16383" man="1"/>
    <brk id="1860" max="16383" man="1"/>
    <brk id="1898" max="16383" man="1"/>
    <brk id="1936" max="16383" man="1"/>
    <brk id="1974" max="16383" man="1"/>
    <brk id="2012" max="16383" man="1"/>
    <brk id="2050" max="16383" man="1"/>
    <brk id="2088" max="16383" man="1"/>
    <brk id="2124" max="16383" man="1"/>
    <brk id="2160" max="16383" man="1"/>
    <brk id="2196" max="16383" man="1"/>
    <brk id="2232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Zeros="0" view="pageBreakPreview" zoomScaleNormal="100" workbookViewId="0">
      <selection activeCell="N19" sqref="N19"/>
    </sheetView>
  </sheetViews>
  <sheetFormatPr defaultColWidth="9" defaultRowHeight="18" customHeight="1"/>
  <cols>
    <col min="1" max="16384" width="9" style="100"/>
  </cols>
  <sheetData>
    <row r="1" customHeight="1" spans="1:13">
      <c r="A1" s="100" t="s">
        <v>343</v>
      </c>
    </row>
    <row r="2" customHeight="1" spans="1:13">
      <c r="A2" s="101" t="s">
        <v>344</v>
      </c>
      <c r="B2" s="102" t="str">
        <f>立项!A3</f>
        <v>RD01</v>
      </c>
      <c r="C2" s="102" t="str">
        <f>立项!A4</f>
        <v>RD02</v>
      </c>
      <c r="D2" s="102" t="str">
        <f>立项!A5</f>
        <v>RD03</v>
      </c>
      <c r="E2" s="102" t="str">
        <f>立项!A6</f>
        <v>RD04</v>
      </c>
      <c r="F2" s="102" t="str">
        <f>立项!A7</f>
        <v>RD05</v>
      </c>
      <c r="G2" s="102" t="str">
        <f>立项!A8</f>
        <v>RD06</v>
      </c>
      <c r="H2" s="102" t="str">
        <f>立项!A9</f>
        <v>RD07</v>
      </c>
      <c r="I2" s="102" t="str">
        <f>立项!A10</f>
        <v>RD08</v>
      </c>
      <c r="J2" s="102" t="str">
        <f>立项!A11</f>
        <v>RD09</v>
      </c>
      <c r="K2" s="102" t="str">
        <f>立项!A12</f>
        <v>RD10</v>
      </c>
      <c r="L2" s="102" t="s">
        <v>22</v>
      </c>
      <c r="M2" s="101" t="s">
        <v>345</v>
      </c>
    </row>
    <row r="3" customHeight="1" spans="1:13">
      <c r="A3" s="103">
        <v>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>
        <f>SUM(B3:K3)</f>
        <v>0</v>
      </c>
      <c r="M3" s="101"/>
    </row>
    <row r="4" customHeight="1" spans="1:13">
      <c r="A4" s="103">
        <v>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>
        <f t="shared" ref="L4:L14" si="0">SUM(B4:K4)</f>
        <v>0</v>
      </c>
      <c r="M4" s="101"/>
    </row>
    <row r="5" customHeight="1" spans="1:13">
      <c r="A5" s="103">
        <v>3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>
        <f t="shared" si="0"/>
        <v>0</v>
      </c>
      <c r="M5" s="101"/>
    </row>
    <row r="6" customHeight="1" spans="1:13">
      <c r="A6" s="103">
        <v>4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>
        <f t="shared" si="0"/>
        <v>0</v>
      </c>
      <c r="M6" s="101"/>
    </row>
    <row r="7" customHeight="1" spans="1:13">
      <c r="A7" s="103">
        <v>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>
        <f t="shared" si="0"/>
        <v>0</v>
      </c>
      <c r="M7" s="101"/>
    </row>
    <row r="8" customHeight="1" spans="1:13">
      <c r="A8" s="103">
        <v>6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>
        <f t="shared" si="0"/>
        <v>0</v>
      </c>
      <c r="M8" s="101"/>
    </row>
    <row r="9" customHeight="1" spans="1:13">
      <c r="A9" s="103">
        <v>7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>
        <f t="shared" si="0"/>
        <v>0</v>
      </c>
      <c r="M9" s="101"/>
    </row>
    <row r="10" customHeight="1" spans="1:13">
      <c r="A10" s="103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>
        <f t="shared" si="0"/>
        <v>0</v>
      </c>
      <c r="M10" s="101"/>
    </row>
    <row r="11" customHeight="1" spans="1:13">
      <c r="A11" s="103">
        <v>9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>
        <f t="shared" si="0"/>
        <v>0</v>
      </c>
      <c r="M11" s="101"/>
    </row>
    <row r="12" customHeight="1" spans="1:13">
      <c r="A12" s="103">
        <v>10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>
        <f t="shared" si="0"/>
        <v>0</v>
      </c>
      <c r="M12" s="101"/>
    </row>
    <row r="13" customHeight="1" spans="1:13">
      <c r="A13" s="103">
        <v>11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>
        <f t="shared" si="0"/>
        <v>0</v>
      </c>
      <c r="M13" s="101"/>
    </row>
    <row r="14" customHeight="1" spans="1:13">
      <c r="A14" s="103">
        <v>12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>
        <f t="shared" si="0"/>
        <v>0</v>
      </c>
      <c r="M14" s="101"/>
    </row>
    <row r="15" customHeight="1" spans="1:13">
      <c r="A15" s="101" t="s">
        <v>270</v>
      </c>
      <c r="B15" s="101">
        <f>SUM(B3:B14)</f>
        <v>0</v>
      </c>
      <c r="C15" s="101">
        <f t="shared" ref="C15:L15" si="1">SUM(C3:C14)</f>
        <v>0</v>
      </c>
      <c r="D15" s="101">
        <f t="shared" si="1"/>
        <v>0</v>
      </c>
      <c r="E15" s="101">
        <f t="shared" si="1"/>
        <v>0</v>
      </c>
      <c r="F15" s="101">
        <f t="shared" si="1"/>
        <v>0</v>
      </c>
      <c r="G15" s="101">
        <f t="shared" si="1"/>
        <v>0</v>
      </c>
      <c r="H15" s="101">
        <f t="shared" si="1"/>
        <v>0</v>
      </c>
      <c r="I15" s="101">
        <f t="shared" si="1"/>
        <v>0</v>
      </c>
      <c r="J15" s="101">
        <f t="shared" si="1"/>
        <v>0</v>
      </c>
      <c r="K15" s="101">
        <f t="shared" si="1"/>
        <v>0</v>
      </c>
      <c r="L15" s="101">
        <f t="shared" si="1"/>
        <v>0</v>
      </c>
      <c r="M15" s="101"/>
    </row>
  </sheetData>
  <mergeCells count="1">
    <mergeCell ref="A1:L1"/>
  </mergeCells>
  <pageMargins left="0.75" right="0.75" top="1" bottom="1" header="0.5" footer="0.5"/>
  <pageSetup paperSize="9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7" activePane="bottomRight" state="frozen"/>
      <selection/>
      <selection pane="topRight"/>
      <selection pane="bottomLeft"/>
      <selection pane="bottomRight" activeCell="F34" sqref="F34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立项!B3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'人员人工-研发人员工资'!H463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'人员人工-研发人员社保'!H463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'人员人工-研发人员公积金'!H463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'直接投入-领料'!C4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研发设备折旧表3!J30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'直接投入-动力'!H18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其他费用!B3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'人员人工-研发人员工资'!H464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'人员人工-研发人员社保'!H464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'人员人工-研发人员公积金'!H464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'直接投入-领料'!D4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研发设备折旧表3!J61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'直接投入-动力'!H19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其他费用!B4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'人员人工-研发人员工资'!H465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'人员人工-研发人员社保'!H465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'人员人工-研发人员公积金'!H465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'直接投入-领料'!E4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研发设备折旧表3!J92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'直接投入-动力'!H20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其他费用!B5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 t="shared" ref="G33:K33" si="5">G32+G24</f>
        <v>0</v>
      </c>
      <c r="H33" s="85">
        <f t="shared" si="5"/>
        <v>0</v>
      </c>
      <c r="I33" s="85">
        <f t="shared" si="5"/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'人员人工-研发人员工资'!H466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'人员人工-研发人员社保'!H466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'人员人工-研发人员公积金'!H466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'直接投入-领料'!F4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研发设备折旧表3!J123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'直接投入-动力'!H21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其他费用!B6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6">SUM(I34:I40)</f>
        <v>0</v>
      </c>
      <c r="J41" s="54">
        <f t="shared" si="6"/>
        <v>0</v>
      </c>
      <c r="K41" s="54">
        <f t="shared" si="6"/>
        <v>0</v>
      </c>
      <c r="L41" s="54">
        <f t="shared" si="6"/>
        <v>0</v>
      </c>
      <c r="M41" s="54">
        <f t="shared" si="6"/>
        <v>0</v>
      </c>
      <c r="N41" s="55">
        <f t="shared" si="6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7">G41+G33</f>
        <v>0</v>
      </c>
      <c r="H42" s="62">
        <f t="shared" si="7"/>
        <v>0</v>
      </c>
      <c r="I42" s="62">
        <f t="shared" si="7"/>
        <v>0</v>
      </c>
      <c r="J42" s="62">
        <f t="shared" si="7"/>
        <v>0</v>
      </c>
      <c r="K42" s="62">
        <f t="shared" si="7"/>
        <v>0</v>
      </c>
      <c r="L42" s="62">
        <f t="shared" si="7"/>
        <v>0</v>
      </c>
      <c r="M42" s="63">
        <f t="shared" si="7"/>
        <v>0</v>
      </c>
      <c r="N42" s="64">
        <f t="shared" si="7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'人员人工-研发人员工资'!H467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'人员人工-研发人员社保'!H467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'人员人工-研发人员公积金'!H467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'直接投入-领料'!G4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研发设备折旧表3!J154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'直接投入-动力'!H22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其他费用!B7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8">SUM(I43:I49)</f>
        <v>0</v>
      </c>
      <c r="J50" s="54">
        <f t="shared" si="8"/>
        <v>0</v>
      </c>
      <c r="K50" s="54">
        <f t="shared" si="8"/>
        <v>0</v>
      </c>
      <c r="L50" s="54">
        <f t="shared" si="8"/>
        <v>0</v>
      </c>
      <c r="M50" s="54">
        <f t="shared" si="8"/>
        <v>0</v>
      </c>
      <c r="N50" s="55">
        <f t="shared" si="8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9">F50+F42</f>
        <v>0</v>
      </c>
      <c r="G51" s="60">
        <f t="shared" si="9"/>
        <v>0</v>
      </c>
      <c r="H51" s="85">
        <f t="shared" si="9"/>
        <v>0</v>
      </c>
      <c r="I51" s="85">
        <f t="shared" si="9"/>
        <v>0</v>
      </c>
      <c r="J51" s="85">
        <f t="shared" si="9"/>
        <v>0</v>
      </c>
      <c r="K51" s="85">
        <f t="shared" si="9"/>
        <v>0</v>
      </c>
      <c r="L51" s="85">
        <f t="shared" si="9"/>
        <v>0</v>
      </c>
      <c r="M51" s="85">
        <f t="shared" si="9"/>
        <v>0</v>
      </c>
      <c r="N51" s="96">
        <f t="shared" si="9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'人员人工-研发人员工资'!H468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'人员人工-研发人员社保'!H468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'人员人工-研发人员公积金'!H468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'直接投入-领料'!H4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研发设备折旧表3!J185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'直接投入-动力'!H23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其他费用!B8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 t="shared" ref="G59:N59" si="10">SUM(G52:G58)</f>
        <v>0</v>
      </c>
      <c r="H59" s="54">
        <f t="shared" si="10"/>
        <v>0</v>
      </c>
      <c r="I59" s="54">
        <f t="shared" si="10"/>
        <v>0</v>
      </c>
      <c r="J59" s="54">
        <f t="shared" si="10"/>
        <v>0</v>
      </c>
      <c r="K59" s="54">
        <f t="shared" si="10"/>
        <v>0</v>
      </c>
      <c r="L59" s="54">
        <f t="shared" si="10"/>
        <v>0</v>
      </c>
      <c r="M59" s="54">
        <f t="shared" si="10"/>
        <v>0</v>
      </c>
      <c r="N59" s="55">
        <f t="shared" si="10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1">H59+H51</f>
        <v>0</v>
      </c>
      <c r="I60" s="85">
        <f t="shared" si="11"/>
        <v>0</v>
      </c>
      <c r="J60" s="85">
        <f t="shared" si="11"/>
        <v>0</v>
      </c>
      <c r="K60" s="85">
        <f t="shared" si="11"/>
        <v>0</v>
      </c>
      <c r="L60" s="85">
        <f t="shared" si="11"/>
        <v>0</v>
      </c>
      <c r="M60" s="85">
        <f t="shared" si="11"/>
        <v>0</v>
      </c>
      <c r="N60" s="96">
        <f t="shared" si="11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'人员人工-研发人员工资'!H469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'人员人工-研发人员社保'!H469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'人员人工-研发人员公积金'!H469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'直接投入-领料'!I4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研发设备折旧表3!J216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'直接投入-动力'!H25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其他费用!B9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2">SUM(I61:I67)</f>
        <v>0</v>
      </c>
      <c r="J68" s="54">
        <f t="shared" si="12"/>
        <v>0</v>
      </c>
      <c r="K68" s="54">
        <f t="shared" si="12"/>
        <v>0</v>
      </c>
      <c r="L68" s="54">
        <f t="shared" si="12"/>
        <v>0</v>
      </c>
      <c r="M68" s="54">
        <f t="shared" si="12"/>
        <v>0</v>
      </c>
      <c r="N68" s="55">
        <f t="shared" si="12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3">H68+H60</f>
        <v>0</v>
      </c>
      <c r="I69" s="85">
        <f t="shared" si="13"/>
        <v>0</v>
      </c>
      <c r="J69" s="85">
        <f t="shared" si="13"/>
        <v>0</v>
      </c>
      <c r="K69" s="85">
        <f t="shared" si="13"/>
        <v>0</v>
      </c>
      <c r="L69" s="85">
        <f t="shared" si="13"/>
        <v>0</v>
      </c>
      <c r="M69" s="85">
        <f t="shared" si="13"/>
        <v>0</v>
      </c>
      <c r="N69" s="96">
        <f t="shared" si="13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0">
        <f>G70</f>
        <v>0</v>
      </c>
      <c r="G70" s="40">
        <f>'人员人工-研发人员工资'!H470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'人员人工-研发人员社保'!H470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'人员人工-研发人员公积金'!H470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'直接投入-领料'!J4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研发设备折旧表3!J247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'直接投入-动力'!H25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其他费用!B10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4">SUM(I70:I76)</f>
        <v>0</v>
      </c>
      <c r="J77" s="54">
        <f t="shared" si="14"/>
        <v>0</v>
      </c>
      <c r="K77" s="54">
        <f t="shared" si="14"/>
        <v>0</v>
      </c>
      <c r="L77" s="54">
        <f t="shared" si="14"/>
        <v>0</v>
      </c>
      <c r="M77" s="54">
        <f t="shared" si="14"/>
        <v>0</v>
      </c>
      <c r="N77" s="55">
        <f t="shared" si="14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5">G77+G69</f>
        <v>0</v>
      </c>
      <c r="H78" s="85">
        <f t="shared" si="15"/>
        <v>0</v>
      </c>
      <c r="I78" s="85">
        <f t="shared" si="15"/>
        <v>0</v>
      </c>
      <c r="J78" s="85">
        <f t="shared" si="15"/>
        <v>0</v>
      </c>
      <c r="K78" s="85">
        <f t="shared" si="15"/>
        <v>0</v>
      </c>
      <c r="L78" s="85">
        <f t="shared" si="15"/>
        <v>0</v>
      </c>
      <c r="M78" s="85">
        <f t="shared" si="15"/>
        <v>0</v>
      </c>
      <c r="N78" s="96">
        <f t="shared" si="15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'人员人工-研发人员工资'!H471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'人员人工-研发人员社保'!H471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'人员人工-研发人员公积金'!H471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'直接投入-领料'!K4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研发设备折旧表3!J278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'直接投入-动力'!H26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其他费用!B11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6">SUM(I79:I85)</f>
        <v>0</v>
      </c>
      <c r="J86" s="54">
        <f t="shared" si="16"/>
        <v>0</v>
      </c>
      <c r="K86" s="54">
        <f t="shared" si="16"/>
        <v>0</v>
      </c>
      <c r="L86" s="54">
        <f t="shared" si="16"/>
        <v>0</v>
      </c>
      <c r="M86" s="54">
        <f t="shared" si="16"/>
        <v>0</v>
      </c>
      <c r="N86" s="55">
        <f t="shared" si="16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7">F86+F78</f>
        <v>0</v>
      </c>
      <c r="G87" s="61">
        <f t="shared" si="17"/>
        <v>0</v>
      </c>
      <c r="H87" s="62">
        <f t="shared" si="17"/>
        <v>0</v>
      </c>
      <c r="I87" s="62">
        <f t="shared" si="17"/>
        <v>0</v>
      </c>
      <c r="J87" s="62">
        <f t="shared" si="17"/>
        <v>0</v>
      </c>
      <c r="K87" s="62">
        <f t="shared" si="17"/>
        <v>0</v>
      </c>
      <c r="L87" s="62">
        <f t="shared" si="17"/>
        <v>0</v>
      </c>
      <c r="M87" s="62">
        <f t="shared" si="17"/>
        <v>0</v>
      </c>
      <c r="N87" s="64">
        <f t="shared" si="17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'人员人工-研发人员工资'!H472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'人员人工-研发人员社保'!H472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'人员人工-研发人员公积金'!H472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'直接投入-领料'!L4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研发设备折旧表3!J309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'直接投入-动力'!H27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其他费用!B12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8">SUM(G88:G94)</f>
        <v>0</v>
      </c>
      <c r="H95" s="54">
        <f t="shared" si="18"/>
        <v>0</v>
      </c>
      <c r="I95" s="54">
        <f t="shared" si="18"/>
        <v>0</v>
      </c>
      <c r="J95" s="54">
        <f t="shared" si="18"/>
        <v>0</v>
      </c>
      <c r="K95" s="54">
        <f t="shared" si="18"/>
        <v>0</v>
      </c>
      <c r="L95" s="60">
        <f t="shared" si="18"/>
        <v>0</v>
      </c>
      <c r="M95" s="60">
        <f t="shared" si="18"/>
        <v>0</v>
      </c>
      <c r="N95" s="55">
        <f t="shared" si="18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>I87+I95</f>
        <v>0</v>
      </c>
      <c r="J96" s="62">
        <f t="shared" ref="J96:M96" si="19">J94+J87</f>
        <v>0</v>
      </c>
      <c r="K96" s="62">
        <f>K87+K95</f>
        <v>0</v>
      </c>
      <c r="L96" s="62">
        <f t="shared" si="19"/>
        <v>0</v>
      </c>
      <c r="M96" s="62">
        <f t="shared" si="19"/>
        <v>0</v>
      </c>
      <c r="N96" s="64">
        <f>N87+N95</f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'人员人工-研发人员工资'!H473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'人员人工-研发人员社保'!H473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'人员人工-研发人员公积金'!H473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'直接投入-领料'!M4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研发设备折旧表3!J340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'直接投入-动力'!H28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其他费用!B13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20">SUM(I97:I103)</f>
        <v>0</v>
      </c>
      <c r="J104" s="68">
        <f t="shared" si="20"/>
        <v>0</v>
      </c>
      <c r="K104" s="68">
        <f t="shared" si="20"/>
        <v>0</v>
      </c>
      <c r="L104" s="68">
        <f t="shared" si="20"/>
        <v>0</v>
      </c>
      <c r="M104" s="68">
        <f t="shared" si="20"/>
        <v>0</v>
      </c>
      <c r="N104" s="69">
        <f t="shared" si="20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1">F104+F96</f>
        <v>0</v>
      </c>
      <c r="G105" s="61">
        <f t="shared" si="21"/>
        <v>0</v>
      </c>
      <c r="H105" s="62">
        <f t="shared" si="21"/>
        <v>0</v>
      </c>
      <c r="I105" s="62">
        <f t="shared" si="21"/>
        <v>0</v>
      </c>
      <c r="J105" s="62">
        <f t="shared" si="21"/>
        <v>0</v>
      </c>
      <c r="K105" s="62">
        <f t="shared" si="21"/>
        <v>0</v>
      </c>
      <c r="L105" s="62">
        <f t="shared" si="21"/>
        <v>0</v>
      </c>
      <c r="M105" s="62">
        <f t="shared" si="21"/>
        <v>0</v>
      </c>
      <c r="N105" s="64">
        <f t="shared" si="21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'人员人工-研发人员工资'!H474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'人员人工-研发人员社保'!H474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'人员人工-研发人员公积金'!H474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'直接投入-领料'!N4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研发设备折旧表3!J371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'直接投入-动力'!H29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其他费用!B14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2">SUM(I106:I112)</f>
        <v>0</v>
      </c>
      <c r="J113" s="68">
        <f t="shared" si="22"/>
        <v>0</v>
      </c>
      <c r="K113" s="68">
        <f t="shared" si="22"/>
        <v>0</v>
      </c>
      <c r="L113" s="68">
        <f t="shared" si="22"/>
        <v>0</v>
      </c>
      <c r="M113" s="68">
        <f t="shared" si="22"/>
        <v>0</v>
      </c>
      <c r="N113" s="69">
        <f t="shared" si="22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3">F113+F105</f>
        <v>0</v>
      </c>
      <c r="G114" s="61">
        <f t="shared" si="23"/>
        <v>0</v>
      </c>
      <c r="H114" s="62">
        <f t="shared" si="23"/>
        <v>0</v>
      </c>
      <c r="I114" s="62">
        <f t="shared" si="23"/>
        <v>0</v>
      </c>
      <c r="J114" s="62">
        <f t="shared" si="23"/>
        <v>0</v>
      </c>
      <c r="K114" s="62">
        <f t="shared" si="23"/>
        <v>0</v>
      </c>
      <c r="L114" s="62">
        <f t="shared" si="23"/>
        <v>0</v>
      </c>
      <c r="M114" s="62">
        <f t="shared" si="23"/>
        <v>0</v>
      </c>
      <c r="N114" s="64">
        <f t="shared" si="23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autoFilter xmlns:etc="http://www.wps.cn/officeDocument/2017/etCustomData" ref="A6:X114" etc:filterBottomFollowUsedRange="0">
    <extLst/>
  </autoFilter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 horizontalDpi="2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19" activePane="bottomRight" state="frozen"/>
      <selection/>
      <selection pane="topRight"/>
      <selection pane="bottomLeft"/>
      <selection pane="bottomRight" activeCell="F34" sqref="F34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立项!B4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'人员人工-研发人员工资'!J463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'人员人工-研发人员社保'!J463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'人员人工-研发人员公积金'!J463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'直接投入-领料'!C5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研发设备折旧表3!L30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'直接投入-动力'!I18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其他费用!C3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'人员人工-研发人员工资'!J464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'人员人工-研发人员社保'!J464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'人员人工-研发人员公积金'!J464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'直接投入-领料'!D5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研发设备折旧表3!L61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'直接投入-动力'!I19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其他费用!C4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'人员人工-研发人员工资'!J465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'人员人工-研发人员社保'!J465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'人员人工-研发人员公积金'!J465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'直接投入-领料'!E5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研发设备折旧表3!L92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'直接投入-动力'!I20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其他费用!C5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'人员人工-研发人员工资'!J466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'人员人工-研发人员社保'!J466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'人员人工-研发人员公积金'!J466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'直接投入-领料'!F5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研发设备折旧表3!L123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'直接投入-动力'!I21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其他费用!C6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'人员人工-研发人员工资'!J467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'人员人工-研发人员社保'!J467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'人员人工-研发人员公积金'!J467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'直接投入-领料'!G5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研发设备折旧表3!L154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'直接投入-动力'!I22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其他费用!C7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'人员人工-研发人员工资'!J468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'人员人工-研发人员社保'!J468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'人员人工-研发人员公积金'!J468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'直接投入-领料'!H5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研发设备折旧表3!L185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'直接投入-动力'!I23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其他费用!C8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'人员人工-研发人员工资'!J469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'人员人工-研发人员社保'!J469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'人员人工-研发人员公积金'!J469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'直接投入-领料'!I5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研发设备折旧表3!L216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'直接投入-动力'!I25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其他费用!C9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'人员人工-研发人员工资'!J470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'人员人工-研发人员社保'!J470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'人员人工-研发人员公积金'!J470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'直接投入-领料'!J5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研发设备折旧表3!L247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'直接投入-动力'!I25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其他费用!C10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'人员人工-研发人员工资'!J471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'人员人工-研发人员社保'!J471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'人员人工-研发人员公积金'!J471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'直接投入-领料'!K5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研发设备折旧表3!L278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'直接投入-动力'!I26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其他费用!C11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'人员人工-研发人员工资'!J472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'人员人工-研发人员社保'!J472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'人员人工-研发人员公积金'!J472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'直接投入-领料'!L5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研发设备折旧表3!L309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'直接投入-动力'!I27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其他费用!C12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'人员人工-研发人员工资'!J473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'人员人工-研发人员社保'!J473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'人员人工-研发人员公积金'!J473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'直接投入-领料'!M5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研发设备折旧表3!L340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'直接投入-动力'!I28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其他费用!C13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'人员人工-研发人员工资'!J474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'人员人工-研发人员社保'!J474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'人员人工-研发人员公积金'!J474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'直接投入-领料'!N5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研发设备折旧表3!L371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'直接投入-动力'!I29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其他费用!C14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70" activePane="bottomRight" state="frozen"/>
      <selection/>
      <selection pane="topRight"/>
      <selection pane="bottomLeft"/>
      <selection pane="bottomRight" activeCell="K75" sqref="K75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立项!B5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'人员人工-研发人员工资'!L463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'人员人工-研发人员社保'!L463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'人员人工-研发人员公积金'!L463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'直接投入-领料'!C6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研发设备折旧表3!N30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'直接投入-动力'!J18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其他费用!D3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'人员人工-研发人员工资'!L464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'人员人工-研发人员社保'!L464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'人员人工-研发人员公积金'!L464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'直接投入-领料'!D6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研发设备折旧表3!N61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'直接投入-动力'!J19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其他费用!D4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'人员人工-研发人员工资'!L465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'人员人工-研发人员社保'!L465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'人员人工-研发人员公积金'!L465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'直接投入-领料'!E6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研发设备折旧表3!N92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'直接投入-动力'!J20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其他费用!D5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'人员人工-研发人员工资'!L466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'人员人工-研发人员社保'!L466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'人员人工-研发人员公积金'!L466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'直接投入-领料'!F6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研发设备折旧表3!N123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'直接投入-动力'!J21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其他费用!D6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'人员人工-研发人员工资'!L467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'人员人工-研发人员社保'!L467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'人员人工-研发人员公积金'!L467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'直接投入-领料'!G6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研发设备折旧表3!N154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'直接投入-动力'!J22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其他费用!D7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'人员人工-研发人员工资'!L468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'人员人工-研发人员社保'!L468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'人员人工-研发人员公积金'!L468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'直接投入-领料'!H6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研发设备折旧表3!N185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'直接投入-动力'!J23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其他费用!D8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'人员人工-研发人员工资'!L469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'人员人工-研发人员社保'!L469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'人员人工-研发人员公积金'!L469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'直接投入-领料'!I6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研发设备折旧表3!N216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'直接投入-动力'!J24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其他费用!D9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'人员人工-研发人员工资'!L470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'人员人工-研发人员社保'!L470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'人员人工-研发人员公积金'!L470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'直接投入-领料'!J6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研发设备折旧表3!N247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'直接投入-动力'!J25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其他费用!D10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'人员人工-研发人员工资'!L471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'人员人工-研发人员社保'!L471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'人员人工-研发人员公积金'!L471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'直接投入-领料'!K6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研发设备折旧表3!N278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'直接投入-动力'!J26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其他费用!D11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'人员人工-研发人员工资'!L472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'人员人工-研发人员社保'!L472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'人员人工-研发人员公积金'!L472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'直接投入-领料'!L6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研发设备折旧表3!N309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'直接投入-动力'!J27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其他费用!D12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'人员人工-研发人员工资'!L473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'人员人工-研发人员社保'!L473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'人员人工-研发人员公积金'!L473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'直接投入-领料'!M6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研发设备折旧表3!N340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'直接投入-动力'!J28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其他费用!D13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'人员人工-研发人员工资'!L474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'人员人工-研发人员社保'!L474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'人员人工-研发人员公积金'!L474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'直接投入-领料'!N6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研发设备折旧表3!N371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'直接投入-动力'!J29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其他费用!D14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 horizontalDpi="2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58" activePane="bottomRight" state="frozen"/>
      <selection/>
      <selection pane="topRight"/>
      <selection pane="bottomLeft"/>
      <selection pane="bottomRight" activeCell="K65" sqref="K65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立项!B6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'人员人工-研发人员工资'!N463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'人员人工-研发人员社保'!N463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'人员人工-研发人员公积金'!N463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'直接投入-领料'!C7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研发设备折旧表3!P30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'直接投入-动力'!K18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其他费用!E3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'人员人工-研发人员工资'!N464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'人员人工-研发人员社保'!N464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'人员人工-研发人员公积金'!N464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'直接投入-领料'!D7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研发设备折旧表3!P61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'直接投入-动力'!K19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其他费用!E4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'人员人工-研发人员工资'!N465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'人员人工-研发人员社保'!N465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'人员人工-研发人员公积金'!N465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'直接投入-领料'!E7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研发设备折旧表3!P92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'直接投入-动力'!K20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其他费用!E5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'人员人工-研发人员工资'!N466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'人员人工-研发人员社保'!N466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'人员人工-研发人员公积金'!N466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'直接投入-领料'!F7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研发设备折旧表3!P123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'直接投入-动力'!K21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其他费用!E6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'人员人工-研发人员工资'!N467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'人员人工-研发人员社保'!N467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'人员人工-研发人员公积金'!N467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'直接投入-领料'!G7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研发设备折旧表3!P154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'直接投入-动力'!K22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其他费用!E7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'人员人工-研发人员工资'!N468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'人员人工-研发人员社保'!N468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'人员人工-研发人员公积金'!N468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'直接投入-领料'!H7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研发设备折旧表3!P185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'直接投入-动力'!K23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其他费用!E8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'人员人工-研发人员工资'!N469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'人员人工-研发人员社保'!N469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'人员人工-研发人员公积金'!N469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'直接投入-领料'!I7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研发设备折旧表3!P216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'直接投入-动力'!K24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其他费用!E9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'人员人工-研发人员工资'!N470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'人员人工-研发人员社保'!N470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'人员人工-研发人员公积金'!N470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'直接投入-领料'!J7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研发设备折旧表3!P247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'直接投入-动力'!K25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其他费用!E10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'人员人工-研发人员工资'!N471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'人员人工-研发人员社保'!N471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'人员人工-研发人员公积金'!N471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'直接投入-领料'!K7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研发设备折旧表3!P278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'直接投入-动力'!K26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其他费用!E11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'人员人工-研发人员工资'!N472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'人员人工-研发人员社保'!N472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'人员人工-研发人员公积金'!N472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'直接投入-领料'!L7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研发设备折旧表3!P309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'直接投入-动力'!K27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其他费用!E12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'人员人工-研发人员工资'!N473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'人员人工-研发人员社保'!N473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'人员人工-研发人员公积金'!N473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'直接投入-领料'!M7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研发设备折旧表3!P340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'直接投入-动力'!K28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其他费用!E13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'人员人工-研发人员工资'!N474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'人员人工-研发人员社保'!N474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'人员人工-研发人员公积金'!N474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'直接投入-领料'!N7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研发设备折旧表3!P371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'直接投入-动力'!K29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其他费用!E14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46" activePane="bottomRight" state="frozen"/>
      <selection/>
      <selection pane="topRight"/>
      <selection pane="bottomLeft"/>
      <selection pane="bottomRight" activeCell="K49" sqref="K49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立项!B7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ht="10.5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'人员人工-研发人员工资'!P463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'人员人工-研发人员社保'!P463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'人员人工-研发人员公积金'!P463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'直接投入-领料'!C8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研发设备折旧表3!R30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'直接投入-动力'!L18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其他费用!F3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'人员人工-研发人员工资'!P464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'人员人工-研发人员社保'!P464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'人员人工-研发人员公积金'!P464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'直接投入-领料'!D8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研发设备折旧表3!R61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'直接投入-动力'!L19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其他费用!F4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'人员人工-研发人员工资'!P465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'人员人工-研发人员社保'!P465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'人员人工-研发人员公积金'!P465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'直接投入-领料'!E8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研发设备折旧表3!R92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'直接投入-动力'!L20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其他费用!F5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'人员人工-研发人员工资'!P466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'人员人工-研发人员社保'!P466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'人员人工-研发人员公积金'!P466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'直接投入-领料'!F8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研发设备折旧表3!R123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'直接投入-动力'!L21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其他费用!F6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'人员人工-研发人员工资'!P467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'人员人工-研发人员社保'!P467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'人员人工-研发人员公积金'!P467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'直接投入-领料'!G8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研发设备折旧表3!R154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'直接投入-动力'!L24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其他费用!F7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'人员人工-研发人员工资'!P468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'人员人工-研发人员社保'!P468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'人员人工-研发人员公积金'!P468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'直接投入-领料'!H8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研发设备折旧表3!R185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'直接投入-动力'!L23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其他费用!F8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'人员人工-研发人员工资'!P469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'人员人工-研发人员社保'!P469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'人员人工-研发人员公积金'!P469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'直接投入-领料'!I8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研发设备折旧表3!R216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'直接投入-动力'!L25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其他费用!F9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'人员人工-研发人员工资'!P470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'人员人工-研发人员社保'!P470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'人员人工-研发人员公积金'!P470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'直接投入-领料'!J8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研发设备折旧表3!R247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'直接投入-动力'!L25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其他费用!F10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'人员人工-研发人员工资'!P471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'人员人工-研发人员社保'!P471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'人员人工-研发人员公积金'!P471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'直接投入-领料'!K8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研发设备折旧表3!R278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'直接投入-动力'!L26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其他费用!F11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'人员人工-研发人员工资'!P472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'人员人工-研发人员社保'!P472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'人员人工-研发人员公积金'!P472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'直接投入-领料'!L8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研发设备折旧表3!R309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'直接投入-动力'!L27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其他费用!F12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'人员人工-研发人员工资'!P473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'人员人工-研发人员社保'!P473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'人员人工-研发人员公积金'!P473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'直接投入-领料'!M8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研发设备折旧表3!R340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'直接投入-动力'!L28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其他费用!F13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'人员人工-研发人员工资'!P474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'人员人工-研发人员社保'!P474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'人员人工-研发人员公积金'!P474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'直接投入-领料'!N8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研发设备折旧表3!R371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'直接投入-动力'!L29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其他费用!F14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61" activePane="bottomRight" state="frozen"/>
      <selection/>
      <selection pane="topRight"/>
      <selection pane="bottomLeft"/>
      <selection pane="bottomRight" activeCell="K76" sqref="K76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立项!B8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'人员人工-研发人员工资'!R463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'人员人工-研发人员社保'!R463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'人员人工-研发人员公积金'!R463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'直接投入-领料'!C9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研发设备折旧表3!T30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'直接投入-动力'!M18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其他费用!G3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'人员人工-研发人员工资'!R464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'人员人工-研发人员社保'!R464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'人员人工-研发人员公积金'!R464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'直接投入-领料'!D9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研发设备折旧表3!T61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'直接投入-动力'!M19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其他费用!G4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'人员人工-研发人员工资'!R465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'人员人工-研发人员社保'!R465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'人员人工-研发人员公积金'!R465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'直接投入-领料'!E9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研发设备折旧表3!T92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'直接投入-动力'!M20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其他费用!G5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'人员人工-研发人员工资'!R466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'人员人工-研发人员社保'!R466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'人员人工-研发人员公积金'!R466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'直接投入-领料'!F9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研发设备折旧表3!T123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'直接投入-动力'!M21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其他费用!G6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'人员人工-研发人员工资'!R467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'人员人工-研发人员社保'!R467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'人员人工-研发人员公积金'!R467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'直接投入-领料'!G9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研发设备折旧表3!T154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'直接投入-动力'!M22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其他费用!G7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'人员人工-研发人员工资'!R468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'人员人工-研发人员社保'!R468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'人员人工-研发人员公积金'!R468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'直接投入-领料'!H9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研发设备折旧表3!T185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'直接投入-动力'!M23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其他费用!G8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'人员人工-研发人员工资'!R469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'人员人工-研发人员社保'!R469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'人员人工-研发人员公积金'!R469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'直接投入-领料'!I9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研发设备折旧表3!T216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'直接投入-动力'!M24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其他费用!G9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'人员人工-研发人员工资'!R470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'人员人工-研发人员社保'!R470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'人员人工-研发人员公积金'!R470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'直接投入-领料'!J9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研发设备折旧表3!T247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'直接投入-动力'!M25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其他费用!G10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'人员人工-研发人员工资'!R471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'人员人工-研发人员社保'!R471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'人员人工-研发人员公积金'!R471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'直接投入-领料'!K9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研发设备折旧表3!T278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'直接投入-动力'!M26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其他费用!G11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'人员人工-研发人员工资'!R472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'人员人工-研发人员社保'!R472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'人员人工-研发人员公积金'!R472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'直接投入-领料'!L9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研发设备折旧表3!T309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'直接投入-动力'!M27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其他费用!G12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'人员人工-研发人员工资'!R473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'人员人工-研发人员社保'!R473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'人员人工-研发人员公积金'!R473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'直接投入-领料'!M9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研发设备折旧表3!T340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'直接投入-动力'!M28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其他费用!G13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'人员人工-研发人员工资'!R474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'人员人工-研发人员社保'!R474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'人员人工-研发人员公积金'!R474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'直接投入-领料'!N9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研发设备折旧表3!T371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'直接投入-动力'!M29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其他费用!G14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67" activePane="bottomRight" state="frozen"/>
      <selection/>
      <selection pane="topRight"/>
      <selection pane="bottomLeft"/>
      <selection pane="bottomRight" activeCell="K76" sqref="K76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立项!B9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'人员人工-研发人员工资'!T463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'人员人工-研发人员社保'!T463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'人员人工-研发人员公积金'!T463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'直接投入-领料'!C10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研发设备折旧表3!V30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'直接投入-动力'!N18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其他费用!H3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'人员人工-研发人员工资'!T464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'人员人工-研发人员社保'!T464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'人员人工-研发人员公积金'!T464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'直接投入-领料'!D10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研发设备折旧表3!V61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'直接投入-动力'!N19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其他费用!H4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'人员人工-研发人员工资'!T465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'人员人工-研发人员社保'!T465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'人员人工-研发人员公积金'!T465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'直接投入-领料'!E10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研发设备折旧表3!V92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'直接投入-动力'!N20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其他费用!H5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'人员人工-研发人员工资'!T466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'人员人工-研发人员社保'!T466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'人员人工-研发人员公积金'!T466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'直接投入-领料'!F10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研发设备折旧表3!V123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'直接投入-动力'!N21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其他费用!H6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'人员人工-研发人员工资'!T467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'人员人工-研发人员社保'!T467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'人员人工-研发人员公积金'!T467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'直接投入-领料'!G10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研发设备折旧表3!V154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'直接投入-动力'!N22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其他费用!H7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'人员人工-研发人员工资'!T468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'人员人工-研发人员社保'!T468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'人员人工-研发人员公积金'!T468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'直接投入-领料'!H10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研发设备折旧表3!V185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'直接投入-动力'!N23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其他费用!H8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'人员人工-研发人员工资'!T469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'人员人工-研发人员社保'!T469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'人员人工-研发人员公积金'!T469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'直接投入-领料'!I10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研发设备折旧表3!V216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'直接投入-动力'!N24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其他费用!H9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'人员人工-研发人员工资'!T470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'人员人工-研发人员社保'!T470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'人员人工-研发人员公积金'!T470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'直接投入-领料'!J10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研发设备折旧表3!V247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'直接投入-动力'!N25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其他费用!H10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'人员人工-研发人员工资'!T471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'人员人工-研发人员社保'!T471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'人员人工-研发人员公积金'!T471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'直接投入-领料'!K10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研发设备折旧表3!V278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'直接投入-动力'!N26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其他费用!H11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'人员人工-研发人员工资'!T472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'人员人工-研发人员社保'!T472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'人员人工-研发人员公积金'!T472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'直接投入-领料'!L10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研发设备折旧表3!V309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'直接投入-动力'!N27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其他费用!H12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'人员人工-研发人员工资'!T473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'人员人工-研发人员社保'!T473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'人员人工-研发人员公积金'!T473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'直接投入-领料'!M10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研发设备折旧表3!V340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'直接投入-动力'!N28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其他费用!H13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'人员人工-研发人员工资'!T474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'人员人工-研发人员社保'!T474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'人员人工-研发人员公积金'!T474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'直接投入-领料'!N10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研发设备折旧表3!V371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'直接投入-动力'!N29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其他费用!H14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58" activePane="bottomRight" state="frozen"/>
      <selection/>
      <selection pane="topRight"/>
      <selection pane="bottomLeft"/>
      <selection pane="bottomRight" activeCell="K66" sqref="K66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立项!B10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'人员人工-研发人员工资'!V463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'人员人工-研发人员社保'!V463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'人员人工-研发人员公积金'!V463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'直接投入-领料'!C11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研发设备折旧表3!X30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'直接投入-动力'!O18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其他费用!I3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'人员人工-研发人员工资'!V464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'人员人工-研发人员社保'!V464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'人员人工-研发人员公积金'!V464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'直接投入-领料'!D11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研发设备折旧表3!X61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'直接投入-动力'!O19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其他费用!I4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'人员人工-研发人员工资'!V465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'人员人工-研发人员社保'!V465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'人员人工-研发人员公积金'!V465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'直接投入-领料'!E11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研发设备折旧表3!X92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'直接投入-动力'!O20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其他费用!I5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'人员人工-研发人员工资'!V466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'人员人工-研发人员社保'!V466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'人员人工-研发人员公积金'!V466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'直接投入-领料'!F11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研发设备折旧表3!X123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'直接投入-动力'!O21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其他费用!I6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'人员人工-研发人员工资'!V467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'人员人工-研发人员社保'!V467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'人员人工-研发人员公积金'!V467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'直接投入-领料'!G11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研发设备折旧表3!X154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'直接投入-动力'!O22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其他费用!I7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'人员人工-研发人员工资'!V468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'人员人工-研发人员社保'!V468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'人员人工-研发人员公积金'!V468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'直接投入-领料'!H11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研发设备折旧表3!X185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'直接投入-动力'!O23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其他费用!I8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'人员人工-研发人员工资'!V469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'人员人工-研发人员社保'!V469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'人员人工-研发人员公积金'!V469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'直接投入-领料'!I11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研发设备折旧表3!X216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'直接投入-动力'!O24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其他费用!I9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'人员人工-研发人员工资'!V470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'人员人工-研发人员社保'!V470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'人员人工-研发人员公积金'!V470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'直接投入-领料'!J11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研发设备折旧表3!X247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'直接投入-动力'!O25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其他费用!I10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'人员人工-研发人员工资'!V471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'人员人工-研发人员社保'!V471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'人员人工-研发人员公积金'!V471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'直接投入-领料'!K11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研发设备折旧表3!X278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'直接投入-动力'!O26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其他费用!I11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'人员人工-研发人员工资'!V472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'人员人工-研发人员社保'!V472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'人员人工-研发人员公积金'!V472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'直接投入-领料'!L11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研发设备折旧表3!X309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'直接投入-动力'!O27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其他费用!I12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'人员人工-研发人员工资'!V473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'人员人工-研发人员社保'!V473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'人员人工-研发人员公积金'!V473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'直接投入-领料'!M11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研发设备折旧表3!X340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'直接投入-动力'!O28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其他费用!I13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'人员人工-研发人员工资'!V474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'人员人工-研发人员社保'!V474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'人员人工-研发人员公积金'!V474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'直接投入-领料'!N11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研发设备折旧表3!X371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'直接投入-动力'!O29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其他费用!I14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 horizontalDpi="2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52" activePane="bottomRight" state="frozen"/>
      <selection/>
      <selection pane="topRight"/>
      <selection pane="bottomLeft"/>
      <selection pane="bottomRight" activeCell="K60" sqref="K60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立项!B11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'人员人工-研发人员工资'!X463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'人员人工-研发人员社保'!X463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'人员人工-研发人员公积金'!X463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'直接投入-领料'!C12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研发设备折旧表3!Z30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'直接投入-动力'!P18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其他费用!J3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'人员人工-研发人员工资'!X464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'人员人工-研发人员社保'!X464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'人员人工-研发人员公积金'!X464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'直接投入-领料'!D12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研发设备折旧表3!Z61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'直接投入-动力'!P19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其他费用!J4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'人员人工-研发人员工资'!X465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'人员人工-研发人员社保'!X465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'人员人工-研发人员公积金'!X465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'直接投入-领料'!E12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研发设备折旧表3!Z92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'直接投入-动力'!P20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其他费用!J5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'人员人工-研发人员工资'!X466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'人员人工-研发人员社保'!X466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'人员人工-研发人员公积金'!X466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'直接投入-领料'!F12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研发设备折旧表3!Z123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'直接投入-动力'!P21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其他费用!J6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'人员人工-研发人员工资'!X467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'人员人工-研发人员社保'!X467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'人员人工-研发人员公积金'!X467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'直接投入-领料'!G12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研发设备折旧表3!Z154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'直接投入-动力'!P22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其他费用!J7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'人员人工-研发人员工资'!X468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'人员人工-研发人员社保'!X468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'人员人工-研发人员公积金'!X468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'直接投入-领料'!H12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研发设备折旧表3!Z185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'直接投入-动力'!P23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其他费用!J8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'人员人工-研发人员工资'!X469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'人员人工-研发人员社保'!X469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'人员人工-研发人员公积金'!X469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'直接投入-领料'!I12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研发设备折旧表3!Z216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'直接投入-动力'!P24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其他费用!J9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'人员人工-研发人员工资'!X470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'人员人工-研发人员社保'!X470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'人员人工-研发人员公积金'!X470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'直接投入-领料'!J12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研发设备折旧表3!Z247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'直接投入-动力'!P25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其他费用!J10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'人员人工-研发人员工资'!X471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'人员人工-研发人员社保'!X471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'人员人工-研发人员公积金'!X471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'直接投入-领料'!K12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研发设备折旧表3!Z278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'直接投入-动力'!P26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其他费用!J11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'人员人工-研发人员工资'!X472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'人员人工-研发人员社保'!X472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'人员人工-研发人员公积金'!X472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'直接投入-领料'!L12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研发设备折旧表3!Z309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'直接投入-动力'!P27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其他费用!J12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'人员人工-研发人员工资'!X473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'人员人工-研发人员社保'!X473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'人员人工-研发人员公积金'!X473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'直接投入-领料'!M12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研发设备折旧表3!Z340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'直接投入-动力'!P28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其他费用!J13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'人员人工-研发人员工资'!X474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'人员人工-研发人员社保'!X474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'人员人工-研发人员公积金'!X474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'直接投入-领料'!N12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研发设备折旧表3!Z371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'直接投入-动力'!P29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其他费用!J14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22">F113+F105</f>
        <v>0</v>
      </c>
      <c r="G114" s="61">
        <f t="shared" si="22"/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 horizontalDpi="2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7"/>
  </sheetPr>
  <dimension ref="A1:X120"/>
  <sheetViews>
    <sheetView showZeros="0" view="pageBreakPreview" zoomScaleNormal="100" workbookViewId="0">
      <pane xSplit="14" ySplit="6" topLeftCell="O97" activePane="bottomRight" state="frozen"/>
      <selection/>
      <selection pane="topRight"/>
      <selection pane="bottomLeft"/>
      <selection pane="bottomRight" activeCell="H118" sqref="H118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customHeight="1" spans="1:24">
      <c r="A1" s="1"/>
      <c r="E1" s="1"/>
      <c r="F1" s="9" t="s">
        <v>346</v>
      </c>
      <c r="G1" s="9"/>
      <c r="H1" s="9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</row>
    <row r="2" customHeight="1" spans="1:24">
      <c r="A2" s="1"/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  <c r="O2" s="1"/>
      <c r="P2" s="1"/>
      <c r="Q2" s="1"/>
      <c r="R2" s="1"/>
      <c r="S2" s="1"/>
      <c r="T2" s="1"/>
      <c r="U2" s="1"/>
      <c r="V2" s="1"/>
      <c r="W2" s="1"/>
      <c r="X2" s="1"/>
    </row>
    <row r="3" customHeight="1" spans="1:24">
      <c r="A3" s="1"/>
      <c r="B3" s="11"/>
      <c r="C3" s="11"/>
      <c r="D3" s="15" t="s">
        <v>70</v>
      </c>
      <c r="E3" s="92">
        <f>立项!B12</f>
        <v>0</v>
      </c>
      <c r="F3" s="16"/>
      <c r="G3" s="16"/>
      <c r="H3" s="10"/>
      <c r="I3" s="10"/>
      <c r="J3" s="10"/>
      <c r="K3" s="10"/>
      <c r="L3" s="10"/>
      <c r="M3" s="10"/>
      <c r="N3" s="17"/>
      <c r="O3" s="1"/>
      <c r="P3" s="1"/>
      <c r="Q3" s="1"/>
      <c r="R3" s="1"/>
      <c r="S3" s="1"/>
      <c r="T3" s="1"/>
      <c r="U3" s="1"/>
      <c r="V3" s="1"/>
      <c r="W3" s="1"/>
      <c r="X3" s="1"/>
    </row>
    <row r="4" customHeight="1" spans="1:24">
      <c r="A4" s="1"/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</row>
    <row r="5" customHeight="1" spans="1:24">
      <c r="A5" s="1"/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  <c r="O5" s="1"/>
      <c r="P5" s="1"/>
      <c r="Q5" s="1"/>
      <c r="R5" s="1"/>
      <c r="S5" s="1"/>
      <c r="T5" s="1"/>
      <c r="U5" s="1"/>
      <c r="V5" s="1"/>
      <c r="W5" s="1"/>
      <c r="X5" s="1"/>
    </row>
    <row r="6" customHeight="1" spans="1:24">
      <c r="A6" s="1"/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="2" customFormat="1" customHeight="1" spans="1:24">
      <c r="B7" s="36">
        <v>1</v>
      </c>
      <c r="C7" s="37">
        <v>31</v>
      </c>
      <c r="D7" s="93" t="s">
        <v>360</v>
      </c>
      <c r="E7" s="39" t="s">
        <v>361</v>
      </c>
      <c r="F7" s="40">
        <f>G7</f>
        <v>0</v>
      </c>
      <c r="G7" s="40">
        <f>'人员人工-研发人员工资'!Z463</f>
        <v>0</v>
      </c>
      <c r="H7" s="78"/>
      <c r="I7" s="78"/>
      <c r="J7" s="78"/>
      <c r="K7" s="78"/>
      <c r="L7" s="78"/>
      <c r="M7" s="78"/>
      <c r="N7" s="94"/>
    </row>
    <row r="8" s="2" customFormat="1" customHeight="1" spans="1:24">
      <c r="B8" s="43">
        <v>1</v>
      </c>
      <c r="C8" s="44">
        <v>31</v>
      </c>
      <c r="D8" s="95" t="s">
        <v>360</v>
      </c>
      <c r="E8" s="46" t="s">
        <v>362</v>
      </c>
      <c r="F8" s="47">
        <f>G8</f>
        <v>0</v>
      </c>
      <c r="G8" s="47">
        <f>'人员人工-研发人员社保'!Z463</f>
        <v>0</v>
      </c>
      <c r="H8" s="41"/>
      <c r="I8" s="41"/>
      <c r="J8" s="41"/>
      <c r="K8" s="41"/>
      <c r="L8" s="41"/>
      <c r="M8" s="41"/>
      <c r="N8" s="42"/>
    </row>
    <row r="9" s="2" customFormat="1" customHeight="1" spans="1:24">
      <c r="B9" s="43">
        <v>1</v>
      </c>
      <c r="C9" s="44">
        <v>31</v>
      </c>
      <c r="D9" s="95" t="s">
        <v>360</v>
      </c>
      <c r="E9" s="46" t="s">
        <v>363</v>
      </c>
      <c r="F9" s="47">
        <f>G9</f>
        <v>0</v>
      </c>
      <c r="G9" s="47">
        <f>'人员人工-研发人员公积金'!Z463</f>
        <v>0</v>
      </c>
      <c r="H9" s="41"/>
      <c r="I9" s="41"/>
      <c r="J9" s="41"/>
      <c r="K9" s="41"/>
      <c r="L9" s="41"/>
      <c r="M9" s="41"/>
      <c r="N9" s="42"/>
    </row>
    <row r="10" s="2" customFormat="1" customHeight="1" spans="1:24">
      <c r="B10" s="43">
        <v>1</v>
      </c>
      <c r="C10" s="44">
        <v>31</v>
      </c>
      <c r="D10" s="95" t="s">
        <v>360</v>
      </c>
      <c r="E10" s="49" t="s">
        <v>364</v>
      </c>
      <c r="F10" s="47">
        <f>H10</f>
        <v>0</v>
      </c>
      <c r="G10" s="47"/>
      <c r="H10" s="54">
        <f>'直接投入-领料'!C13</f>
        <v>0</v>
      </c>
      <c r="I10" s="41"/>
      <c r="J10" s="41"/>
      <c r="K10" s="41"/>
      <c r="L10" s="41"/>
      <c r="M10" s="41"/>
      <c r="N10" s="42"/>
      <c r="O10" s="50"/>
    </row>
    <row r="11" s="2" customFormat="1" customHeight="1" spans="1:24">
      <c r="B11" s="43">
        <v>1</v>
      </c>
      <c r="C11" s="44">
        <v>31</v>
      </c>
      <c r="D11" s="95" t="s">
        <v>360</v>
      </c>
      <c r="E11" s="49" t="s">
        <v>365</v>
      </c>
      <c r="F11" s="48">
        <f>I11</f>
        <v>0</v>
      </c>
      <c r="G11" s="48"/>
      <c r="H11" s="54"/>
      <c r="I11" s="54">
        <f>研发设备折旧表3!AB30</f>
        <v>0</v>
      </c>
      <c r="J11" s="54"/>
      <c r="K11" s="54"/>
      <c r="L11" s="54"/>
      <c r="M11" s="54"/>
      <c r="N11" s="55"/>
    </row>
    <row r="12" s="2" customFormat="1" customHeight="1" spans="1:24">
      <c r="B12" s="43">
        <v>1</v>
      </c>
      <c r="C12" s="44">
        <v>31</v>
      </c>
      <c r="D12" s="95" t="s">
        <v>360</v>
      </c>
      <c r="E12" s="51" t="s">
        <v>356</v>
      </c>
      <c r="F12" s="48">
        <f>K12</f>
        <v>0</v>
      </c>
      <c r="G12" s="48"/>
      <c r="H12" s="54"/>
      <c r="I12" s="54"/>
      <c r="J12" s="54"/>
      <c r="K12" s="54">
        <f>'直接投入-动力'!Q18</f>
        <v>0</v>
      </c>
      <c r="L12" s="54"/>
      <c r="M12" s="54"/>
      <c r="N12" s="55"/>
    </row>
    <row r="13" s="2" customFormat="1" customHeight="1" spans="1:24">
      <c r="B13" s="43">
        <v>1</v>
      </c>
      <c r="C13" s="44">
        <v>31</v>
      </c>
      <c r="D13" s="95" t="s">
        <v>360</v>
      </c>
      <c r="E13" s="49" t="s">
        <v>359</v>
      </c>
      <c r="F13" s="48">
        <f>N13</f>
        <v>0</v>
      </c>
      <c r="G13" s="48"/>
      <c r="H13" s="54"/>
      <c r="I13" s="54"/>
      <c r="J13" s="54"/>
      <c r="K13" s="54"/>
      <c r="L13" s="54"/>
      <c r="M13" s="54"/>
      <c r="N13" s="55">
        <f>其他费用!K3</f>
        <v>0</v>
      </c>
    </row>
    <row r="14" s="2" customFormat="1" customHeight="1" spans="1:24">
      <c r="B14" s="43"/>
      <c r="C14" s="44"/>
      <c r="D14" s="52"/>
      <c r="E14" s="53" t="s">
        <v>366</v>
      </c>
      <c r="F14" s="48">
        <f>SUM(F7:F13)</f>
        <v>0</v>
      </c>
      <c r="G14" s="48">
        <f>SUM(G7:G13)</f>
        <v>0</v>
      </c>
      <c r="H14" s="54">
        <f t="shared" ref="H14:N14" si="0">SUM(H7:H13)</f>
        <v>0</v>
      </c>
      <c r="I14" s="54">
        <f t="shared" si="0"/>
        <v>0</v>
      </c>
      <c r="J14" s="54">
        <f t="shared" si="0"/>
        <v>0</v>
      </c>
      <c r="K14" s="54">
        <f t="shared" si="0"/>
        <v>0</v>
      </c>
      <c r="L14" s="54">
        <f t="shared" si="0"/>
        <v>0</v>
      </c>
      <c r="M14" s="54">
        <f t="shared" si="0"/>
        <v>0</v>
      </c>
      <c r="N14" s="55">
        <f t="shared" si="0"/>
        <v>0</v>
      </c>
    </row>
    <row r="15" s="2" customFormat="1" customHeight="1" spans="1:24">
      <c r="B15" s="56"/>
      <c r="C15" s="57"/>
      <c r="D15" s="58"/>
      <c r="E15" s="59" t="s">
        <v>367</v>
      </c>
      <c r="F15" s="60">
        <f>F14</f>
        <v>0</v>
      </c>
      <c r="G15" s="48">
        <f>G14</f>
        <v>0</v>
      </c>
      <c r="H15" s="85">
        <f>H14</f>
        <v>0</v>
      </c>
      <c r="I15" s="85">
        <f t="shared" ref="I15:N15" si="1">I14</f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55">
        <f t="shared" si="1"/>
        <v>0</v>
      </c>
    </row>
    <row r="16" s="2" customFormat="1" customHeight="1" spans="1:24">
      <c r="B16" s="36">
        <v>2</v>
      </c>
      <c r="C16" s="37">
        <v>28</v>
      </c>
      <c r="D16" s="93" t="s">
        <v>360</v>
      </c>
      <c r="E16" s="39" t="s">
        <v>361</v>
      </c>
      <c r="F16" s="40">
        <f>G16</f>
        <v>0</v>
      </c>
      <c r="G16" s="40">
        <f>'人员人工-研发人员工资'!Z464</f>
        <v>0</v>
      </c>
      <c r="H16" s="78"/>
      <c r="I16" s="78"/>
      <c r="J16" s="78"/>
      <c r="K16" s="78"/>
      <c r="L16" s="78"/>
      <c r="M16" s="78"/>
      <c r="N16" s="94"/>
    </row>
    <row r="17" s="2" customFormat="1" customHeight="1" spans="2:14">
      <c r="B17" s="43">
        <v>2</v>
      </c>
      <c r="C17" s="44">
        <v>28</v>
      </c>
      <c r="D17" s="95" t="s">
        <v>360</v>
      </c>
      <c r="E17" s="46" t="s">
        <v>362</v>
      </c>
      <c r="F17" s="47">
        <f>G17</f>
        <v>0</v>
      </c>
      <c r="G17" s="47">
        <f>'人员人工-研发人员社保'!Z464</f>
        <v>0</v>
      </c>
      <c r="H17" s="41"/>
      <c r="I17" s="41"/>
      <c r="J17" s="41"/>
      <c r="K17" s="41"/>
      <c r="L17" s="41"/>
      <c r="M17" s="41"/>
      <c r="N17" s="42"/>
    </row>
    <row r="18" s="2" customFormat="1" customHeight="1" spans="2:14">
      <c r="B18" s="43">
        <v>2</v>
      </c>
      <c r="C18" s="44">
        <v>28</v>
      </c>
      <c r="D18" s="95" t="s">
        <v>360</v>
      </c>
      <c r="E18" s="46" t="s">
        <v>363</v>
      </c>
      <c r="F18" s="47">
        <f>G18</f>
        <v>0</v>
      </c>
      <c r="G18" s="47">
        <f>'人员人工-研发人员公积金'!Z464</f>
        <v>0</v>
      </c>
      <c r="H18" s="41"/>
      <c r="I18" s="41"/>
      <c r="J18" s="41"/>
      <c r="K18" s="41"/>
      <c r="L18" s="41"/>
      <c r="M18" s="41"/>
      <c r="N18" s="42"/>
    </row>
    <row r="19" s="2" customFormat="1" customHeight="1" spans="2:14">
      <c r="B19" s="43">
        <v>2</v>
      </c>
      <c r="C19" s="44">
        <v>28</v>
      </c>
      <c r="D19" s="95" t="s">
        <v>360</v>
      </c>
      <c r="E19" s="49" t="s">
        <v>364</v>
      </c>
      <c r="F19" s="47">
        <f>H19</f>
        <v>0</v>
      </c>
      <c r="G19" s="47"/>
      <c r="H19" s="54">
        <f>'直接投入-领料'!D13</f>
        <v>0</v>
      </c>
      <c r="I19" s="41"/>
      <c r="J19" s="41"/>
      <c r="K19" s="41"/>
      <c r="L19" s="41"/>
      <c r="M19" s="41"/>
      <c r="N19" s="42"/>
    </row>
    <row r="20" s="2" customFormat="1" customHeight="1" spans="2:14">
      <c r="B20" s="43">
        <v>2</v>
      </c>
      <c r="C20" s="44">
        <v>28</v>
      </c>
      <c r="D20" s="95" t="s">
        <v>360</v>
      </c>
      <c r="E20" s="49" t="s">
        <v>365</v>
      </c>
      <c r="F20" s="48">
        <f>I20</f>
        <v>0</v>
      </c>
      <c r="G20" s="48"/>
      <c r="H20" s="54"/>
      <c r="I20" s="41">
        <f>研发设备折旧表3!AB61</f>
        <v>0</v>
      </c>
      <c r="J20" s="54"/>
      <c r="K20" s="54"/>
      <c r="L20" s="54"/>
      <c r="M20" s="54"/>
      <c r="N20" s="55"/>
    </row>
    <row r="21" s="2" customFormat="1" customHeight="1" spans="2:14">
      <c r="B21" s="43">
        <v>2</v>
      </c>
      <c r="C21" s="44">
        <v>28</v>
      </c>
      <c r="D21" s="95" t="s">
        <v>360</v>
      </c>
      <c r="E21" s="51" t="s">
        <v>356</v>
      </c>
      <c r="F21" s="48">
        <f>K21</f>
        <v>0</v>
      </c>
      <c r="G21" s="48"/>
      <c r="H21" s="54"/>
      <c r="I21" s="54"/>
      <c r="J21" s="54"/>
      <c r="K21" s="54">
        <f>'直接投入-动力'!Q19</f>
        <v>0</v>
      </c>
      <c r="L21" s="54"/>
      <c r="M21" s="54"/>
      <c r="N21" s="55"/>
    </row>
    <row r="22" s="2" customFormat="1" customHeight="1" spans="2:14">
      <c r="B22" s="43">
        <v>2</v>
      </c>
      <c r="C22" s="44">
        <v>28</v>
      </c>
      <c r="D22" s="95" t="s">
        <v>360</v>
      </c>
      <c r="E22" s="49" t="s">
        <v>359</v>
      </c>
      <c r="F22" s="48">
        <f>N22</f>
        <v>0</v>
      </c>
      <c r="G22" s="48"/>
      <c r="H22" s="54"/>
      <c r="I22" s="54"/>
      <c r="J22" s="54"/>
      <c r="K22" s="54"/>
      <c r="L22" s="54"/>
      <c r="M22" s="54"/>
      <c r="N22" s="55">
        <f>其他费用!K4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>SUM(F16:F22)</f>
        <v>0</v>
      </c>
      <c r="G23" s="48">
        <f>SUM(G16:G22)</f>
        <v>0</v>
      </c>
      <c r="H23" s="54">
        <f>SUM(H16:H22)</f>
        <v>0</v>
      </c>
      <c r="I23" s="54">
        <f t="shared" ref="I23:N23" si="2">SUM(I16:I22)</f>
        <v>0</v>
      </c>
      <c r="J23" s="54">
        <f t="shared" si="2"/>
        <v>0</v>
      </c>
      <c r="K23" s="54">
        <f t="shared" si="2"/>
        <v>0</v>
      </c>
      <c r="L23" s="54">
        <f t="shared" si="2"/>
        <v>0</v>
      </c>
      <c r="M23" s="54">
        <f t="shared" si="2"/>
        <v>0</v>
      </c>
      <c r="N23" s="55">
        <f t="shared" si="2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3">F15+F23</f>
        <v>0</v>
      </c>
      <c r="G24" s="60">
        <f t="shared" si="3"/>
        <v>0</v>
      </c>
      <c r="H24" s="85">
        <f t="shared" si="3"/>
        <v>0</v>
      </c>
      <c r="I24" s="85">
        <f t="shared" si="3"/>
        <v>0</v>
      </c>
      <c r="J24" s="85">
        <f t="shared" si="3"/>
        <v>0</v>
      </c>
      <c r="K24" s="85">
        <f t="shared" si="3"/>
        <v>0</v>
      </c>
      <c r="L24" s="85">
        <f t="shared" si="3"/>
        <v>0</v>
      </c>
      <c r="M24" s="85">
        <f t="shared" si="3"/>
        <v>0</v>
      </c>
      <c r="N24" s="55">
        <f t="shared" si="3"/>
        <v>0</v>
      </c>
    </row>
    <row r="25" s="2" customFormat="1" customHeight="1" spans="2:14">
      <c r="B25" s="36">
        <v>3</v>
      </c>
      <c r="C25" s="37">
        <v>31</v>
      </c>
      <c r="D25" s="93" t="s">
        <v>360</v>
      </c>
      <c r="E25" s="39" t="s">
        <v>361</v>
      </c>
      <c r="F25" s="40">
        <f>G25</f>
        <v>0</v>
      </c>
      <c r="G25" s="40">
        <f>'人员人工-研发人员工资'!Z465</f>
        <v>0</v>
      </c>
      <c r="H25" s="78"/>
      <c r="I25" s="78"/>
      <c r="J25" s="78"/>
      <c r="K25" s="78"/>
      <c r="L25" s="78"/>
      <c r="M25" s="78"/>
      <c r="N25" s="94"/>
    </row>
    <row r="26" s="2" customFormat="1" customHeight="1" spans="2:14">
      <c r="B26" s="43">
        <v>3</v>
      </c>
      <c r="C26" s="44">
        <v>31</v>
      </c>
      <c r="D26" s="95" t="s">
        <v>360</v>
      </c>
      <c r="E26" s="46" t="s">
        <v>362</v>
      </c>
      <c r="F26" s="47">
        <f>G26</f>
        <v>0</v>
      </c>
      <c r="G26" s="47">
        <f>'人员人工-研发人员社保'!Z465</f>
        <v>0</v>
      </c>
      <c r="H26" s="41"/>
      <c r="I26" s="41"/>
      <c r="J26" s="41"/>
      <c r="K26" s="41"/>
      <c r="L26" s="41"/>
      <c r="M26" s="41"/>
      <c r="N26" s="42"/>
    </row>
    <row r="27" s="2" customFormat="1" customHeight="1" spans="2:14">
      <c r="B27" s="43">
        <v>3</v>
      </c>
      <c r="C27" s="44">
        <v>31</v>
      </c>
      <c r="D27" s="95" t="s">
        <v>360</v>
      </c>
      <c r="E27" s="46" t="s">
        <v>363</v>
      </c>
      <c r="F27" s="47">
        <f>G27</f>
        <v>0</v>
      </c>
      <c r="G27" s="47">
        <f>'人员人工-研发人员公积金'!Z465</f>
        <v>0</v>
      </c>
      <c r="H27" s="41"/>
      <c r="I27" s="41"/>
      <c r="J27" s="41"/>
      <c r="K27" s="41"/>
      <c r="L27" s="41"/>
      <c r="M27" s="41"/>
      <c r="N27" s="42"/>
    </row>
    <row r="28" s="2" customFormat="1" customHeight="1" spans="2:14">
      <c r="B28" s="43">
        <v>3</v>
      </c>
      <c r="C28" s="44">
        <v>31</v>
      </c>
      <c r="D28" s="95" t="s">
        <v>360</v>
      </c>
      <c r="E28" s="49" t="s">
        <v>364</v>
      </c>
      <c r="F28" s="47">
        <f>H28</f>
        <v>0</v>
      </c>
      <c r="G28" s="47"/>
      <c r="H28" s="54">
        <f>'直接投入-领料'!E13</f>
        <v>0</v>
      </c>
      <c r="I28" s="41"/>
      <c r="J28" s="41"/>
      <c r="K28" s="41"/>
      <c r="L28" s="41"/>
      <c r="M28" s="41"/>
      <c r="N28" s="42"/>
    </row>
    <row r="29" s="2" customFormat="1" customHeight="1" spans="2:14">
      <c r="B29" s="43">
        <v>3</v>
      </c>
      <c r="C29" s="44">
        <v>31</v>
      </c>
      <c r="D29" s="95" t="s">
        <v>360</v>
      </c>
      <c r="E29" s="49" t="s">
        <v>365</v>
      </c>
      <c r="F29" s="48">
        <f>I29</f>
        <v>0</v>
      </c>
      <c r="G29" s="48"/>
      <c r="H29" s="54"/>
      <c r="I29" s="54">
        <f>研发设备折旧表3!AB92</f>
        <v>0</v>
      </c>
      <c r="J29" s="54"/>
      <c r="K29" s="54"/>
      <c r="L29" s="54"/>
      <c r="M29" s="54"/>
      <c r="N29" s="55"/>
    </row>
    <row r="30" s="2" customFormat="1" customHeight="1" spans="2:14">
      <c r="B30" s="43">
        <v>3</v>
      </c>
      <c r="C30" s="44">
        <v>31</v>
      </c>
      <c r="D30" s="95" t="s">
        <v>360</v>
      </c>
      <c r="E30" s="51" t="s">
        <v>356</v>
      </c>
      <c r="F30" s="48">
        <f>K30</f>
        <v>0</v>
      </c>
      <c r="G30" s="48"/>
      <c r="H30" s="54"/>
      <c r="I30" s="54"/>
      <c r="J30" s="54"/>
      <c r="K30" s="54">
        <f>'直接投入-动力'!Q20</f>
        <v>0</v>
      </c>
      <c r="L30" s="54"/>
      <c r="M30" s="54"/>
      <c r="N30" s="55"/>
    </row>
    <row r="31" s="2" customFormat="1" customHeight="1" spans="2:14">
      <c r="B31" s="43">
        <v>3</v>
      </c>
      <c r="C31" s="44">
        <v>31</v>
      </c>
      <c r="D31" s="95" t="s">
        <v>360</v>
      </c>
      <c r="E31" s="49" t="s">
        <v>359</v>
      </c>
      <c r="F31" s="48">
        <f>N31</f>
        <v>0</v>
      </c>
      <c r="G31" s="48"/>
      <c r="H31" s="54"/>
      <c r="I31" s="54"/>
      <c r="J31" s="54"/>
      <c r="K31" s="54"/>
      <c r="L31" s="54"/>
      <c r="M31" s="54"/>
      <c r="N31" s="55">
        <f>其他费用!K5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>SUM(F25:F31)</f>
        <v>0</v>
      </c>
      <c r="G32" s="48">
        <f>SUM(G25:G31)</f>
        <v>0</v>
      </c>
      <c r="H32" s="54">
        <f>SUM(H25:H31)</f>
        <v>0</v>
      </c>
      <c r="I32" s="54">
        <f t="shared" ref="I32:N32" si="4">SUM(I25:I31)</f>
        <v>0</v>
      </c>
      <c r="J32" s="54">
        <f t="shared" si="4"/>
        <v>0</v>
      </c>
      <c r="K32" s="54">
        <f t="shared" si="4"/>
        <v>0</v>
      </c>
      <c r="L32" s="54">
        <f t="shared" si="4"/>
        <v>0</v>
      </c>
      <c r="M32" s="54">
        <f t="shared" si="4"/>
        <v>0</v>
      </c>
      <c r="N32" s="55">
        <f t="shared" si="4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>F32+F24</f>
        <v>0</v>
      </c>
      <c r="G33" s="60">
        <f>G32+G24</f>
        <v>0</v>
      </c>
      <c r="H33" s="85">
        <f>H32+H24</f>
        <v>0</v>
      </c>
      <c r="I33" s="85">
        <f>I32+I24</f>
        <v>0</v>
      </c>
      <c r="J33" s="85">
        <f>J32+J25</f>
        <v>0</v>
      </c>
      <c r="K33" s="85">
        <f>K32+K24</f>
        <v>0</v>
      </c>
      <c r="L33" s="85">
        <f>L32+L25</f>
        <v>0</v>
      </c>
      <c r="M33" s="85">
        <f>M32+M25</f>
        <v>0</v>
      </c>
      <c r="N33" s="96">
        <f>N32+N24</f>
        <v>0</v>
      </c>
    </row>
    <row r="34" s="2" customFormat="1" customHeight="1" spans="2:14">
      <c r="B34" s="36">
        <v>4</v>
      </c>
      <c r="C34" s="37">
        <v>30</v>
      </c>
      <c r="D34" s="93" t="s">
        <v>360</v>
      </c>
      <c r="E34" s="39" t="s">
        <v>361</v>
      </c>
      <c r="F34" s="40">
        <f>G34</f>
        <v>0</v>
      </c>
      <c r="G34" s="40">
        <f>'人员人工-研发人员工资'!Z466</f>
        <v>0</v>
      </c>
      <c r="H34" s="78"/>
      <c r="I34" s="78"/>
      <c r="J34" s="78"/>
      <c r="K34" s="78"/>
      <c r="L34" s="78"/>
      <c r="M34" s="78"/>
      <c r="N34" s="94"/>
    </row>
    <row r="35" s="2" customFormat="1" customHeight="1" spans="2:14">
      <c r="B35" s="43">
        <v>4</v>
      </c>
      <c r="C35" s="44">
        <v>30</v>
      </c>
      <c r="D35" s="95" t="s">
        <v>360</v>
      </c>
      <c r="E35" s="46" t="s">
        <v>362</v>
      </c>
      <c r="F35" s="47">
        <f>G35</f>
        <v>0</v>
      </c>
      <c r="G35" s="47">
        <f>'人员人工-研发人员社保'!Z466</f>
        <v>0</v>
      </c>
      <c r="H35" s="41"/>
      <c r="I35" s="41"/>
      <c r="J35" s="41"/>
      <c r="K35" s="41"/>
      <c r="L35" s="41"/>
      <c r="M35" s="41"/>
      <c r="N35" s="42"/>
    </row>
    <row r="36" s="2" customFormat="1" customHeight="1" spans="2:14">
      <c r="B36" s="43">
        <v>4</v>
      </c>
      <c r="C36" s="44">
        <v>30</v>
      </c>
      <c r="D36" s="95" t="s">
        <v>360</v>
      </c>
      <c r="E36" s="46" t="s">
        <v>363</v>
      </c>
      <c r="F36" s="47">
        <f>G36</f>
        <v>0</v>
      </c>
      <c r="G36" s="47">
        <f>'人员人工-研发人员公积金'!Z466</f>
        <v>0</v>
      </c>
      <c r="H36" s="41"/>
      <c r="I36" s="41"/>
      <c r="J36" s="41"/>
      <c r="K36" s="41"/>
      <c r="L36" s="41"/>
      <c r="M36" s="41"/>
      <c r="N36" s="42"/>
    </row>
    <row r="37" s="2" customFormat="1" customHeight="1" spans="2:14">
      <c r="B37" s="43">
        <v>4</v>
      </c>
      <c r="C37" s="44">
        <v>30</v>
      </c>
      <c r="D37" s="95" t="s">
        <v>360</v>
      </c>
      <c r="E37" s="49" t="s">
        <v>364</v>
      </c>
      <c r="F37" s="47">
        <f>H37</f>
        <v>0</v>
      </c>
      <c r="G37" s="48"/>
      <c r="H37" s="54">
        <f>'直接投入-领料'!F13</f>
        <v>0</v>
      </c>
      <c r="I37" s="54"/>
      <c r="J37" s="54"/>
      <c r="K37" s="54"/>
      <c r="L37" s="54"/>
      <c r="M37" s="54"/>
      <c r="N37" s="55"/>
    </row>
    <row r="38" s="2" customFormat="1" customHeight="1" spans="2:14">
      <c r="B38" s="43">
        <v>4</v>
      </c>
      <c r="C38" s="44">
        <v>30</v>
      </c>
      <c r="D38" s="95" t="s">
        <v>360</v>
      </c>
      <c r="E38" s="49" t="s">
        <v>365</v>
      </c>
      <c r="F38" s="48">
        <f>I38</f>
        <v>0</v>
      </c>
      <c r="G38" s="48"/>
      <c r="H38" s="54"/>
      <c r="I38" s="54">
        <f>研发设备折旧表3!AB123</f>
        <v>0</v>
      </c>
      <c r="J38" s="54"/>
      <c r="K38" s="54"/>
      <c r="L38" s="54"/>
      <c r="M38" s="54"/>
      <c r="N38" s="55"/>
    </row>
    <row r="39" s="2" customFormat="1" customHeight="1" spans="2:14">
      <c r="B39" s="43">
        <v>4</v>
      </c>
      <c r="C39" s="44">
        <v>30</v>
      </c>
      <c r="D39" s="95" t="s">
        <v>360</v>
      </c>
      <c r="E39" s="51" t="s">
        <v>356</v>
      </c>
      <c r="F39" s="48">
        <f>K39</f>
        <v>0</v>
      </c>
      <c r="G39" s="48"/>
      <c r="H39" s="54"/>
      <c r="I39" s="54"/>
      <c r="J39" s="54"/>
      <c r="K39" s="54">
        <f>'直接投入-动力'!Q21</f>
        <v>0</v>
      </c>
      <c r="L39" s="54"/>
      <c r="M39" s="54"/>
      <c r="N39" s="55"/>
    </row>
    <row r="40" s="2" customFormat="1" customHeight="1" spans="2:14">
      <c r="B40" s="43">
        <v>4</v>
      </c>
      <c r="C40" s="44">
        <v>30</v>
      </c>
      <c r="D40" s="95" t="s">
        <v>360</v>
      </c>
      <c r="E40" s="49" t="s">
        <v>359</v>
      </c>
      <c r="F40" s="48">
        <f>N40</f>
        <v>0</v>
      </c>
      <c r="G40" s="48"/>
      <c r="H40" s="54"/>
      <c r="I40" s="54"/>
      <c r="J40" s="54"/>
      <c r="K40" s="54"/>
      <c r="L40" s="54"/>
      <c r="M40" s="54"/>
      <c r="N40" s="55">
        <f>其他费用!K6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>SUM(F34:F40)</f>
        <v>0</v>
      </c>
      <c r="G41" s="48">
        <f>SUM(G34:G40)</f>
        <v>0</v>
      </c>
      <c r="H41" s="54">
        <f>SUM(H34:H40)</f>
        <v>0</v>
      </c>
      <c r="I41" s="54">
        <f t="shared" ref="I41:N41" si="5">SUM(I34:I40)</f>
        <v>0</v>
      </c>
      <c r="J41" s="54">
        <f t="shared" si="5"/>
        <v>0</v>
      </c>
      <c r="K41" s="54">
        <f t="shared" si="5"/>
        <v>0</v>
      </c>
      <c r="L41" s="54">
        <f t="shared" si="5"/>
        <v>0</v>
      </c>
      <c r="M41" s="54">
        <f t="shared" si="5"/>
        <v>0</v>
      </c>
      <c r="N41" s="55">
        <f t="shared" si="5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>F41+F33</f>
        <v>0</v>
      </c>
      <c r="G42" s="61">
        <f t="shared" ref="G42:N42" si="6">G41+G33</f>
        <v>0</v>
      </c>
      <c r="H42" s="62">
        <f t="shared" si="6"/>
        <v>0</v>
      </c>
      <c r="I42" s="62">
        <f t="shared" si="6"/>
        <v>0</v>
      </c>
      <c r="J42" s="62">
        <f t="shared" si="6"/>
        <v>0</v>
      </c>
      <c r="K42" s="62">
        <f t="shared" si="6"/>
        <v>0</v>
      </c>
      <c r="L42" s="62">
        <f t="shared" si="6"/>
        <v>0</v>
      </c>
      <c r="M42" s="63">
        <f t="shared" si="6"/>
        <v>0</v>
      </c>
      <c r="N42" s="64">
        <f t="shared" si="6"/>
        <v>0</v>
      </c>
    </row>
    <row r="43" s="2" customFormat="1" customHeight="1" spans="2:14">
      <c r="B43" s="36">
        <v>5</v>
      </c>
      <c r="C43" s="37">
        <v>31</v>
      </c>
      <c r="D43" s="93" t="s">
        <v>360</v>
      </c>
      <c r="E43" s="39" t="s">
        <v>361</v>
      </c>
      <c r="F43" s="40">
        <f>G43</f>
        <v>0</v>
      </c>
      <c r="G43" s="40">
        <f>'人员人工-研发人员工资'!Z467</f>
        <v>0</v>
      </c>
      <c r="H43" s="78"/>
      <c r="I43" s="78"/>
      <c r="J43" s="78"/>
      <c r="K43" s="78"/>
      <c r="L43" s="78"/>
      <c r="M43" s="78"/>
      <c r="N43" s="94"/>
    </row>
    <row r="44" s="2" customFormat="1" customHeight="1" spans="2:14">
      <c r="B44" s="43">
        <v>5</v>
      </c>
      <c r="C44" s="44">
        <v>31</v>
      </c>
      <c r="D44" s="95" t="s">
        <v>360</v>
      </c>
      <c r="E44" s="46" t="s">
        <v>362</v>
      </c>
      <c r="F44" s="47">
        <f>G44</f>
        <v>0</v>
      </c>
      <c r="G44" s="47">
        <f>'人员人工-研发人员社保'!Z467</f>
        <v>0</v>
      </c>
      <c r="H44" s="41"/>
      <c r="I44" s="41"/>
      <c r="J44" s="41"/>
      <c r="K44" s="41"/>
      <c r="L44" s="41"/>
      <c r="M44" s="41"/>
      <c r="N44" s="42"/>
    </row>
    <row r="45" s="2" customFormat="1" customHeight="1" spans="2:14">
      <c r="B45" s="43">
        <v>5</v>
      </c>
      <c r="C45" s="44">
        <v>31</v>
      </c>
      <c r="D45" s="95" t="s">
        <v>360</v>
      </c>
      <c r="E45" s="46" t="s">
        <v>363</v>
      </c>
      <c r="F45" s="47">
        <f>G45</f>
        <v>0</v>
      </c>
      <c r="G45" s="47">
        <f>'人员人工-研发人员公积金'!Z467</f>
        <v>0</v>
      </c>
      <c r="H45" s="41"/>
      <c r="I45" s="41"/>
      <c r="J45" s="41"/>
      <c r="K45" s="41"/>
      <c r="L45" s="41"/>
      <c r="M45" s="41"/>
      <c r="N45" s="42"/>
    </row>
    <row r="46" s="2" customFormat="1" customHeight="1" spans="2:14">
      <c r="B46" s="43">
        <v>5</v>
      </c>
      <c r="C46" s="44">
        <v>31</v>
      </c>
      <c r="D46" s="95" t="s">
        <v>360</v>
      </c>
      <c r="E46" s="49" t="s">
        <v>364</v>
      </c>
      <c r="F46" s="47">
        <f>H46</f>
        <v>0</v>
      </c>
      <c r="G46" s="48"/>
      <c r="H46" s="54">
        <f>'直接投入-领料'!G13</f>
        <v>0</v>
      </c>
      <c r="I46" s="54"/>
      <c r="J46" s="54"/>
      <c r="K46" s="54"/>
      <c r="L46" s="54"/>
      <c r="M46" s="54"/>
      <c r="N46" s="55"/>
    </row>
    <row r="47" s="2" customFormat="1" customHeight="1" spans="2:14">
      <c r="B47" s="43">
        <v>5</v>
      </c>
      <c r="C47" s="44">
        <v>31</v>
      </c>
      <c r="D47" s="95" t="s">
        <v>360</v>
      </c>
      <c r="E47" s="49" t="s">
        <v>365</v>
      </c>
      <c r="F47" s="48">
        <f>I47</f>
        <v>0</v>
      </c>
      <c r="G47" s="48"/>
      <c r="H47" s="54"/>
      <c r="I47" s="54">
        <f>研发设备折旧表3!AB154</f>
        <v>0</v>
      </c>
      <c r="J47" s="54"/>
      <c r="K47" s="54"/>
      <c r="L47" s="54"/>
      <c r="M47" s="54"/>
      <c r="N47" s="55"/>
    </row>
    <row r="48" s="2" customFormat="1" customHeight="1" spans="2:14">
      <c r="B48" s="43">
        <v>5</v>
      </c>
      <c r="C48" s="44">
        <v>31</v>
      </c>
      <c r="D48" s="95" t="s">
        <v>360</v>
      </c>
      <c r="E48" s="51" t="s">
        <v>356</v>
      </c>
      <c r="F48" s="48">
        <f>K48</f>
        <v>0</v>
      </c>
      <c r="G48" s="48"/>
      <c r="H48" s="54"/>
      <c r="I48" s="54"/>
      <c r="J48" s="54"/>
      <c r="K48" s="54">
        <f>'直接投入-动力'!Q22</f>
        <v>0</v>
      </c>
      <c r="L48" s="54"/>
      <c r="M48" s="54"/>
      <c r="N48" s="55"/>
    </row>
    <row r="49" s="2" customFormat="1" customHeight="1" spans="2:14">
      <c r="B49" s="43">
        <v>5</v>
      </c>
      <c r="C49" s="44">
        <v>31</v>
      </c>
      <c r="D49" s="95" t="s">
        <v>360</v>
      </c>
      <c r="E49" s="49" t="s">
        <v>359</v>
      </c>
      <c r="F49" s="48">
        <f>N49</f>
        <v>0</v>
      </c>
      <c r="G49" s="48"/>
      <c r="H49" s="54"/>
      <c r="I49" s="54"/>
      <c r="J49" s="54"/>
      <c r="K49" s="54"/>
      <c r="L49" s="54"/>
      <c r="M49" s="54"/>
      <c r="N49" s="55">
        <f>其他费用!K7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>SUM(F43:F49)</f>
        <v>0</v>
      </c>
      <c r="G50" s="48">
        <f>SUM(G43:G49)</f>
        <v>0</v>
      </c>
      <c r="H50" s="54">
        <f>SUM(H43:H49)</f>
        <v>0</v>
      </c>
      <c r="I50" s="54">
        <f t="shared" ref="I50:N50" si="7">SUM(I43:I49)</f>
        <v>0</v>
      </c>
      <c r="J50" s="54">
        <f t="shared" si="7"/>
        <v>0</v>
      </c>
      <c r="K50" s="54">
        <f t="shared" si="7"/>
        <v>0</v>
      </c>
      <c r="L50" s="54">
        <f t="shared" si="7"/>
        <v>0</v>
      </c>
      <c r="M50" s="54">
        <f t="shared" si="7"/>
        <v>0</v>
      </c>
      <c r="N50" s="55">
        <f t="shared" si="7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8">F50+F42</f>
        <v>0</v>
      </c>
      <c r="G51" s="60">
        <f t="shared" si="8"/>
        <v>0</v>
      </c>
      <c r="H51" s="85">
        <f t="shared" si="8"/>
        <v>0</v>
      </c>
      <c r="I51" s="85">
        <f t="shared" si="8"/>
        <v>0</v>
      </c>
      <c r="J51" s="85">
        <f t="shared" si="8"/>
        <v>0</v>
      </c>
      <c r="K51" s="85">
        <f t="shared" si="8"/>
        <v>0</v>
      </c>
      <c r="L51" s="85">
        <f t="shared" si="8"/>
        <v>0</v>
      </c>
      <c r="M51" s="85">
        <f t="shared" si="8"/>
        <v>0</v>
      </c>
      <c r="N51" s="96">
        <f t="shared" si="8"/>
        <v>0</v>
      </c>
    </row>
    <row r="52" s="2" customFormat="1" customHeight="1" spans="2:14">
      <c r="B52" s="36">
        <v>6</v>
      </c>
      <c r="C52" s="37">
        <v>30</v>
      </c>
      <c r="D52" s="93" t="s">
        <v>360</v>
      </c>
      <c r="E52" s="39" t="s">
        <v>361</v>
      </c>
      <c r="F52" s="40">
        <f>G52</f>
        <v>0</v>
      </c>
      <c r="G52" s="40">
        <f>'人员人工-研发人员工资'!Z468</f>
        <v>0</v>
      </c>
      <c r="H52" s="78"/>
      <c r="I52" s="78"/>
      <c r="J52" s="78"/>
      <c r="K52" s="78"/>
      <c r="L52" s="78"/>
      <c r="M52" s="78"/>
      <c r="N52" s="94"/>
    </row>
    <row r="53" s="2" customFormat="1" customHeight="1" spans="2:14">
      <c r="B53" s="43">
        <v>6</v>
      </c>
      <c r="C53" s="44">
        <v>30</v>
      </c>
      <c r="D53" s="95" t="s">
        <v>360</v>
      </c>
      <c r="E53" s="46" t="s">
        <v>362</v>
      </c>
      <c r="F53" s="47">
        <f>G53</f>
        <v>0</v>
      </c>
      <c r="G53" s="47">
        <f>'人员人工-研发人员社保'!Z468</f>
        <v>0</v>
      </c>
      <c r="H53" s="41"/>
      <c r="I53" s="41"/>
      <c r="J53" s="41"/>
      <c r="K53" s="41"/>
      <c r="L53" s="41"/>
      <c r="M53" s="41"/>
      <c r="N53" s="42"/>
    </row>
    <row r="54" s="2" customFormat="1" customHeight="1" spans="2:14">
      <c r="B54" s="43">
        <v>6</v>
      </c>
      <c r="C54" s="44">
        <v>30</v>
      </c>
      <c r="D54" s="95" t="s">
        <v>360</v>
      </c>
      <c r="E54" s="46" t="s">
        <v>363</v>
      </c>
      <c r="F54" s="47">
        <f>G54</f>
        <v>0</v>
      </c>
      <c r="G54" s="47">
        <f>'人员人工-研发人员公积金'!Z468</f>
        <v>0</v>
      </c>
      <c r="H54" s="41"/>
      <c r="I54" s="41"/>
      <c r="J54" s="41"/>
      <c r="K54" s="41"/>
      <c r="L54" s="41"/>
      <c r="M54" s="41"/>
      <c r="N54" s="42"/>
    </row>
    <row r="55" s="2" customFormat="1" customHeight="1" spans="2:14">
      <c r="B55" s="43">
        <v>6</v>
      </c>
      <c r="C55" s="44">
        <v>30</v>
      </c>
      <c r="D55" s="95" t="s">
        <v>360</v>
      </c>
      <c r="E55" s="49" t="s">
        <v>364</v>
      </c>
      <c r="F55" s="47">
        <f>H55</f>
        <v>0</v>
      </c>
      <c r="G55" s="48"/>
      <c r="H55" s="54">
        <f>'直接投入-领料'!H13</f>
        <v>0</v>
      </c>
      <c r="I55" s="54"/>
      <c r="J55" s="54"/>
      <c r="K55" s="54"/>
      <c r="L55" s="54"/>
      <c r="M55" s="54"/>
      <c r="N55" s="55"/>
    </row>
    <row r="56" s="2" customFormat="1" customHeight="1" spans="2:14">
      <c r="B56" s="43">
        <v>6</v>
      </c>
      <c r="C56" s="44">
        <v>30</v>
      </c>
      <c r="D56" s="95" t="s">
        <v>360</v>
      </c>
      <c r="E56" s="49" t="s">
        <v>365</v>
      </c>
      <c r="F56" s="48">
        <f>I56</f>
        <v>0</v>
      </c>
      <c r="G56" s="48"/>
      <c r="H56" s="54"/>
      <c r="I56" s="54">
        <f>研发设备折旧表3!AB185</f>
        <v>0</v>
      </c>
      <c r="J56" s="54"/>
      <c r="K56" s="54"/>
      <c r="L56" s="54"/>
      <c r="M56" s="54"/>
      <c r="N56" s="55"/>
    </row>
    <row r="57" s="2" customFormat="1" customHeight="1" spans="2:14">
      <c r="B57" s="43">
        <v>6</v>
      </c>
      <c r="C57" s="44">
        <v>30</v>
      </c>
      <c r="D57" s="95" t="s">
        <v>360</v>
      </c>
      <c r="E57" s="51" t="s">
        <v>356</v>
      </c>
      <c r="F57" s="48">
        <f>K57</f>
        <v>0</v>
      </c>
      <c r="G57" s="48"/>
      <c r="H57" s="54"/>
      <c r="I57" s="54"/>
      <c r="J57" s="54"/>
      <c r="K57" s="54">
        <f>'直接投入-动力'!Q23</f>
        <v>0</v>
      </c>
      <c r="L57" s="54"/>
      <c r="M57" s="54"/>
      <c r="N57" s="55"/>
    </row>
    <row r="58" s="2" customFormat="1" customHeight="1" spans="2:14">
      <c r="B58" s="43">
        <v>6</v>
      </c>
      <c r="C58" s="44">
        <v>30</v>
      </c>
      <c r="D58" s="95" t="s">
        <v>360</v>
      </c>
      <c r="E58" s="49" t="s">
        <v>359</v>
      </c>
      <c r="F58" s="48">
        <f>N58</f>
        <v>0</v>
      </c>
      <c r="G58" s="48"/>
      <c r="H58" s="54"/>
      <c r="I58" s="54"/>
      <c r="J58" s="54"/>
      <c r="K58" s="54"/>
      <c r="L58" s="54"/>
      <c r="M58" s="54"/>
      <c r="N58" s="55">
        <f>其他费用!K8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>SUM(F52:F58)</f>
        <v>0</v>
      </c>
      <c r="G59" s="48">
        <f>SUM(G52:G58)</f>
        <v>0</v>
      </c>
      <c r="H59" s="54">
        <f>SUM(H52:H58)</f>
        <v>0</v>
      </c>
      <c r="I59" s="54">
        <f t="shared" ref="I59:N59" si="9">SUM(I52:I58)</f>
        <v>0</v>
      </c>
      <c r="J59" s="54">
        <f t="shared" si="9"/>
        <v>0</v>
      </c>
      <c r="K59" s="54">
        <f t="shared" si="9"/>
        <v>0</v>
      </c>
      <c r="L59" s="54">
        <f t="shared" si="9"/>
        <v>0</v>
      </c>
      <c r="M59" s="54">
        <f t="shared" si="9"/>
        <v>0</v>
      </c>
      <c r="N59" s="55">
        <f t="shared" si="9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>F59+F51</f>
        <v>0</v>
      </c>
      <c r="G60" s="60">
        <f>G59+G51</f>
        <v>0</v>
      </c>
      <c r="H60" s="85">
        <f t="shared" ref="H60:N60" si="10">H59+H51</f>
        <v>0</v>
      </c>
      <c r="I60" s="85">
        <f t="shared" si="10"/>
        <v>0</v>
      </c>
      <c r="J60" s="85">
        <f t="shared" si="10"/>
        <v>0</v>
      </c>
      <c r="K60" s="85">
        <f t="shared" si="10"/>
        <v>0</v>
      </c>
      <c r="L60" s="85">
        <f t="shared" si="10"/>
        <v>0</v>
      </c>
      <c r="M60" s="85">
        <f t="shared" si="10"/>
        <v>0</v>
      </c>
      <c r="N60" s="96">
        <f t="shared" si="10"/>
        <v>0</v>
      </c>
    </row>
    <row r="61" s="2" customFormat="1" customHeight="1" spans="2:14">
      <c r="B61" s="36">
        <v>7</v>
      </c>
      <c r="C61" s="37">
        <v>31</v>
      </c>
      <c r="D61" s="93" t="s">
        <v>360</v>
      </c>
      <c r="E61" s="39" t="s">
        <v>361</v>
      </c>
      <c r="F61" s="40">
        <f>G61</f>
        <v>0</v>
      </c>
      <c r="G61" s="40">
        <f>'人员人工-研发人员工资'!Z469</f>
        <v>0</v>
      </c>
      <c r="H61" s="78"/>
      <c r="I61" s="78"/>
      <c r="J61" s="78"/>
      <c r="K61" s="78"/>
      <c r="L61" s="78"/>
      <c r="M61" s="78"/>
      <c r="N61" s="94"/>
    </row>
    <row r="62" s="2" customFormat="1" customHeight="1" spans="2:14">
      <c r="B62" s="43">
        <v>7</v>
      </c>
      <c r="C62" s="44">
        <v>31</v>
      </c>
      <c r="D62" s="95" t="s">
        <v>360</v>
      </c>
      <c r="E62" s="46" t="s">
        <v>362</v>
      </c>
      <c r="F62" s="47">
        <f>G62</f>
        <v>0</v>
      </c>
      <c r="G62" s="47">
        <f>'人员人工-研发人员社保'!Z469</f>
        <v>0</v>
      </c>
      <c r="H62" s="41"/>
      <c r="I62" s="41"/>
      <c r="J62" s="41"/>
      <c r="K62" s="41"/>
      <c r="L62" s="41"/>
      <c r="M62" s="41"/>
      <c r="N62" s="42"/>
    </row>
    <row r="63" s="2" customFormat="1" customHeight="1" spans="2:14">
      <c r="B63" s="43">
        <v>7</v>
      </c>
      <c r="C63" s="44">
        <v>31</v>
      </c>
      <c r="D63" s="95" t="s">
        <v>360</v>
      </c>
      <c r="E63" s="46" t="s">
        <v>363</v>
      </c>
      <c r="F63" s="47">
        <f>G63</f>
        <v>0</v>
      </c>
      <c r="G63" s="47">
        <f>'人员人工-研发人员公积金'!Z469</f>
        <v>0</v>
      </c>
      <c r="H63" s="41"/>
      <c r="I63" s="41"/>
      <c r="J63" s="41"/>
      <c r="K63" s="41"/>
      <c r="L63" s="41"/>
      <c r="M63" s="41"/>
      <c r="N63" s="42"/>
    </row>
    <row r="64" s="2" customFormat="1" customHeight="1" spans="2:14">
      <c r="B64" s="43">
        <v>7</v>
      </c>
      <c r="C64" s="44">
        <v>31</v>
      </c>
      <c r="D64" s="95" t="s">
        <v>360</v>
      </c>
      <c r="E64" s="49" t="s">
        <v>364</v>
      </c>
      <c r="F64" s="47">
        <f>H64</f>
        <v>0</v>
      </c>
      <c r="G64" s="48"/>
      <c r="H64" s="54">
        <f>'直接投入-领料'!I13</f>
        <v>0</v>
      </c>
      <c r="I64" s="41"/>
      <c r="J64" s="54"/>
      <c r="K64" s="54"/>
      <c r="L64" s="54"/>
      <c r="M64" s="54"/>
      <c r="N64" s="55"/>
    </row>
    <row r="65" s="2" customFormat="1" customHeight="1" spans="2:14">
      <c r="B65" s="43">
        <v>7</v>
      </c>
      <c r="C65" s="44">
        <v>31</v>
      </c>
      <c r="D65" s="95" t="s">
        <v>360</v>
      </c>
      <c r="E65" s="49" t="s">
        <v>365</v>
      </c>
      <c r="F65" s="48">
        <f>I65</f>
        <v>0</v>
      </c>
      <c r="G65" s="48"/>
      <c r="H65" s="54"/>
      <c r="I65" s="54">
        <f>研发设备折旧表3!AB216</f>
        <v>0</v>
      </c>
      <c r="J65" s="54"/>
      <c r="K65" s="54"/>
      <c r="L65" s="54"/>
      <c r="M65" s="54"/>
      <c r="N65" s="55"/>
    </row>
    <row r="66" s="2" customFormat="1" customHeight="1" spans="2:14">
      <c r="B66" s="43">
        <v>7</v>
      </c>
      <c r="C66" s="44">
        <v>31</v>
      </c>
      <c r="D66" s="95" t="s">
        <v>360</v>
      </c>
      <c r="E66" s="51" t="s">
        <v>356</v>
      </c>
      <c r="F66" s="48">
        <f>K66</f>
        <v>0</v>
      </c>
      <c r="G66" s="48"/>
      <c r="H66" s="54"/>
      <c r="I66" s="54"/>
      <c r="J66" s="54"/>
      <c r="K66" s="54">
        <f>'直接投入-动力'!Q24</f>
        <v>0</v>
      </c>
      <c r="L66" s="54"/>
      <c r="M66" s="54"/>
      <c r="N66" s="55"/>
    </row>
    <row r="67" s="2" customFormat="1" customHeight="1" spans="2:14">
      <c r="B67" s="43">
        <v>7</v>
      </c>
      <c r="C67" s="44">
        <v>31</v>
      </c>
      <c r="D67" s="95" t="s">
        <v>360</v>
      </c>
      <c r="E67" s="49" t="s">
        <v>359</v>
      </c>
      <c r="F67" s="48">
        <f>N67</f>
        <v>0</v>
      </c>
      <c r="G67" s="48"/>
      <c r="H67" s="54"/>
      <c r="I67" s="54"/>
      <c r="J67" s="54"/>
      <c r="K67" s="54"/>
      <c r="L67" s="54"/>
      <c r="M67" s="54"/>
      <c r="N67" s="55">
        <f>其他费用!K9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>SUM(F61:F67)</f>
        <v>0</v>
      </c>
      <c r="G68" s="48">
        <f>SUM(G61:G67)</f>
        <v>0</v>
      </c>
      <c r="H68" s="54">
        <f>SUM(H61:H67)</f>
        <v>0</v>
      </c>
      <c r="I68" s="54">
        <f t="shared" ref="I68:N68" si="11">SUM(I61:I67)</f>
        <v>0</v>
      </c>
      <c r="J68" s="54">
        <f t="shared" si="11"/>
        <v>0</v>
      </c>
      <c r="K68" s="54">
        <f t="shared" si="11"/>
        <v>0</v>
      </c>
      <c r="L68" s="54">
        <f t="shared" si="11"/>
        <v>0</v>
      </c>
      <c r="M68" s="54">
        <f t="shared" si="11"/>
        <v>0</v>
      </c>
      <c r="N68" s="55">
        <f t="shared" si="11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>F68+F60</f>
        <v>0</v>
      </c>
      <c r="G69" s="60">
        <f>G68+G60</f>
        <v>0</v>
      </c>
      <c r="H69" s="85">
        <f t="shared" ref="H69:N69" si="12">H68+H60</f>
        <v>0</v>
      </c>
      <c r="I69" s="85">
        <f t="shared" si="12"/>
        <v>0</v>
      </c>
      <c r="J69" s="85">
        <f t="shared" si="12"/>
        <v>0</v>
      </c>
      <c r="K69" s="85">
        <f t="shared" si="12"/>
        <v>0</v>
      </c>
      <c r="L69" s="85">
        <f t="shared" si="12"/>
        <v>0</v>
      </c>
      <c r="M69" s="85">
        <f t="shared" si="12"/>
        <v>0</v>
      </c>
      <c r="N69" s="96">
        <f t="shared" si="12"/>
        <v>0</v>
      </c>
    </row>
    <row r="70" s="2" customFormat="1" customHeight="1" spans="2:14">
      <c r="B70" s="36">
        <v>8</v>
      </c>
      <c r="C70" s="37">
        <v>31</v>
      </c>
      <c r="D70" s="93" t="s">
        <v>360</v>
      </c>
      <c r="E70" s="39" t="s">
        <v>361</v>
      </c>
      <c r="F70" s="47">
        <f>G70</f>
        <v>0</v>
      </c>
      <c r="G70" s="40">
        <f>'人员人工-研发人员工资'!Z470</f>
        <v>0</v>
      </c>
      <c r="H70" s="78"/>
      <c r="I70" s="78"/>
      <c r="J70" s="78"/>
      <c r="K70" s="78"/>
      <c r="L70" s="78"/>
      <c r="M70" s="78"/>
      <c r="N70" s="94"/>
    </row>
    <row r="71" s="2" customFormat="1" customHeight="1" spans="2:14">
      <c r="B71" s="43">
        <v>8</v>
      </c>
      <c r="C71" s="44">
        <v>31</v>
      </c>
      <c r="D71" s="95" t="s">
        <v>360</v>
      </c>
      <c r="E71" s="46" t="s">
        <v>362</v>
      </c>
      <c r="F71" s="47">
        <f>G71</f>
        <v>0</v>
      </c>
      <c r="G71" s="47">
        <f>'人员人工-研发人员社保'!Z470</f>
        <v>0</v>
      </c>
      <c r="H71" s="41"/>
      <c r="I71" s="41"/>
      <c r="J71" s="41"/>
      <c r="K71" s="41"/>
      <c r="L71" s="41"/>
      <c r="M71" s="41"/>
      <c r="N71" s="42"/>
    </row>
    <row r="72" s="2" customFormat="1" customHeight="1" spans="2:14">
      <c r="B72" s="43">
        <v>8</v>
      </c>
      <c r="C72" s="44">
        <v>31</v>
      </c>
      <c r="D72" s="95" t="s">
        <v>360</v>
      </c>
      <c r="E72" s="46" t="s">
        <v>363</v>
      </c>
      <c r="F72" s="47">
        <f>G72</f>
        <v>0</v>
      </c>
      <c r="G72" s="47">
        <f>'人员人工-研发人员公积金'!Z470</f>
        <v>0</v>
      </c>
      <c r="H72" s="41"/>
      <c r="I72" s="41"/>
      <c r="J72" s="41"/>
      <c r="K72" s="41"/>
      <c r="L72" s="41"/>
      <c r="M72" s="41"/>
      <c r="N72" s="42"/>
    </row>
    <row r="73" s="2" customFormat="1" customHeight="1" spans="2:14">
      <c r="B73" s="43">
        <v>8</v>
      </c>
      <c r="C73" s="44">
        <v>31</v>
      </c>
      <c r="D73" s="95" t="s">
        <v>360</v>
      </c>
      <c r="E73" s="49" t="s">
        <v>364</v>
      </c>
      <c r="F73" s="47">
        <f>H73</f>
        <v>0</v>
      </c>
      <c r="G73" s="48"/>
      <c r="H73" s="54">
        <f>'直接投入-领料'!J13</f>
        <v>0</v>
      </c>
      <c r="I73" s="54"/>
      <c r="J73" s="54"/>
      <c r="K73" s="54"/>
      <c r="L73" s="54"/>
      <c r="M73" s="54"/>
      <c r="N73" s="55"/>
    </row>
    <row r="74" s="2" customFormat="1" customHeight="1" spans="2:14">
      <c r="B74" s="43">
        <v>8</v>
      </c>
      <c r="C74" s="44">
        <v>31</v>
      </c>
      <c r="D74" s="95" t="s">
        <v>360</v>
      </c>
      <c r="E74" s="49" t="s">
        <v>365</v>
      </c>
      <c r="F74" s="48">
        <f>I74</f>
        <v>0</v>
      </c>
      <c r="G74" s="48"/>
      <c r="H74" s="54"/>
      <c r="I74" s="54">
        <f>研发设备折旧表3!AB247</f>
        <v>0</v>
      </c>
      <c r="J74" s="54"/>
      <c r="K74" s="54"/>
      <c r="L74" s="54"/>
      <c r="M74" s="54"/>
      <c r="N74" s="55"/>
    </row>
    <row r="75" s="2" customFormat="1" customHeight="1" spans="2:14">
      <c r="B75" s="43">
        <v>8</v>
      </c>
      <c r="C75" s="44">
        <v>31</v>
      </c>
      <c r="D75" s="95" t="s">
        <v>360</v>
      </c>
      <c r="E75" s="51" t="s">
        <v>356</v>
      </c>
      <c r="F75" s="48">
        <f>K75</f>
        <v>0</v>
      </c>
      <c r="G75" s="48"/>
      <c r="H75" s="54"/>
      <c r="I75" s="54"/>
      <c r="J75" s="54"/>
      <c r="K75" s="54">
        <f>'直接投入-动力'!Q25</f>
        <v>0</v>
      </c>
      <c r="L75" s="54"/>
      <c r="M75" s="54"/>
      <c r="N75" s="55"/>
    </row>
    <row r="76" s="2" customFormat="1" customHeight="1" spans="2:14">
      <c r="B76" s="43">
        <v>8</v>
      </c>
      <c r="C76" s="44">
        <v>31</v>
      </c>
      <c r="D76" s="95" t="s">
        <v>360</v>
      </c>
      <c r="E76" s="49" t="s">
        <v>359</v>
      </c>
      <c r="F76" s="48">
        <f>N76</f>
        <v>0</v>
      </c>
      <c r="G76" s="48"/>
      <c r="H76" s="54"/>
      <c r="I76" s="54"/>
      <c r="J76" s="54"/>
      <c r="K76" s="54"/>
      <c r="L76" s="54"/>
      <c r="M76" s="54"/>
      <c r="N76" s="55">
        <f>其他费用!K10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>SUM(F70:F76)</f>
        <v>0</v>
      </c>
      <c r="G77" s="48">
        <f>SUM(G70:G76)</f>
        <v>0</v>
      </c>
      <c r="H77" s="54">
        <f>SUM(H70:H76)</f>
        <v>0</v>
      </c>
      <c r="I77" s="54">
        <f t="shared" ref="I77:N77" si="13">SUM(I70:I76)</f>
        <v>0</v>
      </c>
      <c r="J77" s="54">
        <f t="shared" si="13"/>
        <v>0</v>
      </c>
      <c r="K77" s="54">
        <f t="shared" si="13"/>
        <v>0</v>
      </c>
      <c r="L77" s="54">
        <f t="shared" si="13"/>
        <v>0</v>
      </c>
      <c r="M77" s="54">
        <f t="shared" si="13"/>
        <v>0</v>
      </c>
      <c r="N77" s="55">
        <f t="shared" si="13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>F77+F69</f>
        <v>0</v>
      </c>
      <c r="G78" s="60">
        <f t="shared" ref="G78:N78" si="14">G77+G69</f>
        <v>0</v>
      </c>
      <c r="H78" s="85">
        <f t="shared" si="14"/>
        <v>0</v>
      </c>
      <c r="I78" s="85">
        <f t="shared" si="14"/>
        <v>0</v>
      </c>
      <c r="J78" s="85">
        <f t="shared" si="14"/>
        <v>0</v>
      </c>
      <c r="K78" s="85">
        <f t="shared" si="14"/>
        <v>0</v>
      </c>
      <c r="L78" s="85">
        <f t="shared" si="14"/>
        <v>0</v>
      </c>
      <c r="M78" s="85">
        <f t="shared" si="14"/>
        <v>0</v>
      </c>
      <c r="N78" s="96">
        <f t="shared" si="14"/>
        <v>0</v>
      </c>
    </row>
    <row r="79" s="2" customFormat="1" customHeight="1" spans="2:14">
      <c r="B79" s="36">
        <v>9</v>
      </c>
      <c r="C79" s="37">
        <v>30</v>
      </c>
      <c r="D79" s="93" t="s">
        <v>360</v>
      </c>
      <c r="E79" s="39" t="s">
        <v>361</v>
      </c>
      <c r="F79" s="40">
        <f>G79</f>
        <v>0</v>
      </c>
      <c r="G79" s="40">
        <f>'人员人工-研发人员工资'!Z471</f>
        <v>0</v>
      </c>
      <c r="H79" s="78"/>
      <c r="I79" s="78"/>
      <c r="J79" s="78"/>
      <c r="K79" s="78"/>
      <c r="L79" s="78"/>
      <c r="M79" s="78"/>
      <c r="N79" s="94"/>
    </row>
    <row r="80" s="2" customFormat="1" customHeight="1" spans="2:14">
      <c r="B80" s="43">
        <v>9</v>
      </c>
      <c r="C80" s="44">
        <v>30</v>
      </c>
      <c r="D80" s="95" t="s">
        <v>360</v>
      </c>
      <c r="E80" s="46" t="s">
        <v>362</v>
      </c>
      <c r="F80" s="47">
        <f>G80</f>
        <v>0</v>
      </c>
      <c r="G80" s="47">
        <f>'人员人工-研发人员社保'!Z471</f>
        <v>0</v>
      </c>
      <c r="H80" s="41"/>
      <c r="I80" s="41"/>
      <c r="J80" s="41"/>
      <c r="K80" s="41"/>
      <c r="L80" s="41"/>
      <c r="M80" s="41"/>
      <c r="N80" s="42"/>
    </row>
    <row r="81" s="2" customFormat="1" customHeight="1" spans="2:14">
      <c r="B81" s="43">
        <v>9</v>
      </c>
      <c r="C81" s="44">
        <v>30</v>
      </c>
      <c r="D81" s="95" t="s">
        <v>360</v>
      </c>
      <c r="E81" s="46" t="s">
        <v>363</v>
      </c>
      <c r="F81" s="47">
        <f>G81</f>
        <v>0</v>
      </c>
      <c r="G81" s="47">
        <f>'人员人工-研发人员公积金'!Z471</f>
        <v>0</v>
      </c>
      <c r="H81" s="41"/>
      <c r="I81" s="41"/>
      <c r="J81" s="41"/>
      <c r="K81" s="41"/>
      <c r="L81" s="41"/>
      <c r="M81" s="41"/>
      <c r="N81" s="42"/>
    </row>
    <row r="82" s="2" customFormat="1" customHeight="1" spans="2:14">
      <c r="B82" s="43">
        <v>9</v>
      </c>
      <c r="C82" s="44">
        <v>30</v>
      </c>
      <c r="D82" s="95" t="s">
        <v>360</v>
      </c>
      <c r="E82" s="49" t="s">
        <v>364</v>
      </c>
      <c r="F82" s="47">
        <f>H82</f>
        <v>0</v>
      </c>
      <c r="G82" s="97"/>
      <c r="H82" s="54">
        <f>'直接投入-领料'!K13</f>
        <v>0</v>
      </c>
      <c r="I82" s="41"/>
      <c r="J82" s="41"/>
      <c r="K82" s="41"/>
      <c r="L82" s="41"/>
      <c r="M82" s="41"/>
      <c r="N82" s="42"/>
    </row>
    <row r="83" s="2" customFormat="1" customHeight="1" spans="2:14">
      <c r="B83" s="43">
        <v>9</v>
      </c>
      <c r="C83" s="44">
        <v>30</v>
      </c>
      <c r="D83" s="95" t="s">
        <v>360</v>
      </c>
      <c r="E83" s="49" t="s">
        <v>365</v>
      </c>
      <c r="F83" s="48">
        <f>I83</f>
        <v>0</v>
      </c>
      <c r="G83" s="48"/>
      <c r="H83" s="54"/>
      <c r="I83" s="54">
        <f>研发设备折旧表3!AB278</f>
        <v>0</v>
      </c>
      <c r="J83" s="54"/>
      <c r="K83" s="54"/>
      <c r="L83" s="54"/>
      <c r="M83" s="54"/>
      <c r="N83" s="55"/>
    </row>
    <row r="84" s="2" customFormat="1" customHeight="1" spans="2:14">
      <c r="B84" s="43">
        <v>9</v>
      </c>
      <c r="C84" s="44">
        <v>30</v>
      </c>
      <c r="D84" s="95" t="s">
        <v>360</v>
      </c>
      <c r="E84" s="51" t="s">
        <v>356</v>
      </c>
      <c r="F84" s="48">
        <f>K84</f>
        <v>0</v>
      </c>
      <c r="G84" s="48"/>
      <c r="H84" s="54"/>
      <c r="I84" s="54"/>
      <c r="J84" s="54"/>
      <c r="K84" s="54">
        <f>'直接投入-动力'!Q26</f>
        <v>0</v>
      </c>
      <c r="L84" s="54"/>
      <c r="M84" s="54"/>
      <c r="N84" s="55"/>
    </row>
    <row r="85" s="2" customFormat="1" customHeight="1" spans="2:14">
      <c r="B85" s="43">
        <v>9</v>
      </c>
      <c r="C85" s="44">
        <v>30</v>
      </c>
      <c r="D85" s="95" t="s">
        <v>360</v>
      </c>
      <c r="E85" s="49" t="s">
        <v>359</v>
      </c>
      <c r="F85" s="48">
        <f>N85</f>
        <v>0</v>
      </c>
      <c r="G85" s="48"/>
      <c r="H85" s="54"/>
      <c r="I85" s="54"/>
      <c r="J85" s="54"/>
      <c r="K85" s="54"/>
      <c r="L85" s="54"/>
      <c r="M85" s="54"/>
      <c r="N85" s="55">
        <f>其他费用!K11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>SUM(F79:F85)</f>
        <v>0</v>
      </c>
      <c r="G86" s="48">
        <f>SUM(G79:G85)</f>
        <v>0</v>
      </c>
      <c r="H86" s="54">
        <f>SUM(H79:H85)</f>
        <v>0</v>
      </c>
      <c r="I86" s="54">
        <f t="shared" ref="I86:N86" si="15">SUM(I79:I85)</f>
        <v>0</v>
      </c>
      <c r="J86" s="54">
        <f t="shared" si="15"/>
        <v>0</v>
      </c>
      <c r="K86" s="54">
        <f t="shared" si="15"/>
        <v>0</v>
      </c>
      <c r="L86" s="54">
        <f t="shared" si="15"/>
        <v>0</v>
      </c>
      <c r="M86" s="54">
        <f t="shared" si="15"/>
        <v>0</v>
      </c>
      <c r="N86" s="55">
        <f t="shared" si="1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16">F86+F78</f>
        <v>0</v>
      </c>
      <c r="G87" s="61">
        <f t="shared" si="16"/>
        <v>0</v>
      </c>
      <c r="H87" s="62">
        <f t="shared" si="16"/>
        <v>0</v>
      </c>
      <c r="I87" s="62">
        <f t="shared" si="16"/>
        <v>0</v>
      </c>
      <c r="J87" s="62">
        <f t="shared" si="16"/>
        <v>0</v>
      </c>
      <c r="K87" s="62">
        <f t="shared" si="16"/>
        <v>0</v>
      </c>
      <c r="L87" s="62">
        <f t="shared" si="16"/>
        <v>0</v>
      </c>
      <c r="M87" s="62">
        <f t="shared" si="16"/>
        <v>0</v>
      </c>
      <c r="N87" s="64">
        <f t="shared" si="16"/>
        <v>0</v>
      </c>
    </row>
    <row r="88" s="2" customFormat="1" customHeight="1" spans="2:14">
      <c r="B88" s="36">
        <v>10</v>
      </c>
      <c r="C88" s="37">
        <v>31</v>
      </c>
      <c r="D88" s="93" t="s">
        <v>360</v>
      </c>
      <c r="E88" s="39" t="s">
        <v>361</v>
      </c>
      <c r="F88" s="40">
        <f>G88</f>
        <v>0</v>
      </c>
      <c r="G88" s="40">
        <f>'人员人工-研发人员工资'!Z472</f>
        <v>0</v>
      </c>
      <c r="H88" s="78"/>
      <c r="I88" s="78"/>
      <c r="J88" s="78"/>
      <c r="K88" s="78"/>
      <c r="L88" s="78"/>
      <c r="M88" s="78"/>
      <c r="N88" s="94"/>
    </row>
    <row r="89" s="2" customFormat="1" customHeight="1" spans="2:14">
      <c r="B89" s="43">
        <v>10</v>
      </c>
      <c r="C89" s="44">
        <v>31</v>
      </c>
      <c r="D89" s="95" t="s">
        <v>360</v>
      </c>
      <c r="E89" s="46" t="s">
        <v>362</v>
      </c>
      <c r="F89" s="47">
        <f>G89</f>
        <v>0</v>
      </c>
      <c r="G89" s="47">
        <f>'人员人工-研发人员社保'!Z472</f>
        <v>0</v>
      </c>
      <c r="H89" s="41"/>
      <c r="I89" s="41"/>
      <c r="J89" s="41"/>
      <c r="K89" s="41"/>
      <c r="L89" s="41"/>
      <c r="M89" s="41"/>
      <c r="N89" s="42"/>
    </row>
    <row r="90" s="2" customFormat="1" customHeight="1" spans="2:14">
      <c r="B90" s="43">
        <v>10</v>
      </c>
      <c r="C90" s="44">
        <v>31</v>
      </c>
      <c r="D90" s="95" t="s">
        <v>360</v>
      </c>
      <c r="E90" s="46" t="s">
        <v>363</v>
      </c>
      <c r="F90" s="47">
        <f>G90</f>
        <v>0</v>
      </c>
      <c r="G90" s="47">
        <f>'人员人工-研发人员公积金'!Z472</f>
        <v>0</v>
      </c>
      <c r="H90" s="41"/>
      <c r="I90" s="41"/>
      <c r="J90" s="41"/>
      <c r="K90" s="41"/>
      <c r="L90" s="41"/>
      <c r="M90" s="41"/>
      <c r="N90" s="42"/>
    </row>
    <row r="91" s="2" customFormat="1" customHeight="1" spans="2:14">
      <c r="B91" s="43">
        <v>10</v>
      </c>
      <c r="C91" s="44">
        <v>31</v>
      </c>
      <c r="D91" s="95" t="s">
        <v>360</v>
      </c>
      <c r="E91" s="49" t="s">
        <v>364</v>
      </c>
      <c r="F91" s="47">
        <f>H91</f>
        <v>0</v>
      </c>
      <c r="G91" s="48"/>
      <c r="H91" s="54">
        <f>'直接投入-领料'!L13</f>
        <v>0</v>
      </c>
      <c r="I91" s="54"/>
      <c r="J91" s="54"/>
      <c r="K91" s="54"/>
      <c r="L91" s="54"/>
      <c r="M91" s="54"/>
      <c r="N91" s="55"/>
    </row>
    <row r="92" s="2" customFormat="1" customHeight="1" spans="2:14">
      <c r="B92" s="43">
        <v>10</v>
      </c>
      <c r="C92" s="44">
        <v>31</v>
      </c>
      <c r="D92" s="95" t="s">
        <v>360</v>
      </c>
      <c r="E92" s="49" t="s">
        <v>365</v>
      </c>
      <c r="F92" s="48">
        <f>I92</f>
        <v>0</v>
      </c>
      <c r="G92" s="48"/>
      <c r="H92" s="54"/>
      <c r="I92" s="54">
        <f>研发设备折旧表3!AB309</f>
        <v>0</v>
      </c>
      <c r="J92" s="54"/>
      <c r="K92" s="54"/>
      <c r="L92" s="54"/>
      <c r="M92" s="54"/>
      <c r="N92" s="55"/>
    </row>
    <row r="93" s="2" customFormat="1" customHeight="1" spans="2:14">
      <c r="B93" s="43">
        <v>10</v>
      </c>
      <c r="C93" s="44">
        <v>31</v>
      </c>
      <c r="D93" s="95" t="s">
        <v>360</v>
      </c>
      <c r="E93" s="51" t="s">
        <v>356</v>
      </c>
      <c r="F93" s="48">
        <f>K93</f>
        <v>0</v>
      </c>
      <c r="G93" s="48"/>
      <c r="H93" s="54"/>
      <c r="I93" s="54"/>
      <c r="J93" s="54"/>
      <c r="K93" s="54">
        <f>'直接投入-动力'!Q27</f>
        <v>0</v>
      </c>
      <c r="L93" s="54"/>
      <c r="M93" s="54"/>
      <c r="N93" s="55"/>
    </row>
    <row r="94" s="2" customFormat="1" customHeight="1" spans="2:14">
      <c r="B94" s="43">
        <v>10</v>
      </c>
      <c r="C94" s="44">
        <v>31</v>
      </c>
      <c r="D94" s="95" t="s">
        <v>360</v>
      </c>
      <c r="E94" s="49" t="s">
        <v>359</v>
      </c>
      <c r="F94" s="48">
        <f>N94</f>
        <v>0</v>
      </c>
      <c r="G94" s="48"/>
      <c r="H94" s="54"/>
      <c r="I94" s="54"/>
      <c r="J94" s="54"/>
      <c r="K94" s="54"/>
      <c r="L94" s="54"/>
      <c r="M94" s="54"/>
      <c r="N94" s="55">
        <f>其他费用!K12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>SUM(F88:F94)</f>
        <v>0</v>
      </c>
      <c r="G95" s="48">
        <f t="shared" ref="G95:N95" si="17">SUM(G88:G94)</f>
        <v>0</v>
      </c>
      <c r="H95" s="54">
        <f t="shared" si="17"/>
        <v>0</v>
      </c>
      <c r="I95" s="54">
        <f t="shared" si="17"/>
        <v>0</v>
      </c>
      <c r="J95" s="54">
        <f t="shared" si="17"/>
        <v>0</v>
      </c>
      <c r="K95" s="54">
        <f t="shared" si="17"/>
        <v>0</v>
      </c>
      <c r="L95" s="60">
        <f t="shared" si="17"/>
        <v>0</v>
      </c>
      <c r="M95" s="60">
        <f t="shared" si="17"/>
        <v>0</v>
      </c>
      <c r="N95" s="55">
        <f t="shared" si="17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>G87+G95</f>
        <v>0</v>
      </c>
      <c r="H96" s="62">
        <f>H87+H95</f>
        <v>0</v>
      </c>
      <c r="I96" s="62">
        <f t="shared" ref="I96:N96" si="18">I87+I95</f>
        <v>0</v>
      </c>
      <c r="J96" s="62">
        <f t="shared" si="18"/>
        <v>0</v>
      </c>
      <c r="K96" s="62">
        <f t="shared" si="18"/>
        <v>0</v>
      </c>
      <c r="L96" s="62">
        <f t="shared" si="18"/>
        <v>0</v>
      </c>
      <c r="M96" s="62">
        <f t="shared" si="18"/>
        <v>0</v>
      </c>
      <c r="N96" s="64">
        <f t="shared" si="18"/>
        <v>0</v>
      </c>
    </row>
    <row r="97" s="3" customFormat="1" customHeight="1" spans="2:14">
      <c r="B97" s="36">
        <v>11</v>
      </c>
      <c r="C97" s="37">
        <v>30</v>
      </c>
      <c r="D97" s="93" t="s">
        <v>360</v>
      </c>
      <c r="E97" s="39" t="s">
        <v>361</v>
      </c>
      <c r="F97" s="40">
        <f>G97</f>
        <v>0</v>
      </c>
      <c r="G97" s="40">
        <f>'人员人工-研发人员工资'!Z473</f>
        <v>0</v>
      </c>
      <c r="H97" s="98"/>
      <c r="I97" s="98"/>
      <c r="J97" s="98"/>
      <c r="K97" s="98"/>
      <c r="L97" s="98"/>
      <c r="M97" s="98"/>
      <c r="N97" s="99"/>
    </row>
    <row r="98" s="3" customFormat="1" customHeight="1" spans="2:14">
      <c r="B98" s="43">
        <v>11</v>
      </c>
      <c r="C98" s="44">
        <v>30</v>
      </c>
      <c r="D98" s="95" t="s">
        <v>360</v>
      </c>
      <c r="E98" s="46" t="s">
        <v>362</v>
      </c>
      <c r="F98" s="66">
        <f>G98</f>
        <v>0</v>
      </c>
      <c r="G98" s="47">
        <f>'人员人工-研发人员社保'!Z473</f>
        <v>0</v>
      </c>
      <c r="H98" s="98"/>
      <c r="I98" s="98"/>
      <c r="J98" s="98"/>
      <c r="K98" s="98"/>
      <c r="L98" s="98"/>
      <c r="M98" s="98"/>
      <c r="N98" s="99"/>
    </row>
    <row r="99" s="3" customFormat="1" customHeight="1" spans="2:14">
      <c r="B99" s="43">
        <v>11</v>
      </c>
      <c r="C99" s="44">
        <v>30</v>
      </c>
      <c r="D99" s="95" t="s">
        <v>360</v>
      </c>
      <c r="E99" s="46" t="s">
        <v>363</v>
      </c>
      <c r="F99" s="66">
        <f>G99</f>
        <v>0</v>
      </c>
      <c r="G99" s="47">
        <f>'人员人工-研发人员公积金'!Z473</f>
        <v>0</v>
      </c>
      <c r="H99" s="98"/>
      <c r="I99" s="98"/>
      <c r="J99" s="98"/>
      <c r="K99" s="98"/>
      <c r="L99" s="98"/>
      <c r="M99" s="98"/>
      <c r="N99" s="99"/>
    </row>
    <row r="100" s="3" customFormat="1" customHeight="1" spans="2:14">
      <c r="B100" s="43">
        <v>11</v>
      </c>
      <c r="C100" s="44">
        <v>30</v>
      </c>
      <c r="D100" s="95" t="s">
        <v>360</v>
      </c>
      <c r="E100" s="49" t="s">
        <v>364</v>
      </c>
      <c r="F100" s="66">
        <f>H100</f>
        <v>0</v>
      </c>
      <c r="G100" s="67"/>
      <c r="H100" s="54">
        <f>'直接投入-领料'!M13</f>
        <v>0</v>
      </c>
      <c r="I100" s="68"/>
      <c r="J100" s="68"/>
      <c r="K100" s="68"/>
      <c r="L100" s="68"/>
      <c r="M100" s="68"/>
      <c r="N100" s="69"/>
    </row>
    <row r="101" s="3" customFormat="1" customHeight="1" spans="2:14">
      <c r="B101" s="43">
        <v>11</v>
      </c>
      <c r="C101" s="44">
        <v>30</v>
      </c>
      <c r="D101" s="95" t="s">
        <v>360</v>
      </c>
      <c r="E101" s="49" t="s">
        <v>365</v>
      </c>
      <c r="F101" s="67">
        <f>I101</f>
        <v>0</v>
      </c>
      <c r="G101" s="67"/>
      <c r="H101" s="68"/>
      <c r="I101" s="54">
        <f>研发设备折旧表3!AB340</f>
        <v>0</v>
      </c>
      <c r="J101" s="68"/>
      <c r="K101" s="68"/>
      <c r="L101" s="68"/>
      <c r="M101" s="68"/>
      <c r="N101" s="69"/>
    </row>
    <row r="102" s="3" customFormat="1" customHeight="1" spans="2:14">
      <c r="B102" s="43">
        <v>11</v>
      </c>
      <c r="C102" s="44">
        <v>30</v>
      </c>
      <c r="D102" s="95" t="s">
        <v>360</v>
      </c>
      <c r="E102" s="51" t="s">
        <v>356</v>
      </c>
      <c r="F102" s="67">
        <f>K102</f>
        <v>0</v>
      </c>
      <c r="G102" s="67"/>
      <c r="H102" s="68"/>
      <c r="I102" s="68"/>
      <c r="J102" s="68"/>
      <c r="K102" s="68">
        <f>'直接投入-动力'!Q28</f>
        <v>0</v>
      </c>
      <c r="L102" s="68"/>
      <c r="M102" s="68"/>
      <c r="N102" s="69"/>
    </row>
    <row r="103" s="3" customFormat="1" customHeight="1" spans="2:14">
      <c r="B103" s="43">
        <v>11</v>
      </c>
      <c r="C103" s="44">
        <v>30</v>
      </c>
      <c r="D103" s="95" t="s">
        <v>360</v>
      </c>
      <c r="E103" s="49" t="s">
        <v>359</v>
      </c>
      <c r="F103" s="67">
        <f>N103</f>
        <v>0</v>
      </c>
      <c r="G103" s="67"/>
      <c r="H103" s="68"/>
      <c r="I103" s="68"/>
      <c r="J103" s="68"/>
      <c r="K103" s="68"/>
      <c r="L103" s="68"/>
      <c r="M103" s="68"/>
      <c r="N103" s="69">
        <f>其他费用!K13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>SUM(F97:F103)</f>
        <v>0</v>
      </c>
      <c r="G104" s="67">
        <f>SUM(G97:G103)</f>
        <v>0</v>
      </c>
      <c r="H104" s="68">
        <f>SUM(H97:H103)</f>
        <v>0</v>
      </c>
      <c r="I104" s="68">
        <f t="shared" ref="I104:N104" si="19">SUM(I97:I103)</f>
        <v>0</v>
      </c>
      <c r="J104" s="68">
        <f t="shared" si="19"/>
        <v>0</v>
      </c>
      <c r="K104" s="68">
        <f t="shared" si="19"/>
        <v>0</v>
      </c>
      <c r="L104" s="68">
        <f t="shared" si="19"/>
        <v>0</v>
      </c>
      <c r="M104" s="68">
        <f t="shared" si="19"/>
        <v>0</v>
      </c>
      <c r="N104" s="69">
        <f t="shared" si="19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20">F104+F96</f>
        <v>0</v>
      </c>
      <c r="G105" s="61">
        <f t="shared" si="20"/>
        <v>0</v>
      </c>
      <c r="H105" s="62">
        <f t="shared" si="20"/>
        <v>0</v>
      </c>
      <c r="I105" s="62">
        <f t="shared" si="20"/>
        <v>0</v>
      </c>
      <c r="J105" s="62">
        <f t="shared" si="20"/>
        <v>0</v>
      </c>
      <c r="K105" s="62">
        <f t="shared" si="20"/>
        <v>0</v>
      </c>
      <c r="L105" s="62">
        <f t="shared" si="20"/>
        <v>0</v>
      </c>
      <c r="M105" s="62">
        <f t="shared" si="20"/>
        <v>0</v>
      </c>
      <c r="N105" s="64">
        <f t="shared" si="20"/>
        <v>0</v>
      </c>
    </row>
    <row r="106" s="3" customFormat="1" customHeight="1" spans="2:14">
      <c r="B106" s="36">
        <v>12</v>
      </c>
      <c r="C106" s="37">
        <v>31</v>
      </c>
      <c r="D106" s="93" t="s">
        <v>360</v>
      </c>
      <c r="E106" s="39" t="s">
        <v>361</v>
      </c>
      <c r="F106" s="40">
        <f>G106</f>
        <v>0</v>
      </c>
      <c r="G106" s="40">
        <f>'人员人工-研发人员工资'!Z474</f>
        <v>0</v>
      </c>
      <c r="H106" s="98"/>
      <c r="I106" s="98"/>
      <c r="J106" s="98"/>
      <c r="K106" s="98"/>
      <c r="L106" s="98"/>
      <c r="M106" s="98"/>
      <c r="N106" s="99"/>
    </row>
    <row r="107" s="3" customFormat="1" customHeight="1" spans="2:14">
      <c r="B107" s="43">
        <v>12</v>
      </c>
      <c r="C107" s="44">
        <v>31</v>
      </c>
      <c r="D107" s="95" t="s">
        <v>360</v>
      </c>
      <c r="E107" s="46" t="s">
        <v>362</v>
      </c>
      <c r="F107" s="66">
        <f>G107</f>
        <v>0</v>
      </c>
      <c r="G107" s="47">
        <f>'人员人工-研发人员社保'!Z474</f>
        <v>0</v>
      </c>
      <c r="H107" s="98"/>
      <c r="I107" s="98"/>
      <c r="J107" s="98"/>
      <c r="K107" s="98"/>
      <c r="L107" s="98"/>
      <c r="M107" s="98"/>
      <c r="N107" s="99"/>
    </row>
    <row r="108" s="3" customFormat="1" customHeight="1" spans="2:14">
      <c r="B108" s="43">
        <v>12</v>
      </c>
      <c r="C108" s="44">
        <v>31</v>
      </c>
      <c r="D108" s="95" t="s">
        <v>360</v>
      </c>
      <c r="E108" s="46" t="s">
        <v>363</v>
      </c>
      <c r="F108" s="66">
        <f>G108</f>
        <v>0</v>
      </c>
      <c r="G108" s="47">
        <f>'人员人工-研发人员公积金'!Z474</f>
        <v>0</v>
      </c>
      <c r="H108" s="98"/>
      <c r="I108" s="98"/>
      <c r="J108" s="98"/>
      <c r="K108" s="98"/>
      <c r="L108" s="98"/>
      <c r="M108" s="98"/>
      <c r="N108" s="99"/>
    </row>
    <row r="109" s="3" customFormat="1" customHeight="1" spans="2:14">
      <c r="B109" s="43">
        <v>12</v>
      </c>
      <c r="C109" s="44">
        <v>31</v>
      </c>
      <c r="D109" s="95" t="s">
        <v>360</v>
      </c>
      <c r="E109" s="49" t="s">
        <v>364</v>
      </c>
      <c r="F109" s="66">
        <f>H109</f>
        <v>0</v>
      </c>
      <c r="G109" s="67"/>
      <c r="H109" s="54">
        <f>'直接投入-领料'!N13</f>
        <v>0</v>
      </c>
      <c r="I109" s="68"/>
      <c r="J109" s="68"/>
      <c r="K109" s="68"/>
      <c r="L109" s="68"/>
      <c r="M109" s="68"/>
      <c r="N109" s="69"/>
    </row>
    <row r="110" s="3" customFormat="1" customHeight="1" spans="2:14">
      <c r="B110" s="43">
        <v>12</v>
      </c>
      <c r="C110" s="44">
        <v>31</v>
      </c>
      <c r="D110" s="95" t="s">
        <v>360</v>
      </c>
      <c r="E110" s="49" t="s">
        <v>365</v>
      </c>
      <c r="F110" s="67">
        <f>I110</f>
        <v>0</v>
      </c>
      <c r="G110" s="67"/>
      <c r="H110" s="68"/>
      <c r="I110" s="54">
        <f>研发设备折旧表3!AB371</f>
        <v>0</v>
      </c>
      <c r="J110" s="68"/>
      <c r="K110" s="68"/>
      <c r="L110" s="68"/>
      <c r="M110" s="68"/>
      <c r="N110" s="69"/>
    </row>
    <row r="111" s="3" customFormat="1" customHeight="1" spans="2:14">
      <c r="B111" s="43">
        <v>12</v>
      </c>
      <c r="C111" s="44">
        <v>31</v>
      </c>
      <c r="D111" s="95" t="s">
        <v>360</v>
      </c>
      <c r="E111" s="51" t="s">
        <v>356</v>
      </c>
      <c r="F111" s="67">
        <f>K111</f>
        <v>0</v>
      </c>
      <c r="G111" s="67"/>
      <c r="H111" s="68"/>
      <c r="I111" s="68"/>
      <c r="J111" s="68"/>
      <c r="K111" s="68">
        <f>'直接投入-动力'!Q29</f>
        <v>0</v>
      </c>
      <c r="L111" s="68"/>
      <c r="M111" s="68"/>
      <c r="N111" s="69"/>
    </row>
    <row r="112" s="3" customFormat="1" customHeight="1" spans="2:14">
      <c r="B112" s="43">
        <v>12</v>
      </c>
      <c r="C112" s="44">
        <v>31</v>
      </c>
      <c r="D112" s="95" t="s">
        <v>360</v>
      </c>
      <c r="E112" s="49" t="s">
        <v>359</v>
      </c>
      <c r="F112" s="67">
        <f>N112</f>
        <v>0</v>
      </c>
      <c r="G112" s="67"/>
      <c r="H112" s="68"/>
      <c r="I112" s="68"/>
      <c r="J112" s="68"/>
      <c r="K112" s="68"/>
      <c r="L112" s="68"/>
      <c r="M112" s="68"/>
      <c r="N112" s="69">
        <f>其他费用!K14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>SUM(F106:F112)</f>
        <v>0</v>
      </c>
      <c r="G113" s="67">
        <f>SUM(G106:G112)</f>
        <v>0</v>
      </c>
      <c r="H113" s="68">
        <f>SUM(H106:H112)</f>
        <v>0</v>
      </c>
      <c r="I113" s="68">
        <f t="shared" ref="I113:N113" si="21">SUM(I106:I112)</f>
        <v>0</v>
      </c>
      <c r="J113" s="68">
        <f t="shared" si="21"/>
        <v>0</v>
      </c>
      <c r="K113" s="68">
        <f t="shared" si="21"/>
        <v>0</v>
      </c>
      <c r="L113" s="68">
        <f t="shared" si="21"/>
        <v>0</v>
      </c>
      <c r="M113" s="68">
        <f t="shared" si="21"/>
        <v>0</v>
      </c>
      <c r="N113" s="69">
        <f t="shared" si="21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>F113+F105</f>
        <v>0</v>
      </c>
      <c r="G114" s="61">
        <f t="shared" ref="F114:N114" si="22">G113+G105</f>
        <v>0</v>
      </c>
      <c r="H114" s="62">
        <f t="shared" si="22"/>
        <v>0</v>
      </c>
      <c r="I114" s="62">
        <f t="shared" si="22"/>
        <v>0</v>
      </c>
      <c r="J114" s="62">
        <f t="shared" si="22"/>
        <v>0</v>
      </c>
      <c r="K114" s="62">
        <f t="shared" si="22"/>
        <v>0</v>
      </c>
      <c r="L114" s="62">
        <f t="shared" si="22"/>
        <v>0</v>
      </c>
      <c r="M114" s="62">
        <f t="shared" si="22"/>
        <v>0</v>
      </c>
      <c r="N114" s="64">
        <f t="shared" si="22"/>
        <v>0</v>
      </c>
    </row>
    <row r="115" customHeight="1" spans="2:14">
      <c r="F115" s="71"/>
    </row>
    <row r="119" customHeight="1" spans="2:14">
      <c r="G119" s="71"/>
    </row>
    <row r="120" customHeight="1" spans="2:14">
      <c r="G120" s="71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70" orientation="portrait" horizontalDpi="2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Q110"/>
  <sheetViews>
    <sheetView showZeros="0" view="pageBreakPreview" zoomScaleNormal="100" topLeftCell="B32" workbookViewId="0">
      <selection activeCell="H11" sqref="H11"/>
    </sheetView>
  </sheetViews>
  <sheetFormatPr defaultColWidth="9" defaultRowHeight="15" customHeight="1"/>
  <cols>
    <col min="1" max="1" width="3.62962962962963" hidden="1" customWidth="1"/>
    <col min="2" max="3" width="3" style="1" customWidth="1"/>
    <col min="4" max="4" width="11.1296296296296" style="72" customWidth="1"/>
    <col min="5" max="5" width="21.1296296296296" style="6" customWidth="1"/>
    <col min="6" max="6" width="11.75" style="7" customWidth="1"/>
    <col min="7" max="15" width="10.1296296296296" style="7" customWidth="1"/>
    <col min="16" max="16" width="10.1296296296296" style="8" customWidth="1"/>
    <col min="27" max="16384" width="9" style="1"/>
  </cols>
  <sheetData>
    <row r="1" s="1" customFormat="1" hidden="1" customHeight="1"/>
    <row r="2" s="1" customFormat="1" hidden="1" customHeight="1"/>
    <row r="3" s="1" customFormat="1" hidden="1" customHeight="1"/>
    <row r="4" s="1" customFormat="1" hidden="1" customHeight="1" spans="2:17">
      <c r="B4" s="18"/>
      <c r="C4" s="18"/>
      <c r="D4" s="73"/>
      <c r="E4" s="18"/>
      <c r="F4" s="2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="1" customFormat="1" customHeight="1" spans="2:17">
      <c r="B5" s="21">
        <v>25</v>
      </c>
      <c r="C5" s="22" t="s">
        <v>347</v>
      </c>
      <c r="D5" s="74" t="s">
        <v>348</v>
      </c>
      <c r="E5" s="24" t="s">
        <v>349</v>
      </c>
      <c r="F5" s="25" t="s">
        <v>350</v>
      </c>
      <c r="G5" s="26" t="s">
        <v>370</v>
      </c>
      <c r="H5" s="27"/>
      <c r="I5" s="27"/>
      <c r="J5" s="27"/>
      <c r="K5" s="27"/>
      <c r="L5" s="27"/>
      <c r="M5" s="27"/>
      <c r="N5" s="27"/>
      <c r="O5" s="27"/>
      <c r="P5" s="28"/>
    </row>
    <row r="6" s="1" customFormat="1" customHeight="1" spans="2:17">
      <c r="B6" s="29"/>
      <c r="C6" s="30"/>
      <c r="D6" s="75"/>
      <c r="E6" s="32"/>
      <c r="F6" s="33"/>
      <c r="G6" s="34" t="str">
        <f>立项!A3</f>
        <v>RD01</v>
      </c>
      <c r="H6" s="34" t="str">
        <f>立项!A4</f>
        <v>RD02</v>
      </c>
      <c r="I6" s="34" t="str">
        <f>立项!A5</f>
        <v>RD03</v>
      </c>
      <c r="J6" s="34" t="str">
        <f>立项!A6</f>
        <v>RD04</v>
      </c>
      <c r="K6" s="34" t="str">
        <f>立项!A7</f>
        <v>RD05</v>
      </c>
      <c r="L6" s="34" t="str">
        <f>立项!A8</f>
        <v>RD06</v>
      </c>
      <c r="M6" s="34" t="str">
        <f>立项!A9</f>
        <v>RD07</v>
      </c>
      <c r="N6" s="76" t="str">
        <f>立项!A10</f>
        <v>RD08</v>
      </c>
      <c r="O6" s="76" t="str">
        <f>立项!A11</f>
        <v>RD09</v>
      </c>
      <c r="P6" s="35" t="str">
        <f>立项!A12</f>
        <v>RD10</v>
      </c>
    </row>
    <row r="7" s="2" customFormat="1" customHeight="1" spans="2:17">
      <c r="B7" s="36">
        <v>1</v>
      </c>
      <c r="C7" s="37">
        <v>31</v>
      </c>
      <c r="D7" s="77" t="str">
        <f>RD01!D7</f>
        <v>记-</v>
      </c>
      <c r="E7" s="39" t="s">
        <v>361</v>
      </c>
      <c r="F7" s="40">
        <f t="shared" ref="F7:F18" si="0">SUM(G7:P7)</f>
        <v>0</v>
      </c>
      <c r="G7" s="40">
        <f>RD01!F7</f>
        <v>0</v>
      </c>
      <c r="H7" s="78">
        <f>RD02!F7</f>
        <v>0</v>
      </c>
      <c r="I7" s="78">
        <f>RD03!F7</f>
        <v>0</v>
      </c>
      <c r="J7" s="78">
        <f>RD04!F7</f>
        <v>0</v>
      </c>
      <c r="K7" s="78">
        <f>RD05!F7</f>
        <v>0</v>
      </c>
      <c r="L7" s="78">
        <f>RD06!F7</f>
        <v>0</v>
      </c>
      <c r="M7" s="78">
        <f>RD07!F7</f>
        <v>0</v>
      </c>
      <c r="N7" s="78">
        <f>RD08!F7</f>
        <v>0</v>
      </c>
      <c r="O7" s="78">
        <f>RD09!F7</f>
        <v>0</v>
      </c>
      <c r="P7" s="79">
        <f>RD10!F7</f>
        <v>0</v>
      </c>
    </row>
    <row r="8" s="2" customFormat="1" customHeight="1" spans="2:17">
      <c r="B8" s="43">
        <v>2</v>
      </c>
      <c r="C8" s="44">
        <v>28</v>
      </c>
      <c r="D8" s="80" t="str">
        <f>RD01!D16</f>
        <v>记-</v>
      </c>
      <c r="E8" s="46" t="s">
        <v>371</v>
      </c>
      <c r="F8" s="47">
        <f t="shared" si="0"/>
        <v>0</v>
      </c>
      <c r="G8" s="47">
        <f>RD01!F16</f>
        <v>0</v>
      </c>
      <c r="H8" s="41">
        <f>RD02!F16</f>
        <v>0</v>
      </c>
      <c r="I8" s="41">
        <f>RD03!F16</f>
        <v>0</v>
      </c>
      <c r="J8" s="41">
        <f>RD04!F16</f>
        <v>0</v>
      </c>
      <c r="K8" s="41">
        <f>RD05!F16</f>
        <v>0</v>
      </c>
      <c r="L8" s="41">
        <f>RD06!F16</f>
        <v>0</v>
      </c>
      <c r="M8" s="41">
        <f>RD07!F16</f>
        <v>0</v>
      </c>
      <c r="N8" s="41">
        <f>RD08!F16</f>
        <v>0</v>
      </c>
      <c r="O8" s="41">
        <f>RD09!F16</f>
        <v>0</v>
      </c>
      <c r="P8" s="81">
        <f>RD10!F16</f>
        <v>0</v>
      </c>
    </row>
    <row r="9" s="2" customFormat="1" customHeight="1" spans="2:17">
      <c r="B9" s="43">
        <v>3</v>
      </c>
      <c r="C9" s="44">
        <v>31</v>
      </c>
      <c r="D9" s="80" t="str">
        <f>RD01!D25</f>
        <v>记-</v>
      </c>
      <c r="E9" s="46" t="s">
        <v>371</v>
      </c>
      <c r="F9" s="47">
        <f t="shared" si="0"/>
        <v>0</v>
      </c>
      <c r="G9" s="47">
        <f>RD01!F25</f>
        <v>0</v>
      </c>
      <c r="H9" s="41">
        <f>RD02!F25</f>
        <v>0</v>
      </c>
      <c r="I9" s="41">
        <f>RD03!F25</f>
        <v>0</v>
      </c>
      <c r="J9" s="41">
        <f>RD04!F25</f>
        <v>0</v>
      </c>
      <c r="K9" s="41">
        <f>RD05!F25</f>
        <v>0</v>
      </c>
      <c r="L9" s="41">
        <f>RD06!F25</f>
        <v>0</v>
      </c>
      <c r="M9" s="41">
        <f>RD07!F25</f>
        <v>0</v>
      </c>
      <c r="N9" s="41">
        <f>RD08!F25</f>
        <v>0</v>
      </c>
      <c r="O9" s="41">
        <f>RD09!F25</f>
        <v>0</v>
      </c>
      <c r="P9" s="81">
        <f>RD10!F25</f>
        <v>0</v>
      </c>
    </row>
    <row r="10" s="2" customFormat="1" customHeight="1" spans="2:17">
      <c r="B10" s="43">
        <v>4</v>
      </c>
      <c r="C10" s="44">
        <v>30</v>
      </c>
      <c r="D10" s="80" t="str">
        <f>RD01!D34</f>
        <v>记-</v>
      </c>
      <c r="E10" s="46" t="s">
        <v>371</v>
      </c>
      <c r="F10" s="47">
        <f t="shared" si="0"/>
        <v>0</v>
      </c>
      <c r="G10" s="47">
        <f>RD01!F34</f>
        <v>0</v>
      </c>
      <c r="H10" s="41">
        <f>RD02!F34</f>
        <v>0</v>
      </c>
      <c r="I10" s="41">
        <f>RD03!F34</f>
        <v>0</v>
      </c>
      <c r="J10" s="41">
        <f>RD04!F34</f>
        <v>0</v>
      </c>
      <c r="K10" s="41">
        <f>RD05!F34</f>
        <v>0</v>
      </c>
      <c r="L10" s="41">
        <f>RD06!F34</f>
        <v>0</v>
      </c>
      <c r="M10" s="41">
        <f>RD07!F34</f>
        <v>0</v>
      </c>
      <c r="N10" s="41">
        <f>RD08!F34</f>
        <v>0</v>
      </c>
      <c r="O10" s="41">
        <f>RD09!F34</f>
        <v>0</v>
      </c>
      <c r="P10" s="81">
        <f>RD10!F34</f>
        <v>0</v>
      </c>
      <c r="Q10" s="50"/>
    </row>
    <row r="11" s="2" customFormat="1" customHeight="1" spans="2:17">
      <c r="B11" s="43">
        <v>5</v>
      </c>
      <c r="C11" s="44">
        <v>31</v>
      </c>
      <c r="D11" s="80" t="str">
        <f>RD01!D43</f>
        <v>记-</v>
      </c>
      <c r="E11" s="46" t="s">
        <v>371</v>
      </c>
      <c r="F11" s="47">
        <f t="shared" si="0"/>
        <v>0</v>
      </c>
      <c r="G11" s="47">
        <f>RD01!F43</f>
        <v>0</v>
      </c>
      <c r="H11" s="41">
        <f>RD02!F43</f>
        <v>0</v>
      </c>
      <c r="I11" s="41">
        <f>RD03!F43</f>
        <v>0</v>
      </c>
      <c r="J11" s="41">
        <f>RD04!F43</f>
        <v>0</v>
      </c>
      <c r="K11" s="41">
        <f>RD05!F43</f>
        <v>0</v>
      </c>
      <c r="L11" s="41">
        <f>RD06!F43</f>
        <v>0</v>
      </c>
      <c r="M11" s="41">
        <f>RD07!F43</f>
        <v>0</v>
      </c>
      <c r="N11" s="41">
        <f>RD08!F43</f>
        <v>0</v>
      </c>
      <c r="O11" s="41">
        <f>RD09!F43</f>
        <v>0</v>
      </c>
      <c r="P11" s="81">
        <f>RD10!F43</f>
        <v>0</v>
      </c>
      <c r="Q11" s="50"/>
    </row>
    <row r="12" s="2" customFormat="1" customHeight="1" spans="2:17">
      <c r="B12" s="43">
        <v>6</v>
      </c>
      <c r="C12" s="44">
        <v>30</v>
      </c>
      <c r="D12" s="80" t="str">
        <f>RD01!D52</f>
        <v>记-</v>
      </c>
      <c r="E12" s="46" t="s">
        <v>371</v>
      </c>
      <c r="F12" s="47">
        <f t="shared" si="0"/>
        <v>0</v>
      </c>
      <c r="G12" s="47">
        <f>RD01!F52</f>
        <v>0</v>
      </c>
      <c r="H12" s="41">
        <f>RD02!F52</f>
        <v>0</v>
      </c>
      <c r="I12" s="41">
        <f>RD03!F52</f>
        <v>0</v>
      </c>
      <c r="J12" s="41">
        <f>RD04!F52</f>
        <v>0</v>
      </c>
      <c r="K12" s="41">
        <f>RD05!F52</f>
        <v>0</v>
      </c>
      <c r="L12" s="41">
        <f>RD06!F52</f>
        <v>0</v>
      </c>
      <c r="M12" s="41">
        <f>RD07!F52</f>
        <v>0</v>
      </c>
      <c r="N12" s="41">
        <f>RD08!F52</f>
        <v>0</v>
      </c>
      <c r="O12" s="41">
        <f>RD09!F52</f>
        <v>0</v>
      </c>
      <c r="P12" s="81">
        <f>RD10!F52</f>
        <v>0</v>
      </c>
      <c r="Q12" s="50"/>
    </row>
    <row r="13" s="2" customFormat="1" customHeight="1" spans="2:17">
      <c r="B13" s="43">
        <v>7</v>
      </c>
      <c r="C13" s="44">
        <v>31</v>
      </c>
      <c r="D13" s="80" t="str">
        <f>RD01!D61</f>
        <v>记-</v>
      </c>
      <c r="E13" s="46" t="s">
        <v>371</v>
      </c>
      <c r="F13" s="47">
        <f t="shared" si="0"/>
        <v>0</v>
      </c>
      <c r="G13" s="47">
        <f>RD01!F61</f>
        <v>0</v>
      </c>
      <c r="H13" s="41">
        <f>RD02!F61</f>
        <v>0</v>
      </c>
      <c r="I13" s="41">
        <f>RD03!F61</f>
        <v>0</v>
      </c>
      <c r="J13" s="41">
        <f>RD04!F61</f>
        <v>0</v>
      </c>
      <c r="K13" s="41">
        <f>RD05!F61</f>
        <v>0</v>
      </c>
      <c r="L13" s="41">
        <f>RD06!F61</f>
        <v>0</v>
      </c>
      <c r="M13" s="41">
        <f>RD07!F61</f>
        <v>0</v>
      </c>
      <c r="N13" s="41">
        <f>RD08!F61</f>
        <v>0</v>
      </c>
      <c r="O13" s="41">
        <f>RD09!F61</f>
        <v>0</v>
      </c>
      <c r="P13" s="81">
        <f>RD10!F61</f>
        <v>0</v>
      </c>
      <c r="Q13" s="50"/>
    </row>
    <row r="14" s="2" customFormat="1" customHeight="1" spans="2:17">
      <c r="B14" s="43">
        <v>8</v>
      </c>
      <c r="C14" s="44">
        <v>31</v>
      </c>
      <c r="D14" s="80" t="str">
        <f>RD01!D70</f>
        <v>记-</v>
      </c>
      <c r="E14" s="46" t="s">
        <v>371</v>
      </c>
      <c r="F14" s="47">
        <f t="shared" si="0"/>
        <v>0</v>
      </c>
      <c r="G14" s="47">
        <f>RD01!F70</f>
        <v>0</v>
      </c>
      <c r="H14" s="41">
        <f>RD02!F70</f>
        <v>0</v>
      </c>
      <c r="I14" s="41">
        <f>RD03!F70</f>
        <v>0</v>
      </c>
      <c r="J14" s="41">
        <f>RD04!F70</f>
        <v>0</v>
      </c>
      <c r="K14" s="41">
        <f>RD05!F70</f>
        <v>0</v>
      </c>
      <c r="L14" s="41">
        <f>RD06!F70</f>
        <v>0</v>
      </c>
      <c r="M14" s="41">
        <f>RD07!F70</f>
        <v>0</v>
      </c>
      <c r="N14" s="41">
        <f>RD08!F70</f>
        <v>0</v>
      </c>
      <c r="O14" s="41">
        <f>RD09!F70</f>
        <v>0</v>
      </c>
      <c r="P14" s="81">
        <f>RD10!F70</f>
        <v>0</v>
      </c>
      <c r="Q14" s="50"/>
    </row>
    <row r="15" s="2" customFormat="1" customHeight="1" spans="2:17">
      <c r="B15" s="43">
        <v>9</v>
      </c>
      <c r="C15" s="44">
        <v>30</v>
      </c>
      <c r="D15" s="80" t="str">
        <f>RD01!D79</f>
        <v>记-</v>
      </c>
      <c r="E15" s="46" t="s">
        <v>371</v>
      </c>
      <c r="F15" s="47">
        <f t="shared" si="0"/>
        <v>0</v>
      </c>
      <c r="G15" s="47">
        <f>RD01!F79</f>
        <v>0</v>
      </c>
      <c r="H15" s="41">
        <f>RD02!F79</f>
        <v>0</v>
      </c>
      <c r="I15" s="41">
        <f>RD03!F79</f>
        <v>0</v>
      </c>
      <c r="J15" s="41">
        <f>RD04!F79</f>
        <v>0</v>
      </c>
      <c r="K15" s="41">
        <f>RD05!F79</f>
        <v>0</v>
      </c>
      <c r="L15" s="41">
        <f>RD06!F79</f>
        <v>0</v>
      </c>
      <c r="M15" s="41">
        <f>RD07!F79</f>
        <v>0</v>
      </c>
      <c r="N15" s="41">
        <f>RD08!F79</f>
        <v>0</v>
      </c>
      <c r="O15" s="41">
        <f>RD09!F79</f>
        <v>0</v>
      </c>
      <c r="P15" s="81">
        <f>RD10!F79</f>
        <v>0</v>
      </c>
      <c r="Q15" s="50"/>
    </row>
    <row r="16" s="2" customFormat="1" customHeight="1" spans="2:17">
      <c r="B16" s="43">
        <v>10</v>
      </c>
      <c r="C16" s="44">
        <v>31</v>
      </c>
      <c r="D16" s="82" t="str">
        <f>RD01!D88</f>
        <v>记-</v>
      </c>
      <c r="E16" s="46" t="s">
        <v>371</v>
      </c>
      <c r="F16" s="47">
        <f t="shared" si="0"/>
        <v>0</v>
      </c>
      <c r="G16" s="47">
        <f>RD01!F88</f>
        <v>0</v>
      </c>
      <c r="H16" s="54">
        <f>RD02!F88</f>
        <v>0</v>
      </c>
      <c r="I16" s="54">
        <f>RD03!F88</f>
        <v>0</v>
      </c>
      <c r="J16" s="54">
        <f>RD04!F88</f>
        <v>0</v>
      </c>
      <c r="K16" s="54">
        <f>RD05!F88</f>
        <v>0</v>
      </c>
      <c r="L16" s="54">
        <f>RD06!F88</f>
        <v>0</v>
      </c>
      <c r="M16" s="54">
        <f>RD07!F88</f>
        <v>0</v>
      </c>
      <c r="N16" s="54">
        <f>RD08!F88</f>
        <v>0</v>
      </c>
      <c r="O16" s="54">
        <f>RD09!F88</f>
        <v>0</v>
      </c>
      <c r="P16" s="83">
        <f>RD10!F88</f>
        <v>0</v>
      </c>
    </row>
    <row r="17" s="2" customFormat="1" customHeight="1" spans="2:16">
      <c r="B17" s="43">
        <v>11</v>
      </c>
      <c r="C17" s="44">
        <v>30</v>
      </c>
      <c r="D17" s="82" t="str">
        <f>RD01!D97</f>
        <v>记-</v>
      </c>
      <c r="E17" s="46" t="s">
        <v>371</v>
      </c>
      <c r="F17" s="47">
        <f t="shared" si="0"/>
        <v>0</v>
      </c>
      <c r="G17" s="47">
        <f>RD01!F97</f>
        <v>0</v>
      </c>
      <c r="H17" s="54">
        <f>RD02!F97</f>
        <v>0</v>
      </c>
      <c r="I17" s="54">
        <f>RD03!F97</f>
        <v>0</v>
      </c>
      <c r="J17" s="54">
        <f>RD04!F97</f>
        <v>0</v>
      </c>
      <c r="K17" s="54">
        <f>RD05!F97</f>
        <v>0</v>
      </c>
      <c r="L17" s="54">
        <f>RD06!F97</f>
        <v>0</v>
      </c>
      <c r="M17" s="54">
        <f>RD07!F97</f>
        <v>0</v>
      </c>
      <c r="N17" s="54">
        <f>RD08!F97</f>
        <v>0</v>
      </c>
      <c r="O17" s="54">
        <f>RD09!F97</f>
        <v>0</v>
      </c>
      <c r="P17" s="83">
        <f>RD10!F97</f>
        <v>0</v>
      </c>
    </row>
    <row r="18" s="2" customFormat="1" customHeight="1" spans="2:16">
      <c r="B18" s="43">
        <v>12</v>
      </c>
      <c r="C18" s="44">
        <v>31</v>
      </c>
      <c r="D18" s="82" t="str">
        <f>RD01!D106</f>
        <v>记-</v>
      </c>
      <c r="E18" s="46" t="s">
        <v>371</v>
      </c>
      <c r="F18" s="47">
        <f t="shared" si="0"/>
        <v>0</v>
      </c>
      <c r="G18" s="47">
        <f>RD01!F106</f>
        <v>0</v>
      </c>
      <c r="H18" s="54">
        <f>RD02!F106</f>
        <v>0</v>
      </c>
      <c r="I18" s="54">
        <f>RD03!F106</f>
        <v>0</v>
      </c>
      <c r="J18" s="54">
        <f>RD04!F106</f>
        <v>0</v>
      </c>
      <c r="K18" s="54">
        <f>RD05!F106</f>
        <v>0</v>
      </c>
      <c r="L18" s="54">
        <f>RD06!F106</f>
        <v>0</v>
      </c>
      <c r="M18" s="54">
        <f>RD07!F106</f>
        <v>0</v>
      </c>
      <c r="N18" s="54">
        <f>RD08!F106</f>
        <v>0</v>
      </c>
      <c r="O18" s="54">
        <f>RD09!F106</f>
        <v>0</v>
      </c>
      <c r="P18" s="83">
        <f>RD10!F106</f>
        <v>0</v>
      </c>
    </row>
    <row r="19" s="2" customFormat="1" customHeight="1" spans="2:16">
      <c r="B19" s="43"/>
      <c r="C19" s="44"/>
      <c r="D19" s="82"/>
      <c r="E19" s="49" t="s">
        <v>101</v>
      </c>
      <c r="F19" s="48">
        <f t="shared" ref="F19:P19" si="1">SUM(F7:F18)</f>
        <v>0</v>
      </c>
      <c r="G19" s="48">
        <f t="shared" si="1"/>
        <v>0</v>
      </c>
      <c r="H19" s="54">
        <f t="shared" si="1"/>
        <v>0</v>
      </c>
      <c r="I19" s="54">
        <f t="shared" si="1"/>
        <v>0</v>
      </c>
      <c r="J19" s="54">
        <f t="shared" si="1"/>
        <v>0</v>
      </c>
      <c r="K19" s="54">
        <f t="shared" si="1"/>
        <v>0</v>
      </c>
      <c r="L19" s="54">
        <f t="shared" si="1"/>
        <v>0</v>
      </c>
      <c r="M19" s="54">
        <f t="shared" si="1"/>
        <v>0</v>
      </c>
      <c r="N19" s="54">
        <f t="shared" si="1"/>
        <v>0</v>
      </c>
      <c r="O19" s="54">
        <f t="shared" si="1"/>
        <v>0</v>
      </c>
      <c r="P19" s="83">
        <f t="shared" si="1"/>
        <v>0</v>
      </c>
    </row>
    <row r="20" s="2" customFormat="1" customHeight="1" spans="2:16">
      <c r="B20" s="56"/>
      <c r="C20" s="57"/>
      <c r="D20" s="84"/>
      <c r="E20" s="59" t="s">
        <v>367</v>
      </c>
      <c r="F20" s="60">
        <f t="shared" ref="F20:P20" si="2">F19</f>
        <v>0</v>
      </c>
      <c r="G20" s="48">
        <f t="shared" si="2"/>
        <v>0</v>
      </c>
      <c r="H20" s="85">
        <f t="shared" si="2"/>
        <v>0</v>
      </c>
      <c r="I20" s="85">
        <f t="shared" si="2"/>
        <v>0</v>
      </c>
      <c r="J20" s="85">
        <f t="shared" si="2"/>
        <v>0</v>
      </c>
      <c r="K20" s="85">
        <f t="shared" si="2"/>
        <v>0</v>
      </c>
      <c r="L20" s="85">
        <f t="shared" si="2"/>
        <v>0</v>
      </c>
      <c r="M20" s="85">
        <f t="shared" si="2"/>
        <v>0</v>
      </c>
      <c r="N20" s="85">
        <f t="shared" si="2"/>
        <v>0</v>
      </c>
      <c r="O20" s="85">
        <f t="shared" si="2"/>
        <v>0</v>
      </c>
      <c r="P20" s="86">
        <f t="shared" si="2"/>
        <v>0</v>
      </c>
    </row>
    <row r="21" s="2" customFormat="1" customHeight="1" spans="2:16">
      <c r="B21" s="36">
        <v>1</v>
      </c>
      <c r="C21" s="37">
        <v>31</v>
      </c>
      <c r="D21" s="77" t="str">
        <f>RD01!D8</f>
        <v>记-</v>
      </c>
      <c r="E21" s="39" t="s">
        <v>362</v>
      </c>
      <c r="F21" s="40">
        <f>SUM(G21:P21)</f>
        <v>0</v>
      </c>
      <c r="G21" s="40">
        <f>RD01!F8</f>
        <v>0</v>
      </c>
      <c r="H21" s="78">
        <f>RD02!F8</f>
        <v>0</v>
      </c>
      <c r="I21" s="78">
        <f>RD03!F8</f>
        <v>0</v>
      </c>
      <c r="J21" s="78">
        <f>RD04!F8</f>
        <v>0</v>
      </c>
      <c r="K21" s="78">
        <f>RD05!F8</f>
        <v>0</v>
      </c>
      <c r="L21" s="78">
        <f>RD06!F8</f>
        <v>0</v>
      </c>
      <c r="M21" s="78">
        <f>RD07!F8</f>
        <v>0</v>
      </c>
      <c r="N21" s="78">
        <f>RD08!F8</f>
        <v>0</v>
      </c>
      <c r="O21" s="78">
        <f>RD09!F8</f>
        <v>0</v>
      </c>
      <c r="P21" s="79">
        <f>RD10!F8</f>
        <v>0</v>
      </c>
    </row>
    <row r="22" s="2" customFormat="1" customHeight="1" spans="2:16">
      <c r="B22" s="43">
        <v>2</v>
      </c>
      <c r="C22" s="44">
        <v>28</v>
      </c>
      <c r="D22" s="80" t="str">
        <f>RD01!D17</f>
        <v>记-</v>
      </c>
      <c r="E22" s="46" t="s">
        <v>362</v>
      </c>
      <c r="F22" s="47">
        <f>SUM(G22:P22)</f>
        <v>0</v>
      </c>
      <c r="G22" s="47">
        <f>RD01!F17</f>
        <v>0</v>
      </c>
      <c r="H22" s="41">
        <f>RD02!F17</f>
        <v>0</v>
      </c>
      <c r="I22" s="41">
        <f>RD03!F17</f>
        <v>0</v>
      </c>
      <c r="J22" s="41">
        <f>RD04!F17</f>
        <v>0</v>
      </c>
      <c r="K22" s="41">
        <f>RD05!F17</f>
        <v>0</v>
      </c>
      <c r="L22" s="41">
        <f>RD06!F17</f>
        <v>0</v>
      </c>
      <c r="M22" s="41">
        <f>RD07!F17</f>
        <v>0</v>
      </c>
      <c r="N22" s="41">
        <f>RD08!F17</f>
        <v>0</v>
      </c>
      <c r="O22" s="41">
        <f>RD09!F17</f>
        <v>0</v>
      </c>
      <c r="P22" s="81">
        <f>RD10!F17</f>
        <v>0</v>
      </c>
    </row>
    <row r="23" s="2" customFormat="1" customHeight="1" spans="2:16">
      <c r="B23" s="43">
        <v>3</v>
      </c>
      <c r="C23" s="44">
        <v>31</v>
      </c>
      <c r="D23" s="80" t="str">
        <f>RD01!D26</f>
        <v>记-</v>
      </c>
      <c r="E23" s="46" t="s">
        <v>362</v>
      </c>
      <c r="F23" s="47">
        <f>SUM(G23:P23)</f>
        <v>0</v>
      </c>
      <c r="G23" s="47">
        <f>RD01!F26</f>
        <v>0</v>
      </c>
      <c r="H23" s="41">
        <f>RD02!F26</f>
        <v>0</v>
      </c>
      <c r="I23" s="41">
        <f>RD03!F26</f>
        <v>0</v>
      </c>
      <c r="J23" s="41">
        <f>RD04!F26</f>
        <v>0</v>
      </c>
      <c r="K23" s="41">
        <f>RD05!F26</f>
        <v>0</v>
      </c>
      <c r="L23" s="41">
        <f>RD06!F26</f>
        <v>0</v>
      </c>
      <c r="M23" s="41">
        <f>RD07!F26</f>
        <v>0</v>
      </c>
      <c r="N23" s="41">
        <f>RD08!F26</f>
        <v>0</v>
      </c>
      <c r="O23" s="41">
        <f>RD09!F26</f>
        <v>0</v>
      </c>
      <c r="P23" s="81">
        <f>RD10!F26</f>
        <v>0</v>
      </c>
    </row>
    <row r="24" s="2" customFormat="1" customHeight="1" spans="2:16">
      <c r="B24" s="43">
        <v>4</v>
      </c>
      <c r="C24" s="44">
        <v>30</v>
      </c>
      <c r="D24" s="80" t="str">
        <f>RD01!D35</f>
        <v>记-</v>
      </c>
      <c r="E24" s="46" t="s">
        <v>362</v>
      </c>
      <c r="F24" s="47">
        <f t="shared" ref="F24:F32" si="3">SUM(G24:P24)</f>
        <v>0</v>
      </c>
      <c r="G24" s="47">
        <f>RD01!F35</f>
        <v>0</v>
      </c>
      <c r="H24" s="41">
        <f>RD02!F35</f>
        <v>0</v>
      </c>
      <c r="I24" s="41">
        <f>RD03!F35</f>
        <v>0</v>
      </c>
      <c r="J24" s="41">
        <f>RD04!F35</f>
        <v>0</v>
      </c>
      <c r="K24" s="41">
        <f>RD05!F35</f>
        <v>0</v>
      </c>
      <c r="L24" s="41">
        <f>RD06!F35</f>
        <v>0</v>
      </c>
      <c r="M24" s="41">
        <f>RD07!F35</f>
        <v>0</v>
      </c>
      <c r="N24" s="41">
        <f>RD08!F35</f>
        <v>0</v>
      </c>
      <c r="O24" s="41">
        <f>RD09!F35</f>
        <v>0</v>
      </c>
      <c r="P24" s="81">
        <f>RD10!F35</f>
        <v>0</v>
      </c>
    </row>
    <row r="25" s="2" customFormat="1" customHeight="1" spans="2:16">
      <c r="B25" s="43">
        <v>5</v>
      </c>
      <c r="C25" s="44">
        <v>31</v>
      </c>
      <c r="D25" s="82" t="str">
        <f>RD01!D44</f>
        <v>记-</v>
      </c>
      <c r="E25" s="46" t="s">
        <v>362</v>
      </c>
      <c r="F25" s="47">
        <f t="shared" si="3"/>
        <v>0</v>
      </c>
      <c r="G25" s="48">
        <f>RD01!F44</f>
        <v>0</v>
      </c>
      <c r="H25" s="54">
        <f>RD02!F44</f>
        <v>0</v>
      </c>
      <c r="I25" s="54">
        <f>RD03!F44</f>
        <v>0</v>
      </c>
      <c r="J25" s="54">
        <f>RD04!F44</f>
        <v>0</v>
      </c>
      <c r="K25" s="54">
        <f>RD05!F44</f>
        <v>0</v>
      </c>
      <c r="L25" s="54">
        <f>RD06!F44</f>
        <v>0</v>
      </c>
      <c r="M25" s="54">
        <f>RD07!F44</f>
        <v>0</v>
      </c>
      <c r="N25" s="54">
        <f>RD08!F44</f>
        <v>0</v>
      </c>
      <c r="O25" s="54">
        <f>RD09!F44</f>
        <v>0</v>
      </c>
      <c r="P25" s="83">
        <f>RD10!F44</f>
        <v>0</v>
      </c>
    </row>
    <row r="26" s="2" customFormat="1" customHeight="1" spans="2:16">
      <c r="B26" s="43">
        <v>6</v>
      </c>
      <c r="C26" s="44">
        <v>30</v>
      </c>
      <c r="D26" s="82" t="str">
        <f>RD01!D53</f>
        <v>记-</v>
      </c>
      <c r="E26" s="46" t="s">
        <v>362</v>
      </c>
      <c r="F26" s="47">
        <f t="shared" si="3"/>
        <v>0</v>
      </c>
      <c r="G26" s="48">
        <f>RD01!F53</f>
        <v>0</v>
      </c>
      <c r="H26" s="54">
        <f>RD02!F53</f>
        <v>0</v>
      </c>
      <c r="I26" s="54">
        <f>RD03!F53</f>
        <v>0</v>
      </c>
      <c r="J26" s="54">
        <f>RD04!F53</f>
        <v>0</v>
      </c>
      <c r="K26" s="54">
        <f>RD05!F53</f>
        <v>0</v>
      </c>
      <c r="L26" s="54">
        <f>RD06!F53</f>
        <v>0</v>
      </c>
      <c r="M26" s="54">
        <f>RD07!F53</f>
        <v>0</v>
      </c>
      <c r="N26" s="54">
        <f>RD08!F53</f>
        <v>0</v>
      </c>
      <c r="O26" s="54">
        <f>RD09!F53</f>
        <v>0</v>
      </c>
      <c r="P26" s="83">
        <f>RD10!F53</f>
        <v>0</v>
      </c>
    </row>
    <row r="27" s="2" customFormat="1" customHeight="1" spans="2:16">
      <c r="B27" s="43">
        <v>7</v>
      </c>
      <c r="C27" s="44">
        <v>31</v>
      </c>
      <c r="D27" s="82" t="str">
        <f>RD01!D62</f>
        <v>记-</v>
      </c>
      <c r="E27" s="46" t="s">
        <v>362</v>
      </c>
      <c r="F27" s="47">
        <f t="shared" si="3"/>
        <v>0</v>
      </c>
      <c r="G27" s="48">
        <f>RD01!F62</f>
        <v>0</v>
      </c>
      <c r="H27" s="54">
        <f>RD02!F62</f>
        <v>0</v>
      </c>
      <c r="I27" s="54">
        <f>RD03!F62</f>
        <v>0</v>
      </c>
      <c r="J27" s="54">
        <f>RD04!F62</f>
        <v>0</v>
      </c>
      <c r="K27" s="54">
        <f>RD05!F62</f>
        <v>0</v>
      </c>
      <c r="L27" s="54">
        <f>RD06!F62</f>
        <v>0</v>
      </c>
      <c r="M27" s="54">
        <f>RD07!F62</f>
        <v>0</v>
      </c>
      <c r="N27" s="54">
        <f>RD08!F62</f>
        <v>0</v>
      </c>
      <c r="O27" s="54">
        <f>RD09!F62</f>
        <v>0</v>
      </c>
      <c r="P27" s="83">
        <f>RD10!F62</f>
        <v>0</v>
      </c>
    </row>
    <row r="28" s="2" customFormat="1" customHeight="1" spans="2:16">
      <c r="B28" s="43">
        <v>8</v>
      </c>
      <c r="C28" s="44">
        <v>31</v>
      </c>
      <c r="D28" s="82" t="str">
        <f>RD01!D71</f>
        <v>记-</v>
      </c>
      <c r="E28" s="46" t="s">
        <v>362</v>
      </c>
      <c r="F28" s="47">
        <f t="shared" si="3"/>
        <v>0</v>
      </c>
      <c r="G28" s="48">
        <f>RD01!F71</f>
        <v>0</v>
      </c>
      <c r="H28" s="54">
        <f>RD02!F71</f>
        <v>0</v>
      </c>
      <c r="I28" s="54">
        <f>RD03!F71</f>
        <v>0</v>
      </c>
      <c r="J28" s="54">
        <f>RD04!F71</f>
        <v>0</v>
      </c>
      <c r="K28" s="54">
        <f>RD05!F71</f>
        <v>0</v>
      </c>
      <c r="L28" s="54">
        <f>RD06!F71</f>
        <v>0</v>
      </c>
      <c r="M28" s="54">
        <f>RD07!F71</f>
        <v>0</v>
      </c>
      <c r="N28" s="54">
        <f>RD08!F71</f>
        <v>0</v>
      </c>
      <c r="O28" s="54">
        <f>RD09!F71</f>
        <v>0</v>
      </c>
      <c r="P28" s="83">
        <f>RD10!F71</f>
        <v>0</v>
      </c>
    </row>
    <row r="29" s="2" customFormat="1" customHeight="1" spans="2:16">
      <c r="B29" s="43">
        <v>9</v>
      </c>
      <c r="C29" s="44">
        <v>30</v>
      </c>
      <c r="D29" s="82" t="str">
        <f>RD01!D80</f>
        <v>记-</v>
      </c>
      <c r="E29" s="46" t="s">
        <v>362</v>
      </c>
      <c r="F29" s="47">
        <f t="shared" si="3"/>
        <v>0</v>
      </c>
      <c r="G29" s="48">
        <f>RD01!F80</f>
        <v>0</v>
      </c>
      <c r="H29" s="54">
        <f>RD02!F80</f>
        <v>0</v>
      </c>
      <c r="I29" s="54">
        <f>RD03!F80</f>
        <v>0</v>
      </c>
      <c r="J29" s="54">
        <f>RD04!F80</f>
        <v>0</v>
      </c>
      <c r="K29" s="54">
        <f>RD05!F80</f>
        <v>0</v>
      </c>
      <c r="L29" s="54">
        <f>RD06!F80</f>
        <v>0</v>
      </c>
      <c r="M29" s="54">
        <f>RD07!F80</f>
        <v>0</v>
      </c>
      <c r="N29" s="54">
        <f>RD08!F80</f>
        <v>0</v>
      </c>
      <c r="O29" s="54">
        <f>RD09!F80</f>
        <v>0</v>
      </c>
      <c r="P29" s="83">
        <f>RD10!F80</f>
        <v>0</v>
      </c>
    </row>
    <row r="30" s="2" customFormat="1" customHeight="1" spans="2:16">
      <c r="B30" s="43">
        <v>10</v>
      </c>
      <c r="C30" s="44">
        <v>31</v>
      </c>
      <c r="D30" s="82" t="str">
        <f>RD01!D89</f>
        <v>记-</v>
      </c>
      <c r="E30" s="46" t="s">
        <v>362</v>
      </c>
      <c r="F30" s="47">
        <f t="shared" si="3"/>
        <v>0</v>
      </c>
      <c r="G30" s="48">
        <f>RD01!F89</f>
        <v>0</v>
      </c>
      <c r="H30" s="54">
        <f>RD02!F89</f>
        <v>0</v>
      </c>
      <c r="I30" s="54">
        <f>RD03!F89</f>
        <v>0</v>
      </c>
      <c r="J30" s="54">
        <f>RD04!F89</f>
        <v>0</v>
      </c>
      <c r="K30" s="54">
        <f>RD05!F89</f>
        <v>0</v>
      </c>
      <c r="L30" s="54">
        <f>RD06!F89</f>
        <v>0</v>
      </c>
      <c r="M30" s="54">
        <f>RD07!F89</f>
        <v>0</v>
      </c>
      <c r="N30" s="54">
        <f>RD08!F89</f>
        <v>0</v>
      </c>
      <c r="O30" s="54">
        <f>RD09!F89</f>
        <v>0</v>
      </c>
      <c r="P30" s="83">
        <f>RD10!F89</f>
        <v>0</v>
      </c>
    </row>
    <row r="31" s="2" customFormat="1" customHeight="1" spans="2:16">
      <c r="B31" s="43">
        <v>11</v>
      </c>
      <c r="C31" s="44">
        <v>30</v>
      </c>
      <c r="D31" s="82" t="str">
        <f>RD01!D98</f>
        <v>记-</v>
      </c>
      <c r="E31" s="46" t="s">
        <v>362</v>
      </c>
      <c r="F31" s="47">
        <f t="shared" si="3"/>
        <v>0</v>
      </c>
      <c r="G31" s="48">
        <f>RD01!F98</f>
        <v>0</v>
      </c>
      <c r="H31" s="54">
        <f>RD02!F98</f>
        <v>0</v>
      </c>
      <c r="I31" s="54">
        <f>RD03!F98</f>
        <v>0</v>
      </c>
      <c r="J31" s="54">
        <f>RD04!F98</f>
        <v>0</v>
      </c>
      <c r="K31" s="54">
        <f>RD05!F98</f>
        <v>0</v>
      </c>
      <c r="L31" s="54">
        <f>RD06!F98</f>
        <v>0</v>
      </c>
      <c r="M31" s="54">
        <f>RD07!F98</f>
        <v>0</v>
      </c>
      <c r="N31" s="54">
        <f>RD08!F98</f>
        <v>0</v>
      </c>
      <c r="O31" s="54">
        <f>RD09!F98</f>
        <v>0</v>
      </c>
      <c r="P31" s="83">
        <f>RD10!F98</f>
        <v>0</v>
      </c>
    </row>
    <row r="32" s="2" customFormat="1" customHeight="1" spans="2:16">
      <c r="B32" s="43">
        <v>12</v>
      </c>
      <c r="C32" s="44">
        <v>31</v>
      </c>
      <c r="D32" s="82" t="str">
        <f>RD01!D107</f>
        <v>记-</v>
      </c>
      <c r="E32" s="46" t="s">
        <v>362</v>
      </c>
      <c r="F32" s="47">
        <f t="shared" si="3"/>
        <v>0</v>
      </c>
      <c r="G32" s="48">
        <f>RD01!F107</f>
        <v>0</v>
      </c>
      <c r="H32" s="54">
        <f>RD02!F107</f>
        <v>0</v>
      </c>
      <c r="I32" s="54">
        <f>RD03!F107</f>
        <v>0</v>
      </c>
      <c r="J32" s="54">
        <f>RD04!F107</f>
        <v>0</v>
      </c>
      <c r="K32" s="54">
        <f>RD05!F107</f>
        <v>0</v>
      </c>
      <c r="L32" s="54">
        <f>RD06!F107</f>
        <v>0</v>
      </c>
      <c r="M32" s="54">
        <f>RD07!F107</f>
        <v>0</v>
      </c>
      <c r="N32" s="54">
        <f>RD08!F107</f>
        <v>0</v>
      </c>
      <c r="O32" s="54">
        <f>RD09!F107</f>
        <v>0</v>
      </c>
      <c r="P32" s="83">
        <f>RD10!F107</f>
        <v>0</v>
      </c>
    </row>
    <row r="33" s="2" customFormat="1" customHeight="1" spans="2:16">
      <c r="B33" s="43"/>
      <c r="C33" s="44"/>
      <c r="D33" s="82"/>
      <c r="E33" s="53" t="s">
        <v>101</v>
      </c>
      <c r="F33" s="48">
        <f t="shared" ref="F33:P33" si="4">SUM(F21:F32)</f>
        <v>0</v>
      </c>
      <c r="G33" s="48">
        <f t="shared" si="4"/>
        <v>0</v>
      </c>
      <c r="H33" s="54">
        <f t="shared" si="4"/>
        <v>0</v>
      </c>
      <c r="I33" s="54">
        <f t="shared" si="4"/>
        <v>0</v>
      </c>
      <c r="J33" s="54">
        <f t="shared" si="4"/>
        <v>0</v>
      </c>
      <c r="K33" s="54">
        <f t="shared" si="4"/>
        <v>0</v>
      </c>
      <c r="L33" s="54">
        <f t="shared" si="4"/>
        <v>0</v>
      </c>
      <c r="M33" s="54">
        <f t="shared" si="4"/>
        <v>0</v>
      </c>
      <c r="N33" s="54">
        <f t="shared" si="4"/>
        <v>0</v>
      </c>
      <c r="O33" s="54">
        <f t="shared" si="4"/>
        <v>0</v>
      </c>
      <c r="P33" s="83">
        <f t="shared" si="4"/>
        <v>0</v>
      </c>
    </row>
    <row r="34" s="2" customFormat="1" customHeight="1" spans="2:16">
      <c r="B34" s="56"/>
      <c r="C34" s="57"/>
      <c r="D34" s="84"/>
      <c r="E34" s="59" t="s">
        <v>367</v>
      </c>
      <c r="F34" s="61">
        <f t="shared" ref="F34:P34" si="5">F20+F33</f>
        <v>0</v>
      </c>
      <c r="G34" s="60">
        <f t="shared" si="5"/>
        <v>0</v>
      </c>
      <c r="H34" s="85">
        <f t="shared" si="5"/>
        <v>0</v>
      </c>
      <c r="I34" s="85">
        <f t="shared" si="5"/>
        <v>0</v>
      </c>
      <c r="J34" s="85">
        <f t="shared" si="5"/>
        <v>0</v>
      </c>
      <c r="K34" s="85">
        <f t="shared" si="5"/>
        <v>0</v>
      </c>
      <c r="L34" s="85">
        <f t="shared" si="5"/>
        <v>0</v>
      </c>
      <c r="M34" s="85">
        <f t="shared" si="5"/>
        <v>0</v>
      </c>
      <c r="N34" s="85">
        <f t="shared" si="5"/>
        <v>0</v>
      </c>
      <c r="O34" s="85">
        <f t="shared" si="5"/>
        <v>0</v>
      </c>
      <c r="P34" s="86">
        <f t="shared" si="5"/>
        <v>0</v>
      </c>
    </row>
    <row r="35" s="2" customFormat="1" customHeight="1" spans="2:16">
      <c r="B35" s="36">
        <v>1</v>
      </c>
      <c r="C35" s="37">
        <v>31</v>
      </c>
      <c r="D35" s="77" t="str">
        <f>RD01!D9</f>
        <v>记-</v>
      </c>
      <c r="E35" s="39" t="s">
        <v>363</v>
      </c>
      <c r="F35" s="40">
        <f t="shared" ref="F35:F46" si="6">SUM(G35:P35)</f>
        <v>0</v>
      </c>
      <c r="G35" s="40">
        <f>RD01!F9</f>
        <v>0</v>
      </c>
      <c r="H35" s="78">
        <f>RD02!F9</f>
        <v>0</v>
      </c>
      <c r="I35" s="78">
        <f>RD03!F9</f>
        <v>0</v>
      </c>
      <c r="J35" s="78">
        <f>RD04!F9</f>
        <v>0</v>
      </c>
      <c r="K35" s="78">
        <f>RD05!F9</f>
        <v>0</v>
      </c>
      <c r="L35" s="78">
        <f>RD06!F9</f>
        <v>0</v>
      </c>
      <c r="M35" s="78">
        <f>RD07!F9</f>
        <v>0</v>
      </c>
      <c r="N35" s="78">
        <f>RD08!F9</f>
        <v>0</v>
      </c>
      <c r="O35" s="78">
        <f>RD09!F9</f>
        <v>0</v>
      </c>
      <c r="P35" s="79">
        <f>RD10!F9</f>
        <v>0</v>
      </c>
    </row>
    <row r="36" s="2" customFormat="1" customHeight="1" spans="2:16">
      <c r="B36" s="43">
        <v>2</v>
      </c>
      <c r="C36" s="44">
        <v>28</v>
      </c>
      <c r="D36" s="80" t="str">
        <f>RD01!D18</f>
        <v>记-</v>
      </c>
      <c r="E36" s="46" t="s">
        <v>363</v>
      </c>
      <c r="F36" s="47">
        <f t="shared" si="6"/>
        <v>0</v>
      </c>
      <c r="G36" s="47">
        <f>RD01!F18</f>
        <v>0</v>
      </c>
      <c r="H36" s="41">
        <f>RD02!F18</f>
        <v>0</v>
      </c>
      <c r="I36" s="41">
        <f>RD03!F18</f>
        <v>0</v>
      </c>
      <c r="J36" s="41">
        <f>RD04!F18</f>
        <v>0</v>
      </c>
      <c r="K36" s="41">
        <f>RD05!F18</f>
        <v>0</v>
      </c>
      <c r="L36" s="41">
        <f>RD06!F18</f>
        <v>0</v>
      </c>
      <c r="M36" s="41">
        <f>RD07!F18</f>
        <v>0</v>
      </c>
      <c r="N36" s="41">
        <f>RD08!F18</f>
        <v>0</v>
      </c>
      <c r="O36" s="41">
        <f>RD09!F18</f>
        <v>0</v>
      </c>
      <c r="P36" s="81">
        <f>RD10!F18</f>
        <v>0</v>
      </c>
    </row>
    <row r="37" s="2" customFormat="1" customHeight="1" spans="2:16">
      <c r="B37" s="43">
        <v>3</v>
      </c>
      <c r="C37" s="44">
        <v>31</v>
      </c>
      <c r="D37" s="80" t="str">
        <f>RD01!D27</f>
        <v>记-</v>
      </c>
      <c r="E37" s="46" t="s">
        <v>363</v>
      </c>
      <c r="F37" s="47">
        <f t="shared" si="6"/>
        <v>0</v>
      </c>
      <c r="G37" s="47">
        <f>RD01!F27</f>
        <v>0</v>
      </c>
      <c r="H37" s="41">
        <f>RD02!F27</f>
        <v>0</v>
      </c>
      <c r="I37" s="41">
        <f>RD03!F27</f>
        <v>0</v>
      </c>
      <c r="J37" s="41">
        <f>RD04!F27</f>
        <v>0</v>
      </c>
      <c r="K37" s="41">
        <f>RD05!F27</f>
        <v>0</v>
      </c>
      <c r="L37" s="41">
        <f>RD06!F27</f>
        <v>0</v>
      </c>
      <c r="M37" s="41">
        <f>RD07!F27</f>
        <v>0</v>
      </c>
      <c r="N37" s="41">
        <f>RD08!F27</f>
        <v>0</v>
      </c>
      <c r="O37" s="41">
        <f>RD09!F27</f>
        <v>0</v>
      </c>
      <c r="P37" s="81">
        <f>RD10!F27</f>
        <v>0</v>
      </c>
    </row>
    <row r="38" s="2" customFormat="1" customHeight="1" spans="2:16">
      <c r="B38" s="43">
        <v>4</v>
      </c>
      <c r="C38" s="44">
        <v>30</v>
      </c>
      <c r="D38" s="80" t="str">
        <f>RD01!D36</f>
        <v>记-</v>
      </c>
      <c r="E38" s="46" t="s">
        <v>363</v>
      </c>
      <c r="F38" s="47">
        <f t="shared" si="6"/>
        <v>0</v>
      </c>
      <c r="G38" s="47">
        <f>RD01!F36</f>
        <v>0</v>
      </c>
      <c r="H38" s="41">
        <f>RD02!F36</f>
        <v>0</v>
      </c>
      <c r="I38" s="41">
        <f>RD03!F36</f>
        <v>0</v>
      </c>
      <c r="J38" s="41">
        <f>RD04!F36</f>
        <v>0</v>
      </c>
      <c r="K38" s="41">
        <f>RD05!F36</f>
        <v>0</v>
      </c>
      <c r="L38" s="41">
        <f>RD06!F36</f>
        <v>0</v>
      </c>
      <c r="M38" s="41">
        <f>RD07!F36</f>
        <v>0</v>
      </c>
      <c r="N38" s="41">
        <f>RD08!F36</f>
        <v>0</v>
      </c>
      <c r="O38" s="41">
        <f>RD09!F36</f>
        <v>0</v>
      </c>
      <c r="P38" s="81">
        <f>RD10!F36</f>
        <v>0</v>
      </c>
    </row>
    <row r="39" s="2" customFormat="1" customHeight="1" spans="2:16">
      <c r="B39" s="43">
        <v>5</v>
      </c>
      <c r="C39" s="44">
        <v>31</v>
      </c>
      <c r="D39" s="80" t="str">
        <f>RD01!D45</f>
        <v>记-</v>
      </c>
      <c r="E39" s="46" t="s">
        <v>363</v>
      </c>
      <c r="F39" s="47">
        <f t="shared" si="6"/>
        <v>0</v>
      </c>
      <c r="G39" s="47">
        <f>RD01!F45</f>
        <v>0</v>
      </c>
      <c r="H39" s="41">
        <f>RD02!F45</f>
        <v>0</v>
      </c>
      <c r="I39" s="41">
        <f>RD03!F45</f>
        <v>0</v>
      </c>
      <c r="J39" s="41">
        <f>RD04!F45</f>
        <v>0</v>
      </c>
      <c r="K39" s="41">
        <f>RD05!F45</f>
        <v>0</v>
      </c>
      <c r="L39" s="41">
        <f>RD06!F45</f>
        <v>0</v>
      </c>
      <c r="M39" s="41">
        <f>RD07!F45</f>
        <v>0</v>
      </c>
      <c r="N39" s="41">
        <f>RD08!F45</f>
        <v>0</v>
      </c>
      <c r="O39" s="41">
        <f>RD09!F45</f>
        <v>0</v>
      </c>
      <c r="P39" s="81">
        <f>RD10!F45</f>
        <v>0</v>
      </c>
    </row>
    <row r="40" s="2" customFormat="1" customHeight="1" spans="2:16">
      <c r="B40" s="43">
        <v>6</v>
      </c>
      <c r="C40" s="44">
        <v>30</v>
      </c>
      <c r="D40" s="80" t="str">
        <f>RD01!D54</f>
        <v>记-</v>
      </c>
      <c r="E40" s="46" t="s">
        <v>363</v>
      </c>
      <c r="F40" s="47">
        <f t="shared" si="6"/>
        <v>0</v>
      </c>
      <c r="G40" s="47">
        <f>RD01!F54</f>
        <v>0</v>
      </c>
      <c r="H40" s="41">
        <f>RD02!F54</f>
        <v>0</v>
      </c>
      <c r="I40" s="41">
        <f>RD03!F54</f>
        <v>0</v>
      </c>
      <c r="J40" s="41">
        <f>RD04!F54</f>
        <v>0</v>
      </c>
      <c r="K40" s="41">
        <f>RD05!F54</f>
        <v>0</v>
      </c>
      <c r="L40" s="41">
        <f>RD06!F54</f>
        <v>0</v>
      </c>
      <c r="M40" s="41">
        <f>RD07!F54</f>
        <v>0</v>
      </c>
      <c r="N40" s="41">
        <f>RD08!F54</f>
        <v>0</v>
      </c>
      <c r="O40" s="41">
        <f>RD09!F54</f>
        <v>0</v>
      </c>
      <c r="P40" s="81">
        <f>RD10!F54</f>
        <v>0</v>
      </c>
    </row>
    <row r="41" s="2" customFormat="1" customHeight="1" spans="2:16">
      <c r="B41" s="43">
        <v>7</v>
      </c>
      <c r="C41" s="44">
        <v>31</v>
      </c>
      <c r="D41" s="80" t="str">
        <f>RD01!D63</f>
        <v>记-</v>
      </c>
      <c r="E41" s="46" t="s">
        <v>363</v>
      </c>
      <c r="F41" s="47">
        <f t="shared" si="6"/>
        <v>0</v>
      </c>
      <c r="G41" s="47">
        <f>RD01!F63</f>
        <v>0</v>
      </c>
      <c r="H41" s="41">
        <f>RD02!F63</f>
        <v>0</v>
      </c>
      <c r="I41" s="41">
        <f>RD03!F63</f>
        <v>0</v>
      </c>
      <c r="J41" s="41">
        <f>RD04!F63</f>
        <v>0</v>
      </c>
      <c r="K41" s="41">
        <f>RD05!F63</f>
        <v>0</v>
      </c>
      <c r="L41" s="41">
        <f>RD06!F63</f>
        <v>0</v>
      </c>
      <c r="M41" s="41">
        <f>RD07!F63</f>
        <v>0</v>
      </c>
      <c r="N41" s="41">
        <f>RD08!F63</f>
        <v>0</v>
      </c>
      <c r="O41" s="41">
        <f>RD09!F63</f>
        <v>0</v>
      </c>
      <c r="P41" s="81">
        <f>RD10!F63</f>
        <v>0</v>
      </c>
    </row>
    <row r="42" s="2" customFormat="1" customHeight="1" spans="2:16">
      <c r="B42" s="43">
        <v>8</v>
      </c>
      <c r="C42" s="44">
        <v>31</v>
      </c>
      <c r="D42" s="80" t="str">
        <f>RD01!D72</f>
        <v>记-</v>
      </c>
      <c r="E42" s="46" t="s">
        <v>363</v>
      </c>
      <c r="F42" s="47">
        <f t="shared" si="6"/>
        <v>0</v>
      </c>
      <c r="G42" s="47">
        <f>RD01!F72</f>
        <v>0</v>
      </c>
      <c r="H42" s="41">
        <f>RD02!F72</f>
        <v>0</v>
      </c>
      <c r="I42" s="41">
        <f>RD03!F72</f>
        <v>0</v>
      </c>
      <c r="J42" s="41">
        <f>RD04!F72</f>
        <v>0</v>
      </c>
      <c r="K42" s="41">
        <f>RD05!F72</f>
        <v>0</v>
      </c>
      <c r="L42" s="41">
        <f>RD06!F72</f>
        <v>0</v>
      </c>
      <c r="M42" s="41">
        <f>RD07!F72</f>
        <v>0</v>
      </c>
      <c r="N42" s="41">
        <f>RD08!F72</f>
        <v>0</v>
      </c>
      <c r="O42" s="41">
        <f>RD09!F72</f>
        <v>0</v>
      </c>
      <c r="P42" s="81">
        <f>RD10!F72</f>
        <v>0</v>
      </c>
    </row>
    <row r="43" s="2" customFormat="1" customHeight="1" spans="2:16">
      <c r="B43" s="43">
        <v>9</v>
      </c>
      <c r="C43" s="44">
        <v>30</v>
      </c>
      <c r="D43" s="80" t="str">
        <f>RD01!D81</f>
        <v>记-</v>
      </c>
      <c r="E43" s="46" t="s">
        <v>363</v>
      </c>
      <c r="F43" s="47">
        <f t="shared" si="6"/>
        <v>0</v>
      </c>
      <c r="G43" s="47">
        <f>RD01!F81</f>
        <v>0</v>
      </c>
      <c r="H43" s="41">
        <f>RD02!F81</f>
        <v>0</v>
      </c>
      <c r="I43" s="41">
        <f>RD03!F81</f>
        <v>0</v>
      </c>
      <c r="J43" s="41">
        <f>RD04!F81</f>
        <v>0</v>
      </c>
      <c r="K43" s="41">
        <f>RD05!F81</f>
        <v>0</v>
      </c>
      <c r="L43" s="41">
        <f>RD06!F81</f>
        <v>0</v>
      </c>
      <c r="M43" s="41">
        <f>RD07!F81</f>
        <v>0</v>
      </c>
      <c r="N43" s="41">
        <f>RD08!F81</f>
        <v>0</v>
      </c>
      <c r="O43" s="41">
        <f>RD09!F81</f>
        <v>0</v>
      </c>
      <c r="P43" s="81">
        <f>RD10!F81</f>
        <v>0</v>
      </c>
    </row>
    <row r="44" s="2" customFormat="1" customHeight="1" spans="2:16">
      <c r="B44" s="43">
        <v>10</v>
      </c>
      <c r="C44" s="44">
        <v>31</v>
      </c>
      <c r="D44" s="82" t="str">
        <f>RD01!D90</f>
        <v>记-</v>
      </c>
      <c r="E44" s="46" t="s">
        <v>363</v>
      </c>
      <c r="F44" s="47">
        <f t="shared" si="6"/>
        <v>0</v>
      </c>
      <c r="G44" s="48">
        <f>RD01!F90</f>
        <v>0</v>
      </c>
      <c r="H44" s="54">
        <f>RD02!F90</f>
        <v>0</v>
      </c>
      <c r="I44" s="54">
        <f>RD03!F90</f>
        <v>0</v>
      </c>
      <c r="J44" s="54">
        <f>RD04!F90</f>
        <v>0</v>
      </c>
      <c r="K44" s="54">
        <f>RD05!F90</f>
        <v>0</v>
      </c>
      <c r="L44" s="54">
        <f>RD06!F90</f>
        <v>0</v>
      </c>
      <c r="M44" s="54">
        <f>RD07!F90</f>
        <v>0</v>
      </c>
      <c r="N44" s="54">
        <f>RD08!F90</f>
        <v>0</v>
      </c>
      <c r="O44" s="54">
        <f>RD09!F90</f>
        <v>0</v>
      </c>
      <c r="P44" s="83">
        <f>RD10!F90</f>
        <v>0</v>
      </c>
    </row>
    <row r="45" s="2" customFormat="1" customHeight="1" spans="2:16">
      <c r="B45" s="43">
        <v>11</v>
      </c>
      <c r="C45" s="44">
        <v>30</v>
      </c>
      <c r="D45" s="82" t="str">
        <f>RD01!D99</f>
        <v>记-</v>
      </c>
      <c r="E45" s="46" t="s">
        <v>363</v>
      </c>
      <c r="F45" s="47">
        <f t="shared" si="6"/>
        <v>0</v>
      </c>
      <c r="G45" s="48">
        <f>RD01!F99</f>
        <v>0</v>
      </c>
      <c r="H45" s="54">
        <f>RD02!F99</f>
        <v>0</v>
      </c>
      <c r="I45" s="54">
        <f>RD03!F99</f>
        <v>0</v>
      </c>
      <c r="J45" s="54">
        <f>RD04!F99</f>
        <v>0</v>
      </c>
      <c r="K45" s="54">
        <f>RD05!F99</f>
        <v>0</v>
      </c>
      <c r="L45" s="54">
        <f>RD06!F99</f>
        <v>0</v>
      </c>
      <c r="M45" s="54">
        <f>RD07!F99</f>
        <v>0</v>
      </c>
      <c r="N45" s="54">
        <f>RD08!F99</f>
        <v>0</v>
      </c>
      <c r="O45" s="54">
        <f>RD09!F99</f>
        <v>0</v>
      </c>
      <c r="P45" s="83">
        <f>RD10!F99</f>
        <v>0</v>
      </c>
    </row>
    <row r="46" s="2" customFormat="1" customHeight="1" spans="2:16">
      <c r="B46" s="43">
        <v>12</v>
      </c>
      <c r="C46" s="44">
        <v>31</v>
      </c>
      <c r="D46" s="82" t="str">
        <f>RD01!D108</f>
        <v>记-</v>
      </c>
      <c r="E46" s="46" t="s">
        <v>363</v>
      </c>
      <c r="F46" s="47">
        <f t="shared" si="6"/>
        <v>0</v>
      </c>
      <c r="G46" s="48">
        <f>RD01!F108</f>
        <v>0</v>
      </c>
      <c r="H46" s="54">
        <f>RD02!F108</f>
        <v>0</v>
      </c>
      <c r="I46" s="54">
        <f>RD03!F108</f>
        <v>0</v>
      </c>
      <c r="J46" s="54">
        <f>RD04!F108</f>
        <v>0</v>
      </c>
      <c r="K46" s="54">
        <f>RD05!F108</f>
        <v>0</v>
      </c>
      <c r="L46" s="54">
        <f>RD06!F108</f>
        <v>0</v>
      </c>
      <c r="M46" s="54">
        <f>RD07!F108</f>
        <v>0</v>
      </c>
      <c r="N46" s="54">
        <f>RD08!F108</f>
        <v>0</v>
      </c>
      <c r="O46" s="54">
        <f>RD09!F108</f>
        <v>0</v>
      </c>
      <c r="P46" s="83">
        <f>RD10!F108</f>
        <v>0</v>
      </c>
    </row>
    <row r="47" s="2" customFormat="1" customHeight="1" spans="2:16">
      <c r="B47" s="43"/>
      <c r="C47" s="44"/>
      <c r="D47" s="82"/>
      <c r="E47" s="53" t="s">
        <v>101</v>
      </c>
      <c r="F47" s="48">
        <f t="shared" ref="F47:P47" si="7">SUM(F35:F46)</f>
        <v>0</v>
      </c>
      <c r="G47" s="48">
        <f t="shared" si="7"/>
        <v>0</v>
      </c>
      <c r="H47" s="54">
        <f t="shared" si="7"/>
        <v>0</v>
      </c>
      <c r="I47" s="54">
        <f t="shared" si="7"/>
        <v>0</v>
      </c>
      <c r="J47" s="54">
        <f t="shared" si="7"/>
        <v>0</v>
      </c>
      <c r="K47" s="54">
        <f t="shared" si="7"/>
        <v>0</v>
      </c>
      <c r="L47" s="54">
        <f t="shared" si="7"/>
        <v>0</v>
      </c>
      <c r="M47" s="54">
        <f t="shared" si="7"/>
        <v>0</v>
      </c>
      <c r="N47" s="54">
        <f t="shared" si="7"/>
        <v>0</v>
      </c>
      <c r="O47" s="54">
        <f t="shared" si="7"/>
        <v>0</v>
      </c>
      <c r="P47" s="83">
        <f t="shared" si="7"/>
        <v>0</v>
      </c>
    </row>
    <row r="48" s="2" customFormat="1" customHeight="1" spans="2:16">
      <c r="B48" s="56"/>
      <c r="C48" s="57"/>
      <c r="D48" s="84"/>
      <c r="E48" s="59" t="s">
        <v>367</v>
      </c>
      <c r="F48" s="61">
        <f>F47+F34</f>
        <v>0</v>
      </c>
      <c r="G48" s="60">
        <f t="shared" ref="G48:P48" si="8">G34+G47</f>
        <v>0</v>
      </c>
      <c r="H48" s="85">
        <f t="shared" si="8"/>
        <v>0</v>
      </c>
      <c r="I48" s="85">
        <f t="shared" si="8"/>
        <v>0</v>
      </c>
      <c r="J48" s="85">
        <f t="shared" si="8"/>
        <v>0</v>
      </c>
      <c r="K48" s="85">
        <f t="shared" si="8"/>
        <v>0</v>
      </c>
      <c r="L48" s="85">
        <f t="shared" si="8"/>
        <v>0</v>
      </c>
      <c r="M48" s="85">
        <f t="shared" si="8"/>
        <v>0</v>
      </c>
      <c r="N48" s="85">
        <f t="shared" si="8"/>
        <v>0</v>
      </c>
      <c r="O48" s="85">
        <f t="shared" si="8"/>
        <v>0</v>
      </c>
      <c r="P48" s="86">
        <f t="shared" si="8"/>
        <v>0</v>
      </c>
    </row>
    <row r="49" s="2" customFormat="1" customHeight="1" spans="2:16">
      <c r="B49" s="36">
        <v>1</v>
      </c>
      <c r="C49" s="37">
        <v>31</v>
      </c>
      <c r="D49" s="77" t="str">
        <f>RD01!D10</f>
        <v>记-</v>
      </c>
      <c r="E49" s="39" t="s">
        <v>364</v>
      </c>
      <c r="F49" s="40">
        <f t="shared" ref="F49:F60" si="9">SUM(G49:P49)</f>
        <v>0</v>
      </c>
      <c r="G49" s="40">
        <f>RD01!F10</f>
        <v>0</v>
      </c>
      <c r="H49" s="78">
        <f>RD02!F10</f>
        <v>0</v>
      </c>
      <c r="I49" s="78">
        <f>RD03!F10</f>
        <v>0</v>
      </c>
      <c r="J49" s="78">
        <f>RD04!F10</f>
        <v>0</v>
      </c>
      <c r="K49" s="78">
        <f>RD05!F10</f>
        <v>0</v>
      </c>
      <c r="L49" s="78">
        <f>RD06!F10</f>
        <v>0</v>
      </c>
      <c r="M49" s="78">
        <f>RD07!F10</f>
        <v>0</v>
      </c>
      <c r="N49" s="78">
        <f>RD08!F10</f>
        <v>0</v>
      </c>
      <c r="O49" s="78">
        <f>RD09!F10</f>
        <v>0</v>
      </c>
      <c r="P49" s="79">
        <f>RD10!F10</f>
        <v>0</v>
      </c>
    </row>
    <row r="50" s="2" customFormat="1" customHeight="1" spans="2:16">
      <c r="B50" s="43">
        <v>2</v>
      </c>
      <c r="C50" s="44">
        <v>28</v>
      </c>
      <c r="D50" s="80" t="str">
        <f>RD01!D19</f>
        <v>记-</v>
      </c>
      <c r="E50" s="46" t="s">
        <v>364</v>
      </c>
      <c r="F50" s="47">
        <f t="shared" si="9"/>
        <v>0</v>
      </c>
      <c r="G50" s="47">
        <f>RD01!F19</f>
        <v>0</v>
      </c>
      <c r="H50" s="41">
        <f>RD02!F19</f>
        <v>0</v>
      </c>
      <c r="I50" s="41">
        <f>RD03!F19</f>
        <v>0</v>
      </c>
      <c r="J50" s="41">
        <f>RD04!F19</f>
        <v>0</v>
      </c>
      <c r="K50" s="41">
        <f>RD05!F19</f>
        <v>0</v>
      </c>
      <c r="L50" s="41">
        <f>RD06!F19</f>
        <v>0</v>
      </c>
      <c r="M50" s="41">
        <f>RD07!F19</f>
        <v>0</v>
      </c>
      <c r="N50" s="41">
        <f>RD08!F19</f>
        <v>0</v>
      </c>
      <c r="O50" s="41">
        <f>RD09!F19</f>
        <v>0</v>
      </c>
      <c r="P50" s="81">
        <f>RD10!F19</f>
        <v>0</v>
      </c>
    </row>
    <row r="51" s="2" customFormat="1" customHeight="1" spans="2:16">
      <c r="B51" s="43">
        <v>3</v>
      </c>
      <c r="C51" s="44">
        <v>31</v>
      </c>
      <c r="D51" s="80" t="str">
        <f>RD01!D28</f>
        <v>记-</v>
      </c>
      <c r="E51" s="46" t="s">
        <v>364</v>
      </c>
      <c r="F51" s="47">
        <f t="shared" si="9"/>
        <v>0</v>
      </c>
      <c r="G51" s="47">
        <f>RD01!F28</f>
        <v>0</v>
      </c>
      <c r="H51" s="41">
        <f>RD02!F28</f>
        <v>0</v>
      </c>
      <c r="I51" s="41">
        <f>RD03!F28</f>
        <v>0</v>
      </c>
      <c r="J51" s="41">
        <f>RD04!F28</f>
        <v>0</v>
      </c>
      <c r="K51" s="41">
        <f>RD05!F28</f>
        <v>0</v>
      </c>
      <c r="L51" s="41">
        <f>RD06!F28</f>
        <v>0</v>
      </c>
      <c r="M51" s="41">
        <f>RD07!F28</f>
        <v>0</v>
      </c>
      <c r="N51" s="41">
        <f>RD08!F28</f>
        <v>0</v>
      </c>
      <c r="O51" s="41">
        <f>RD09!F28</f>
        <v>0</v>
      </c>
      <c r="P51" s="81">
        <f>RD10!F28</f>
        <v>0</v>
      </c>
    </row>
    <row r="52" s="2" customFormat="1" customHeight="1" spans="2:16">
      <c r="B52" s="43">
        <v>4</v>
      </c>
      <c r="C52" s="44">
        <v>30</v>
      </c>
      <c r="D52" s="80" t="str">
        <f>RD01!D37</f>
        <v>记-</v>
      </c>
      <c r="E52" s="46" t="s">
        <v>364</v>
      </c>
      <c r="F52" s="47">
        <f t="shared" si="9"/>
        <v>0</v>
      </c>
      <c r="G52" s="47">
        <f>RD01!F37</f>
        <v>0</v>
      </c>
      <c r="H52" s="41">
        <f>RD02!F37</f>
        <v>0</v>
      </c>
      <c r="I52" s="41">
        <f>RD03!F37</f>
        <v>0</v>
      </c>
      <c r="J52" s="41">
        <f>RD04!F37</f>
        <v>0</v>
      </c>
      <c r="K52" s="41">
        <f>RD05!F37</f>
        <v>0</v>
      </c>
      <c r="L52" s="41">
        <f>RD06!F37</f>
        <v>0</v>
      </c>
      <c r="M52" s="41">
        <f>RD07!F37</f>
        <v>0</v>
      </c>
      <c r="N52" s="41">
        <f>RD08!F37</f>
        <v>0</v>
      </c>
      <c r="O52" s="41">
        <f>RD09!F37</f>
        <v>0</v>
      </c>
      <c r="P52" s="81">
        <f>RD10!F37</f>
        <v>0</v>
      </c>
    </row>
    <row r="53" s="2" customFormat="1" customHeight="1" spans="2:16">
      <c r="B53" s="43">
        <v>5</v>
      </c>
      <c r="C53" s="44">
        <v>31</v>
      </c>
      <c r="D53" s="80" t="str">
        <f>RD01!D46</f>
        <v>记-</v>
      </c>
      <c r="E53" s="46" t="s">
        <v>364</v>
      </c>
      <c r="F53" s="47">
        <f t="shared" si="9"/>
        <v>0</v>
      </c>
      <c r="G53" s="47">
        <f>RD01!F46</f>
        <v>0</v>
      </c>
      <c r="H53" s="41">
        <f>RD02!F46</f>
        <v>0</v>
      </c>
      <c r="I53" s="41">
        <f>RD03!F46</f>
        <v>0</v>
      </c>
      <c r="J53" s="41">
        <f>RD04!F46</f>
        <v>0</v>
      </c>
      <c r="K53" s="41">
        <f>RD05!F46</f>
        <v>0</v>
      </c>
      <c r="L53" s="41">
        <f>RD06!F46</f>
        <v>0</v>
      </c>
      <c r="M53" s="41">
        <f>RD07!F46</f>
        <v>0</v>
      </c>
      <c r="N53" s="41">
        <f>RD08!F46</f>
        <v>0</v>
      </c>
      <c r="O53" s="41">
        <f>RD09!F46</f>
        <v>0</v>
      </c>
      <c r="P53" s="81">
        <f>RD10!F46</f>
        <v>0</v>
      </c>
    </row>
    <row r="54" s="2" customFormat="1" customHeight="1" spans="2:16">
      <c r="B54" s="43">
        <v>6</v>
      </c>
      <c r="C54" s="44">
        <v>30</v>
      </c>
      <c r="D54" s="80" t="str">
        <f>RD01!D55</f>
        <v>记-</v>
      </c>
      <c r="E54" s="46" t="s">
        <v>364</v>
      </c>
      <c r="F54" s="47">
        <f t="shared" si="9"/>
        <v>0</v>
      </c>
      <c r="G54" s="47">
        <f>RD01!F55</f>
        <v>0</v>
      </c>
      <c r="H54" s="41">
        <f>RD02!F55</f>
        <v>0</v>
      </c>
      <c r="I54" s="41">
        <f>RD03!F55</f>
        <v>0</v>
      </c>
      <c r="J54" s="41">
        <f>RD04!F55</f>
        <v>0</v>
      </c>
      <c r="K54" s="41">
        <f>RD05!F55</f>
        <v>0</v>
      </c>
      <c r="L54" s="41">
        <f>RD06!F55</f>
        <v>0</v>
      </c>
      <c r="M54" s="41">
        <f>RD07!F55</f>
        <v>0</v>
      </c>
      <c r="N54" s="41">
        <f>RD08!F55</f>
        <v>0</v>
      </c>
      <c r="O54" s="41">
        <f>RD09!F55</f>
        <v>0</v>
      </c>
      <c r="P54" s="81">
        <f>RD10!F55</f>
        <v>0</v>
      </c>
    </row>
    <row r="55" s="2" customFormat="1" customHeight="1" spans="2:16">
      <c r="B55" s="43">
        <v>7</v>
      </c>
      <c r="C55" s="44">
        <v>31</v>
      </c>
      <c r="D55" s="80" t="str">
        <f>RD01!D64</f>
        <v>记-</v>
      </c>
      <c r="E55" s="46" t="s">
        <v>364</v>
      </c>
      <c r="F55" s="47">
        <f t="shared" si="9"/>
        <v>0</v>
      </c>
      <c r="G55" s="47">
        <f>RD01!F64</f>
        <v>0</v>
      </c>
      <c r="H55" s="41">
        <f>RD02!F64</f>
        <v>0</v>
      </c>
      <c r="I55" s="41">
        <f>RD03!F64</f>
        <v>0</v>
      </c>
      <c r="J55" s="41">
        <f>RD04!F64</f>
        <v>0</v>
      </c>
      <c r="K55" s="41">
        <f>RD05!F64</f>
        <v>0</v>
      </c>
      <c r="L55" s="41">
        <f>RD06!F64</f>
        <v>0</v>
      </c>
      <c r="M55" s="41">
        <f>RD07!F64</f>
        <v>0</v>
      </c>
      <c r="N55" s="41">
        <f>RD08!F64</f>
        <v>0</v>
      </c>
      <c r="O55" s="41">
        <f>RD09!F64</f>
        <v>0</v>
      </c>
      <c r="P55" s="81">
        <f>RD10!F64</f>
        <v>0</v>
      </c>
    </row>
    <row r="56" s="2" customFormat="1" customHeight="1" spans="2:16">
      <c r="B56" s="43">
        <v>8</v>
      </c>
      <c r="C56" s="44">
        <v>31</v>
      </c>
      <c r="D56" s="80" t="str">
        <f>RD01!D73</f>
        <v>记-</v>
      </c>
      <c r="E56" s="46" t="s">
        <v>364</v>
      </c>
      <c r="F56" s="47">
        <f t="shared" si="9"/>
        <v>0</v>
      </c>
      <c r="G56" s="47">
        <f>RD01!F73</f>
        <v>0</v>
      </c>
      <c r="H56" s="41">
        <f>RD02!F73</f>
        <v>0</v>
      </c>
      <c r="I56" s="41">
        <f>RD03!F73</f>
        <v>0</v>
      </c>
      <c r="J56" s="41">
        <f>RD04!F73</f>
        <v>0</v>
      </c>
      <c r="K56" s="41">
        <f>RD05!F73</f>
        <v>0</v>
      </c>
      <c r="L56" s="41">
        <f>RD06!F73</f>
        <v>0</v>
      </c>
      <c r="M56" s="41">
        <f>RD07!F73</f>
        <v>0</v>
      </c>
      <c r="N56" s="41">
        <f>RD08!F73</f>
        <v>0</v>
      </c>
      <c r="O56" s="41">
        <f>RD09!F73</f>
        <v>0</v>
      </c>
      <c r="P56" s="81">
        <f>RD10!F73</f>
        <v>0</v>
      </c>
    </row>
    <row r="57" s="2" customFormat="1" customHeight="1" spans="2:16">
      <c r="B57" s="43">
        <v>9</v>
      </c>
      <c r="C57" s="44">
        <v>30</v>
      </c>
      <c r="D57" s="82" t="str">
        <f>RD01!D82</f>
        <v>记-</v>
      </c>
      <c r="E57" s="46" t="s">
        <v>364</v>
      </c>
      <c r="F57" s="47">
        <f t="shared" si="9"/>
        <v>0</v>
      </c>
      <c r="G57" s="48">
        <f>RD01!F82</f>
        <v>0</v>
      </c>
      <c r="H57" s="54">
        <f>RD02!F82</f>
        <v>0</v>
      </c>
      <c r="I57" s="54">
        <f>RD03!F82</f>
        <v>0</v>
      </c>
      <c r="J57" s="54">
        <f>RD04!F82</f>
        <v>0</v>
      </c>
      <c r="K57" s="54">
        <f>RD05!F82</f>
        <v>0</v>
      </c>
      <c r="L57" s="54">
        <f>RD06!F82</f>
        <v>0</v>
      </c>
      <c r="M57" s="54">
        <f>RD07!F82</f>
        <v>0</v>
      </c>
      <c r="N57" s="54">
        <f>RD08!F82</f>
        <v>0</v>
      </c>
      <c r="O57" s="54">
        <f>RD09!F82</f>
        <v>0</v>
      </c>
      <c r="P57" s="83">
        <f>RD10!F82</f>
        <v>0</v>
      </c>
    </row>
    <row r="58" s="2" customFormat="1" customHeight="1" spans="2:16">
      <c r="B58" s="43">
        <v>10</v>
      </c>
      <c r="C58" s="44">
        <v>31</v>
      </c>
      <c r="D58" s="82" t="str">
        <f>RD01!D91</f>
        <v>记-</v>
      </c>
      <c r="E58" s="46" t="s">
        <v>364</v>
      </c>
      <c r="F58" s="47">
        <f t="shared" si="9"/>
        <v>0</v>
      </c>
      <c r="G58" s="48">
        <f>RD01!F91</f>
        <v>0</v>
      </c>
      <c r="H58" s="54">
        <f>RD02!F91</f>
        <v>0</v>
      </c>
      <c r="I58" s="54">
        <f>RD03!F91</f>
        <v>0</v>
      </c>
      <c r="J58" s="54">
        <f>RD04!F91</f>
        <v>0</v>
      </c>
      <c r="K58" s="54">
        <f>RD05!F91</f>
        <v>0</v>
      </c>
      <c r="L58" s="54">
        <f>RD06!F91</f>
        <v>0</v>
      </c>
      <c r="M58" s="54">
        <f>RD07!F91</f>
        <v>0</v>
      </c>
      <c r="N58" s="54">
        <f>RD08!F91</f>
        <v>0</v>
      </c>
      <c r="O58" s="54">
        <f>RD09!F91</f>
        <v>0</v>
      </c>
      <c r="P58" s="83">
        <f>RD10!F91</f>
        <v>0</v>
      </c>
    </row>
    <row r="59" s="2" customFormat="1" customHeight="1" spans="2:16">
      <c r="B59" s="43">
        <v>11</v>
      </c>
      <c r="C59" s="44">
        <v>30</v>
      </c>
      <c r="D59" s="82" t="str">
        <f>RD01!D100</f>
        <v>记-</v>
      </c>
      <c r="E59" s="46" t="s">
        <v>364</v>
      </c>
      <c r="F59" s="47">
        <f t="shared" si="9"/>
        <v>0</v>
      </c>
      <c r="G59" s="48">
        <f>RD01!F100</f>
        <v>0</v>
      </c>
      <c r="H59" s="54">
        <f>RD02!F100</f>
        <v>0</v>
      </c>
      <c r="I59" s="54">
        <f>RD03!F100</f>
        <v>0</v>
      </c>
      <c r="J59" s="54">
        <f>RD04!F100</f>
        <v>0</v>
      </c>
      <c r="K59" s="54">
        <f>RD05!F100</f>
        <v>0</v>
      </c>
      <c r="L59" s="54">
        <f>RD06!F100</f>
        <v>0</v>
      </c>
      <c r="M59" s="54">
        <f>RD07!F100</f>
        <v>0</v>
      </c>
      <c r="N59" s="54">
        <f>RD08!F100</f>
        <v>0</v>
      </c>
      <c r="O59" s="54">
        <f>RD09!F100</f>
        <v>0</v>
      </c>
      <c r="P59" s="83">
        <f>RD10!F100</f>
        <v>0</v>
      </c>
    </row>
    <row r="60" s="2" customFormat="1" customHeight="1" spans="2:16">
      <c r="B60" s="43">
        <v>12</v>
      </c>
      <c r="C60" s="44">
        <v>31</v>
      </c>
      <c r="D60" s="82" t="str">
        <f>RD01!D109</f>
        <v>记-</v>
      </c>
      <c r="E60" s="46" t="s">
        <v>364</v>
      </c>
      <c r="F60" s="47">
        <f t="shared" si="9"/>
        <v>0</v>
      </c>
      <c r="G60" s="48">
        <f>RD01!F109</f>
        <v>0</v>
      </c>
      <c r="H60" s="54">
        <f>RD02!F109</f>
        <v>0</v>
      </c>
      <c r="I60" s="54">
        <f>RD03!F109</f>
        <v>0</v>
      </c>
      <c r="J60" s="54">
        <f>RD04!F109</f>
        <v>0</v>
      </c>
      <c r="K60" s="54">
        <f>RD05!F109</f>
        <v>0</v>
      </c>
      <c r="L60" s="54">
        <f>RD06!F109</f>
        <v>0</v>
      </c>
      <c r="M60" s="54">
        <f>RD07!F109</f>
        <v>0</v>
      </c>
      <c r="N60" s="54">
        <f>RD08!F109</f>
        <v>0</v>
      </c>
      <c r="O60" s="54">
        <f>RD09!F109</f>
        <v>0</v>
      </c>
      <c r="P60" s="83">
        <f>RD10!F109</f>
        <v>0</v>
      </c>
    </row>
    <row r="61" s="2" customFormat="1" customHeight="1" spans="2:16">
      <c r="B61" s="43"/>
      <c r="C61" s="44"/>
      <c r="D61" s="82"/>
      <c r="E61" s="53" t="s">
        <v>101</v>
      </c>
      <c r="F61" s="48">
        <f t="shared" ref="F61:P61" si="10">SUM(F49:F60)</f>
        <v>0</v>
      </c>
      <c r="G61" s="48">
        <f t="shared" si="10"/>
        <v>0</v>
      </c>
      <c r="H61" s="54">
        <f t="shared" si="10"/>
        <v>0</v>
      </c>
      <c r="I61" s="54">
        <f t="shared" si="10"/>
        <v>0</v>
      </c>
      <c r="J61" s="54">
        <f t="shared" si="10"/>
        <v>0</v>
      </c>
      <c r="K61" s="54">
        <f t="shared" si="10"/>
        <v>0</v>
      </c>
      <c r="L61" s="54">
        <f t="shared" si="10"/>
        <v>0</v>
      </c>
      <c r="M61" s="54">
        <f t="shared" si="10"/>
        <v>0</v>
      </c>
      <c r="N61" s="54">
        <f t="shared" si="10"/>
        <v>0</v>
      </c>
      <c r="O61" s="54">
        <f t="shared" si="10"/>
        <v>0</v>
      </c>
      <c r="P61" s="83">
        <f t="shared" si="10"/>
        <v>0</v>
      </c>
    </row>
    <row r="62" s="2" customFormat="1" customHeight="1" spans="2:16">
      <c r="B62" s="56"/>
      <c r="C62" s="57"/>
      <c r="D62" s="87"/>
      <c r="E62" s="59" t="s">
        <v>367</v>
      </c>
      <c r="F62" s="65">
        <f>F61+F48</f>
        <v>0</v>
      </c>
      <c r="G62" s="60">
        <f t="shared" ref="G62:P62" si="11">G48+G61</f>
        <v>0</v>
      </c>
      <c r="H62" s="85">
        <f t="shared" si="11"/>
        <v>0</v>
      </c>
      <c r="I62" s="85">
        <f t="shared" si="11"/>
        <v>0</v>
      </c>
      <c r="J62" s="85">
        <f t="shared" si="11"/>
        <v>0</v>
      </c>
      <c r="K62" s="85">
        <f t="shared" si="11"/>
        <v>0</v>
      </c>
      <c r="L62" s="85">
        <f t="shared" si="11"/>
        <v>0</v>
      </c>
      <c r="M62" s="85">
        <f t="shared" si="11"/>
        <v>0</v>
      </c>
      <c r="N62" s="85">
        <f t="shared" si="11"/>
        <v>0</v>
      </c>
      <c r="O62" s="85">
        <f t="shared" si="11"/>
        <v>0</v>
      </c>
      <c r="P62" s="86">
        <f t="shared" si="11"/>
        <v>0</v>
      </c>
    </row>
    <row r="63" s="2" customFormat="1" customHeight="1" spans="2:16">
      <c r="B63" s="36">
        <v>1</v>
      </c>
      <c r="C63" s="37">
        <v>31</v>
      </c>
      <c r="D63" s="77" t="str">
        <f>RD01!D11</f>
        <v>记-</v>
      </c>
      <c r="E63" s="39" t="s">
        <v>365</v>
      </c>
      <c r="F63" s="40">
        <f t="shared" ref="F63:F74" si="12">SUM(G63:P63)</f>
        <v>0</v>
      </c>
      <c r="G63" s="40">
        <f>RD01!F11</f>
        <v>0</v>
      </c>
      <c r="H63" s="78">
        <f>RD02!F11</f>
        <v>0</v>
      </c>
      <c r="I63" s="78">
        <f>RD03!F11</f>
        <v>0</v>
      </c>
      <c r="J63" s="78">
        <f>RD04!F11</f>
        <v>0</v>
      </c>
      <c r="K63" s="78">
        <f>RD05!F11</f>
        <v>0</v>
      </c>
      <c r="L63" s="78">
        <f>RD06!F11</f>
        <v>0</v>
      </c>
      <c r="M63" s="78">
        <f>RD07!F11</f>
        <v>0</v>
      </c>
      <c r="N63" s="78">
        <f>RD08!F11</f>
        <v>0</v>
      </c>
      <c r="O63" s="78">
        <f>RD09!F11</f>
        <v>0</v>
      </c>
      <c r="P63" s="79">
        <f>RD10!F11</f>
        <v>0</v>
      </c>
    </row>
    <row r="64" s="2" customFormat="1" customHeight="1" spans="2:16">
      <c r="B64" s="43">
        <v>2</v>
      </c>
      <c r="C64" s="44">
        <v>28</v>
      </c>
      <c r="D64" s="80" t="str">
        <f>RD01!D20</f>
        <v>记-</v>
      </c>
      <c r="E64" s="46" t="s">
        <v>365</v>
      </c>
      <c r="F64" s="47">
        <f t="shared" si="12"/>
        <v>0</v>
      </c>
      <c r="G64" s="47">
        <f>RD01!F20</f>
        <v>0</v>
      </c>
      <c r="H64" s="41">
        <f>RD02!F20</f>
        <v>0</v>
      </c>
      <c r="I64" s="41">
        <f>RD03!F20</f>
        <v>0</v>
      </c>
      <c r="J64" s="41">
        <f>RD04!F20</f>
        <v>0</v>
      </c>
      <c r="K64" s="41">
        <f>RD05!F20</f>
        <v>0</v>
      </c>
      <c r="L64" s="41">
        <f>RD06!F20</f>
        <v>0</v>
      </c>
      <c r="M64" s="41">
        <f>RD07!F20</f>
        <v>0</v>
      </c>
      <c r="N64" s="41">
        <f>RD08!F20</f>
        <v>0</v>
      </c>
      <c r="O64" s="41">
        <f>RD09!F20</f>
        <v>0</v>
      </c>
      <c r="P64" s="81">
        <f>RD10!F20</f>
        <v>0</v>
      </c>
    </row>
    <row r="65" s="2" customFormat="1" customHeight="1" spans="2:16">
      <c r="B65" s="43">
        <v>3</v>
      </c>
      <c r="C65" s="44">
        <v>31</v>
      </c>
      <c r="D65" s="80" t="str">
        <f>RD01!D29</f>
        <v>记-</v>
      </c>
      <c r="E65" s="46" t="s">
        <v>365</v>
      </c>
      <c r="F65" s="47">
        <f t="shared" si="12"/>
        <v>0</v>
      </c>
      <c r="G65" s="47">
        <f>RD01!F29</f>
        <v>0</v>
      </c>
      <c r="H65" s="41">
        <f>RD02!F29</f>
        <v>0</v>
      </c>
      <c r="I65" s="41">
        <f>RD03!F29</f>
        <v>0</v>
      </c>
      <c r="J65" s="41">
        <f>RD04!F29</f>
        <v>0</v>
      </c>
      <c r="K65" s="41">
        <f>RD05!F29</f>
        <v>0</v>
      </c>
      <c r="L65" s="41">
        <f>RD06!F29</f>
        <v>0</v>
      </c>
      <c r="M65" s="41">
        <f>RD07!F29</f>
        <v>0</v>
      </c>
      <c r="N65" s="41">
        <f>RD08!F29</f>
        <v>0</v>
      </c>
      <c r="O65" s="41">
        <f>RD09!F29</f>
        <v>0</v>
      </c>
      <c r="P65" s="81">
        <f>RD10!F29</f>
        <v>0</v>
      </c>
    </row>
    <row r="66" s="2" customFormat="1" customHeight="1" spans="2:16">
      <c r="B66" s="43">
        <v>4</v>
      </c>
      <c r="C66" s="44">
        <v>30</v>
      </c>
      <c r="D66" s="82" t="str">
        <f>RD01!D38</f>
        <v>记-</v>
      </c>
      <c r="E66" s="46" t="s">
        <v>365</v>
      </c>
      <c r="F66" s="47">
        <f t="shared" si="12"/>
        <v>0</v>
      </c>
      <c r="G66" s="48">
        <f>RD01!F38</f>
        <v>0</v>
      </c>
      <c r="H66" s="54">
        <f>RD02!F38</f>
        <v>0</v>
      </c>
      <c r="I66" s="54">
        <f>RD03!F38</f>
        <v>0</v>
      </c>
      <c r="J66" s="54">
        <f>RD04!F38</f>
        <v>0</v>
      </c>
      <c r="K66" s="54">
        <f>RD05!F38</f>
        <v>0</v>
      </c>
      <c r="L66" s="54">
        <f>RD06!F38</f>
        <v>0</v>
      </c>
      <c r="M66" s="54">
        <f>RD07!F38</f>
        <v>0</v>
      </c>
      <c r="N66" s="54">
        <f>RD08!F38</f>
        <v>0</v>
      </c>
      <c r="O66" s="54">
        <f>RD09!F38</f>
        <v>0</v>
      </c>
      <c r="P66" s="83">
        <f>RD10!F38</f>
        <v>0</v>
      </c>
    </row>
    <row r="67" s="2" customFormat="1" customHeight="1" spans="2:16">
      <c r="B67" s="43">
        <v>5</v>
      </c>
      <c r="C67" s="44">
        <v>31</v>
      </c>
      <c r="D67" s="82" t="str">
        <f>RD01!D47</f>
        <v>记-</v>
      </c>
      <c r="E67" s="46" t="s">
        <v>365</v>
      </c>
      <c r="F67" s="47">
        <f t="shared" si="12"/>
        <v>0</v>
      </c>
      <c r="G67" s="48">
        <f>RD01!F47</f>
        <v>0</v>
      </c>
      <c r="H67" s="54">
        <f>RD02!F47</f>
        <v>0</v>
      </c>
      <c r="I67" s="54">
        <f>RD03!F47</f>
        <v>0</v>
      </c>
      <c r="J67" s="54">
        <f>RD04!F47</f>
        <v>0</v>
      </c>
      <c r="K67" s="54">
        <f>RD05!F47</f>
        <v>0</v>
      </c>
      <c r="L67" s="54">
        <f>RD06!F47</f>
        <v>0</v>
      </c>
      <c r="M67" s="54">
        <f>RD07!F47</f>
        <v>0</v>
      </c>
      <c r="N67" s="54">
        <f>RD08!F47</f>
        <v>0</v>
      </c>
      <c r="O67" s="54">
        <f>RD09!F47</f>
        <v>0</v>
      </c>
      <c r="P67" s="83">
        <f>RD10!F47</f>
        <v>0</v>
      </c>
    </row>
    <row r="68" s="2" customFormat="1" customHeight="1" spans="2:16">
      <c r="B68" s="43">
        <v>6</v>
      </c>
      <c r="C68" s="44">
        <v>30</v>
      </c>
      <c r="D68" s="82" t="str">
        <f>RD01!D56</f>
        <v>记-</v>
      </c>
      <c r="E68" s="46" t="s">
        <v>365</v>
      </c>
      <c r="F68" s="47">
        <f t="shared" si="12"/>
        <v>0</v>
      </c>
      <c r="G68" s="48">
        <f>RD01!F56</f>
        <v>0</v>
      </c>
      <c r="H68" s="54">
        <f>RD02!F56</f>
        <v>0</v>
      </c>
      <c r="I68" s="54">
        <f>RD03!F56</f>
        <v>0</v>
      </c>
      <c r="J68" s="54">
        <f>RD04!F56</f>
        <v>0</v>
      </c>
      <c r="K68" s="54">
        <f>RD05!F56</f>
        <v>0</v>
      </c>
      <c r="L68" s="54">
        <f>RD06!F56</f>
        <v>0</v>
      </c>
      <c r="M68" s="54">
        <f>RD07!F56</f>
        <v>0</v>
      </c>
      <c r="N68" s="54">
        <f>RD08!F56</f>
        <v>0</v>
      </c>
      <c r="O68" s="54">
        <f>RD09!F56</f>
        <v>0</v>
      </c>
      <c r="P68" s="83">
        <f>RD10!F56</f>
        <v>0</v>
      </c>
    </row>
    <row r="69" s="2" customFormat="1" customHeight="1" spans="2:16">
      <c r="B69" s="43">
        <v>7</v>
      </c>
      <c r="C69" s="44">
        <v>31</v>
      </c>
      <c r="D69" s="82" t="str">
        <f>RD01!D65</f>
        <v>记-</v>
      </c>
      <c r="E69" s="46" t="s">
        <v>365</v>
      </c>
      <c r="F69" s="47">
        <f t="shared" si="12"/>
        <v>0</v>
      </c>
      <c r="G69" s="48">
        <f>RD01!F65</f>
        <v>0</v>
      </c>
      <c r="H69" s="54">
        <f>RD02!F65</f>
        <v>0</v>
      </c>
      <c r="I69" s="54">
        <f>RD03!F65</f>
        <v>0</v>
      </c>
      <c r="J69" s="54">
        <f>RD04!F65</f>
        <v>0</v>
      </c>
      <c r="K69" s="54">
        <f>RD05!F65</f>
        <v>0</v>
      </c>
      <c r="L69" s="54">
        <f>RD06!F65</f>
        <v>0</v>
      </c>
      <c r="M69" s="54">
        <f>RD07!F65</f>
        <v>0</v>
      </c>
      <c r="N69" s="54">
        <f>RD08!F65</f>
        <v>0</v>
      </c>
      <c r="O69" s="54">
        <f>RD09!F65</f>
        <v>0</v>
      </c>
      <c r="P69" s="83">
        <f>RD10!F65</f>
        <v>0</v>
      </c>
    </row>
    <row r="70" s="2" customFormat="1" customHeight="1" spans="2:16">
      <c r="B70" s="43">
        <v>8</v>
      </c>
      <c r="C70" s="44">
        <v>31</v>
      </c>
      <c r="D70" s="82" t="str">
        <f>RD01!D74</f>
        <v>记-</v>
      </c>
      <c r="E70" s="46" t="s">
        <v>365</v>
      </c>
      <c r="F70" s="47">
        <f t="shared" si="12"/>
        <v>0</v>
      </c>
      <c r="G70" s="48">
        <f>RD01!F74</f>
        <v>0</v>
      </c>
      <c r="H70" s="54">
        <f>RD02!F74</f>
        <v>0</v>
      </c>
      <c r="I70" s="54">
        <f>RD03!F74</f>
        <v>0</v>
      </c>
      <c r="J70" s="54">
        <f>RD04!F74</f>
        <v>0</v>
      </c>
      <c r="K70" s="54">
        <f>RD05!F74</f>
        <v>0</v>
      </c>
      <c r="L70" s="54">
        <f>RD06!F74</f>
        <v>0</v>
      </c>
      <c r="M70" s="54">
        <f>RD07!F74</f>
        <v>0</v>
      </c>
      <c r="N70" s="54">
        <f>RD08!F74</f>
        <v>0</v>
      </c>
      <c r="O70" s="54">
        <f>RD09!F74</f>
        <v>0</v>
      </c>
      <c r="P70" s="83">
        <f>RD10!F74</f>
        <v>0</v>
      </c>
    </row>
    <row r="71" s="2" customFormat="1" customHeight="1" spans="2:16">
      <c r="B71" s="43">
        <v>9</v>
      </c>
      <c r="C71" s="44">
        <v>30</v>
      </c>
      <c r="D71" s="82" t="str">
        <f>RD01!D83</f>
        <v>记-</v>
      </c>
      <c r="E71" s="46" t="s">
        <v>365</v>
      </c>
      <c r="F71" s="47">
        <f t="shared" si="12"/>
        <v>0</v>
      </c>
      <c r="G71" s="48">
        <f>RD01!F83</f>
        <v>0</v>
      </c>
      <c r="H71" s="54">
        <f>RD02!F83</f>
        <v>0</v>
      </c>
      <c r="I71" s="54">
        <f>RD03!F83</f>
        <v>0</v>
      </c>
      <c r="J71" s="54">
        <f>RD04!F83</f>
        <v>0</v>
      </c>
      <c r="K71" s="54">
        <f>RD05!F83</f>
        <v>0</v>
      </c>
      <c r="L71" s="54">
        <f>RD06!F83</f>
        <v>0</v>
      </c>
      <c r="M71" s="54">
        <f>RD07!F83</f>
        <v>0</v>
      </c>
      <c r="N71" s="54">
        <f>RD08!F83</f>
        <v>0</v>
      </c>
      <c r="O71" s="54">
        <f>RD09!F83</f>
        <v>0</v>
      </c>
      <c r="P71" s="83">
        <f>RD10!F83</f>
        <v>0</v>
      </c>
    </row>
    <row r="72" s="2" customFormat="1" customHeight="1" spans="2:16">
      <c r="B72" s="43">
        <v>10</v>
      </c>
      <c r="C72" s="44">
        <v>31</v>
      </c>
      <c r="D72" s="82" t="str">
        <f>RD01!D92</f>
        <v>记-</v>
      </c>
      <c r="E72" s="46" t="s">
        <v>365</v>
      </c>
      <c r="F72" s="47">
        <f t="shared" si="12"/>
        <v>0</v>
      </c>
      <c r="G72" s="48">
        <f>RD01!F92</f>
        <v>0</v>
      </c>
      <c r="H72" s="54">
        <f>RD02!F92</f>
        <v>0</v>
      </c>
      <c r="I72" s="54">
        <f>RD03!F92</f>
        <v>0</v>
      </c>
      <c r="J72" s="54">
        <f>RD04!F92</f>
        <v>0</v>
      </c>
      <c r="K72" s="54">
        <f>RD05!F92</f>
        <v>0</v>
      </c>
      <c r="L72" s="54">
        <f>RD06!F92</f>
        <v>0</v>
      </c>
      <c r="M72" s="54">
        <f>RD07!F92</f>
        <v>0</v>
      </c>
      <c r="N72" s="54">
        <f>RD08!F92</f>
        <v>0</v>
      </c>
      <c r="O72" s="54">
        <f>RD09!F92</f>
        <v>0</v>
      </c>
      <c r="P72" s="83">
        <f>RD10!F92</f>
        <v>0</v>
      </c>
    </row>
    <row r="73" s="2" customFormat="1" customHeight="1" spans="2:16">
      <c r="B73" s="43">
        <v>11</v>
      </c>
      <c r="C73" s="44">
        <v>30</v>
      </c>
      <c r="D73" s="82" t="str">
        <f>RD01!D101</f>
        <v>记-</v>
      </c>
      <c r="E73" s="46" t="s">
        <v>365</v>
      </c>
      <c r="F73" s="47">
        <f t="shared" si="12"/>
        <v>0</v>
      </c>
      <c r="G73" s="48">
        <f>RD01!F101</f>
        <v>0</v>
      </c>
      <c r="H73" s="54">
        <f>RD02!F101</f>
        <v>0</v>
      </c>
      <c r="I73" s="54">
        <f>RD03!F101</f>
        <v>0</v>
      </c>
      <c r="J73" s="54">
        <f>RD04!F101</f>
        <v>0</v>
      </c>
      <c r="K73" s="54">
        <f>RD05!F101</f>
        <v>0</v>
      </c>
      <c r="L73" s="54">
        <f>RD06!F101</f>
        <v>0</v>
      </c>
      <c r="M73" s="54">
        <f>RD07!F101</f>
        <v>0</v>
      </c>
      <c r="N73" s="54">
        <f>RD08!F101</f>
        <v>0</v>
      </c>
      <c r="O73" s="54">
        <f>RD09!F101</f>
        <v>0</v>
      </c>
      <c r="P73" s="83">
        <f>RD10!F101</f>
        <v>0</v>
      </c>
    </row>
    <row r="74" s="2" customFormat="1" customHeight="1" spans="2:16">
      <c r="B74" s="43">
        <v>12</v>
      </c>
      <c r="C74" s="44">
        <v>31</v>
      </c>
      <c r="D74" s="82" t="str">
        <f>RD01!D110</f>
        <v>记-</v>
      </c>
      <c r="E74" s="46" t="s">
        <v>365</v>
      </c>
      <c r="F74" s="47">
        <f t="shared" si="12"/>
        <v>0</v>
      </c>
      <c r="G74" s="48">
        <f>RD01!F110</f>
        <v>0</v>
      </c>
      <c r="H74" s="54">
        <f>RD02!F110</f>
        <v>0</v>
      </c>
      <c r="I74" s="54">
        <f>RD03!F110</f>
        <v>0</v>
      </c>
      <c r="J74" s="54">
        <f>RD04!F110</f>
        <v>0</v>
      </c>
      <c r="K74" s="54">
        <f>RD05!F110</f>
        <v>0</v>
      </c>
      <c r="L74" s="54">
        <f>RD06!F110</f>
        <v>0</v>
      </c>
      <c r="M74" s="54">
        <f>RD07!F110</f>
        <v>0</v>
      </c>
      <c r="N74" s="54">
        <f>RD08!F110</f>
        <v>0</v>
      </c>
      <c r="O74" s="54">
        <f>RD09!F110</f>
        <v>0</v>
      </c>
      <c r="P74" s="83">
        <f>RD10!F110</f>
        <v>0</v>
      </c>
    </row>
    <row r="75" s="2" customFormat="1" customHeight="1" spans="2:16">
      <c r="B75" s="43"/>
      <c r="C75" s="44"/>
      <c r="D75" s="82"/>
      <c r="E75" s="53" t="s">
        <v>101</v>
      </c>
      <c r="F75" s="48">
        <f t="shared" ref="F75:P75" si="13">SUM(F63:F74)</f>
        <v>0</v>
      </c>
      <c r="G75" s="48">
        <f t="shared" si="13"/>
        <v>0</v>
      </c>
      <c r="H75" s="54">
        <f t="shared" si="13"/>
        <v>0</v>
      </c>
      <c r="I75" s="54">
        <f t="shared" si="13"/>
        <v>0</v>
      </c>
      <c r="J75" s="54">
        <f t="shared" si="13"/>
        <v>0</v>
      </c>
      <c r="K75" s="54">
        <f t="shared" si="13"/>
        <v>0</v>
      </c>
      <c r="L75" s="54">
        <f t="shared" si="13"/>
        <v>0</v>
      </c>
      <c r="M75" s="54">
        <f t="shared" si="13"/>
        <v>0</v>
      </c>
      <c r="N75" s="54">
        <f t="shared" si="13"/>
        <v>0</v>
      </c>
      <c r="O75" s="54">
        <f t="shared" si="13"/>
        <v>0</v>
      </c>
      <c r="P75" s="83">
        <f t="shared" si="13"/>
        <v>0</v>
      </c>
    </row>
    <row r="76" s="2" customFormat="1" customHeight="1" spans="2:16">
      <c r="B76" s="56"/>
      <c r="C76" s="57"/>
      <c r="D76" s="84"/>
      <c r="E76" s="59" t="s">
        <v>367</v>
      </c>
      <c r="F76" s="48">
        <f>F75+F62</f>
        <v>0</v>
      </c>
      <c r="G76" s="60">
        <f t="shared" ref="G76:P76" si="14">G62+G75</f>
        <v>0</v>
      </c>
      <c r="H76" s="85">
        <f t="shared" si="14"/>
        <v>0</v>
      </c>
      <c r="I76" s="85">
        <f t="shared" si="14"/>
        <v>0</v>
      </c>
      <c r="J76" s="85">
        <f t="shared" si="14"/>
        <v>0</v>
      </c>
      <c r="K76" s="85">
        <f t="shared" si="14"/>
        <v>0</v>
      </c>
      <c r="L76" s="85">
        <f t="shared" si="14"/>
        <v>0</v>
      </c>
      <c r="M76" s="85">
        <f t="shared" si="14"/>
        <v>0</v>
      </c>
      <c r="N76" s="85">
        <f t="shared" si="14"/>
        <v>0</v>
      </c>
      <c r="O76" s="85">
        <f t="shared" si="14"/>
        <v>0</v>
      </c>
      <c r="P76" s="86">
        <f t="shared" si="14"/>
        <v>0</v>
      </c>
    </row>
    <row r="77" s="2" customFormat="1" customHeight="1" spans="2:16">
      <c r="B77" s="36">
        <v>1</v>
      </c>
      <c r="C77" s="37">
        <v>31</v>
      </c>
      <c r="D77" s="77" t="str">
        <f>RD01!D12</f>
        <v>记-</v>
      </c>
      <c r="E77" s="39" t="s">
        <v>356</v>
      </c>
      <c r="F77" s="40">
        <f t="shared" ref="F77:F88" si="15">SUM(G77:P77)</f>
        <v>0</v>
      </c>
      <c r="G77" s="40">
        <f>RD01!F12</f>
        <v>0</v>
      </c>
      <c r="H77" s="78">
        <f>RD02!F12</f>
        <v>0</v>
      </c>
      <c r="I77" s="78">
        <f>RD03!F12</f>
        <v>0</v>
      </c>
      <c r="J77" s="78">
        <f>RD04!F12</f>
        <v>0</v>
      </c>
      <c r="K77" s="78">
        <f>RD05!F12</f>
        <v>0</v>
      </c>
      <c r="L77" s="78">
        <f>RD06!F12</f>
        <v>0</v>
      </c>
      <c r="M77" s="78">
        <f>RD07!F12</f>
        <v>0</v>
      </c>
      <c r="N77" s="78">
        <f>RD08!F12</f>
        <v>0</v>
      </c>
      <c r="O77" s="78">
        <f>RD09!F12</f>
        <v>0</v>
      </c>
      <c r="P77" s="79">
        <f>RD10!F12</f>
        <v>0</v>
      </c>
    </row>
    <row r="78" s="2" customFormat="1" customHeight="1" spans="2:16">
      <c r="B78" s="43">
        <v>2</v>
      </c>
      <c r="C78" s="44">
        <v>28</v>
      </c>
      <c r="D78" s="80" t="str">
        <f>RD01!D21</f>
        <v>记-</v>
      </c>
      <c r="E78" s="46" t="s">
        <v>356</v>
      </c>
      <c r="F78" s="47">
        <f t="shared" si="15"/>
        <v>0</v>
      </c>
      <c r="G78" s="47">
        <f>RD01!F21</f>
        <v>0</v>
      </c>
      <c r="H78" s="41">
        <f>RD02!F21</f>
        <v>0</v>
      </c>
      <c r="I78" s="41">
        <f>RD03!F21</f>
        <v>0</v>
      </c>
      <c r="J78" s="41">
        <f>RD04!F21</f>
        <v>0</v>
      </c>
      <c r="K78" s="41">
        <f>RD05!F21</f>
        <v>0</v>
      </c>
      <c r="L78" s="41">
        <f>RD06!F21</f>
        <v>0</v>
      </c>
      <c r="M78" s="41">
        <f>RD07!F21</f>
        <v>0</v>
      </c>
      <c r="N78" s="41">
        <f>RD08!F21</f>
        <v>0</v>
      </c>
      <c r="O78" s="41">
        <f>RD09!F21</f>
        <v>0</v>
      </c>
      <c r="P78" s="81">
        <f>RD10!F21</f>
        <v>0</v>
      </c>
    </row>
    <row r="79" s="2" customFormat="1" customHeight="1" spans="2:16">
      <c r="B79" s="43">
        <v>3</v>
      </c>
      <c r="C79" s="44">
        <v>31</v>
      </c>
      <c r="D79" s="80" t="str">
        <f>RD01!D30</f>
        <v>记-</v>
      </c>
      <c r="E79" s="46" t="s">
        <v>356</v>
      </c>
      <c r="F79" s="47">
        <f t="shared" si="15"/>
        <v>0</v>
      </c>
      <c r="G79" s="47">
        <f>RD01!F30</f>
        <v>0</v>
      </c>
      <c r="H79" s="41">
        <f>RD02!F30</f>
        <v>0</v>
      </c>
      <c r="I79" s="41">
        <f>RD03!F30</f>
        <v>0</v>
      </c>
      <c r="J79" s="41">
        <f>RD04!F30</f>
        <v>0</v>
      </c>
      <c r="K79" s="41">
        <f>RD05!F30</f>
        <v>0</v>
      </c>
      <c r="L79" s="41">
        <f>RD06!F30</f>
        <v>0</v>
      </c>
      <c r="M79" s="41">
        <f>RD07!F30</f>
        <v>0</v>
      </c>
      <c r="N79" s="41">
        <f>RD08!F30</f>
        <v>0</v>
      </c>
      <c r="O79" s="41">
        <f>RD09!F30</f>
        <v>0</v>
      </c>
      <c r="P79" s="81">
        <f>RD10!F30</f>
        <v>0</v>
      </c>
    </row>
    <row r="80" s="2" customFormat="1" customHeight="1" spans="2:16">
      <c r="B80" s="43">
        <v>4</v>
      </c>
      <c r="C80" s="44">
        <v>30</v>
      </c>
      <c r="D80" s="80" t="str">
        <f>RD01!D39</f>
        <v>记-</v>
      </c>
      <c r="E80" s="46" t="s">
        <v>356</v>
      </c>
      <c r="F80" s="47">
        <f t="shared" si="15"/>
        <v>0</v>
      </c>
      <c r="G80" s="47">
        <f>RD01!F39</f>
        <v>0</v>
      </c>
      <c r="H80" s="41">
        <f>RD02!F39</f>
        <v>0</v>
      </c>
      <c r="I80" s="41">
        <f>RD03!F39</f>
        <v>0</v>
      </c>
      <c r="J80" s="41">
        <f>RD04!F39</f>
        <v>0</v>
      </c>
      <c r="K80" s="41">
        <f>RD05!F39</f>
        <v>0</v>
      </c>
      <c r="L80" s="41">
        <f>RD06!F39</f>
        <v>0</v>
      </c>
      <c r="M80" s="41">
        <f>RD07!F39</f>
        <v>0</v>
      </c>
      <c r="N80" s="41">
        <f>RD08!F39</f>
        <v>0</v>
      </c>
      <c r="O80" s="41">
        <f>RD09!F39</f>
        <v>0</v>
      </c>
      <c r="P80" s="81">
        <f>RD10!F39</f>
        <v>0</v>
      </c>
    </row>
    <row r="81" s="2" customFormat="1" customHeight="1" spans="2:16">
      <c r="B81" s="43">
        <v>5</v>
      </c>
      <c r="C81" s="44">
        <v>31</v>
      </c>
      <c r="D81" s="80" t="str">
        <f>RD01!D48</f>
        <v>记-</v>
      </c>
      <c r="E81" s="46" t="s">
        <v>356</v>
      </c>
      <c r="F81" s="47">
        <f t="shared" si="15"/>
        <v>0</v>
      </c>
      <c r="G81" s="47">
        <f>RD01!F48</f>
        <v>0</v>
      </c>
      <c r="H81" s="41">
        <f>RD02!F48</f>
        <v>0</v>
      </c>
      <c r="I81" s="41">
        <f>RD03!F48</f>
        <v>0</v>
      </c>
      <c r="J81" s="41">
        <f>RD04!F48</f>
        <v>0</v>
      </c>
      <c r="K81" s="41">
        <f>RD05!F48</f>
        <v>0</v>
      </c>
      <c r="L81" s="41">
        <f>RD06!F48</f>
        <v>0</v>
      </c>
      <c r="M81" s="41">
        <f>RD07!F48</f>
        <v>0</v>
      </c>
      <c r="N81" s="41">
        <f>RD08!F48</f>
        <v>0</v>
      </c>
      <c r="O81" s="41">
        <f>RD09!F48</f>
        <v>0</v>
      </c>
      <c r="P81" s="81">
        <f>RD10!F48</f>
        <v>0</v>
      </c>
    </row>
    <row r="82" s="2" customFormat="1" customHeight="1" spans="2:16">
      <c r="B82" s="43">
        <v>6</v>
      </c>
      <c r="C82" s="44">
        <v>30</v>
      </c>
      <c r="D82" s="80" t="str">
        <f>RD01!D57</f>
        <v>记-</v>
      </c>
      <c r="E82" s="46" t="s">
        <v>356</v>
      </c>
      <c r="F82" s="47">
        <f t="shared" si="15"/>
        <v>0</v>
      </c>
      <c r="G82" s="47">
        <f>RD01!F57</f>
        <v>0</v>
      </c>
      <c r="H82" s="41">
        <f>RD02!F57</f>
        <v>0</v>
      </c>
      <c r="I82" s="41">
        <f>RD03!F57</f>
        <v>0</v>
      </c>
      <c r="J82" s="41">
        <f>RD04!F57</f>
        <v>0</v>
      </c>
      <c r="K82" s="41">
        <f>RD05!F57</f>
        <v>0</v>
      </c>
      <c r="L82" s="41">
        <f>RD06!F57</f>
        <v>0</v>
      </c>
      <c r="M82" s="41">
        <f>RD07!F57</f>
        <v>0</v>
      </c>
      <c r="N82" s="41">
        <f>RD08!F57</f>
        <v>0</v>
      </c>
      <c r="O82" s="41">
        <f>RD09!F57</f>
        <v>0</v>
      </c>
      <c r="P82" s="81">
        <f>RD10!F57</f>
        <v>0</v>
      </c>
    </row>
    <row r="83" s="2" customFormat="1" customHeight="1" spans="2:16">
      <c r="B83" s="43">
        <v>7</v>
      </c>
      <c r="C83" s="44">
        <v>31</v>
      </c>
      <c r="D83" s="80" t="str">
        <f>RD01!D66</f>
        <v>记-</v>
      </c>
      <c r="E83" s="46" t="s">
        <v>356</v>
      </c>
      <c r="F83" s="47">
        <f t="shared" si="15"/>
        <v>0</v>
      </c>
      <c r="G83" s="47">
        <f>RD01!F66</f>
        <v>0</v>
      </c>
      <c r="H83" s="41">
        <f>RD02!F66</f>
        <v>0</v>
      </c>
      <c r="I83" s="41">
        <f>RD03!F66</f>
        <v>0</v>
      </c>
      <c r="J83" s="41">
        <f>RD04!F66</f>
        <v>0</v>
      </c>
      <c r="K83" s="41">
        <f>RD05!F66</f>
        <v>0</v>
      </c>
      <c r="L83" s="41">
        <f>RD06!F66</f>
        <v>0</v>
      </c>
      <c r="M83" s="41">
        <f>RD07!F66</f>
        <v>0</v>
      </c>
      <c r="N83" s="41">
        <f>RD08!F66</f>
        <v>0</v>
      </c>
      <c r="O83" s="41">
        <f>RD09!F66</f>
        <v>0</v>
      </c>
      <c r="P83" s="81">
        <f>RD10!F66</f>
        <v>0</v>
      </c>
    </row>
    <row r="84" s="2" customFormat="1" customHeight="1" spans="2:16">
      <c r="B84" s="43">
        <v>8</v>
      </c>
      <c r="C84" s="44">
        <v>31</v>
      </c>
      <c r="D84" s="80" t="str">
        <f>RD01!D75</f>
        <v>记-</v>
      </c>
      <c r="E84" s="46" t="s">
        <v>356</v>
      </c>
      <c r="F84" s="47">
        <f t="shared" si="15"/>
        <v>0</v>
      </c>
      <c r="G84" s="47">
        <f>RD01!F75</f>
        <v>0</v>
      </c>
      <c r="H84" s="41">
        <f>RD02!F75</f>
        <v>0</v>
      </c>
      <c r="I84" s="41">
        <f>RD03!F75</f>
        <v>0</v>
      </c>
      <c r="J84" s="41">
        <f>RD04!F75</f>
        <v>0</v>
      </c>
      <c r="K84" s="41">
        <f>RD05!F75</f>
        <v>0</v>
      </c>
      <c r="L84" s="41">
        <f>RD06!F75</f>
        <v>0</v>
      </c>
      <c r="M84" s="41">
        <f>RD07!F75</f>
        <v>0</v>
      </c>
      <c r="N84" s="41">
        <f>RD08!F75</f>
        <v>0</v>
      </c>
      <c r="O84" s="41">
        <f>RD09!F75</f>
        <v>0</v>
      </c>
      <c r="P84" s="81">
        <f>RD10!F75</f>
        <v>0</v>
      </c>
    </row>
    <row r="85" s="2" customFormat="1" customHeight="1" spans="2:16">
      <c r="B85" s="43">
        <v>9</v>
      </c>
      <c r="C85" s="44">
        <v>30</v>
      </c>
      <c r="D85" s="82" t="str">
        <f>RD01!D84</f>
        <v>记-</v>
      </c>
      <c r="E85" s="46" t="s">
        <v>356</v>
      </c>
      <c r="F85" s="47">
        <f t="shared" si="15"/>
        <v>0</v>
      </c>
      <c r="G85" s="48">
        <f>RD01!F84</f>
        <v>0</v>
      </c>
      <c r="H85" s="54">
        <f>RD02!F84</f>
        <v>0</v>
      </c>
      <c r="I85" s="54">
        <f>RD03!F84</f>
        <v>0</v>
      </c>
      <c r="J85" s="54">
        <f>RD04!F84</f>
        <v>0</v>
      </c>
      <c r="K85" s="54">
        <f>RD05!F84</f>
        <v>0</v>
      </c>
      <c r="L85" s="54">
        <f>RD06!F84</f>
        <v>0</v>
      </c>
      <c r="M85" s="54">
        <f>RD07!F84</f>
        <v>0</v>
      </c>
      <c r="N85" s="54">
        <f>RD08!F84</f>
        <v>0</v>
      </c>
      <c r="O85" s="54">
        <f>RD09!F84</f>
        <v>0</v>
      </c>
      <c r="P85" s="83">
        <f>RD10!F84</f>
        <v>0</v>
      </c>
    </row>
    <row r="86" s="2" customFormat="1" customHeight="1" spans="2:16">
      <c r="B86" s="43">
        <v>10</v>
      </c>
      <c r="C86" s="44">
        <v>31</v>
      </c>
      <c r="D86" s="82" t="str">
        <f>RD01!D93</f>
        <v>记-</v>
      </c>
      <c r="E86" s="46" t="s">
        <v>356</v>
      </c>
      <c r="F86" s="47">
        <f t="shared" si="15"/>
        <v>0</v>
      </c>
      <c r="G86" s="48">
        <f>RD01!F93</f>
        <v>0</v>
      </c>
      <c r="H86" s="54">
        <f>RD02!F93</f>
        <v>0</v>
      </c>
      <c r="I86" s="54">
        <f>RD03!F93</f>
        <v>0</v>
      </c>
      <c r="J86" s="54">
        <f>RD04!F93</f>
        <v>0</v>
      </c>
      <c r="K86" s="54">
        <f>RD05!F93</f>
        <v>0</v>
      </c>
      <c r="L86" s="54">
        <f>RD06!F93</f>
        <v>0</v>
      </c>
      <c r="M86" s="54">
        <f>RD07!F93</f>
        <v>0</v>
      </c>
      <c r="N86" s="54">
        <f>RD08!F93</f>
        <v>0</v>
      </c>
      <c r="O86" s="54">
        <f>RD09!F93</f>
        <v>0</v>
      </c>
      <c r="P86" s="83">
        <f>RD10!F93</f>
        <v>0</v>
      </c>
    </row>
    <row r="87" s="2" customFormat="1" customHeight="1" spans="2:16">
      <c r="B87" s="43">
        <v>11</v>
      </c>
      <c r="C87" s="44">
        <v>30</v>
      </c>
      <c r="D87" s="82" t="str">
        <f>RD01!D102</f>
        <v>记-</v>
      </c>
      <c r="E87" s="46" t="s">
        <v>356</v>
      </c>
      <c r="F87" s="47">
        <f t="shared" si="15"/>
        <v>0</v>
      </c>
      <c r="G87" s="48">
        <f>RD01!F102</f>
        <v>0</v>
      </c>
      <c r="H87" s="54">
        <f>RD02!F102</f>
        <v>0</v>
      </c>
      <c r="I87" s="54">
        <f>RD03!F102</f>
        <v>0</v>
      </c>
      <c r="J87" s="54">
        <f>RD04!F102</f>
        <v>0</v>
      </c>
      <c r="K87" s="54">
        <f>RD05!F102</f>
        <v>0</v>
      </c>
      <c r="L87" s="54">
        <f>RD06!F102</f>
        <v>0</v>
      </c>
      <c r="M87" s="54">
        <f>RD07!F102</f>
        <v>0</v>
      </c>
      <c r="N87" s="54">
        <f>RD08!F102</f>
        <v>0</v>
      </c>
      <c r="O87" s="54">
        <f>RD09!F102</f>
        <v>0</v>
      </c>
      <c r="P87" s="83">
        <f>RD10!F102</f>
        <v>0</v>
      </c>
    </row>
    <row r="88" s="2" customFormat="1" customHeight="1" spans="2:16">
      <c r="B88" s="43">
        <v>12</v>
      </c>
      <c r="C88" s="44">
        <v>31</v>
      </c>
      <c r="D88" s="82" t="str">
        <f>RD01!D111</f>
        <v>记-</v>
      </c>
      <c r="E88" s="46" t="s">
        <v>356</v>
      </c>
      <c r="F88" s="47">
        <f t="shared" si="15"/>
        <v>0</v>
      </c>
      <c r="G88" s="48">
        <f>RD01!F111</f>
        <v>0</v>
      </c>
      <c r="H88" s="54">
        <f>RD02!F111</f>
        <v>0</v>
      </c>
      <c r="I88" s="54">
        <f>RD03!F111</f>
        <v>0</v>
      </c>
      <c r="J88" s="54">
        <f>RD04!F111</f>
        <v>0</v>
      </c>
      <c r="K88" s="54">
        <f>RD05!F111</f>
        <v>0</v>
      </c>
      <c r="L88" s="54">
        <f>RD06!F111</f>
        <v>0</v>
      </c>
      <c r="M88" s="54">
        <f>RD07!F111</f>
        <v>0</v>
      </c>
      <c r="N88" s="54">
        <f>RD08!F111</f>
        <v>0</v>
      </c>
      <c r="O88" s="54">
        <f>RD09!F111</f>
        <v>0</v>
      </c>
      <c r="P88" s="83">
        <f>RD10!F111</f>
        <v>0</v>
      </c>
    </row>
    <row r="89" s="2" customFormat="1" customHeight="1" spans="2:16">
      <c r="B89" s="43"/>
      <c r="C89" s="44"/>
      <c r="D89" s="82"/>
      <c r="E89" s="53" t="s">
        <v>101</v>
      </c>
      <c r="F89" s="48">
        <f t="shared" ref="F89:P89" si="16">SUM(F77:F88)</f>
        <v>0</v>
      </c>
      <c r="G89" s="48">
        <f t="shared" si="16"/>
        <v>0</v>
      </c>
      <c r="H89" s="54">
        <f t="shared" si="16"/>
        <v>0</v>
      </c>
      <c r="I89" s="54">
        <f t="shared" si="16"/>
        <v>0</v>
      </c>
      <c r="J89" s="54">
        <f t="shared" si="16"/>
        <v>0</v>
      </c>
      <c r="K89" s="54">
        <f t="shared" si="16"/>
        <v>0</v>
      </c>
      <c r="L89" s="54">
        <f t="shared" si="16"/>
        <v>0</v>
      </c>
      <c r="M89" s="54">
        <f t="shared" si="16"/>
        <v>0</v>
      </c>
      <c r="N89" s="54">
        <f t="shared" si="16"/>
        <v>0</v>
      </c>
      <c r="O89" s="54">
        <f t="shared" si="16"/>
        <v>0</v>
      </c>
      <c r="P89" s="83">
        <f t="shared" si="16"/>
        <v>0</v>
      </c>
    </row>
    <row r="90" s="2" customFormat="1" customHeight="1" spans="2:16">
      <c r="B90" s="56"/>
      <c r="C90" s="57"/>
      <c r="D90" s="84"/>
      <c r="E90" s="59" t="s">
        <v>367</v>
      </c>
      <c r="F90" s="48">
        <f>F89+F76</f>
        <v>0</v>
      </c>
      <c r="G90" s="60">
        <f t="shared" ref="G90:P90" si="17">G76+G89</f>
        <v>0</v>
      </c>
      <c r="H90" s="85">
        <f t="shared" si="17"/>
        <v>0</v>
      </c>
      <c r="I90" s="85">
        <f t="shared" si="17"/>
        <v>0</v>
      </c>
      <c r="J90" s="85">
        <f t="shared" si="17"/>
        <v>0</v>
      </c>
      <c r="K90" s="85">
        <f t="shared" si="17"/>
        <v>0</v>
      </c>
      <c r="L90" s="85">
        <f t="shared" si="17"/>
        <v>0</v>
      </c>
      <c r="M90" s="85">
        <f t="shared" si="17"/>
        <v>0</v>
      </c>
      <c r="N90" s="85">
        <f t="shared" si="17"/>
        <v>0</v>
      </c>
      <c r="O90" s="85">
        <f t="shared" si="17"/>
        <v>0</v>
      </c>
      <c r="P90" s="86">
        <f t="shared" si="17"/>
        <v>0</v>
      </c>
    </row>
    <row r="91" s="2" customFormat="1" customHeight="1" spans="2:16">
      <c r="B91" s="36">
        <v>1</v>
      </c>
      <c r="C91" s="37">
        <v>31</v>
      </c>
      <c r="D91" s="77" t="str">
        <f>RD01!D13</f>
        <v>记-</v>
      </c>
      <c r="E91" s="39" t="s">
        <v>359</v>
      </c>
      <c r="F91" s="40">
        <f t="shared" ref="F91:F102" si="18">SUM(G91:P91)</f>
        <v>0</v>
      </c>
      <c r="G91" s="40">
        <f>RD01!F13</f>
        <v>0</v>
      </c>
      <c r="H91" s="78">
        <f>RD02!F13</f>
        <v>0</v>
      </c>
      <c r="I91" s="78">
        <f>RD03!F13</f>
        <v>0</v>
      </c>
      <c r="J91" s="78">
        <f>RD04!F13</f>
        <v>0</v>
      </c>
      <c r="K91" s="78">
        <f>RD05!F13</f>
        <v>0</v>
      </c>
      <c r="L91" s="78">
        <f>RD06!F13</f>
        <v>0</v>
      </c>
      <c r="M91" s="78">
        <f>RD07!F13</f>
        <v>0</v>
      </c>
      <c r="N91" s="78">
        <f>RD08!F13</f>
        <v>0</v>
      </c>
      <c r="O91" s="78">
        <f>RD09!F13</f>
        <v>0</v>
      </c>
      <c r="P91" s="79">
        <f>RD10!F13</f>
        <v>0</v>
      </c>
    </row>
    <row r="92" s="2" customFormat="1" customHeight="1" spans="2:16">
      <c r="B92" s="43">
        <v>2</v>
      </c>
      <c r="C92" s="44">
        <v>28</v>
      </c>
      <c r="D92" s="80" t="str">
        <f>RD01!D22</f>
        <v>记-</v>
      </c>
      <c r="E92" s="46" t="s">
        <v>359</v>
      </c>
      <c r="F92" s="47">
        <f t="shared" si="18"/>
        <v>0</v>
      </c>
      <c r="G92" s="47">
        <f>RD01!F22</f>
        <v>0</v>
      </c>
      <c r="H92" s="41">
        <f>RD02!F22</f>
        <v>0</v>
      </c>
      <c r="I92" s="41">
        <f>RD03!F22</f>
        <v>0</v>
      </c>
      <c r="J92" s="41">
        <f>RD04!F22</f>
        <v>0</v>
      </c>
      <c r="K92" s="41">
        <f>RD05!F22</f>
        <v>0</v>
      </c>
      <c r="L92" s="41">
        <f>RD06!F22</f>
        <v>0</v>
      </c>
      <c r="M92" s="41">
        <f>RD07!F22</f>
        <v>0</v>
      </c>
      <c r="N92" s="41">
        <f>RD08!F22</f>
        <v>0</v>
      </c>
      <c r="O92" s="41">
        <f>RD09!F22</f>
        <v>0</v>
      </c>
      <c r="P92" s="81">
        <f>RD10!F22</f>
        <v>0</v>
      </c>
    </row>
    <row r="93" s="2" customFormat="1" customHeight="1" spans="2:16">
      <c r="B93" s="43">
        <v>3</v>
      </c>
      <c r="C93" s="44">
        <v>31</v>
      </c>
      <c r="D93" s="80" t="str">
        <f>RD01!D31</f>
        <v>记-</v>
      </c>
      <c r="E93" s="46" t="s">
        <v>359</v>
      </c>
      <c r="F93" s="47">
        <f t="shared" si="18"/>
        <v>0</v>
      </c>
      <c r="G93" s="47">
        <f>RD01!F31</f>
        <v>0</v>
      </c>
      <c r="H93" s="41">
        <f>RD02!F31</f>
        <v>0</v>
      </c>
      <c r="I93" s="41">
        <f>RD03!F31</f>
        <v>0</v>
      </c>
      <c r="J93" s="41">
        <f>RD04!F31</f>
        <v>0</v>
      </c>
      <c r="K93" s="41">
        <f>RD05!F31</f>
        <v>0</v>
      </c>
      <c r="L93" s="41">
        <f>RD06!F31</f>
        <v>0</v>
      </c>
      <c r="M93" s="41">
        <f>RD07!F31</f>
        <v>0</v>
      </c>
      <c r="N93" s="41">
        <f>RD08!F31</f>
        <v>0</v>
      </c>
      <c r="O93" s="41">
        <f>RD09!F31</f>
        <v>0</v>
      </c>
      <c r="P93" s="81">
        <f>RD10!F31</f>
        <v>0</v>
      </c>
    </row>
    <row r="94" s="2" customFormat="1" customHeight="1" spans="2:16">
      <c r="B94" s="43">
        <v>4</v>
      </c>
      <c r="C94" s="44">
        <v>30</v>
      </c>
      <c r="D94" s="80" t="str">
        <f>RD01!D40</f>
        <v>记-</v>
      </c>
      <c r="E94" s="46" t="s">
        <v>359</v>
      </c>
      <c r="F94" s="47">
        <f t="shared" si="18"/>
        <v>0</v>
      </c>
      <c r="G94" s="47">
        <f>RD01!F40</f>
        <v>0</v>
      </c>
      <c r="H94" s="41">
        <f>RD02!F40</f>
        <v>0</v>
      </c>
      <c r="I94" s="41">
        <f>RD03!F40</f>
        <v>0</v>
      </c>
      <c r="J94" s="41">
        <f>RD04!F40</f>
        <v>0</v>
      </c>
      <c r="K94" s="41">
        <f>RD05!F40</f>
        <v>0</v>
      </c>
      <c r="L94" s="41">
        <f>RD06!F40</f>
        <v>0</v>
      </c>
      <c r="M94" s="41">
        <f>RD07!F40</f>
        <v>0</v>
      </c>
      <c r="N94" s="41">
        <f>RD08!F40</f>
        <v>0</v>
      </c>
      <c r="O94" s="41">
        <f>RD09!F40</f>
        <v>0</v>
      </c>
      <c r="P94" s="81">
        <f>RD10!F40</f>
        <v>0</v>
      </c>
    </row>
    <row r="95" s="2" customFormat="1" customHeight="1" spans="2:16">
      <c r="B95" s="43">
        <v>5</v>
      </c>
      <c r="C95" s="44">
        <v>31</v>
      </c>
      <c r="D95" s="80" t="str">
        <f>RD01!D49</f>
        <v>记-</v>
      </c>
      <c r="E95" s="46" t="s">
        <v>359</v>
      </c>
      <c r="F95" s="47">
        <f t="shared" si="18"/>
        <v>0</v>
      </c>
      <c r="G95" s="47">
        <f>RD01!F49</f>
        <v>0</v>
      </c>
      <c r="H95" s="41">
        <f>RD02!F49</f>
        <v>0</v>
      </c>
      <c r="I95" s="41">
        <f>RD03!F49</f>
        <v>0</v>
      </c>
      <c r="J95" s="41">
        <f>RD04!F49</f>
        <v>0</v>
      </c>
      <c r="K95" s="41">
        <f>RD05!F49</f>
        <v>0</v>
      </c>
      <c r="L95" s="41">
        <f>RD06!F49</f>
        <v>0</v>
      </c>
      <c r="M95" s="41">
        <f>RD07!F49</f>
        <v>0</v>
      </c>
      <c r="N95" s="41">
        <f>RD08!F49</f>
        <v>0</v>
      </c>
      <c r="O95" s="41">
        <f>RD09!F49</f>
        <v>0</v>
      </c>
      <c r="P95" s="81">
        <f>RD10!F49</f>
        <v>0</v>
      </c>
    </row>
    <row r="96" s="2" customFormat="1" customHeight="1" spans="2:16">
      <c r="B96" s="43">
        <v>6</v>
      </c>
      <c r="C96" s="44">
        <v>30</v>
      </c>
      <c r="D96" s="80" t="str">
        <f>RD01!D58</f>
        <v>记-</v>
      </c>
      <c r="E96" s="46" t="s">
        <v>359</v>
      </c>
      <c r="F96" s="47">
        <f t="shared" si="18"/>
        <v>0</v>
      </c>
      <c r="G96" s="47">
        <f>RD01!F58</f>
        <v>0</v>
      </c>
      <c r="H96" s="41">
        <f>RD02!F58</f>
        <v>0</v>
      </c>
      <c r="I96" s="41">
        <f>RD03!F58</f>
        <v>0</v>
      </c>
      <c r="J96" s="41">
        <f>RD04!F58</f>
        <v>0</v>
      </c>
      <c r="K96" s="41">
        <f>RD05!F58</f>
        <v>0</v>
      </c>
      <c r="L96" s="41">
        <f>RD06!F58</f>
        <v>0</v>
      </c>
      <c r="M96" s="41">
        <f>RD07!F58</f>
        <v>0</v>
      </c>
      <c r="N96" s="41">
        <f>RD08!F58</f>
        <v>0</v>
      </c>
      <c r="O96" s="41">
        <f>RD09!F58</f>
        <v>0</v>
      </c>
      <c r="P96" s="81">
        <f>RD10!F58</f>
        <v>0</v>
      </c>
    </row>
    <row r="97" s="2" customFormat="1" customHeight="1" spans="2:16">
      <c r="B97" s="43">
        <v>7</v>
      </c>
      <c r="C97" s="44">
        <v>31</v>
      </c>
      <c r="D97" s="80" t="str">
        <f>RD01!D67</f>
        <v>记-</v>
      </c>
      <c r="E97" s="46" t="s">
        <v>359</v>
      </c>
      <c r="F97" s="47">
        <f t="shared" si="18"/>
        <v>0</v>
      </c>
      <c r="G97" s="47">
        <f>RD01!F67</f>
        <v>0</v>
      </c>
      <c r="H97" s="41">
        <f>RD02!F67</f>
        <v>0</v>
      </c>
      <c r="I97" s="41">
        <f>RD03!F67</f>
        <v>0</v>
      </c>
      <c r="J97" s="41">
        <f>RD04!F67</f>
        <v>0</v>
      </c>
      <c r="K97" s="41">
        <f>RD05!F67</f>
        <v>0</v>
      </c>
      <c r="L97" s="41">
        <f>RD06!F67</f>
        <v>0</v>
      </c>
      <c r="M97" s="41">
        <f>RD07!F67</f>
        <v>0</v>
      </c>
      <c r="N97" s="41">
        <f>RD08!F67</f>
        <v>0</v>
      </c>
      <c r="O97" s="41">
        <f>RD09!F67</f>
        <v>0</v>
      </c>
      <c r="P97" s="81">
        <f>RD10!F67</f>
        <v>0</v>
      </c>
    </row>
    <row r="98" s="2" customFormat="1" customHeight="1" spans="2:16">
      <c r="B98" s="43">
        <v>8</v>
      </c>
      <c r="C98" s="44">
        <v>31</v>
      </c>
      <c r="D98" s="80" t="str">
        <f>RD01!D76</f>
        <v>记-</v>
      </c>
      <c r="E98" s="46" t="s">
        <v>359</v>
      </c>
      <c r="F98" s="47">
        <f t="shared" si="18"/>
        <v>0</v>
      </c>
      <c r="G98" s="47">
        <f>RD01!F76</f>
        <v>0</v>
      </c>
      <c r="H98" s="41">
        <f>RD02!F76</f>
        <v>0</v>
      </c>
      <c r="I98" s="41">
        <f>RD03!F76</f>
        <v>0</v>
      </c>
      <c r="J98" s="41">
        <f>RD04!F76</f>
        <v>0</v>
      </c>
      <c r="K98" s="41">
        <f>RD05!F76</f>
        <v>0</v>
      </c>
      <c r="L98" s="41">
        <f>RD06!F76</f>
        <v>0</v>
      </c>
      <c r="M98" s="41">
        <f>RD07!F76</f>
        <v>0</v>
      </c>
      <c r="N98" s="41">
        <f>RD08!F76</f>
        <v>0</v>
      </c>
      <c r="O98" s="41">
        <f>RD09!F76</f>
        <v>0</v>
      </c>
      <c r="P98" s="81">
        <f>RD10!F76</f>
        <v>0</v>
      </c>
    </row>
    <row r="99" s="2" customFormat="1" customHeight="1" spans="2:16">
      <c r="B99" s="43">
        <v>9</v>
      </c>
      <c r="C99" s="44">
        <v>30</v>
      </c>
      <c r="D99" s="82" t="str">
        <f>RD01!D85</f>
        <v>记-</v>
      </c>
      <c r="E99" s="46" t="s">
        <v>359</v>
      </c>
      <c r="F99" s="47">
        <f t="shared" si="18"/>
        <v>0</v>
      </c>
      <c r="G99" s="48">
        <f>RD01!F85</f>
        <v>0</v>
      </c>
      <c r="H99" s="54">
        <f>RD02!F85</f>
        <v>0</v>
      </c>
      <c r="I99" s="54">
        <f>RD03!F85</f>
        <v>0</v>
      </c>
      <c r="J99" s="54">
        <f>RD04!F85</f>
        <v>0</v>
      </c>
      <c r="K99" s="54">
        <f>RD05!F85</f>
        <v>0</v>
      </c>
      <c r="L99" s="54">
        <f>RD06!F85</f>
        <v>0</v>
      </c>
      <c r="M99" s="54">
        <f>RD07!F85</f>
        <v>0</v>
      </c>
      <c r="N99" s="54">
        <f>RD08!F85</f>
        <v>0</v>
      </c>
      <c r="O99" s="54">
        <f>RD09!F85</f>
        <v>0</v>
      </c>
      <c r="P99" s="83">
        <f>RD10!F85</f>
        <v>0</v>
      </c>
    </row>
    <row r="100" s="2" customFormat="1" customHeight="1" spans="2:16">
      <c r="B100" s="43">
        <v>10</v>
      </c>
      <c r="C100" s="44">
        <v>31</v>
      </c>
      <c r="D100" s="82" t="str">
        <f>RD01!D94</f>
        <v>记-</v>
      </c>
      <c r="E100" s="46" t="s">
        <v>359</v>
      </c>
      <c r="F100" s="47">
        <f t="shared" si="18"/>
        <v>0</v>
      </c>
      <c r="G100" s="48">
        <f>RD01!F94</f>
        <v>0</v>
      </c>
      <c r="H100" s="54">
        <f>RD02!F94</f>
        <v>0</v>
      </c>
      <c r="I100" s="54">
        <f>RD03!F94</f>
        <v>0</v>
      </c>
      <c r="J100" s="54">
        <f>RD04!F94</f>
        <v>0</v>
      </c>
      <c r="K100" s="54">
        <f>RD05!F94</f>
        <v>0</v>
      </c>
      <c r="L100" s="54">
        <f>RD06!F94</f>
        <v>0</v>
      </c>
      <c r="M100" s="54">
        <f>RD07!F94</f>
        <v>0</v>
      </c>
      <c r="N100" s="54">
        <f>RD08!F94</f>
        <v>0</v>
      </c>
      <c r="O100" s="54">
        <f>RD09!F94</f>
        <v>0</v>
      </c>
      <c r="P100" s="83">
        <f>RD10!F94</f>
        <v>0</v>
      </c>
    </row>
    <row r="101" s="2" customFormat="1" customHeight="1" spans="2:16">
      <c r="B101" s="43">
        <v>11</v>
      </c>
      <c r="C101" s="44">
        <v>30</v>
      </c>
      <c r="D101" s="82" t="str">
        <f>RD01!D103</f>
        <v>记-</v>
      </c>
      <c r="E101" s="46" t="s">
        <v>359</v>
      </c>
      <c r="F101" s="47">
        <f t="shared" si="18"/>
        <v>0</v>
      </c>
      <c r="G101" s="48">
        <f>RD01!F103</f>
        <v>0</v>
      </c>
      <c r="H101" s="54">
        <f>RD02!F103</f>
        <v>0</v>
      </c>
      <c r="I101" s="54">
        <f>RD03!F103</f>
        <v>0</v>
      </c>
      <c r="J101" s="54">
        <f>RD04!F103</f>
        <v>0</v>
      </c>
      <c r="K101" s="54">
        <f>RD05!F103</f>
        <v>0</v>
      </c>
      <c r="L101" s="54">
        <f>RD06!F103</f>
        <v>0</v>
      </c>
      <c r="M101" s="54">
        <f>RD07!F103</f>
        <v>0</v>
      </c>
      <c r="N101" s="54">
        <f>RD08!F103</f>
        <v>0</v>
      </c>
      <c r="O101" s="54">
        <f>RD09!F103</f>
        <v>0</v>
      </c>
      <c r="P101" s="83">
        <f>RD10!F103</f>
        <v>0</v>
      </c>
    </row>
    <row r="102" s="2" customFormat="1" customHeight="1" spans="2:16">
      <c r="B102" s="43">
        <v>12</v>
      </c>
      <c r="C102" s="44">
        <v>31</v>
      </c>
      <c r="D102" s="82" t="str">
        <f>RD01!D112</f>
        <v>记-</v>
      </c>
      <c r="E102" s="46" t="s">
        <v>359</v>
      </c>
      <c r="F102" s="47">
        <f t="shared" si="18"/>
        <v>0</v>
      </c>
      <c r="G102" s="48">
        <f>RD01!F112</f>
        <v>0</v>
      </c>
      <c r="H102" s="54">
        <f>RD02!F112</f>
        <v>0</v>
      </c>
      <c r="I102" s="54">
        <f>RD03!F112</f>
        <v>0</v>
      </c>
      <c r="J102" s="54">
        <f>RD04!F112</f>
        <v>0</v>
      </c>
      <c r="K102" s="54">
        <f>RD05!F112</f>
        <v>0</v>
      </c>
      <c r="L102" s="54">
        <f>RD06!F112</f>
        <v>0</v>
      </c>
      <c r="M102" s="54">
        <f>RD07!F112</f>
        <v>0</v>
      </c>
      <c r="N102" s="54">
        <f>RD08!F112</f>
        <v>0</v>
      </c>
      <c r="O102" s="54">
        <f>RD09!F112</f>
        <v>0</v>
      </c>
      <c r="P102" s="83">
        <f>RD10!F112</f>
        <v>0</v>
      </c>
    </row>
    <row r="103" s="2" customFormat="1" customHeight="1" spans="2:16">
      <c r="B103" s="43"/>
      <c r="C103" s="44"/>
      <c r="D103" s="82"/>
      <c r="E103" s="53" t="s">
        <v>101</v>
      </c>
      <c r="F103" s="48">
        <f t="shared" ref="F103:P103" si="19">SUM(F91:F102)</f>
        <v>0</v>
      </c>
      <c r="G103" s="48">
        <f t="shared" si="19"/>
        <v>0</v>
      </c>
      <c r="H103" s="54">
        <f t="shared" si="19"/>
        <v>0</v>
      </c>
      <c r="I103" s="54">
        <f t="shared" si="19"/>
        <v>0</v>
      </c>
      <c r="J103" s="54">
        <f t="shared" si="19"/>
        <v>0</v>
      </c>
      <c r="K103" s="54">
        <f t="shared" si="19"/>
        <v>0</v>
      </c>
      <c r="L103" s="54">
        <f t="shared" si="19"/>
        <v>0</v>
      </c>
      <c r="M103" s="54">
        <f t="shared" si="19"/>
        <v>0</v>
      </c>
      <c r="N103" s="54">
        <f t="shared" si="19"/>
        <v>0</v>
      </c>
      <c r="O103" s="54">
        <f t="shared" si="19"/>
        <v>0</v>
      </c>
      <c r="P103" s="83">
        <f t="shared" si="19"/>
        <v>0</v>
      </c>
    </row>
    <row r="104" s="2" customFormat="1" customHeight="1" spans="2:16">
      <c r="B104" s="56"/>
      <c r="C104" s="57"/>
      <c r="D104" s="88"/>
      <c r="E104" s="59" t="s">
        <v>367</v>
      </c>
      <c r="F104" s="89">
        <f>F103+F90</f>
        <v>0</v>
      </c>
      <c r="G104" s="89">
        <f t="shared" ref="G104:P104" si="20">G90+G103</f>
        <v>0</v>
      </c>
      <c r="H104" s="90">
        <f t="shared" si="20"/>
        <v>0</v>
      </c>
      <c r="I104" s="90">
        <f t="shared" si="20"/>
        <v>0</v>
      </c>
      <c r="J104" s="90">
        <f t="shared" si="20"/>
        <v>0</v>
      </c>
      <c r="K104" s="90">
        <f t="shared" si="20"/>
        <v>0</v>
      </c>
      <c r="L104" s="90">
        <f t="shared" si="20"/>
        <v>0</v>
      </c>
      <c r="M104" s="90">
        <f t="shared" si="20"/>
        <v>0</v>
      </c>
      <c r="N104" s="90">
        <f t="shared" si="20"/>
        <v>0</v>
      </c>
      <c r="O104" s="90">
        <f t="shared" si="20"/>
        <v>0</v>
      </c>
      <c r="P104" s="91">
        <f t="shared" si="20"/>
        <v>0</v>
      </c>
    </row>
    <row r="105" s="1" customFormat="1" customHeight="1" spans="2:16">
      <c r="D105" s="72"/>
      <c r="E105" s="6"/>
      <c r="F105" s="71">
        <f>F104-立项!H13</f>
        <v>0</v>
      </c>
      <c r="G105" s="7">
        <f>G104-立项!H3</f>
        <v>0</v>
      </c>
      <c r="H105" s="7">
        <f>H104-立项!H4</f>
        <v>0</v>
      </c>
      <c r="I105" s="7">
        <f>I104-立项!H5</f>
        <v>0</v>
      </c>
      <c r="J105" s="7">
        <f>J104-立项!H6</f>
        <v>0</v>
      </c>
      <c r="K105" s="7">
        <f>K104-立项!H7</f>
        <v>0</v>
      </c>
      <c r="L105" s="7">
        <f>L104-立项!H8</f>
        <v>0</v>
      </c>
      <c r="M105" s="7">
        <f>M104-立项!H9</f>
        <v>0</v>
      </c>
      <c r="N105" s="7">
        <f>N104-立项!H10</f>
        <v>0</v>
      </c>
      <c r="O105" s="7">
        <f>O104-立项!H11</f>
        <v>0</v>
      </c>
      <c r="P105" s="8">
        <f>P104-立项!H12</f>
        <v>0</v>
      </c>
    </row>
    <row r="106" s="1" customFormat="1" customHeight="1" spans="2:16">
      <c r="D106" s="72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8"/>
    </row>
    <row r="107" s="1" customFormat="1" customHeight="1" spans="2:16">
      <c r="D107" s="72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8"/>
    </row>
    <row r="108" s="1" customFormat="1" customHeight="1" spans="2:16">
      <c r="D108" s="72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8"/>
    </row>
    <row r="109" s="1" customFormat="1" customHeight="1" spans="2:16">
      <c r="D109" s="72"/>
      <c r="E109" s="6"/>
      <c r="F109" s="7"/>
      <c r="G109" s="71"/>
      <c r="H109" s="7"/>
      <c r="I109" s="7"/>
      <c r="J109" s="7"/>
      <c r="K109" s="7"/>
      <c r="L109" s="7"/>
      <c r="M109" s="7"/>
      <c r="N109" s="7"/>
      <c r="O109" s="7"/>
      <c r="P109" s="8"/>
    </row>
    <row r="110" s="1" customFormat="1" customHeight="1" spans="2:16">
      <c r="D110" s="72"/>
      <c r="E110" s="6"/>
      <c r="F110" s="7"/>
      <c r="G110" s="71"/>
      <c r="H110" s="7"/>
      <c r="I110" s="7"/>
      <c r="J110" s="7"/>
      <c r="K110" s="7"/>
      <c r="L110" s="7"/>
      <c r="M110" s="7"/>
      <c r="N110" s="7"/>
      <c r="O110" s="7"/>
      <c r="P110" s="8"/>
    </row>
  </sheetData>
  <mergeCells count="6">
    <mergeCell ref="G5:P5"/>
    <mergeCell ref="B5:B6"/>
    <mergeCell ref="C5:C6"/>
    <mergeCell ref="D5:D6"/>
    <mergeCell ref="E5:E6"/>
    <mergeCell ref="F5:F6"/>
  </mergeCells>
  <pageMargins left="0.236111111111111" right="0.196527777777778" top="0.393055555555556" bottom="0.118055555555556" header="0.275" footer="0.236111111111111"/>
  <pageSetup paperSize="9" scale="67" fitToHeight="0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20"/>
  <sheetViews>
    <sheetView showZeros="0" view="pageBreakPreview" zoomScaleNormal="100" topLeftCell="A83" workbookViewId="0">
      <selection activeCell="I103" sqref="I103"/>
    </sheetView>
  </sheetViews>
  <sheetFormatPr defaultColWidth="9" defaultRowHeight="15" customHeight="1"/>
  <cols>
    <col min="1" max="1" width="3.62962962962963" customWidth="1"/>
    <col min="2" max="3" width="3" style="1" customWidth="1"/>
    <col min="4" max="4" width="11.1296296296296" style="5" customWidth="1"/>
    <col min="5" max="5" width="24.5" style="6" customWidth="1"/>
    <col min="6" max="6" width="11.75" style="7" customWidth="1"/>
    <col min="7" max="7" width="12.6296296296296" style="7" customWidth="1"/>
    <col min="8" max="8" width="14.1296296296296" style="7" customWidth="1"/>
    <col min="9" max="9" width="15.5" style="7" customWidth="1"/>
    <col min="10" max="10" width="9.62962962962963" style="7" hidden="1" customWidth="1"/>
    <col min="11" max="11" width="12.6296296296296" style="7" customWidth="1"/>
    <col min="12" max="12" width="7.37962962962963" style="7" hidden="1" customWidth="1"/>
    <col min="13" max="13" width="9.12962962962963" style="7" hidden="1" customWidth="1"/>
    <col min="14" max="14" width="12.6296296296296" style="8" customWidth="1"/>
    <col min="25" max="16384" width="9" style="1"/>
  </cols>
  <sheetData>
    <row r="1" s="1" customFormat="1" customHeight="1" spans="2:15">
      <c r="D1" s="5"/>
      <c r="F1" s="9" t="s">
        <v>346</v>
      </c>
      <c r="G1" s="9"/>
      <c r="H1" s="9"/>
      <c r="I1" s="10"/>
      <c r="J1" s="10"/>
      <c r="K1" s="10"/>
      <c r="L1" s="10"/>
      <c r="M1" s="10"/>
      <c r="N1" s="10"/>
    </row>
    <row r="2" s="1" customFormat="1" customHeight="1" spans="2:15">
      <c r="B2" s="11"/>
      <c r="C2" s="11"/>
      <c r="D2" s="12"/>
      <c r="E2" s="11"/>
      <c r="F2" s="13"/>
      <c r="G2" s="13"/>
      <c r="H2" s="13"/>
      <c r="I2" s="10"/>
      <c r="J2" s="10"/>
      <c r="K2" s="10"/>
      <c r="L2" s="10"/>
      <c r="M2" s="10"/>
      <c r="N2" s="14"/>
    </row>
    <row r="3" s="1" customFormat="1" customHeight="1" spans="2:15">
      <c r="B3" s="11"/>
      <c r="C3" s="11"/>
      <c r="D3" s="15"/>
      <c r="E3" s="12"/>
      <c r="F3" s="16"/>
      <c r="G3" s="16"/>
      <c r="H3" s="10"/>
      <c r="I3" s="10"/>
      <c r="J3" s="10"/>
      <c r="K3" s="10"/>
      <c r="L3" s="10"/>
      <c r="M3" s="10"/>
      <c r="N3" s="17"/>
    </row>
    <row r="4" s="1" customFormat="1" customHeight="1" spans="2:15">
      <c r="B4" s="18"/>
      <c r="C4" s="18"/>
      <c r="D4" s="19"/>
      <c r="E4" s="18"/>
      <c r="F4" s="20"/>
      <c r="G4" s="10"/>
      <c r="H4" s="10"/>
      <c r="I4" s="10"/>
      <c r="J4" s="10"/>
      <c r="K4" s="10"/>
      <c r="L4" s="10"/>
      <c r="M4" s="10"/>
      <c r="N4" s="10"/>
    </row>
    <row r="5" s="1" customFormat="1" customHeight="1" spans="2:15">
      <c r="B5" s="21">
        <v>25</v>
      </c>
      <c r="C5" s="22" t="s">
        <v>347</v>
      </c>
      <c r="D5" s="23" t="s">
        <v>348</v>
      </c>
      <c r="E5" s="24" t="s">
        <v>349</v>
      </c>
      <c r="F5" s="25" t="s">
        <v>350</v>
      </c>
      <c r="G5" s="26" t="s">
        <v>351</v>
      </c>
      <c r="H5" s="27"/>
      <c r="I5" s="27"/>
      <c r="J5" s="27"/>
      <c r="K5" s="27"/>
      <c r="L5" s="27"/>
      <c r="M5" s="27"/>
      <c r="N5" s="28"/>
    </row>
    <row r="6" s="1" customFormat="1" customHeight="1" spans="2:15">
      <c r="B6" s="29"/>
      <c r="C6" s="30"/>
      <c r="D6" s="31"/>
      <c r="E6" s="32"/>
      <c r="F6" s="33"/>
      <c r="G6" s="34" t="s">
        <v>352</v>
      </c>
      <c r="H6" s="34" t="s">
        <v>353</v>
      </c>
      <c r="I6" s="34" t="s">
        <v>354</v>
      </c>
      <c r="J6" s="34" t="s">
        <v>355</v>
      </c>
      <c r="K6" s="34" t="s">
        <v>356</v>
      </c>
      <c r="L6" s="34" t="s">
        <v>357</v>
      </c>
      <c r="M6" s="34" t="s">
        <v>358</v>
      </c>
      <c r="N6" s="35" t="s">
        <v>359</v>
      </c>
    </row>
    <row r="7" s="2" customFormat="1" customHeight="1" spans="2:15">
      <c r="B7" s="36">
        <v>1</v>
      </c>
      <c r="C7" s="37">
        <v>31</v>
      </c>
      <c r="D7" s="38" t="str">
        <f>RD01!D7</f>
        <v>记-</v>
      </c>
      <c r="E7" s="39" t="s">
        <v>361</v>
      </c>
      <c r="F7" s="40">
        <f t="shared" ref="F7:F9" si="0">G7</f>
        <v>0</v>
      </c>
      <c r="G7" s="40">
        <f>RD01!G7+RD02!G7+RD03!G7+RD04!G7+RD05!G7+RD06!G7+RD07!G7+RD08!G7+RD09!G7+RD10!G7</f>
        <v>0</v>
      </c>
      <c r="H7" s="41">
        <f>RD01!H7+RD02!H7+RD03!H7+RD04!H7+RD05!H7+RD06!H7+RD07!H7+RD08!H7+RD09!H7+RD10!H7</f>
        <v>0</v>
      </c>
      <c r="I7" s="41">
        <f>RD01!I7+RD02!I7+RD03!I7+RD04!I7+RD05!I7+RD06!I7+RD07!I7+RD08!I7+RD09!I7+RD10!I7</f>
        <v>0</v>
      </c>
      <c r="J7" s="41">
        <f>RD01!J7+RD02!J7+RD03!J7+RD04!J7+RD05!J7+RD06!J7+RD07!J7+RD08!J7+RD09!J7+RD10!J7</f>
        <v>0</v>
      </c>
      <c r="K7" s="41">
        <f>RD01!K7+RD02!K7+RD03!K7+RD04!K7+RD05!K7+RD06!K7+RD07!K7+RD08!K7+RD09!K7+RD10!K7</f>
        <v>0</v>
      </c>
      <c r="L7" s="41">
        <f>RD01!L7+RD02!L7+RD03!L7+RD04!L7+RD05!L7+RD06!L7+RD07!L7+RD08!L7+RD09!L7+RD10!L7</f>
        <v>0</v>
      </c>
      <c r="M7" s="41">
        <f>RD01!M7+RD02!M7+RD03!M7+RD04!M7+RD05!M7+RD06!M7+RD07!M7+RD08!M7+RD09!M7+RD10!M7</f>
        <v>0</v>
      </c>
      <c r="N7" s="42">
        <f>RD01!N7+RD02!N7+RD03!N7+RD04!N7+RD05!N7+RD06!N7+RD07!N7+RD08!N7+RD09!N7+RD10!N7</f>
        <v>0</v>
      </c>
    </row>
    <row r="8" s="2" customFormat="1" customHeight="1" spans="2:15">
      <c r="B8" s="43">
        <v>1</v>
      </c>
      <c r="C8" s="44">
        <v>31</v>
      </c>
      <c r="D8" s="45" t="str">
        <f>RD01!D8</f>
        <v>记-</v>
      </c>
      <c r="E8" s="46" t="s">
        <v>362</v>
      </c>
      <c r="F8" s="47">
        <f t="shared" si="0"/>
        <v>0</v>
      </c>
      <c r="G8" s="48">
        <f>RD01!G8+RD02!G8+RD03!G8+RD04!G8+RD05!G8+RD06!G8+RD07!G8+RD08!G8+RD09!G8+RD10!G8</f>
        <v>0</v>
      </c>
      <c r="H8" s="41">
        <f>RD01!H8+RD02!H8+RD03!H8+RD04!H8+RD05!H8+RD06!H8+RD07!H8+RD08!H8+RD09!H8+RD10!H8</f>
        <v>0</v>
      </c>
      <c r="I8" s="41">
        <f>RD01!I8+RD02!I8+RD03!I8+RD04!I8+RD05!I8+RD06!I8+RD07!I8+RD08!I8+RD09!I8+RD10!I8</f>
        <v>0</v>
      </c>
      <c r="J8" s="41">
        <f>RD01!J8+RD02!J8+RD03!J8+RD04!J8+RD05!J8+RD06!J8+RD07!J8+RD08!J8+RD09!J8+RD10!J8</f>
        <v>0</v>
      </c>
      <c r="K8" s="41">
        <f>RD01!K8+RD02!K8+RD03!K8+RD04!K8+RD05!K8+RD06!K8+RD07!K8+RD08!K8+RD09!K8+RD10!K8</f>
        <v>0</v>
      </c>
      <c r="L8" s="41">
        <f>RD01!L8+RD02!L8+RD03!L8+RD04!L8+RD05!L8+RD06!L8+RD07!L8+RD08!L8+RD09!L8+RD10!L8</f>
        <v>0</v>
      </c>
      <c r="M8" s="41">
        <f>RD01!M8+RD02!M8+RD03!M8+RD04!M8+RD05!M8+RD06!M8+RD07!M8+RD08!M8+RD09!M8+RD10!M8</f>
        <v>0</v>
      </c>
      <c r="N8" s="42">
        <f>RD01!N8+RD02!N8+RD03!N8+RD04!N8+RD05!N8+RD06!N8+RD07!N8+RD08!N8+RD09!N8+RD10!N8</f>
        <v>0</v>
      </c>
    </row>
    <row r="9" s="2" customFormat="1" customHeight="1" spans="2:15">
      <c r="B9" s="43">
        <v>1</v>
      </c>
      <c r="C9" s="44">
        <v>31</v>
      </c>
      <c r="D9" s="45" t="str">
        <f>RD01!D9</f>
        <v>记-</v>
      </c>
      <c r="E9" s="46" t="s">
        <v>363</v>
      </c>
      <c r="F9" s="47">
        <f t="shared" si="0"/>
        <v>0</v>
      </c>
      <c r="G9" s="48">
        <f>RD01!G9+RD02!G9+RD03!G9+RD04!G9+RD05!G9+RD06!G9+RD07!G9+RD08!G9+RD09!G9+RD10!G9</f>
        <v>0</v>
      </c>
      <c r="H9" s="41">
        <f>RD01!H9+RD02!H9+RD03!H9+RD04!H9+RD05!H9+RD06!H9+RD07!H9+RD08!H9+RD09!H9+RD10!H9</f>
        <v>0</v>
      </c>
      <c r="I9" s="41">
        <f>RD01!I9+RD02!I9+RD03!I9+RD04!I9+RD05!I9+RD06!I9+RD07!I9+RD08!I9+RD09!I9+RD10!I9</f>
        <v>0</v>
      </c>
      <c r="J9" s="41">
        <f>RD01!J9+RD02!J9+RD03!J9+RD04!J9+RD05!J9+RD06!J9+RD07!J9+RD08!J9+RD09!J9+RD10!J9</f>
        <v>0</v>
      </c>
      <c r="K9" s="41">
        <f>RD01!K9+RD02!K9+RD03!K9+RD04!K9+RD05!K9+RD06!K9+RD07!K9+RD08!K9+RD09!K9+RD10!K9</f>
        <v>0</v>
      </c>
      <c r="L9" s="41">
        <f>RD01!L9+RD02!L9+RD03!L9+RD04!L9+RD05!L9+RD06!L9+RD07!L9+RD08!L9+RD09!L9+RD10!L9</f>
        <v>0</v>
      </c>
      <c r="M9" s="41">
        <f>RD01!M9+RD02!M9+RD03!M9+RD04!M9+RD05!M9+RD06!M9+RD07!M9+RD08!M9+RD09!M9+RD10!M9</f>
        <v>0</v>
      </c>
      <c r="N9" s="42">
        <f>RD01!N9+RD02!N9+RD03!N9+RD04!N9+RD05!N9+RD06!N9+RD07!N9+RD08!N9+RD09!N9+RD10!N9</f>
        <v>0</v>
      </c>
    </row>
    <row r="10" s="2" customFormat="1" customHeight="1" spans="2:15">
      <c r="B10" s="43">
        <v>1</v>
      </c>
      <c r="C10" s="44">
        <v>31</v>
      </c>
      <c r="D10" s="45" t="str">
        <f>RD01!D10</f>
        <v>记-</v>
      </c>
      <c r="E10" s="49" t="s">
        <v>364</v>
      </c>
      <c r="F10" s="47">
        <f>H10</f>
        <v>0</v>
      </c>
      <c r="G10" s="48">
        <f>RD01!G10+RD02!G10+RD03!G10+RD04!G10+RD05!G10+RD06!G10+RD07!G10+RD08!G10+RD09!G10+RD10!G10</f>
        <v>0</v>
      </c>
      <c r="H10" s="41">
        <f>RD01!H10+RD02!H10+RD03!H10+RD04!H10+RD05!H10+RD06!H10+RD07!H10+RD08!H10+RD09!H10+RD10!H10</f>
        <v>0</v>
      </c>
      <c r="I10" s="41">
        <f>RD01!I10+RD02!I10+RD03!I10+RD04!I10+RD05!I10+RD06!I10+RD07!I10+RD08!I10+RD09!I10+RD10!I10</f>
        <v>0</v>
      </c>
      <c r="J10" s="41">
        <f>RD01!J10+RD02!J10+RD03!J10+RD04!J10+RD05!J10+RD06!J10+RD07!J10+RD08!J10+RD09!J10+RD10!J10</f>
        <v>0</v>
      </c>
      <c r="K10" s="41">
        <f>RD01!K10+RD02!K10+RD03!K10+RD04!K10+RD05!K10+RD06!K10+RD07!K10+RD08!K10+RD09!K10+RD10!K10</f>
        <v>0</v>
      </c>
      <c r="L10" s="41">
        <f>RD01!L10+RD02!L10+RD03!L10+RD04!L10+RD05!L10+RD06!L10+RD07!L10+RD08!L10+RD09!L10+RD10!L10</f>
        <v>0</v>
      </c>
      <c r="M10" s="41">
        <f>RD01!M10+RD02!M10+RD03!M10+RD04!M10+RD05!M10+RD06!M10+RD07!M10+RD08!M10+RD09!M10+RD10!M10</f>
        <v>0</v>
      </c>
      <c r="N10" s="42">
        <f>RD01!N10+RD02!N10+RD03!N10+RD04!N10+RD05!N10+RD06!N10+RD07!N10+RD08!N10+RD09!N10+RD10!N10</f>
        <v>0</v>
      </c>
      <c r="O10" s="50"/>
    </row>
    <row r="11" s="2" customFormat="1" customHeight="1" spans="2:15">
      <c r="B11" s="43">
        <v>1</v>
      </c>
      <c r="C11" s="44">
        <v>31</v>
      </c>
      <c r="D11" s="45" t="str">
        <f>RD01!D11</f>
        <v>记-</v>
      </c>
      <c r="E11" s="49" t="s">
        <v>365</v>
      </c>
      <c r="F11" s="48">
        <f>I11</f>
        <v>0</v>
      </c>
      <c r="G11" s="48">
        <f>RD01!G11+RD02!G11+RD03!G11+RD04!G11+RD05!G11+RD06!G11+RD07!G11+RD08!G11+RD09!G11+RD10!G11</f>
        <v>0</v>
      </c>
      <c r="H11" s="41">
        <f>RD01!H11+RD02!H11+RD03!H11+RD04!H11+RD05!H11+RD06!H11+RD07!H11+RD08!H11+RD09!H11+RD10!H11</f>
        <v>0</v>
      </c>
      <c r="I11" s="41">
        <f>RD01!I11+RD02!I11+RD03!I11+RD04!I11+RD05!I11+RD06!I11+RD07!I11+RD08!I11+RD09!I11+RD10!I11</f>
        <v>0</v>
      </c>
      <c r="J11" s="41">
        <f>RD01!J11+RD02!J11+RD03!J11+RD04!J11+RD05!J11+RD06!J11+RD07!J11+RD08!J11+RD09!J11+RD10!J11</f>
        <v>0</v>
      </c>
      <c r="K11" s="41">
        <f>RD01!K11+RD02!K11+RD03!K11+RD04!K11+RD05!K11+RD06!K11+RD07!K11+RD08!K11+RD09!K11+RD10!K11</f>
        <v>0</v>
      </c>
      <c r="L11" s="41">
        <f>RD01!L11+RD02!L11+RD03!L11+RD04!L11+RD05!L11+RD06!L11+RD07!L11+RD08!L11+RD09!L11+RD10!L11</f>
        <v>0</v>
      </c>
      <c r="M11" s="41">
        <f>RD01!M11+RD02!M11+RD03!M11+RD04!M11+RD05!M11+RD06!M11+RD07!M11+RD08!M11+RD09!M11+RD10!M11</f>
        <v>0</v>
      </c>
      <c r="N11" s="42">
        <f>RD01!N11+RD02!N11+RD03!N11+RD04!N11+RD05!N11+RD06!N11+RD07!N11+RD08!N11+RD09!N11+RD10!N11</f>
        <v>0</v>
      </c>
    </row>
    <row r="12" s="2" customFormat="1" customHeight="1" spans="2:15">
      <c r="B12" s="43">
        <v>1</v>
      </c>
      <c r="C12" s="44">
        <v>31</v>
      </c>
      <c r="D12" s="45" t="str">
        <f>RD01!D12</f>
        <v>记-</v>
      </c>
      <c r="E12" s="51" t="s">
        <v>356</v>
      </c>
      <c r="F12" s="48">
        <f>K12</f>
        <v>0</v>
      </c>
      <c r="G12" s="48">
        <f>RD01!G12+RD02!G12+RD03!G12+RD04!G12+RD05!G12+RD06!G12+RD07!G12+RD08!G12+RD09!G12+RD10!G12</f>
        <v>0</v>
      </c>
      <c r="H12" s="41">
        <f>RD01!H12+RD02!H12+RD03!H12+RD04!H12+RD05!H12+RD06!H12+RD07!H12+RD08!H12+RD09!H12+RD10!H12</f>
        <v>0</v>
      </c>
      <c r="I12" s="41">
        <f>RD01!I12+RD02!I12+RD03!I12+RD04!I12+RD05!I12+RD06!I12+RD07!I12+RD08!I12+RD09!I12+RD10!I12</f>
        <v>0</v>
      </c>
      <c r="J12" s="41">
        <f>RD01!J12+RD02!J12+RD03!J12+RD04!J12+RD05!J12+RD06!J12+RD07!J12+RD08!J12+RD09!J12+RD10!J12</f>
        <v>0</v>
      </c>
      <c r="K12" s="41">
        <f>RD01!K12+RD02!K12+RD03!K12+RD04!K12+RD05!K12+RD06!K12+RD07!K12+RD08!K12+RD09!K12+RD10!K12</f>
        <v>0</v>
      </c>
      <c r="L12" s="41">
        <f>RD01!L12+RD02!L12+RD03!L12+RD04!L12+RD05!L12+RD06!L12+RD07!L12+RD08!L12+RD09!L12+RD10!L12</f>
        <v>0</v>
      </c>
      <c r="M12" s="41">
        <f>RD01!M12+RD02!M12+RD03!M12+RD04!M12+RD05!M12+RD06!M12+RD07!M12+RD08!M12+RD09!M12+RD10!M12</f>
        <v>0</v>
      </c>
      <c r="N12" s="42">
        <f>RD01!N12+RD02!N12+RD03!N12+RD04!N12+RD05!N12+RD06!N12+RD07!N12+RD08!N12+RD09!N12+RD10!N12</f>
        <v>0</v>
      </c>
    </row>
    <row r="13" s="2" customFormat="1" customHeight="1" spans="2:15">
      <c r="B13" s="43">
        <v>1</v>
      </c>
      <c r="C13" s="44">
        <v>31</v>
      </c>
      <c r="D13" s="45" t="str">
        <f>RD01!D13</f>
        <v>记-</v>
      </c>
      <c r="E13" s="49" t="s">
        <v>359</v>
      </c>
      <c r="F13" s="48">
        <f>N13</f>
        <v>0</v>
      </c>
      <c r="G13" s="48">
        <f>RD01!G13+RD02!G13+RD03!G13+RD04!G13+RD05!G13+RD06!G13+RD07!G13+RD08!G13+RD09!G13+RD10!G13</f>
        <v>0</v>
      </c>
      <c r="H13" s="41">
        <f>RD01!H13+RD02!H13+RD03!H13+RD04!H13+RD05!H13+RD06!H13+RD07!H13+RD08!H13+RD09!H13+RD10!H13</f>
        <v>0</v>
      </c>
      <c r="I13" s="41">
        <f>RD01!I13+RD02!I13+RD03!I13+RD04!I13+RD05!I13+RD06!I13+RD07!I13+RD08!I13+RD09!I13+RD10!I13</f>
        <v>0</v>
      </c>
      <c r="J13" s="41">
        <f>RD01!J13+RD02!J13+RD03!J13+RD04!J13+RD05!J13+RD06!J13+RD07!J13+RD08!J13+RD09!J13+RD10!J13</f>
        <v>0</v>
      </c>
      <c r="K13" s="41">
        <f>RD01!K13+RD02!K13+RD03!K13+RD04!K13+RD05!K13+RD06!K13+RD07!K13+RD08!K13+RD09!K13+RD10!K13</f>
        <v>0</v>
      </c>
      <c r="L13" s="41">
        <f>RD01!L13+RD02!L13+RD03!L13+RD04!L13+RD05!L13+RD06!L13+RD07!L13+RD08!L13+RD09!L13+RD10!L13</f>
        <v>0</v>
      </c>
      <c r="M13" s="41">
        <f>RD01!M13+RD02!M13+RD03!M13+RD04!M13+RD05!M13+RD06!M13+RD07!M13+RD08!M13+RD09!M13+RD10!M13</f>
        <v>0</v>
      </c>
      <c r="N13" s="42">
        <f>RD01!N13+RD02!N13+RD03!N13+RD04!N13+RD05!N13+RD06!N13+RD07!N13+RD08!N13+RD09!N13+RD10!N13</f>
        <v>0</v>
      </c>
    </row>
    <row r="14" s="2" customFormat="1" customHeight="1" spans="2:15">
      <c r="B14" s="43"/>
      <c r="C14" s="44"/>
      <c r="D14" s="52"/>
      <c r="E14" s="53" t="s">
        <v>366</v>
      </c>
      <c r="F14" s="48">
        <f t="shared" ref="F14:N14" si="1">SUM(F7:F13)</f>
        <v>0</v>
      </c>
      <c r="G14" s="48">
        <f t="shared" si="1"/>
        <v>0</v>
      </c>
      <c r="H14" s="54">
        <f t="shared" si="1"/>
        <v>0</v>
      </c>
      <c r="I14" s="54">
        <f t="shared" si="1"/>
        <v>0</v>
      </c>
      <c r="J14" s="54">
        <f t="shared" si="1"/>
        <v>0</v>
      </c>
      <c r="K14" s="54">
        <f t="shared" si="1"/>
        <v>0</v>
      </c>
      <c r="L14" s="54">
        <f t="shared" si="1"/>
        <v>0</v>
      </c>
      <c r="M14" s="54">
        <f t="shared" si="1"/>
        <v>0</v>
      </c>
      <c r="N14" s="55">
        <f t="shared" si="1"/>
        <v>0</v>
      </c>
    </row>
    <row r="15" s="2" customFormat="1" customHeight="1" spans="2:15">
      <c r="B15" s="56"/>
      <c r="C15" s="57"/>
      <c r="D15" s="58"/>
      <c r="E15" s="59" t="s">
        <v>367</v>
      </c>
      <c r="F15" s="60">
        <f t="shared" ref="F15:N15" si="2">F14</f>
        <v>0</v>
      </c>
      <c r="G15" s="61">
        <f t="shared" si="2"/>
        <v>0</v>
      </c>
      <c r="H15" s="62">
        <f t="shared" si="2"/>
        <v>0</v>
      </c>
      <c r="I15" s="62">
        <f t="shared" si="2"/>
        <v>0</v>
      </c>
      <c r="J15" s="62">
        <f t="shared" si="2"/>
        <v>0</v>
      </c>
      <c r="K15" s="62">
        <f t="shared" si="2"/>
        <v>0</v>
      </c>
      <c r="L15" s="62">
        <f t="shared" si="2"/>
        <v>0</v>
      </c>
      <c r="M15" s="63">
        <f t="shared" si="2"/>
        <v>0</v>
      </c>
      <c r="N15" s="64">
        <f t="shared" si="2"/>
        <v>0</v>
      </c>
    </row>
    <row r="16" s="2" customFormat="1" customHeight="1" spans="2:15">
      <c r="B16" s="36">
        <v>2</v>
      </c>
      <c r="C16" s="37">
        <v>28</v>
      </c>
      <c r="D16" s="38" t="str">
        <f>RD01!D16</f>
        <v>记-</v>
      </c>
      <c r="E16" s="39" t="s">
        <v>361</v>
      </c>
      <c r="F16" s="40">
        <f t="shared" ref="F16:F18" si="3">G16</f>
        <v>0</v>
      </c>
      <c r="G16" s="40">
        <f>RD01!G16+RD02!G16+RD03!G16+RD04!G16+RD05!G16+RD06!G16+RD07!G16+RD08!G16+RD09!G16+RD10!G16</f>
        <v>0</v>
      </c>
      <c r="H16" s="41">
        <f>RD01!H16+RD02!H16+RD03!H16+RD04!H16+RD05!H16+RD06!H16+RD07!H16+RD08!H16+RD09!H16+RD10!H16</f>
        <v>0</v>
      </c>
      <c r="I16" s="41">
        <f>RD01!I16+RD02!I16+RD03!I16+RD04!I16+RD05!I16+RD06!I16+RD07!I16+RD08!I16+RD09!I16+RD10!I16</f>
        <v>0</v>
      </c>
      <c r="J16" s="41">
        <f>RD01!J16+RD02!J16+RD03!J16+RD04!J16+RD05!J16+RD06!J16+RD07!J16+RD08!J16+RD09!J16+RD10!J16</f>
        <v>0</v>
      </c>
      <c r="K16" s="41">
        <f>RD01!K16+RD02!K16+RD03!K16+RD04!K16+RD05!K16+RD06!K16+RD07!K16+RD08!K16+RD09!K16+RD10!K16</f>
        <v>0</v>
      </c>
      <c r="L16" s="41">
        <f>RD01!L16+RD02!L16+RD03!L16+RD04!L16+RD05!L16+RD06!L16+RD07!L16+RD08!L16+RD09!L16+RD10!L16</f>
        <v>0</v>
      </c>
      <c r="M16" s="41">
        <f>RD01!M16+RD02!M16+RD03!M16+RD04!M16+RD05!M16+RD06!M16+RD07!M16+RD08!M16+RD09!M16+RD10!M16</f>
        <v>0</v>
      </c>
      <c r="N16" s="42">
        <f>RD01!N16+RD02!N16+RD03!N16+RD04!N16+RD05!N16+RD06!N16+RD07!N16+RD08!N16+RD09!N16+RD10!N16</f>
        <v>0</v>
      </c>
    </row>
    <row r="17" s="2" customFormat="1" customHeight="1" spans="2:14">
      <c r="B17" s="43">
        <v>2</v>
      </c>
      <c r="C17" s="44">
        <v>28</v>
      </c>
      <c r="D17" s="45" t="str">
        <f>RD01!D17</f>
        <v>记-</v>
      </c>
      <c r="E17" s="46" t="s">
        <v>362</v>
      </c>
      <c r="F17" s="47">
        <f t="shared" si="3"/>
        <v>0</v>
      </c>
      <c r="G17" s="48">
        <f>RD01!G17+RD02!G17+RD03!G17+RD04!G17+RD05!G17+RD06!G17+RD07!G17+RD08!G17+RD09!G17+RD10!G17</f>
        <v>0</v>
      </c>
      <c r="H17" s="41">
        <f>RD01!H17+RD02!H17+RD03!H17+RD04!H17+RD05!H17+RD06!H17+RD07!H17+RD08!H17+RD09!H17+RD10!H17</f>
        <v>0</v>
      </c>
      <c r="I17" s="41">
        <f>RD01!I17+RD02!I17+RD03!I17+RD04!I17+RD05!I17+RD06!I17+RD07!I17+RD08!I17+RD09!I17+RD10!I17</f>
        <v>0</v>
      </c>
      <c r="J17" s="41">
        <f>RD01!J17+RD02!J17+RD03!J17+RD04!J17+RD05!J17+RD06!J17+RD07!J17+RD08!J17+RD09!J17+RD10!J17</f>
        <v>0</v>
      </c>
      <c r="K17" s="41">
        <f>RD01!K17+RD02!K17+RD03!K17+RD04!K17+RD05!K17+RD06!K17+RD07!K17+RD08!K17+RD09!K17+RD10!K17</f>
        <v>0</v>
      </c>
      <c r="L17" s="41">
        <f>RD01!L17+RD02!L17+RD03!L17+RD04!L17+RD05!L17+RD06!L17+RD07!L17+RD08!L17+RD09!L17+RD10!L17</f>
        <v>0</v>
      </c>
      <c r="M17" s="41">
        <f>RD01!M17+RD02!M17+RD03!M17+RD04!M17+RD05!M17+RD06!M17+RD07!M17+RD08!M17+RD09!M17+RD10!M17</f>
        <v>0</v>
      </c>
      <c r="N17" s="42">
        <f>RD01!N17+RD02!N17+RD03!N17+RD04!N17+RD05!N17+RD06!N17+RD07!N17+RD08!N17+RD09!N17+RD10!N17</f>
        <v>0</v>
      </c>
    </row>
    <row r="18" s="2" customFormat="1" customHeight="1" spans="2:14">
      <c r="B18" s="43">
        <v>2</v>
      </c>
      <c r="C18" s="44">
        <v>28</v>
      </c>
      <c r="D18" s="45" t="str">
        <f>RD01!D18</f>
        <v>记-</v>
      </c>
      <c r="E18" s="46" t="s">
        <v>363</v>
      </c>
      <c r="F18" s="47">
        <f t="shared" si="3"/>
        <v>0</v>
      </c>
      <c r="G18" s="48">
        <f>RD01!G18+RD02!G18+RD03!G18+RD04!G18+RD05!G18+RD06!G18+RD07!G18+RD08!G18+RD09!G18+RD10!G18</f>
        <v>0</v>
      </c>
      <c r="H18" s="41">
        <f>RD01!H18+RD02!H18+RD03!H18+RD04!H18+RD05!H18+RD06!H18+RD07!H18+RD08!H18+RD09!H18+RD10!H18</f>
        <v>0</v>
      </c>
      <c r="I18" s="41">
        <f>RD01!I18+RD02!I18+RD03!I18+RD04!I18+RD05!I18+RD06!I18+RD07!I18+RD08!I18+RD09!I18+RD10!I18</f>
        <v>0</v>
      </c>
      <c r="J18" s="41">
        <f>RD01!J18+RD02!J18+RD03!J18+RD04!J18+RD05!J18+RD06!J18+RD07!J18+RD08!J18+RD09!J18+RD10!J18</f>
        <v>0</v>
      </c>
      <c r="K18" s="41">
        <f>RD01!K18+RD02!K18+RD03!K18+RD04!K18+RD05!K18+RD06!K18+RD07!K18+RD08!K18+RD09!K18+RD10!K18</f>
        <v>0</v>
      </c>
      <c r="L18" s="41">
        <f>RD01!L18+RD02!L18+RD03!L18+RD04!L18+RD05!L18+RD06!L18+RD07!L18+RD08!L18+RD09!L18+RD10!L18</f>
        <v>0</v>
      </c>
      <c r="M18" s="41">
        <f>RD01!M18+RD02!M18+RD03!M18+RD04!M18+RD05!M18+RD06!M18+RD07!M18+RD08!M18+RD09!M18+RD10!M18</f>
        <v>0</v>
      </c>
      <c r="N18" s="42">
        <f>RD01!N18+RD02!N18+RD03!N18+RD04!N18+RD05!N18+RD06!N18+RD07!N18+RD08!N18+RD09!N18+RD10!N18</f>
        <v>0</v>
      </c>
    </row>
    <row r="19" s="2" customFormat="1" customHeight="1" spans="2:14">
      <c r="B19" s="43">
        <v>2</v>
      </c>
      <c r="C19" s="44">
        <v>28</v>
      </c>
      <c r="D19" s="45" t="str">
        <f>RD01!D19</f>
        <v>记-</v>
      </c>
      <c r="E19" s="49" t="s">
        <v>364</v>
      </c>
      <c r="F19" s="47">
        <f>H19</f>
        <v>0</v>
      </c>
      <c r="G19" s="48">
        <f>RD01!G19+RD02!G19+RD03!G19+RD04!G19+RD05!G19+RD06!G19+RD07!G19+RD08!G19+RD09!G19+RD10!G19</f>
        <v>0</v>
      </c>
      <c r="H19" s="41">
        <f>RD01!H19+RD02!H19+RD03!H19+RD04!H19+RD05!H19+RD06!H19+RD07!H19+RD08!H19+RD09!H19+RD10!H19</f>
        <v>0</v>
      </c>
      <c r="I19" s="41">
        <f>RD01!I19+RD02!I19+RD03!I19+RD04!I19+RD05!I19+RD06!I19+RD07!I19+RD08!I19+RD09!I19+RD10!I19</f>
        <v>0</v>
      </c>
      <c r="J19" s="41">
        <f>RD01!J19+RD02!J19+RD03!J19+RD04!J19+RD05!J19+RD06!J19+RD07!J19+RD08!J19+RD09!J19+RD10!J19</f>
        <v>0</v>
      </c>
      <c r="K19" s="41">
        <f>RD01!K19+RD02!K19+RD03!K19+RD04!K19+RD05!K19+RD06!K19+RD07!K19+RD08!K19+RD09!K19+RD10!K19</f>
        <v>0</v>
      </c>
      <c r="L19" s="41">
        <f>RD01!L19+RD02!L19+RD03!L19+RD04!L19+RD05!L19+RD06!L19+RD07!L19+RD08!L19+RD09!L19+RD10!L19</f>
        <v>0</v>
      </c>
      <c r="M19" s="41">
        <f>RD01!M19+RD02!M19+RD03!M19+RD04!M19+RD05!M19+RD06!M19+RD07!M19+RD08!M19+RD09!M19+RD10!M19</f>
        <v>0</v>
      </c>
      <c r="N19" s="42">
        <f>RD01!N19+RD02!N19+RD03!N19+RD04!N19+RD05!N19+RD06!N19+RD07!N19+RD08!N19+RD09!N19+RD10!N19</f>
        <v>0</v>
      </c>
    </row>
    <row r="20" s="2" customFormat="1" customHeight="1" spans="2:14">
      <c r="B20" s="43">
        <v>2</v>
      </c>
      <c r="C20" s="44">
        <v>28</v>
      </c>
      <c r="D20" s="45" t="str">
        <f>RD01!D20</f>
        <v>记-</v>
      </c>
      <c r="E20" s="49" t="s">
        <v>365</v>
      </c>
      <c r="F20" s="48">
        <f>I20</f>
        <v>0</v>
      </c>
      <c r="G20" s="48">
        <f>RD01!G20+RD02!G20+RD03!G20+RD04!G20+RD05!G20+RD06!G20+RD07!G20+RD08!G20+RD09!G20+RD10!G20</f>
        <v>0</v>
      </c>
      <c r="H20" s="41">
        <f>RD01!H20+RD02!H20+RD03!H20+RD04!H20+RD05!H20+RD06!H20+RD07!H20+RD08!H20+RD09!H20+RD10!H20</f>
        <v>0</v>
      </c>
      <c r="I20" s="41">
        <f>RD01!I20+RD02!I20+RD03!I20+RD04!I20+RD05!I20+RD06!I20+RD07!I20+RD08!I20+RD09!I20+RD10!I20</f>
        <v>0</v>
      </c>
      <c r="J20" s="41">
        <f>RD01!J20+RD02!J20+RD03!J20+RD04!J20+RD05!J20+RD06!J20+RD07!J20+RD08!J20+RD09!J20+RD10!J20</f>
        <v>0</v>
      </c>
      <c r="K20" s="41">
        <f>RD01!K20+RD02!K20+RD03!K20+RD04!K20+RD05!K20+RD06!K20+RD07!K20+RD08!K20+RD09!K20+RD10!K20</f>
        <v>0</v>
      </c>
      <c r="L20" s="41">
        <f>RD01!L20+RD02!L20+RD03!L20+RD04!L20+RD05!L20+RD06!L20+RD07!L20+RD08!L20+RD09!L20+RD10!L20</f>
        <v>0</v>
      </c>
      <c r="M20" s="41">
        <f>RD01!M20+RD02!M20+RD03!M20+RD04!M20+RD05!M20+RD06!M20+RD07!M20+RD08!M20+RD09!M20+RD10!M20</f>
        <v>0</v>
      </c>
      <c r="N20" s="42">
        <f>RD01!N20+RD02!N20+RD03!N20+RD04!N20+RD05!N20+RD06!N20+RD07!N20+RD08!N20+RD09!N20+RD10!N20</f>
        <v>0</v>
      </c>
    </row>
    <row r="21" s="2" customFormat="1" customHeight="1" spans="2:14">
      <c r="B21" s="43">
        <v>2</v>
      </c>
      <c r="C21" s="44">
        <v>28</v>
      </c>
      <c r="D21" s="45" t="str">
        <f>RD01!D21</f>
        <v>记-</v>
      </c>
      <c r="E21" s="51" t="s">
        <v>356</v>
      </c>
      <c r="F21" s="48">
        <f>K21</f>
        <v>0</v>
      </c>
      <c r="G21" s="48">
        <f>RD01!G21+RD02!G21+RD03!G21+RD04!G21+RD05!G21+RD06!G21+RD07!G21+RD08!G21+RD09!G21+RD10!G21</f>
        <v>0</v>
      </c>
      <c r="H21" s="41">
        <f>RD01!H21+RD02!H21+RD03!H21+RD04!H21+RD05!H21+RD06!H21+RD07!H21+RD08!H21+RD09!H21+RD10!H21</f>
        <v>0</v>
      </c>
      <c r="I21" s="41">
        <f>RD01!I21+RD02!I21+RD03!I21+RD04!I21+RD05!I21+RD06!I21+RD07!I21+RD08!I21+RD09!I21+RD10!I21</f>
        <v>0</v>
      </c>
      <c r="J21" s="41">
        <f>RD01!J21+RD02!J21+RD03!J21+RD04!J21+RD05!J21+RD06!J21+RD07!J21+RD08!J21+RD09!J21+RD10!J21</f>
        <v>0</v>
      </c>
      <c r="K21" s="41">
        <f>RD01!K21+RD02!K21+RD03!K21+RD04!K21+RD05!K21+RD06!K21+RD07!K21+RD08!K21+RD09!K21+RD10!K21</f>
        <v>0</v>
      </c>
      <c r="L21" s="41">
        <f>RD01!L21+RD02!L21+RD03!L21+RD04!L21+RD05!L21+RD06!L21+RD07!L21+RD08!L21+RD09!L21+RD10!L21</f>
        <v>0</v>
      </c>
      <c r="M21" s="41">
        <f>RD01!M21+RD02!M21+RD03!M21+RD04!M21+RD05!M21+RD06!M21+RD07!M21+RD08!M21+RD09!M21+RD10!M21</f>
        <v>0</v>
      </c>
      <c r="N21" s="42">
        <f>RD01!N21+RD02!N21+RD03!N21+RD04!N21+RD05!N21+RD06!N21+RD07!N21+RD08!N21+RD09!N21+RD10!N21</f>
        <v>0</v>
      </c>
    </row>
    <row r="22" s="2" customFormat="1" customHeight="1" spans="2:14">
      <c r="B22" s="43">
        <v>2</v>
      </c>
      <c r="C22" s="44">
        <v>28</v>
      </c>
      <c r="D22" s="45" t="str">
        <f>RD01!D22</f>
        <v>记-</v>
      </c>
      <c r="E22" s="49" t="s">
        <v>359</v>
      </c>
      <c r="F22" s="48">
        <f>N22</f>
        <v>0</v>
      </c>
      <c r="G22" s="48">
        <f>RD01!G22+RD02!G22+RD03!G22+RD04!G22+RD05!G22+RD06!G22+RD07!G22+RD08!G22+RD09!G22+RD10!G22</f>
        <v>0</v>
      </c>
      <c r="H22" s="41">
        <f>RD01!H22+RD02!H22+RD03!H22+RD04!H22+RD05!H22+RD06!H22+RD07!H22+RD08!H22+RD09!H22+RD10!H22</f>
        <v>0</v>
      </c>
      <c r="I22" s="41">
        <f>RD01!I22+RD02!I22+RD03!I22+RD04!I22+RD05!I22+RD06!I22+RD07!I22+RD08!I22+RD09!I22+RD10!I22</f>
        <v>0</v>
      </c>
      <c r="J22" s="41">
        <f>RD01!J22+RD02!J22+RD03!J22+RD04!J22+RD05!J22+RD06!J22+RD07!J22+RD08!J22+RD09!J22+RD10!J22</f>
        <v>0</v>
      </c>
      <c r="K22" s="41">
        <f>RD01!K22+RD02!K22+RD03!K22+RD04!K22+RD05!K22+RD06!K22+RD07!K22+RD08!K22+RD09!K22+RD10!K22</f>
        <v>0</v>
      </c>
      <c r="L22" s="41">
        <f>RD01!L22+RD02!L22+RD03!L22+RD04!L22+RD05!L22+RD06!L22+RD07!L22+RD08!L22+RD09!L22+RD10!L22</f>
        <v>0</v>
      </c>
      <c r="M22" s="41">
        <f>RD01!M22+RD02!M22+RD03!M22+RD04!M22+RD05!M22+RD06!M22+RD07!M22+RD08!M22+RD09!M22+RD10!M22</f>
        <v>0</v>
      </c>
      <c r="N22" s="42">
        <f>RD01!N22+RD02!N22+RD03!N22+RD04!N22+RD05!N22+RD06!N22+RD07!N22+RD08!N22+RD09!N22+RD10!N22</f>
        <v>0</v>
      </c>
    </row>
    <row r="23" s="2" customFormat="1" customHeight="1" spans="2:14">
      <c r="B23" s="43"/>
      <c r="C23" s="44"/>
      <c r="D23" s="52"/>
      <c r="E23" s="53" t="s">
        <v>366</v>
      </c>
      <c r="F23" s="48">
        <f t="shared" ref="F23:N23" si="4">SUM(F16:F22)</f>
        <v>0</v>
      </c>
      <c r="G23" s="48">
        <f t="shared" si="4"/>
        <v>0</v>
      </c>
      <c r="H23" s="54">
        <f t="shared" si="4"/>
        <v>0</v>
      </c>
      <c r="I23" s="54">
        <f t="shared" si="4"/>
        <v>0</v>
      </c>
      <c r="J23" s="54">
        <f t="shared" si="4"/>
        <v>0</v>
      </c>
      <c r="K23" s="54">
        <f t="shared" si="4"/>
        <v>0</v>
      </c>
      <c r="L23" s="54">
        <f t="shared" si="4"/>
        <v>0</v>
      </c>
      <c r="M23" s="54">
        <f t="shared" si="4"/>
        <v>0</v>
      </c>
      <c r="N23" s="55">
        <f t="shared" si="4"/>
        <v>0</v>
      </c>
    </row>
    <row r="24" s="2" customFormat="1" customHeight="1" spans="2:14">
      <c r="B24" s="56"/>
      <c r="C24" s="57"/>
      <c r="D24" s="58"/>
      <c r="E24" s="59" t="s">
        <v>367</v>
      </c>
      <c r="F24" s="61">
        <f t="shared" ref="F24:N24" si="5">F15+F23</f>
        <v>0</v>
      </c>
      <c r="G24" s="61">
        <f t="shared" si="5"/>
        <v>0</v>
      </c>
      <c r="H24" s="62">
        <f t="shared" si="5"/>
        <v>0</v>
      </c>
      <c r="I24" s="62">
        <f t="shared" si="5"/>
        <v>0</v>
      </c>
      <c r="J24" s="62">
        <f t="shared" si="5"/>
        <v>0</v>
      </c>
      <c r="K24" s="62">
        <f t="shared" si="5"/>
        <v>0</v>
      </c>
      <c r="L24" s="62">
        <f t="shared" si="5"/>
        <v>0</v>
      </c>
      <c r="M24" s="63">
        <f t="shared" si="5"/>
        <v>0</v>
      </c>
      <c r="N24" s="64">
        <f t="shared" si="5"/>
        <v>0</v>
      </c>
    </row>
    <row r="25" s="2" customFormat="1" customHeight="1" spans="2:14">
      <c r="B25" s="36">
        <v>3</v>
      </c>
      <c r="C25" s="37">
        <v>31</v>
      </c>
      <c r="D25" s="38" t="str">
        <f>RD01!D25</f>
        <v>记-</v>
      </c>
      <c r="E25" s="39" t="s">
        <v>361</v>
      </c>
      <c r="F25" s="40">
        <f t="shared" ref="F25:F27" si="6">G25</f>
        <v>0</v>
      </c>
      <c r="G25" s="40">
        <f>RD01!G25+RD02!G25+RD03!G25+RD04!G25+RD05!G25+RD06!G25+RD07!G25+RD08!G25+RD09!G25+RD10!G25</f>
        <v>0</v>
      </c>
      <c r="H25" s="41">
        <f>RD01!H25+RD02!H25+RD03!H25+RD04!H25+RD05!H25+RD06!H25+RD07!H25+RD08!H25+RD09!H25+RD10!H25</f>
        <v>0</v>
      </c>
      <c r="I25" s="41">
        <f>RD01!I25+RD02!I25+RD03!I25+RD04!I25+RD05!I25+RD06!I25+RD07!I25+RD08!I25+RD09!I25+RD10!I25</f>
        <v>0</v>
      </c>
      <c r="J25" s="41">
        <f>RD01!J25+RD02!J25+RD03!J25+RD04!J25+RD05!J25+RD06!J25+RD07!J25+RD08!J25+RD09!J25+RD10!J25</f>
        <v>0</v>
      </c>
      <c r="K25" s="41">
        <f>RD01!K25+RD02!K25+RD03!K25+RD04!K25+RD05!K25+RD06!K25+RD07!K25+RD08!K25+RD09!K25+RD10!K25</f>
        <v>0</v>
      </c>
      <c r="L25" s="41">
        <f>RD01!L25+RD02!L25+RD03!L25+RD04!L25+RD05!L25+RD06!L25+RD07!L25+RD08!L25+RD09!L25+RD10!L25</f>
        <v>0</v>
      </c>
      <c r="M25" s="41">
        <f>RD01!M25+RD02!M25+RD03!M25+RD04!M25+RD05!M25+RD06!M25+RD07!M25+RD08!M25+RD09!M25+RD10!M25</f>
        <v>0</v>
      </c>
      <c r="N25" s="42">
        <f>RD01!N25+RD02!N25+RD03!N25+RD04!N25+RD05!N25+RD06!N25+RD07!N25+RD08!N25+RD09!N25+RD10!N25</f>
        <v>0</v>
      </c>
    </row>
    <row r="26" s="2" customFormat="1" customHeight="1" spans="2:14">
      <c r="B26" s="43">
        <v>3</v>
      </c>
      <c r="C26" s="44">
        <v>31</v>
      </c>
      <c r="D26" s="45" t="str">
        <f>RD01!D26</f>
        <v>记-</v>
      </c>
      <c r="E26" s="46" t="s">
        <v>362</v>
      </c>
      <c r="F26" s="47">
        <f t="shared" si="6"/>
        <v>0</v>
      </c>
      <c r="G26" s="48">
        <f>RD01!G26+RD02!G26+RD03!G26+RD04!G26+RD05!G26+RD06!G26+RD07!G26+RD08!G26+RD09!G26+RD10!G26</f>
        <v>0</v>
      </c>
      <c r="H26" s="41">
        <f>RD01!H26+RD02!H26+RD03!H26+RD04!H26+RD05!H26+RD06!H26+RD07!H26+RD08!H26+RD09!H26+RD10!H26</f>
        <v>0</v>
      </c>
      <c r="I26" s="41">
        <f>RD01!I26+RD02!I26+RD03!I26+RD04!I26+RD05!I26+RD06!I26+RD07!I26+RD08!I26+RD09!I26+RD10!I26</f>
        <v>0</v>
      </c>
      <c r="J26" s="41">
        <f>RD01!J26+RD02!J26+RD03!J26+RD04!J26+RD05!J26+RD06!J26+RD07!J26+RD08!J26+RD09!J26+RD10!J26</f>
        <v>0</v>
      </c>
      <c r="K26" s="41">
        <f>RD01!K26+RD02!K26+RD03!K26+RD04!K26+RD05!K26+RD06!K26+RD07!K26+RD08!K26+RD09!K26+RD10!K26</f>
        <v>0</v>
      </c>
      <c r="L26" s="41">
        <f>RD01!L26+RD02!L26+RD03!L26+RD04!L26+RD05!L26+RD06!L26+RD07!L26+RD08!L26+RD09!L26+RD10!L26</f>
        <v>0</v>
      </c>
      <c r="M26" s="41">
        <f>RD01!M26+RD02!M26+RD03!M26+RD04!M26+RD05!M26+RD06!M26+RD07!M26+RD08!M26+RD09!M26+RD10!M26</f>
        <v>0</v>
      </c>
      <c r="N26" s="42">
        <f>RD01!N26+RD02!N26+RD03!N26+RD04!N26+RD05!N26+RD06!N26+RD07!N26+RD08!N26+RD09!N26+RD10!N26</f>
        <v>0</v>
      </c>
    </row>
    <row r="27" s="2" customFormat="1" customHeight="1" spans="2:14">
      <c r="B27" s="43">
        <v>3</v>
      </c>
      <c r="C27" s="44">
        <v>31</v>
      </c>
      <c r="D27" s="45" t="str">
        <f>RD01!D27</f>
        <v>记-</v>
      </c>
      <c r="E27" s="46" t="s">
        <v>363</v>
      </c>
      <c r="F27" s="47">
        <f t="shared" si="6"/>
        <v>0</v>
      </c>
      <c r="G27" s="48">
        <f>RD01!G27+RD02!G27+RD03!G27+RD04!G27+RD05!G27+RD06!G27+RD07!G27+RD08!G27+RD09!G27+RD10!G27</f>
        <v>0</v>
      </c>
      <c r="H27" s="41">
        <f>RD01!H27+RD02!H27+RD03!H27+RD04!H27+RD05!H27+RD06!H27+RD07!H27+RD08!H27+RD09!H27+RD10!H27</f>
        <v>0</v>
      </c>
      <c r="I27" s="41">
        <f>RD01!I27+RD02!I27+RD03!I27+RD04!I27+RD05!I27+RD06!I27+RD07!I27+RD08!I27+RD09!I27+RD10!I27</f>
        <v>0</v>
      </c>
      <c r="J27" s="41">
        <f>RD01!J27+RD02!J27+RD03!J27+RD04!J27+RD05!J27+RD06!J27+RD07!J27+RD08!J27+RD09!J27+RD10!J27</f>
        <v>0</v>
      </c>
      <c r="K27" s="41">
        <f>RD01!K27+RD02!K27+RD03!K27+RD04!K27+RD05!K27+RD06!K27+RD07!K27+RD08!K27+RD09!K27+RD10!K27</f>
        <v>0</v>
      </c>
      <c r="L27" s="41">
        <f>RD01!L27+RD02!L27+RD03!L27+RD04!L27+RD05!L27+RD06!L27+RD07!L27+RD08!L27+RD09!L27+RD10!L27</f>
        <v>0</v>
      </c>
      <c r="M27" s="41">
        <f>RD01!M27+RD02!M27+RD03!M27+RD04!M27+RD05!M27+RD06!M27+RD07!M27+RD08!M27+RD09!M27+RD10!M27</f>
        <v>0</v>
      </c>
      <c r="N27" s="42">
        <f>RD01!N27+RD02!N27+RD03!N27+RD04!N27+RD05!N27+RD06!N27+RD07!N27+RD08!N27+RD09!N27+RD10!N27</f>
        <v>0</v>
      </c>
    </row>
    <row r="28" s="2" customFormat="1" customHeight="1" spans="2:14">
      <c r="B28" s="43">
        <v>3</v>
      </c>
      <c r="C28" s="44">
        <v>31</v>
      </c>
      <c r="D28" s="45" t="str">
        <f>RD01!D28</f>
        <v>记-</v>
      </c>
      <c r="E28" s="49" t="s">
        <v>364</v>
      </c>
      <c r="F28" s="47">
        <f>H28</f>
        <v>0</v>
      </c>
      <c r="G28" s="48">
        <f>RD01!G28+RD02!G28+RD03!G28+RD04!G28+RD05!G28+RD06!G28+RD07!G28+RD08!G28+RD09!G28+RD10!G28</f>
        <v>0</v>
      </c>
      <c r="H28" s="41">
        <f>RD01!H28+RD02!H28+RD03!H28+RD04!H28+RD05!H28+RD06!H28+RD07!H28+RD08!H28+RD09!H28+RD10!H28</f>
        <v>0</v>
      </c>
      <c r="I28" s="41">
        <f>RD01!I28+RD02!I28+RD03!I28+RD04!I28+RD05!I28+RD06!I28+RD07!I28+RD08!I28+RD09!I28+RD10!I28</f>
        <v>0</v>
      </c>
      <c r="J28" s="41">
        <f>RD01!J28+RD02!J28+RD03!J28+RD04!J28+RD05!J28+RD06!J28+RD07!J28+RD08!J28+RD09!J28+RD10!J28</f>
        <v>0</v>
      </c>
      <c r="K28" s="41">
        <f>RD01!K28+RD02!K28+RD03!K28+RD04!K28+RD05!K28+RD06!K28+RD07!K28+RD08!K28+RD09!K28+RD10!K28</f>
        <v>0</v>
      </c>
      <c r="L28" s="41">
        <f>RD01!L28+RD02!L28+RD03!L28+RD04!L28+RD05!L28+RD06!L28+RD07!L28+RD08!L28+RD09!L28+RD10!L28</f>
        <v>0</v>
      </c>
      <c r="M28" s="41">
        <f>RD01!M28+RD02!M28+RD03!M28+RD04!M28+RD05!M28+RD06!M28+RD07!M28+RD08!M28+RD09!M28+RD10!M28</f>
        <v>0</v>
      </c>
      <c r="N28" s="42">
        <f>RD01!N28+RD02!N28+RD03!N28+RD04!N28+RD05!N28+RD06!N28+RD07!N28+RD08!N28+RD09!N28+RD10!N28</f>
        <v>0</v>
      </c>
    </row>
    <row r="29" s="2" customFormat="1" customHeight="1" spans="2:14">
      <c r="B29" s="43">
        <v>3</v>
      </c>
      <c r="C29" s="44">
        <v>31</v>
      </c>
      <c r="D29" s="45" t="str">
        <f>RD01!D29</f>
        <v>记-</v>
      </c>
      <c r="E29" s="49" t="s">
        <v>365</v>
      </c>
      <c r="F29" s="48">
        <f>I29</f>
        <v>0</v>
      </c>
      <c r="G29" s="48">
        <f>RD01!G29+RD02!G29+RD03!G29+RD04!G29+RD05!G29+RD06!G29+RD07!G29+RD08!G29+RD09!G29+RD10!G29</f>
        <v>0</v>
      </c>
      <c r="H29" s="41">
        <f>RD01!H29+RD02!H29+RD03!H29+RD04!H29+RD05!H29+RD06!H29+RD07!H29+RD08!H29+RD09!H29+RD10!H29</f>
        <v>0</v>
      </c>
      <c r="I29" s="41">
        <f>RD01!I29+RD02!I29+RD03!I29+RD04!I29+RD05!I29+RD06!I29+RD07!I29+RD08!I29+RD09!I29+RD10!I29</f>
        <v>0</v>
      </c>
      <c r="J29" s="41">
        <f>RD01!J29+RD02!J29+RD03!J29+RD04!J29+RD05!J29+RD06!J29+RD07!J29+RD08!J29+RD09!J29+RD10!J29</f>
        <v>0</v>
      </c>
      <c r="K29" s="41">
        <f>RD01!K29+RD02!K29+RD03!K29+RD04!K29+RD05!K29+RD06!K29+RD07!K29+RD08!K29+RD09!K29+RD10!K29</f>
        <v>0</v>
      </c>
      <c r="L29" s="41">
        <f>RD01!L29+RD02!L29+RD03!L29+RD04!L29+RD05!L29+RD06!L29+RD07!L29+RD08!L29+RD09!L29+RD10!L29</f>
        <v>0</v>
      </c>
      <c r="M29" s="41">
        <f>RD01!M29+RD02!M29+RD03!M29+RD04!M29+RD05!M29+RD06!M29+RD07!M29+RD08!M29+RD09!M29+RD10!M29</f>
        <v>0</v>
      </c>
      <c r="N29" s="42">
        <f>RD01!N29+RD02!N29+RD03!N29+RD04!N29+RD05!N29+RD06!N29+RD07!N29+RD08!N29+RD09!N29+RD10!N29</f>
        <v>0</v>
      </c>
    </row>
    <row r="30" s="2" customFormat="1" customHeight="1" spans="2:14">
      <c r="B30" s="43">
        <v>3</v>
      </c>
      <c r="C30" s="44">
        <v>31</v>
      </c>
      <c r="D30" s="45" t="str">
        <f>RD01!D30</f>
        <v>记-</v>
      </c>
      <c r="E30" s="51" t="s">
        <v>356</v>
      </c>
      <c r="F30" s="48">
        <f>K30</f>
        <v>0</v>
      </c>
      <c r="G30" s="48">
        <f>RD01!G30+RD02!G30+RD03!G30+RD04!G30+RD05!G30+RD06!G30+RD07!G30+RD08!G30+RD09!G30+RD10!G30</f>
        <v>0</v>
      </c>
      <c r="H30" s="41">
        <f>RD01!H30+RD02!H30+RD03!H30+RD04!H30+RD05!H30+RD06!H30+RD07!H30+RD08!H30+RD09!H30+RD10!H30</f>
        <v>0</v>
      </c>
      <c r="I30" s="41">
        <f>RD01!I30+RD02!I30+RD03!I30+RD04!I30+RD05!I30+RD06!I30+RD07!I30+RD08!I30+RD09!I30+RD10!I30</f>
        <v>0</v>
      </c>
      <c r="J30" s="41">
        <f>RD01!J30+RD02!J30+RD03!J30+RD04!J30+RD05!J30+RD06!J30+RD07!J30+RD08!J30+RD09!J30+RD10!J30</f>
        <v>0</v>
      </c>
      <c r="K30" s="41">
        <f>RD01!K30+RD02!K30+RD03!K30+RD04!K30+RD05!K30+RD06!K30+RD07!K30+RD08!K30+RD09!K30+RD10!K30</f>
        <v>0</v>
      </c>
      <c r="L30" s="41">
        <f>RD01!L30+RD02!L30+RD03!L30+RD04!L30+RD05!L30+RD06!L30+RD07!L30+RD08!L30+RD09!L30+RD10!L30</f>
        <v>0</v>
      </c>
      <c r="M30" s="41">
        <f>RD01!M30+RD02!M30+RD03!M30+RD04!M30+RD05!M30+RD06!M30+RD07!M30+RD08!M30+RD09!M30+RD10!M30</f>
        <v>0</v>
      </c>
      <c r="N30" s="42">
        <f>RD01!N30+RD02!N30+RD03!N30+RD04!N30+RD05!N30+RD06!N30+RD07!N30+RD08!N30+RD09!N30+RD10!N30</f>
        <v>0</v>
      </c>
    </row>
    <row r="31" s="2" customFormat="1" customHeight="1" spans="2:14">
      <c r="B31" s="43">
        <v>3</v>
      </c>
      <c r="C31" s="44">
        <v>31</v>
      </c>
      <c r="D31" s="45" t="str">
        <f>RD01!D31</f>
        <v>记-</v>
      </c>
      <c r="E31" s="49" t="s">
        <v>359</v>
      </c>
      <c r="F31" s="48">
        <f>N31</f>
        <v>0</v>
      </c>
      <c r="G31" s="48">
        <f>RD01!G31+RD02!G31+RD03!G31+RD04!G31+RD05!G31+RD06!G31+RD07!G31+RD08!G31+RD09!G31+RD10!G31</f>
        <v>0</v>
      </c>
      <c r="H31" s="41">
        <f>RD01!H31+RD02!H31+RD03!H31+RD04!H31+RD05!H31+RD06!H31+RD07!H31+RD08!H31+RD09!H31+RD10!H31</f>
        <v>0</v>
      </c>
      <c r="I31" s="41">
        <f>RD01!I31+RD02!I31+RD03!I31+RD04!I31+RD05!I31+RD06!I31+RD07!I31+RD08!I31+RD09!I31+RD10!I31</f>
        <v>0</v>
      </c>
      <c r="J31" s="41">
        <f>RD01!J31+RD02!J31+RD03!J31+RD04!J31+RD05!J31+RD06!J31+RD07!J31+RD08!J31+RD09!J31+RD10!J31</f>
        <v>0</v>
      </c>
      <c r="K31" s="41">
        <f>RD01!K31+RD02!K31+RD03!K31+RD04!K31+RD05!K31+RD06!K31+RD07!K31+RD08!K31+RD09!K31+RD10!K31</f>
        <v>0</v>
      </c>
      <c r="L31" s="41">
        <f>RD01!L31+RD02!L31+RD03!L31+RD04!L31+RD05!L31+RD06!L31+RD07!L31+RD08!L31+RD09!L31+RD10!L31</f>
        <v>0</v>
      </c>
      <c r="M31" s="41">
        <f>RD01!M31+RD02!M31+RD03!M31+RD04!M31+RD05!M31+RD06!M31+RD07!M31+RD08!M31+RD09!M31+RD10!M31</f>
        <v>0</v>
      </c>
      <c r="N31" s="42">
        <f>RD01!N31+RD02!N31+RD03!N31+RD04!N31+RD05!N31+RD06!N31+RD07!N31+RD08!N31+RD09!N31+RD10!N31</f>
        <v>0</v>
      </c>
    </row>
    <row r="32" s="2" customFormat="1" customHeight="1" spans="2:14">
      <c r="B32" s="43"/>
      <c r="C32" s="44"/>
      <c r="D32" s="52"/>
      <c r="E32" s="53" t="s">
        <v>366</v>
      </c>
      <c r="F32" s="48">
        <f t="shared" ref="F32:N32" si="7">SUM(F25:F31)</f>
        <v>0</v>
      </c>
      <c r="G32" s="48">
        <f t="shared" si="7"/>
        <v>0</v>
      </c>
      <c r="H32" s="54">
        <f t="shared" si="7"/>
        <v>0</v>
      </c>
      <c r="I32" s="54">
        <f t="shared" si="7"/>
        <v>0</v>
      </c>
      <c r="J32" s="54">
        <f t="shared" si="7"/>
        <v>0</v>
      </c>
      <c r="K32" s="54">
        <f t="shared" si="7"/>
        <v>0</v>
      </c>
      <c r="L32" s="54">
        <f t="shared" si="7"/>
        <v>0</v>
      </c>
      <c r="M32" s="54">
        <f t="shared" si="7"/>
        <v>0</v>
      </c>
      <c r="N32" s="42">
        <f t="shared" si="7"/>
        <v>0</v>
      </c>
    </row>
    <row r="33" s="2" customFormat="1" customHeight="1" spans="2:14">
      <c r="B33" s="56"/>
      <c r="C33" s="57"/>
      <c r="D33" s="58"/>
      <c r="E33" s="59" t="s">
        <v>367</v>
      </c>
      <c r="F33" s="61">
        <f t="shared" ref="F33:N33" si="8">F32+F25</f>
        <v>0</v>
      </c>
      <c r="G33" s="61">
        <f t="shared" si="8"/>
        <v>0</v>
      </c>
      <c r="H33" s="62">
        <f t="shared" si="8"/>
        <v>0</v>
      </c>
      <c r="I33" s="62">
        <f t="shared" si="8"/>
        <v>0</v>
      </c>
      <c r="J33" s="62">
        <f t="shared" si="8"/>
        <v>0</v>
      </c>
      <c r="K33" s="62">
        <f t="shared" si="8"/>
        <v>0</v>
      </c>
      <c r="L33" s="62">
        <f t="shared" si="8"/>
        <v>0</v>
      </c>
      <c r="M33" s="63">
        <f t="shared" si="8"/>
        <v>0</v>
      </c>
      <c r="N33" s="64">
        <f t="shared" si="8"/>
        <v>0</v>
      </c>
    </row>
    <row r="34" s="2" customFormat="1" customHeight="1" spans="2:14">
      <c r="B34" s="36">
        <v>4</v>
      </c>
      <c r="C34" s="37">
        <v>30</v>
      </c>
      <c r="D34" s="38" t="str">
        <f>RD01!D34</f>
        <v>记-</v>
      </c>
      <c r="E34" s="39" t="s">
        <v>361</v>
      </c>
      <c r="F34" s="40">
        <f t="shared" ref="F34:F36" si="9">G34</f>
        <v>0</v>
      </c>
      <c r="G34" s="40">
        <f>RD01!G34+RD02!G34+RD03!G34+RD04!G34+RD05!G34+RD06!G34+RD07!G34+RD08!G34+RD09!G34+RD10!G34</f>
        <v>0</v>
      </c>
      <c r="H34" s="41">
        <f>RD01!H34+RD02!H34+RD03!H34+RD04!H34+RD05!H34+RD06!H34+RD07!H34+RD08!H34+RD09!H34+RD10!H34</f>
        <v>0</v>
      </c>
      <c r="I34" s="41">
        <f>RD01!I34+RD02!I34+RD03!I34+RD04!I34+RD05!I34+RD06!I34+RD07!I34+RD08!I34+RD09!I34+RD10!I34</f>
        <v>0</v>
      </c>
      <c r="J34" s="41">
        <f>RD01!J34+RD02!J34+RD03!J34+RD04!J34+RD05!J34+RD06!J34+RD07!J34+RD08!J34+RD09!J34+RD10!J34</f>
        <v>0</v>
      </c>
      <c r="K34" s="41">
        <f>RD01!K34+RD02!K34+RD03!K34+RD04!K34+RD05!K34+RD06!K34+RD07!K34+RD08!K34+RD09!K34+RD10!K34</f>
        <v>0</v>
      </c>
      <c r="L34" s="41">
        <f>RD01!L34+RD02!L34+RD03!L34+RD04!L34+RD05!L34+RD06!L34+RD07!L34+RD08!L34+RD09!L34+RD10!L34</f>
        <v>0</v>
      </c>
      <c r="M34" s="41">
        <f>RD01!M34+RD02!M34+RD03!M34+RD04!M34+RD05!M34+RD06!M34+RD07!M34+RD08!M34+RD09!M34+RD10!M34</f>
        <v>0</v>
      </c>
      <c r="N34" s="42">
        <f>RD01!N34+RD02!N34+RD03!N34+RD04!N34+RD05!N34+RD06!N34+RD07!N34+RD08!N34+RD09!N34+RD10!N34</f>
        <v>0</v>
      </c>
    </row>
    <row r="35" s="2" customFormat="1" customHeight="1" spans="2:14">
      <c r="B35" s="43">
        <v>4</v>
      </c>
      <c r="C35" s="44">
        <v>30</v>
      </c>
      <c r="D35" s="45" t="str">
        <f>RD01!D35</f>
        <v>记-</v>
      </c>
      <c r="E35" s="46" t="s">
        <v>362</v>
      </c>
      <c r="F35" s="47">
        <f t="shared" si="9"/>
        <v>0</v>
      </c>
      <c r="G35" s="48">
        <f>RD01!G35+RD02!G35+RD03!G35+RD04!G35+RD05!G35+RD06!G35+RD07!G35+RD08!G35+RD09!G35+RD10!G35</f>
        <v>0</v>
      </c>
      <c r="H35" s="41">
        <f>RD01!H35+RD02!H35+RD03!H35+RD04!H35+RD05!H35+RD06!H35+RD07!H35+RD08!H35+RD09!H35+RD10!H35</f>
        <v>0</v>
      </c>
      <c r="I35" s="41">
        <f>RD01!I35+RD02!I35+RD03!I35+RD04!I35+RD05!I35+RD06!I35+RD07!I35+RD08!I35+RD09!I35+RD10!I35</f>
        <v>0</v>
      </c>
      <c r="J35" s="41">
        <f>RD01!J35+RD02!J35+RD03!J35+RD04!J35+RD05!J35+RD06!J35+RD07!J35+RD08!J35+RD09!J35+RD10!J35</f>
        <v>0</v>
      </c>
      <c r="K35" s="41">
        <f>RD01!K35+RD02!K35+RD03!K35+RD04!K35+RD05!K35+RD06!K35+RD07!K35+RD08!K35+RD09!K35+RD10!K35</f>
        <v>0</v>
      </c>
      <c r="L35" s="41">
        <f>RD01!L35+RD02!L35+RD03!L35+RD04!L35+RD05!L35+RD06!L35+RD07!L35+RD08!L35+RD09!L35+RD10!L35</f>
        <v>0</v>
      </c>
      <c r="M35" s="41">
        <f>RD01!M35+RD02!M35+RD03!M35+RD04!M35+RD05!M35+RD06!M35+RD07!M35+RD08!M35+RD09!M35+RD10!M35</f>
        <v>0</v>
      </c>
      <c r="N35" s="42">
        <f>RD01!N35+RD02!N35+RD03!N35+RD04!N35+RD05!N35+RD06!N35+RD07!N35+RD08!N35+RD09!N35+RD10!N35</f>
        <v>0</v>
      </c>
    </row>
    <row r="36" s="2" customFormat="1" customHeight="1" spans="2:14">
      <c r="B36" s="43">
        <v>4</v>
      </c>
      <c r="C36" s="44">
        <v>30</v>
      </c>
      <c r="D36" s="45" t="str">
        <f>RD01!D36</f>
        <v>记-</v>
      </c>
      <c r="E36" s="46" t="s">
        <v>363</v>
      </c>
      <c r="F36" s="47">
        <f t="shared" si="9"/>
        <v>0</v>
      </c>
      <c r="G36" s="48">
        <f>RD01!G36+RD02!G36+RD03!G36+RD04!G36+RD05!G36+RD06!G36+RD07!G36+RD08!G36+RD09!G36+RD10!G36</f>
        <v>0</v>
      </c>
      <c r="H36" s="41">
        <f>RD01!H36+RD02!H36+RD03!H36+RD04!H36+RD05!H36+RD06!H36+RD07!H36+RD08!H36+RD09!H36+RD10!H36</f>
        <v>0</v>
      </c>
      <c r="I36" s="41">
        <f>RD01!I36+RD02!I36+RD03!I36+RD04!I36+RD05!I36+RD06!I36+RD07!I36+RD08!I36+RD09!I36+RD10!I36</f>
        <v>0</v>
      </c>
      <c r="J36" s="41">
        <f>RD01!J36+RD02!J36+RD03!J36+RD04!J36+RD05!J36+RD06!J36+RD07!J36+RD08!J36+RD09!J36+RD10!J36</f>
        <v>0</v>
      </c>
      <c r="K36" s="41">
        <f>RD01!K36+RD02!K36+RD03!K36+RD04!K36+RD05!K36+RD06!K36+RD07!K36+RD08!K36+RD09!K36+RD10!K36</f>
        <v>0</v>
      </c>
      <c r="L36" s="41">
        <f>RD01!L36+RD02!L36+RD03!L36+RD04!L36+RD05!L36+RD06!L36+RD07!L36+RD08!L36+RD09!L36+RD10!L36</f>
        <v>0</v>
      </c>
      <c r="M36" s="41">
        <f>RD01!M36+RD02!M36+RD03!M36+RD04!M36+RD05!M36+RD06!M36+RD07!M36+RD08!M36+RD09!M36+RD10!M36</f>
        <v>0</v>
      </c>
      <c r="N36" s="42">
        <f>RD01!N36+RD02!N36+RD03!N36+RD04!N36+RD05!N36+RD06!N36+RD07!N36+RD08!N36+RD09!N36+RD10!N36</f>
        <v>0</v>
      </c>
    </row>
    <row r="37" s="2" customFormat="1" customHeight="1" spans="2:14">
      <c r="B37" s="43">
        <v>4</v>
      </c>
      <c r="C37" s="44">
        <v>30</v>
      </c>
      <c r="D37" s="45" t="str">
        <f>RD01!D37</f>
        <v>记-</v>
      </c>
      <c r="E37" s="49" t="s">
        <v>364</v>
      </c>
      <c r="F37" s="47">
        <f>H37</f>
        <v>0</v>
      </c>
      <c r="G37" s="48">
        <f>RD01!G37+RD02!G37+RD03!G37+RD04!G37+RD05!G37+RD06!G37+RD07!G37+RD08!G37+RD09!G37+RD10!G37</f>
        <v>0</v>
      </c>
      <c r="H37" s="41">
        <f>RD01!H37+RD02!H37+RD03!H37+RD04!H37+RD05!H37+RD06!H37+RD07!H37+RD08!H37+RD09!H37+RD10!H37</f>
        <v>0</v>
      </c>
      <c r="I37" s="41">
        <f>RD01!I37+RD02!I37+RD03!I37+RD04!I37+RD05!I37+RD06!I37+RD07!I37+RD08!I37+RD09!I37+RD10!I37</f>
        <v>0</v>
      </c>
      <c r="J37" s="41">
        <f>RD01!J37+RD02!J37+RD03!J37+RD04!J37+RD05!J37+RD06!J37+RD07!J37+RD08!J37+RD09!J37+RD10!J37</f>
        <v>0</v>
      </c>
      <c r="K37" s="41">
        <f>RD01!K37+RD02!K37+RD03!K37+RD04!K37+RD05!K37+RD06!K37+RD07!K37+RD08!K37+RD09!K37+RD10!K37</f>
        <v>0</v>
      </c>
      <c r="L37" s="41">
        <f>RD01!L37+RD02!L37+RD03!L37+RD04!L37+RD05!L37+RD06!L37+RD07!L37+RD08!L37+RD09!L37+RD10!L37</f>
        <v>0</v>
      </c>
      <c r="M37" s="41">
        <f>RD01!M37+RD02!M37+RD03!M37+RD04!M37+RD05!M37+RD06!M37+RD07!M37+RD08!M37+RD09!M37+RD10!M37</f>
        <v>0</v>
      </c>
      <c r="N37" s="42">
        <f>RD01!N37+RD02!N37+RD03!N37+RD04!N37+RD05!N37+RD06!N37+RD07!N37+RD08!N37+RD09!N37+RD10!N37</f>
        <v>0</v>
      </c>
    </row>
    <row r="38" s="2" customFormat="1" customHeight="1" spans="2:14">
      <c r="B38" s="43">
        <v>4</v>
      </c>
      <c r="C38" s="44">
        <v>30</v>
      </c>
      <c r="D38" s="45" t="str">
        <f>RD01!D38</f>
        <v>记-</v>
      </c>
      <c r="E38" s="49" t="s">
        <v>365</v>
      </c>
      <c r="F38" s="48">
        <f>I38</f>
        <v>0</v>
      </c>
      <c r="G38" s="48">
        <f>RD01!G38+RD02!G38+RD03!G38+RD04!G38+RD05!G38+RD06!G38+RD07!G38+RD08!G38+RD09!G38+RD10!G38</f>
        <v>0</v>
      </c>
      <c r="H38" s="41">
        <f>RD01!H38+RD02!H38+RD03!H38+RD04!H38+RD05!H38+RD06!H38+RD07!H38+RD08!H38+RD09!H38+RD10!H38</f>
        <v>0</v>
      </c>
      <c r="I38" s="41">
        <f>RD01!I38+RD02!I38+RD03!I38+RD04!I38+RD05!I38+RD06!I38+RD07!I38+RD08!I38+RD09!I38+RD10!I38</f>
        <v>0</v>
      </c>
      <c r="J38" s="41">
        <f>RD01!J38+RD02!J38+RD03!J38+RD04!J38+RD05!J38+RD06!J38+RD07!J38+RD08!J38+RD09!J38+RD10!J38</f>
        <v>0</v>
      </c>
      <c r="K38" s="41">
        <f>RD01!K38+RD02!K38+RD03!K38+RD04!K38+RD05!K38+RD06!K38+RD07!K38+RD08!K38+RD09!K38+RD10!K38</f>
        <v>0</v>
      </c>
      <c r="L38" s="41">
        <f>RD01!L38+RD02!L38+RD03!L38+RD04!L38+RD05!L38+RD06!L38+RD07!L38+RD08!L38+RD09!L38+RD10!L38</f>
        <v>0</v>
      </c>
      <c r="M38" s="41">
        <f>RD01!M38+RD02!M38+RD03!M38+RD04!M38+RD05!M38+RD06!M38+RD07!M38+RD08!M38+RD09!M38+RD10!M38</f>
        <v>0</v>
      </c>
      <c r="N38" s="42">
        <f>RD01!N38+RD02!N38+RD03!N38+RD04!N38+RD05!N38+RD06!N38+RD07!N38+RD08!N38+RD09!N38+RD10!N38</f>
        <v>0</v>
      </c>
    </row>
    <row r="39" s="2" customFormat="1" customHeight="1" spans="2:14">
      <c r="B39" s="43">
        <v>4</v>
      </c>
      <c r="C39" s="44">
        <v>30</v>
      </c>
      <c r="D39" s="45" t="str">
        <f>RD01!D39</f>
        <v>记-</v>
      </c>
      <c r="E39" s="51" t="s">
        <v>356</v>
      </c>
      <c r="F39" s="48">
        <f>K39</f>
        <v>0</v>
      </c>
      <c r="G39" s="48">
        <f>RD01!G39+RD02!G39+RD03!G39+RD04!G39+RD05!G39+RD06!G39+RD07!G39+RD08!G39+RD09!G39+RD10!G39</f>
        <v>0</v>
      </c>
      <c r="H39" s="41">
        <f>RD01!H39+RD02!H39+RD03!H39+RD04!H39+RD05!H39+RD06!H39+RD07!H39+RD08!H39+RD09!H39+RD10!H39</f>
        <v>0</v>
      </c>
      <c r="I39" s="41">
        <f>RD01!I39+RD02!I39+RD03!I39+RD04!I39+RD05!I39+RD06!I39+RD07!I39+RD08!I39+RD09!I39+RD10!I39</f>
        <v>0</v>
      </c>
      <c r="J39" s="41">
        <f>RD01!J39+RD02!J39+RD03!J39+RD04!J39+RD05!J39+RD06!J39+RD07!J39+RD08!J39+RD09!J39+RD10!J39</f>
        <v>0</v>
      </c>
      <c r="K39" s="41">
        <f>RD01!K39+RD02!K39+RD03!K39+RD04!K39+RD05!K39+RD06!K39+RD07!K39+RD08!K39+RD09!K39+RD10!K39</f>
        <v>0</v>
      </c>
      <c r="L39" s="41">
        <f>RD01!L39+RD02!L39+RD03!L39+RD04!L39+RD05!L39+RD06!L39+RD07!L39+RD08!L39+RD09!L39+RD10!L39</f>
        <v>0</v>
      </c>
      <c r="M39" s="41">
        <f>RD01!M39+RD02!M39+RD03!M39+RD04!M39+RD05!M39+RD06!M39+RD07!M39+RD08!M39+RD09!M39+RD10!M39</f>
        <v>0</v>
      </c>
      <c r="N39" s="42">
        <f>RD01!N39+RD02!N39+RD03!N39+RD04!N39+RD05!N39+RD06!N39+RD07!N39+RD08!N39+RD09!N39+RD10!N39</f>
        <v>0</v>
      </c>
    </row>
    <row r="40" s="2" customFormat="1" customHeight="1" spans="2:14">
      <c r="B40" s="43">
        <v>4</v>
      </c>
      <c r="C40" s="44">
        <v>30</v>
      </c>
      <c r="D40" s="45" t="str">
        <f>RD01!D40</f>
        <v>记-</v>
      </c>
      <c r="E40" s="49" t="s">
        <v>359</v>
      </c>
      <c r="F40" s="48">
        <f>N40</f>
        <v>0</v>
      </c>
      <c r="G40" s="48">
        <f>RD01!G40+RD02!G40+RD03!G40+RD04!G40+RD05!G40+RD06!G40+RD07!G40+RD08!G40+RD09!G40+RD10!G40</f>
        <v>0</v>
      </c>
      <c r="H40" s="41">
        <f>RD01!H40+RD02!H40+RD03!H40+RD04!H40+RD05!H40+RD06!H40+RD07!H40+RD08!H40+RD09!H40+RD10!H40</f>
        <v>0</v>
      </c>
      <c r="I40" s="41">
        <f>RD01!I40+RD02!I40+RD03!I40+RD04!I40+RD05!I40+RD06!I40+RD07!I40+RD08!I40+RD09!I40+RD10!I40</f>
        <v>0</v>
      </c>
      <c r="J40" s="41">
        <f>RD01!J40+RD02!J40+RD03!J40+RD04!J40+RD05!J40+RD06!J40+RD07!J40+RD08!J40+RD09!J40+RD10!J40</f>
        <v>0</v>
      </c>
      <c r="K40" s="41">
        <f>RD01!K40+RD02!K40+RD03!K40+RD04!K40+RD05!K40+RD06!K40+RD07!K40+RD08!K40+RD09!K40+RD10!K40</f>
        <v>0</v>
      </c>
      <c r="L40" s="41">
        <f>RD01!L40+RD02!L40+RD03!L40+RD04!L40+RD05!L40+RD06!L40+RD07!L40+RD08!L40+RD09!L40+RD10!L40</f>
        <v>0</v>
      </c>
      <c r="M40" s="41">
        <f>RD01!M40+RD02!M40+RD03!M40+RD04!M40+RD05!M40+RD06!M40+RD07!M40+RD08!M40+RD09!M40+RD10!M40</f>
        <v>0</v>
      </c>
      <c r="N40" s="42">
        <f>RD01!N40+RD02!N40+RD03!N40+RD04!N40+RD05!N40+RD06!N40+RD07!N40+RD08!N40+RD09!N40+RD10!N40</f>
        <v>0</v>
      </c>
    </row>
    <row r="41" s="2" customFormat="1" customHeight="1" spans="2:14">
      <c r="B41" s="43"/>
      <c r="C41" s="44"/>
      <c r="D41" s="52"/>
      <c r="E41" s="53" t="s">
        <v>366</v>
      </c>
      <c r="F41" s="48">
        <f t="shared" ref="F41:N41" si="10">SUM(F34:F40)</f>
        <v>0</v>
      </c>
      <c r="G41" s="48">
        <f t="shared" si="10"/>
        <v>0</v>
      </c>
      <c r="H41" s="54">
        <f t="shared" si="10"/>
        <v>0</v>
      </c>
      <c r="I41" s="54">
        <f t="shared" si="10"/>
        <v>0</v>
      </c>
      <c r="J41" s="54">
        <f t="shared" si="10"/>
        <v>0</v>
      </c>
      <c r="K41" s="54">
        <f t="shared" si="10"/>
        <v>0</v>
      </c>
      <c r="L41" s="54">
        <f t="shared" si="10"/>
        <v>0</v>
      </c>
      <c r="M41" s="54">
        <f t="shared" si="10"/>
        <v>0</v>
      </c>
      <c r="N41" s="55">
        <f t="shared" si="10"/>
        <v>0</v>
      </c>
    </row>
    <row r="42" s="2" customFormat="1" customHeight="1" spans="2:14">
      <c r="B42" s="56"/>
      <c r="C42" s="57"/>
      <c r="D42" s="58"/>
      <c r="E42" s="59" t="s">
        <v>367</v>
      </c>
      <c r="F42" s="65">
        <f t="shared" ref="F42:N42" si="11">F41+F33</f>
        <v>0</v>
      </c>
      <c r="G42" s="61">
        <f t="shared" si="11"/>
        <v>0</v>
      </c>
      <c r="H42" s="62">
        <f t="shared" si="11"/>
        <v>0</v>
      </c>
      <c r="I42" s="62">
        <f t="shared" si="11"/>
        <v>0</v>
      </c>
      <c r="J42" s="62">
        <f t="shared" si="11"/>
        <v>0</v>
      </c>
      <c r="K42" s="62">
        <f t="shared" si="11"/>
        <v>0</v>
      </c>
      <c r="L42" s="62">
        <f t="shared" si="11"/>
        <v>0</v>
      </c>
      <c r="M42" s="63">
        <f t="shared" si="11"/>
        <v>0</v>
      </c>
      <c r="N42" s="64">
        <f t="shared" si="11"/>
        <v>0</v>
      </c>
    </row>
    <row r="43" s="2" customFormat="1" customHeight="1" spans="2:14">
      <c r="B43" s="36">
        <v>5</v>
      </c>
      <c r="C43" s="37">
        <v>31</v>
      </c>
      <c r="D43" s="38" t="str">
        <f>RD01!D43</f>
        <v>记-</v>
      </c>
      <c r="E43" s="39" t="s">
        <v>361</v>
      </c>
      <c r="F43" s="40">
        <f t="shared" ref="F43:F45" si="12">G43</f>
        <v>0</v>
      </c>
      <c r="G43" s="40">
        <f>RD01!G43+RD02!G43+RD03!G43+RD04!G43+RD05!G43+RD06!G43+RD07!G43+RD08!G43+RD09!G43+RD10!G43</f>
        <v>0</v>
      </c>
      <c r="H43" s="41">
        <f>RD01!H43+RD02!H43+RD03!H43+RD04!H43+RD05!H43+RD06!H43+RD07!H43+RD08!H43+RD09!H43+RD10!H43</f>
        <v>0</v>
      </c>
      <c r="I43" s="41">
        <f>RD01!I43+RD02!I43+RD03!I43+RD04!I43+RD05!I43+RD06!I43+RD07!I43+RD08!I43+RD09!I43+RD10!I43</f>
        <v>0</v>
      </c>
      <c r="J43" s="41">
        <f>RD01!J43+RD02!J43+RD03!J43+RD04!J43+RD05!J43+RD06!J43+RD07!J43+RD08!J43+RD09!J43+RD10!J43</f>
        <v>0</v>
      </c>
      <c r="K43" s="41">
        <f>RD01!K43+RD02!K43+RD03!K43+RD04!K43+RD05!K43+RD06!K43+RD07!K43+RD08!K43+RD09!K43+RD10!K43</f>
        <v>0</v>
      </c>
      <c r="L43" s="41">
        <f>RD01!L43+RD02!L43+RD03!L43+RD04!L43+RD05!L43+RD06!L43+RD07!L43+RD08!L43+RD09!L43+RD10!L43</f>
        <v>0</v>
      </c>
      <c r="M43" s="41">
        <f>RD01!M43+RD02!M43+RD03!M43+RD04!M43+RD05!M43+RD06!M43+RD07!M43+RD08!M43+RD09!M43+RD10!M43</f>
        <v>0</v>
      </c>
      <c r="N43" s="42">
        <f>RD01!N43+RD02!N43+RD03!N43+RD04!N43+RD05!N43+RD06!N43+RD07!N43+RD08!N43+RD09!N43+RD10!N43</f>
        <v>0</v>
      </c>
    </row>
    <row r="44" s="2" customFormat="1" customHeight="1" spans="2:14">
      <c r="B44" s="43">
        <v>5</v>
      </c>
      <c r="C44" s="44">
        <v>31</v>
      </c>
      <c r="D44" s="45" t="str">
        <f>RD01!D44</f>
        <v>记-</v>
      </c>
      <c r="E44" s="46" t="s">
        <v>362</v>
      </c>
      <c r="F44" s="47">
        <f t="shared" si="12"/>
        <v>0</v>
      </c>
      <c r="G44" s="48">
        <f>RD01!G44+RD02!G44+RD03!G44+RD04!G44+RD05!G44+RD06!G44+RD07!G44+RD08!G44+RD09!G44+RD10!G44</f>
        <v>0</v>
      </c>
      <c r="H44" s="41">
        <f>RD01!H44+RD02!H44+RD03!H44+RD04!H44+RD05!H44+RD06!H44+RD07!H44+RD08!H44+RD09!H44+RD10!H44</f>
        <v>0</v>
      </c>
      <c r="I44" s="41">
        <f>RD01!I44+RD02!I44+RD03!I44+RD04!I44+RD05!I44+RD06!I44+RD07!I44+RD08!I44+RD09!I44+RD10!I44</f>
        <v>0</v>
      </c>
      <c r="J44" s="41">
        <f>RD01!J44+RD02!J44+RD03!J44+RD04!J44+RD05!J44+RD06!J44+RD07!J44+RD08!J44+RD09!J44+RD10!J44</f>
        <v>0</v>
      </c>
      <c r="K44" s="41">
        <f>RD01!K44+RD02!K44+RD03!K44+RD04!K44+RD05!K44+RD06!K44+RD07!K44+RD08!K44+RD09!K44+RD10!K44</f>
        <v>0</v>
      </c>
      <c r="L44" s="41">
        <f>RD01!L44+RD02!L44+RD03!L44+RD04!L44+RD05!L44+RD06!L44+RD07!L44+RD08!L44+RD09!L44+RD10!L44</f>
        <v>0</v>
      </c>
      <c r="M44" s="41">
        <f>RD01!M44+RD02!M44+RD03!M44+RD04!M44+RD05!M44+RD06!M44+RD07!M44+RD08!M44+RD09!M44+RD10!M44</f>
        <v>0</v>
      </c>
      <c r="N44" s="42">
        <f>RD01!N44+RD02!N44+RD03!N44+RD04!N44+RD05!N44+RD06!N44+RD07!N44+RD08!N44+RD09!N44+RD10!N44</f>
        <v>0</v>
      </c>
    </row>
    <row r="45" s="2" customFormat="1" customHeight="1" spans="2:14">
      <c r="B45" s="43">
        <v>5</v>
      </c>
      <c r="C45" s="44">
        <v>31</v>
      </c>
      <c r="D45" s="45" t="str">
        <f>RD01!D45</f>
        <v>记-</v>
      </c>
      <c r="E45" s="46" t="s">
        <v>363</v>
      </c>
      <c r="F45" s="47">
        <f t="shared" si="12"/>
        <v>0</v>
      </c>
      <c r="G45" s="48">
        <f>RD01!G45+RD02!G45+RD03!G45+RD04!G45+RD05!G45+RD06!G45+RD07!G45+RD08!G45+RD09!G45+RD10!G45</f>
        <v>0</v>
      </c>
      <c r="H45" s="41">
        <f>RD01!H45+RD02!H45+RD03!H45+RD04!H45+RD05!H45+RD06!H45+RD07!H45+RD08!H45+RD09!H45+RD10!H45</f>
        <v>0</v>
      </c>
      <c r="I45" s="41">
        <f>RD01!I45+RD02!I45+RD03!I45+RD04!I45+RD05!I45+RD06!I45+RD07!I45+RD08!I45+RD09!I45+RD10!I45</f>
        <v>0</v>
      </c>
      <c r="J45" s="41">
        <f>RD01!J45+RD02!J45+RD03!J45+RD04!J45+RD05!J45+RD06!J45+RD07!J45+RD08!J45+RD09!J45+RD10!J45</f>
        <v>0</v>
      </c>
      <c r="K45" s="41">
        <f>RD01!K45+RD02!K45+RD03!K45+RD04!K45+RD05!K45+RD06!K45+RD07!K45+RD08!K45+RD09!K45+RD10!K45</f>
        <v>0</v>
      </c>
      <c r="L45" s="41">
        <f>RD01!L45+RD02!L45+RD03!L45+RD04!L45+RD05!L45+RD06!L45+RD07!L45+RD08!L45+RD09!L45+RD10!L45</f>
        <v>0</v>
      </c>
      <c r="M45" s="41">
        <f>RD01!M45+RD02!M45+RD03!M45+RD04!M45+RD05!M45+RD06!M45+RD07!M45+RD08!M45+RD09!M45+RD10!M45</f>
        <v>0</v>
      </c>
      <c r="N45" s="42">
        <f>RD01!N45+RD02!N45+RD03!N45+RD04!N45+RD05!N45+RD06!N45+RD07!N45+RD08!N45+RD09!N45+RD10!N45</f>
        <v>0</v>
      </c>
    </row>
    <row r="46" s="2" customFormat="1" customHeight="1" spans="2:14">
      <c r="B46" s="43">
        <v>5</v>
      </c>
      <c r="C46" s="44">
        <v>31</v>
      </c>
      <c r="D46" s="45" t="str">
        <f>RD01!D46</f>
        <v>记-</v>
      </c>
      <c r="E46" s="49" t="s">
        <v>364</v>
      </c>
      <c r="F46" s="47">
        <f>H46</f>
        <v>0</v>
      </c>
      <c r="G46" s="48">
        <f>RD01!G46+RD02!G46+RD03!G46+RD04!G46+RD05!G46+RD06!G46+RD07!G46+RD08!G46+RD09!G46+RD10!G46</f>
        <v>0</v>
      </c>
      <c r="H46" s="41">
        <f>RD01!H46+RD02!H46+RD03!H46+RD04!H46+RD05!H46+RD06!H46+RD07!H46+RD08!H46+RD09!H46+RD10!H46</f>
        <v>0</v>
      </c>
      <c r="I46" s="41">
        <f>RD01!I46+RD02!I46+RD03!I46+RD04!I46+RD05!I46+RD06!I46+RD07!I46+RD08!I46+RD09!I46+RD10!I46</f>
        <v>0</v>
      </c>
      <c r="J46" s="41">
        <f>RD01!J46+RD02!J46+RD03!J46+RD04!J46+RD05!J46+RD06!J46+RD07!J46+RD08!J46+RD09!J46+RD10!J46</f>
        <v>0</v>
      </c>
      <c r="K46" s="41">
        <f>RD01!K46+RD02!K46+RD03!K46+RD04!K46+RD05!K46+RD06!K46+RD07!K46+RD08!K46+RD09!K46+RD10!K46</f>
        <v>0</v>
      </c>
      <c r="L46" s="41">
        <f>RD01!L46+RD02!L46+RD03!L46+RD04!L46+RD05!L46+RD06!L46+RD07!L46+RD08!L46+RD09!L46+RD10!L46</f>
        <v>0</v>
      </c>
      <c r="M46" s="41">
        <f>RD01!M46+RD02!M46+RD03!M46+RD04!M46+RD05!M46+RD06!M46+RD07!M46+RD08!M46+RD09!M46+RD10!M46</f>
        <v>0</v>
      </c>
      <c r="N46" s="42">
        <f>RD01!N46+RD02!N46+RD03!N46+RD04!N46+RD05!N46+RD06!N46+RD07!N46+RD08!N46+RD09!N46+RD10!N46</f>
        <v>0</v>
      </c>
    </row>
    <row r="47" s="2" customFormat="1" customHeight="1" spans="2:14">
      <c r="B47" s="43">
        <v>5</v>
      </c>
      <c r="C47" s="44">
        <v>31</v>
      </c>
      <c r="D47" s="45" t="str">
        <f>RD01!D47</f>
        <v>记-</v>
      </c>
      <c r="E47" s="49" t="s">
        <v>365</v>
      </c>
      <c r="F47" s="48">
        <f>I47</f>
        <v>0</v>
      </c>
      <c r="G47" s="48">
        <f>RD01!G47+RD02!G47+RD03!G47+RD04!G47+RD05!G47+RD06!G47+RD07!G47+RD08!G47+RD09!G47+RD10!G47</f>
        <v>0</v>
      </c>
      <c r="H47" s="41">
        <f>RD01!H47+RD02!H47+RD03!H47+RD04!H47+RD05!H47+RD06!H47+RD07!H47+RD08!H47+RD09!H47+RD10!H47</f>
        <v>0</v>
      </c>
      <c r="I47" s="41">
        <f>RD01!I47+RD02!I47+RD03!I47+RD04!I47+RD05!I47+RD06!I47+RD07!I47+RD08!I47+RD09!I47+RD10!I47</f>
        <v>0</v>
      </c>
      <c r="J47" s="41">
        <f>RD01!J47+RD02!J47+RD03!J47+RD04!J47+RD05!J47+RD06!J47+RD07!J47+RD08!J47+RD09!J47+RD10!J47</f>
        <v>0</v>
      </c>
      <c r="K47" s="41">
        <f>RD01!K47+RD02!K47+RD03!K47+RD04!K47+RD05!K47+RD06!K47+RD07!K47+RD08!K47+RD09!K47+RD10!K47</f>
        <v>0</v>
      </c>
      <c r="L47" s="41">
        <f>RD01!L47+RD02!L47+RD03!L47+RD04!L47+RD05!L47+RD06!L47+RD07!L47+RD08!L47+RD09!L47+RD10!L47</f>
        <v>0</v>
      </c>
      <c r="M47" s="41">
        <f>RD01!M47+RD02!M47+RD03!M47+RD04!M47+RD05!M47+RD06!M47+RD07!M47+RD08!M47+RD09!M47+RD10!M47</f>
        <v>0</v>
      </c>
      <c r="N47" s="42">
        <f>RD01!N47+RD02!N47+RD03!N47+RD04!N47+RD05!N47+RD06!N47+RD07!N47+RD08!N47+RD09!N47+RD10!N47</f>
        <v>0</v>
      </c>
    </row>
    <row r="48" s="2" customFormat="1" customHeight="1" spans="2:14">
      <c r="B48" s="43">
        <v>5</v>
      </c>
      <c r="C48" s="44">
        <v>31</v>
      </c>
      <c r="D48" s="45" t="str">
        <f>RD01!D48</f>
        <v>记-</v>
      </c>
      <c r="E48" s="51" t="s">
        <v>356</v>
      </c>
      <c r="F48" s="48">
        <f>K48</f>
        <v>0</v>
      </c>
      <c r="G48" s="48">
        <f>RD01!G48+RD02!G48+RD03!G48+RD04!G48+RD05!G48+RD06!G48+RD07!G48+RD08!G48+RD09!G48+RD10!G48</f>
        <v>0</v>
      </c>
      <c r="H48" s="41">
        <f>RD01!H48+RD02!H48+RD03!H48+RD04!H48+RD05!H48+RD06!H48+RD07!H48+RD08!H48+RD09!H48+RD10!H48</f>
        <v>0</v>
      </c>
      <c r="I48" s="41">
        <f>RD01!I48+RD02!I48+RD03!I48+RD04!I48+RD05!I48+RD06!I48+RD07!I48+RD08!I48+RD09!I48+RD10!I48</f>
        <v>0</v>
      </c>
      <c r="J48" s="41">
        <f>RD01!J48+RD02!J48+RD03!J48+RD04!J48+RD05!J48+RD06!J48+RD07!J48+RD08!J48+RD09!J48+RD10!J48</f>
        <v>0</v>
      </c>
      <c r="K48" s="41">
        <f>RD01!K48+RD02!K48+RD03!K48+RD04!K48+RD05!K48+RD06!K48+RD07!K48+RD08!K48+RD09!K48+RD10!K48</f>
        <v>0</v>
      </c>
      <c r="L48" s="41">
        <f>RD01!L48+RD02!L48+RD03!L48+RD04!L48+RD05!L48+RD06!L48+RD07!L48+RD08!L48+RD09!L48+RD10!L48</f>
        <v>0</v>
      </c>
      <c r="M48" s="41">
        <f>RD01!M48+RD02!M48+RD03!M48+RD04!M48+RD05!M48+RD06!M48+RD07!M48+RD08!M48+RD09!M48+RD10!M48</f>
        <v>0</v>
      </c>
      <c r="N48" s="42">
        <f>RD01!N48+RD02!N48+RD03!N48+RD04!N48+RD05!N48+RD06!N48+RD07!N48+RD08!N48+RD09!N48+RD10!N48</f>
        <v>0</v>
      </c>
    </row>
    <row r="49" s="2" customFormat="1" customHeight="1" spans="2:14">
      <c r="B49" s="43">
        <v>5</v>
      </c>
      <c r="C49" s="44">
        <v>31</v>
      </c>
      <c r="D49" s="45" t="str">
        <f>RD01!D49</f>
        <v>记-</v>
      </c>
      <c r="E49" s="49" t="s">
        <v>359</v>
      </c>
      <c r="F49" s="48">
        <f>N49</f>
        <v>0</v>
      </c>
      <c r="G49" s="48">
        <f>RD01!G49+RD02!G49+RD03!G49+RD04!G49+RD05!G49+RD06!G49+RD07!G49+RD08!G49+RD09!G49+RD10!G49</f>
        <v>0</v>
      </c>
      <c r="H49" s="41">
        <f>RD01!H49+RD02!H49+RD03!H49+RD04!H49+RD05!H49+RD06!H49+RD07!H49+RD08!H49+RD09!H49+RD10!H49</f>
        <v>0</v>
      </c>
      <c r="I49" s="41">
        <f>RD01!I49+RD02!I49+RD03!I49+RD04!I49+RD05!I49+RD06!I49+RD07!I49+RD08!I49+RD09!I49+RD10!I49</f>
        <v>0</v>
      </c>
      <c r="J49" s="41">
        <f>RD01!J49+RD02!J49+RD03!J49+RD04!J49+RD05!J49+RD06!J49+RD07!J49+RD08!J49+RD09!J49+RD10!J49</f>
        <v>0</v>
      </c>
      <c r="K49" s="41">
        <f>RD01!K49+RD02!K49+RD03!K49+RD04!K49+RD05!K49+RD06!K49+RD07!K49+RD08!K49+RD09!K49+RD10!K49</f>
        <v>0</v>
      </c>
      <c r="L49" s="41">
        <f>RD01!L49+RD02!L49+RD03!L49+RD04!L49+RD05!L49+RD06!L49+RD07!L49+RD08!L49+RD09!L49+RD10!L49</f>
        <v>0</v>
      </c>
      <c r="M49" s="41">
        <f>RD01!M49+RD02!M49+RD03!M49+RD04!M49+RD05!M49+RD06!M49+RD07!M49+RD08!M49+RD09!M49+RD10!M49</f>
        <v>0</v>
      </c>
      <c r="N49" s="42">
        <f>RD01!N49+RD02!N49+RD03!N49+RD04!N49+RD05!N49+RD06!N49+RD07!N49+RD08!N49+RD09!N49+RD10!N49</f>
        <v>0</v>
      </c>
    </row>
    <row r="50" s="2" customFormat="1" customHeight="1" spans="2:14">
      <c r="B50" s="43"/>
      <c r="C50" s="44"/>
      <c r="D50" s="52"/>
      <c r="E50" s="53" t="s">
        <v>368</v>
      </c>
      <c r="F50" s="48">
        <f t="shared" ref="F50:N50" si="13">SUM(F43:F49)</f>
        <v>0</v>
      </c>
      <c r="G50" s="48">
        <f t="shared" si="13"/>
        <v>0</v>
      </c>
      <c r="H50" s="54">
        <f t="shared" si="13"/>
        <v>0</v>
      </c>
      <c r="I50" s="54">
        <f t="shared" si="13"/>
        <v>0</v>
      </c>
      <c r="J50" s="54">
        <f t="shared" si="13"/>
        <v>0</v>
      </c>
      <c r="K50" s="54">
        <f t="shared" si="13"/>
        <v>0</v>
      </c>
      <c r="L50" s="54">
        <f t="shared" si="13"/>
        <v>0</v>
      </c>
      <c r="M50" s="54">
        <f t="shared" si="13"/>
        <v>0</v>
      </c>
      <c r="N50" s="55">
        <f t="shared" si="13"/>
        <v>0</v>
      </c>
    </row>
    <row r="51" s="2" customFormat="1" customHeight="1" spans="2:14">
      <c r="B51" s="56"/>
      <c r="C51" s="57"/>
      <c r="D51" s="58"/>
      <c r="E51" s="59" t="s">
        <v>367</v>
      </c>
      <c r="F51" s="48">
        <f t="shared" ref="F51:N51" si="14">F50+F42</f>
        <v>0</v>
      </c>
      <c r="G51" s="61">
        <f t="shared" si="14"/>
        <v>0</v>
      </c>
      <c r="H51" s="62">
        <f t="shared" si="14"/>
        <v>0</v>
      </c>
      <c r="I51" s="62">
        <f t="shared" si="14"/>
        <v>0</v>
      </c>
      <c r="J51" s="62">
        <f t="shared" si="14"/>
        <v>0</v>
      </c>
      <c r="K51" s="62">
        <f t="shared" si="14"/>
        <v>0</v>
      </c>
      <c r="L51" s="62">
        <f t="shared" si="14"/>
        <v>0</v>
      </c>
      <c r="M51" s="63">
        <f t="shared" si="14"/>
        <v>0</v>
      </c>
      <c r="N51" s="64">
        <f t="shared" si="14"/>
        <v>0</v>
      </c>
    </row>
    <row r="52" s="2" customFormat="1" customHeight="1" spans="2:14">
      <c r="B52" s="36">
        <v>6</v>
      </c>
      <c r="C52" s="37">
        <v>30</v>
      </c>
      <c r="D52" s="38" t="str">
        <f>RD01!D52</f>
        <v>记-</v>
      </c>
      <c r="E52" s="39" t="s">
        <v>361</v>
      </c>
      <c r="F52" s="40">
        <f t="shared" ref="F52:F54" si="15">G52</f>
        <v>0</v>
      </c>
      <c r="G52" s="40">
        <f>RD01!G52+RD02!G52+RD03!G52+RD04!G52+RD05!G52+RD06!G52+RD07!G52+RD08!G52+RD09!G52+RD10!G52</f>
        <v>0</v>
      </c>
      <c r="H52" s="41">
        <f>RD01!H52+RD02!H52+RD03!H52+RD04!H52+RD05!H52+RD06!H52+RD07!H52+RD08!H52+RD09!H52+RD10!H52</f>
        <v>0</v>
      </c>
      <c r="I52" s="41">
        <f>RD01!I52+RD02!I52+RD03!I52+RD04!I52+RD05!I52+RD06!I52+RD07!I52+RD08!I52+RD09!I52+RD10!I52</f>
        <v>0</v>
      </c>
      <c r="J52" s="41">
        <f>RD01!J52+RD02!J52+RD03!J52+RD04!J52+RD05!J52+RD06!J52+RD07!J52+RD08!J52+RD09!J52+RD10!J52</f>
        <v>0</v>
      </c>
      <c r="K52" s="41">
        <f>RD01!K52+RD02!K52+RD03!K52+RD04!K52+RD05!K52+RD06!K52+RD07!K52+RD08!K52+RD09!K52+RD10!K52</f>
        <v>0</v>
      </c>
      <c r="L52" s="41">
        <f>RD01!L52+RD02!L52+RD03!L52+RD04!L52+RD05!L52+RD06!L52+RD07!L52+RD08!L52+RD09!L52+RD10!L52</f>
        <v>0</v>
      </c>
      <c r="M52" s="41">
        <f>RD01!M52+RD02!M52+RD03!M52+RD04!M52+RD05!M52+RD06!M52+RD07!M52+RD08!M52+RD09!M52+RD10!M52</f>
        <v>0</v>
      </c>
      <c r="N52" s="42">
        <f>RD01!N52+RD02!N52+RD03!N52+RD04!N52+RD05!N52+RD06!N52+RD07!N52+RD08!N52+RD09!N52+RD10!N52</f>
        <v>0</v>
      </c>
    </row>
    <row r="53" s="2" customFormat="1" customHeight="1" spans="2:14">
      <c r="B53" s="43">
        <v>6</v>
      </c>
      <c r="C53" s="44">
        <v>30</v>
      </c>
      <c r="D53" s="45" t="str">
        <f>RD01!D53</f>
        <v>记-</v>
      </c>
      <c r="E53" s="46" t="s">
        <v>362</v>
      </c>
      <c r="F53" s="47">
        <f t="shared" si="15"/>
        <v>0</v>
      </c>
      <c r="G53" s="48">
        <f>RD01!G53+RD02!G53+RD03!G53+RD04!G53+RD05!G53+RD06!G53+RD07!G53+RD08!G53+RD09!G53+RD10!G53</f>
        <v>0</v>
      </c>
      <c r="H53" s="41">
        <f>RD01!H53+RD02!H53+RD03!H53+RD04!H53+RD05!H53+RD06!H53+RD07!H53+RD08!H53+RD09!H53+RD10!H53</f>
        <v>0</v>
      </c>
      <c r="I53" s="41">
        <f>RD01!I53+RD02!I53+RD03!I53+RD04!I53+RD05!I53+RD06!I53+RD07!I53+RD08!I53+RD09!I53+RD10!I53</f>
        <v>0</v>
      </c>
      <c r="J53" s="41">
        <f>RD01!J53+RD02!J53+RD03!J53+RD04!J53+RD05!J53+RD06!J53+RD07!J53+RD08!J53+RD09!J53+RD10!J53</f>
        <v>0</v>
      </c>
      <c r="K53" s="41">
        <f>RD01!K53+RD02!K53+RD03!K53+RD04!K53+RD05!K53+RD06!K53+RD07!K53+RD08!K53+RD09!K53+RD10!K53</f>
        <v>0</v>
      </c>
      <c r="L53" s="41">
        <f>RD01!L53+RD02!L53+RD03!L53+RD04!L53+RD05!L53+RD06!L53+RD07!L53+RD08!L53+RD09!L53+RD10!L53</f>
        <v>0</v>
      </c>
      <c r="M53" s="41">
        <f>RD01!M53+RD02!M53+RD03!M53+RD04!M53+RD05!M53+RD06!M53+RD07!M53+RD08!M53+RD09!M53+RD10!M53</f>
        <v>0</v>
      </c>
      <c r="N53" s="42">
        <f>RD01!N53+RD02!N53+RD03!N53+RD04!N53+RD05!N53+RD06!N53+RD07!N53+RD08!N53+RD09!N53+RD10!N53</f>
        <v>0</v>
      </c>
    </row>
    <row r="54" s="2" customFormat="1" customHeight="1" spans="2:14">
      <c r="B54" s="43">
        <v>6</v>
      </c>
      <c r="C54" s="44">
        <v>30</v>
      </c>
      <c r="D54" s="45" t="str">
        <f>RD01!D54</f>
        <v>记-</v>
      </c>
      <c r="E54" s="46" t="s">
        <v>363</v>
      </c>
      <c r="F54" s="47">
        <f t="shared" si="15"/>
        <v>0</v>
      </c>
      <c r="G54" s="48">
        <f>RD01!G54+RD02!G54+RD03!G54+RD04!G54+RD05!G54+RD06!G54+RD07!G54+RD08!G54+RD09!G54+RD10!G54</f>
        <v>0</v>
      </c>
      <c r="H54" s="41">
        <f>RD01!H54+RD02!H54+RD03!H54+RD04!H54+RD05!H54+RD06!H54+RD07!H54+RD08!H54+RD09!H54+RD10!H54</f>
        <v>0</v>
      </c>
      <c r="I54" s="41">
        <f>RD01!I54+RD02!I54+RD03!I54+RD04!I54+RD05!I54+RD06!I54+RD07!I54+RD08!I54+RD09!I54+RD10!I54</f>
        <v>0</v>
      </c>
      <c r="J54" s="41">
        <f>RD01!J54+RD02!J54+RD03!J54+RD04!J54+RD05!J54+RD06!J54+RD07!J54+RD08!J54+RD09!J54+RD10!J54</f>
        <v>0</v>
      </c>
      <c r="K54" s="41">
        <f>RD01!K54+RD02!K54+RD03!K54+RD04!K54+RD05!K54+RD06!K54+RD07!K54+RD08!K54+RD09!K54+RD10!K54</f>
        <v>0</v>
      </c>
      <c r="L54" s="41">
        <f>RD01!L54+RD02!L54+RD03!L54+RD04!L54+RD05!L54+RD06!L54+RD07!L54+RD08!L54+RD09!L54+RD10!L54</f>
        <v>0</v>
      </c>
      <c r="M54" s="41">
        <f>RD01!M54+RD02!M54+RD03!M54+RD04!M54+RD05!M54+RD06!M54+RD07!M54+RD08!M54+RD09!M54+RD10!M54</f>
        <v>0</v>
      </c>
      <c r="N54" s="42">
        <f>RD01!N54+RD02!N54+RD03!N54+RD04!N54+RD05!N54+RD06!N54+RD07!N54+RD08!N54+RD09!N54+RD10!N54</f>
        <v>0</v>
      </c>
    </row>
    <row r="55" s="2" customFormat="1" customHeight="1" spans="2:14">
      <c r="B55" s="43">
        <v>6</v>
      </c>
      <c r="C55" s="44">
        <v>30</v>
      </c>
      <c r="D55" s="45" t="str">
        <f>RD01!D55</f>
        <v>记-</v>
      </c>
      <c r="E55" s="49" t="s">
        <v>364</v>
      </c>
      <c r="F55" s="47">
        <f>H55</f>
        <v>0</v>
      </c>
      <c r="G55" s="48">
        <f>RD01!G55+RD02!G55+RD03!G55+RD04!G55+RD05!G55+RD06!G55+RD07!G55+RD08!G55+RD09!G55+RD10!G55</f>
        <v>0</v>
      </c>
      <c r="H55" s="41">
        <f>RD01!H55+RD02!H55+RD03!H55+RD04!H55+RD05!H55+RD06!H55+RD07!H55+RD08!H55+RD09!H55+RD10!H55</f>
        <v>0</v>
      </c>
      <c r="I55" s="41">
        <f>RD01!I55+RD02!I55+RD03!I55+RD04!I55+RD05!I55+RD06!I55+RD07!I55+RD08!I55+RD09!I55+RD10!I55</f>
        <v>0</v>
      </c>
      <c r="J55" s="41">
        <f>RD01!J55+RD02!J55+RD03!J55+RD04!J55+RD05!J55+RD06!J55+RD07!J55+RD08!J55+RD09!J55+RD10!J55</f>
        <v>0</v>
      </c>
      <c r="K55" s="41">
        <f>RD01!K55+RD02!K55+RD03!K55+RD04!K55+RD05!K55+RD06!K55+RD07!K55+RD08!K55+RD09!K55+RD10!K55</f>
        <v>0</v>
      </c>
      <c r="L55" s="41">
        <f>RD01!L55+RD02!L55+RD03!L55+RD04!L55+RD05!L55+RD06!L55+RD07!L55+RD08!L55+RD09!L55+RD10!L55</f>
        <v>0</v>
      </c>
      <c r="M55" s="41">
        <f>RD01!M55+RD02!M55+RD03!M55+RD04!M55+RD05!M55+RD06!M55+RD07!M55+RD08!M55+RD09!M55+RD10!M55</f>
        <v>0</v>
      </c>
      <c r="N55" s="42">
        <f>RD01!N55+RD02!N55+RD03!N55+RD04!N55+RD05!N55+RD06!N55+RD07!N55+RD08!N55+RD09!N55+RD10!N55</f>
        <v>0</v>
      </c>
    </row>
    <row r="56" s="2" customFormat="1" customHeight="1" spans="2:14">
      <c r="B56" s="43">
        <v>6</v>
      </c>
      <c r="C56" s="44">
        <v>30</v>
      </c>
      <c r="D56" s="45" t="str">
        <f>RD01!D56</f>
        <v>记-</v>
      </c>
      <c r="E56" s="49" t="s">
        <v>365</v>
      </c>
      <c r="F56" s="48">
        <f>I56</f>
        <v>0</v>
      </c>
      <c r="G56" s="48">
        <f>RD01!G56+RD02!G56+RD03!G56+RD04!G56+RD05!G56+RD06!G56+RD07!G56+RD08!G56+RD09!G56+RD10!G56</f>
        <v>0</v>
      </c>
      <c r="H56" s="41">
        <f>RD01!H56+RD02!H56+RD03!H56+RD04!H56+RD05!H56+RD06!H56+RD07!H56+RD08!H56+RD09!H56+RD10!H56</f>
        <v>0</v>
      </c>
      <c r="I56" s="41">
        <f>RD01!I56+RD02!I56+RD03!I56+RD04!I56+RD05!I56+RD06!I56+RD07!I56+RD08!I56+RD09!I56+RD10!I56</f>
        <v>0</v>
      </c>
      <c r="J56" s="41">
        <f>RD01!J56+RD02!J56+RD03!J56+RD04!J56+RD05!J56+RD06!J56+RD07!J56+RD08!J56+RD09!J56+RD10!J56</f>
        <v>0</v>
      </c>
      <c r="K56" s="41">
        <f>RD01!K56+RD02!K56+RD03!K56+RD04!K56+RD05!K56+RD06!K56+RD07!K56+RD08!K56+RD09!K56+RD10!K56</f>
        <v>0</v>
      </c>
      <c r="L56" s="41">
        <f>RD01!L56+RD02!L56+RD03!L56+RD04!L56+RD05!L56+RD06!L56+RD07!L56+RD08!L56+RD09!L56+RD10!L56</f>
        <v>0</v>
      </c>
      <c r="M56" s="41">
        <f>RD01!M56+RD02!M56+RD03!M56+RD04!M56+RD05!M56+RD06!M56+RD07!M56+RD08!M56+RD09!M56+RD10!M56</f>
        <v>0</v>
      </c>
      <c r="N56" s="42">
        <f>RD01!N56+RD02!N56+RD03!N56+RD04!N56+RD05!N56+RD06!N56+RD07!N56+RD08!N56+RD09!N56+RD10!N56</f>
        <v>0</v>
      </c>
    </row>
    <row r="57" s="2" customFormat="1" customHeight="1" spans="2:14">
      <c r="B57" s="43">
        <v>6</v>
      </c>
      <c r="C57" s="44">
        <v>30</v>
      </c>
      <c r="D57" s="45" t="str">
        <f>RD01!D57</f>
        <v>记-</v>
      </c>
      <c r="E57" s="51" t="s">
        <v>356</v>
      </c>
      <c r="F57" s="48">
        <f>K57</f>
        <v>0</v>
      </c>
      <c r="G57" s="48">
        <f>RD01!G57+RD02!G57+RD03!G57+RD04!G57+RD05!G57+RD06!G57+RD07!G57+RD08!G57+RD09!G57+RD10!G57</f>
        <v>0</v>
      </c>
      <c r="H57" s="41">
        <f>RD01!H57+RD02!H57+RD03!H57+RD04!H57+RD05!H57+RD06!H57+RD07!H57+RD08!H57+RD09!H57+RD10!H57</f>
        <v>0</v>
      </c>
      <c r="I57" s="41">
        <f>RD01!I57+RD02!I57+RD03!I57+RD04!I57+RD05!I57+RD06!I57+RD07!I57+RD08!I57+RD09!I57+RD10!I57</f>
        <v>0</v>
      </c>
      <c r="J57" s="41">
        <f>RD01!J57+RD02!J57+RD03!J57+RD04!J57+RD05!J57+RD06!J57+RD07!J57+RD08!J57+RD09!J57+RD10!J57</f>
        <v>0</v>
      </c>
      <c r="K57" s="41">
        <f>RD01!K57+RD02!K57+RD03!K57+RD04!K57+RD05!K57+RD06!K57+RD07!K57+RD08!K57+RD09!K57+RD10!K57</f>
        <v>0</v>
      </c>
      <c r="L57" s="41">
        <f>RD01!L57+RD02!L57+RD03!L57+RD04!L57+RD05!L57+RD06!L57+RD07!L57+RD08!L57+RD09!L57+RD10!L57</f>
        <v>0</v>
      </c>
      <c r="M57" s="41">
        <f>RD01!M57+RD02!M57+RD03!M57+RD04!M57+RD05!M57+RD06!M57+RD07!M57+RD08!M57+RD09!M57+RD10!M57</f>
        <v>0</v>
      </c>
      <c r="N57" s="42">
        <f>RD01!N57+RD02!N57+RD03!N57+RD04!N57+RD05!N57+RD06!N57+RD07!N57+RD08!N57+RD09!N57+RD10!N57</f>
        <v>0</v>
      </c>
    </row>
    <row r="58" s="2" customFormat="1" customHeight="1" spans="2:14">
      <c r="B58" s="43">
        <v>6</v>
      </c>
      <c r="C58" s="44">
        <v>30</v>
      </c>
      <c r="D58" s="45" t="str">
        <f>RD01!D58</f>
        <v>记-</v>
      </c>
      <c r="E58" s="49" t="s">
        <v>359</v>
      </c>
      <c r="F58" s="48">
        <f>N58</f>
        <v>0</v>
      </c>
      <c r="G58" s="48">
        <f>RD01!G58+RD02!G58+RD03!G58+RD04!G58+RD05!G58+RD06!G58+RD07!G58+RD08!G58+RD09!G58+RD10!G58</f>
        <v>0</v>
      </c>
      <c r="H58" s="41">
        <f>RD01!H58+RD02!H58+RD03!H58+RD04!H58+RD05!H58+RD06!H58+RD07!H58+RD08!H58+RD09!H58+RD10!H58</f>
        <v>0</v>
      </c>
      <c r="I58" s="41">
        <f>RD01!I58+RD02!I58+RD03!I58+RD04!I58+RD05!I58+RD06!I58+RD07!I58+RD08!I58+RD09!I58+RD10!I58</f>
        <v>0</v>
      </c>
      <c r="J58" s="41">
        <f>RD01!J58+RD02!J58+RD03!J58+RD04!J58+RD05!J58+RD06!J58+RD07!J58+RD08!J58+RD09!J58+RD10!J58</f>
        <v>0</v>
      </c>
      <c r="K58" s="41">
        <f>RD01!K58+RD02!K58+RD03!K58+RD04!K58+RD05!K58+RD06!K58+RD07!K58+RD08!K58+RD09!K58+RD10!K58</f>
        <v>0</v>
      </c>
      <c r="L58" s="41">
        <f>RD01!L58+RD02!L58+RD03!L58+RD04!L58+RD05!L58+RD06!L58+RD07!L58+RD08!L58+RD09!L58+RD10!L58</f>
        <v>0</v>
      </c>
      <c r="M58" s="41">
        <f>RD01!M58+RD02!M58+RD03!M58+RD04!M58+RD05!M58+RD06!M58+RD07!M58+RD08!M58+RD09!M58+RD10!M58</f>
        <v>0</v>
      </c>
      <c r="N58" s="42">
        <f>RD01!N58+RD02!N58+RD03!N58+RD04!N58+RD05!N58+RD06!N58+RD07!N58+RD08!N58+RD09!N58+RD10!N58</f>
        <v>0</v>
      </c>
    </row>
    <row r="59" s="2" customFormat="1" customHeight="1" spans="2:14">
      <c r="B59" s="43"/>
      <c r="C59" s="44"/>
      <c r="D59" s="52"/>
      <c r="E59" s="53" t="s">
        <v>368</v>
      </c>
      <c r="F59" s="48">
        <f t="shared" ref="F59:N59" si="16">SUM(F52:F58)</f>
        <v>0</v>
      </c>
      <c r="G59" s="48">
        <f t="shared" si="16"/>
        <v>0</v>
      </c>
      <c r="H59" s="54">
        <f t="shared" si="16"/>
        <v>0</v>
      </c>
      <c r="I59" s="54">
        <f t="shared" si="16"/>
        <v>0</v>
      </c>
      <c r="J59" s="54">
        <f t="shared" si="16"/>
        <v>0</v>
      </c>
      <c r="K59" s="54">
        <f t="shared" si="16"/>
        <v>0</v>
      </c>
      <c r="L59" s="54">
        <f t="shared" si="16"/>
        <v>0</v>
      </c>
      <c r="M59" s="54">
        <f t="shared" si="16"/>
        <v>0</v>
      </c>
      <c r="N59" s="55">
        <f t="shared" si="16"/>
        <v>0</v>
      </c>
    </row>
    <row r="60" s="2" customFormat="1" customHeight="1" spans="2:14">
      <c r="B60" s="56"/>
      <c r="C60" s="57"/>
      <c r="D60" s="58"/>
      <c r="E60" s="59" t="s">
        <v>367</v>
      </c>
      <c r="F60" s="48">
        <f t="shared" ref="F60:N60" si="17">F59+F51</f>
        <v>0</v>
      </c>
      <c r="G60" s="61">
        <f t="shared" si="17"/>
        <v>0</v>
      </c>
      <c r="H60" s="62">
        <f t="shared" si="17"/>
        <v>0</v>
      </c>
      <c r="I60" s="62">
        <f t="shared" si="17"/>
        <v>0</v>
      </c>
      <c r="J60" s="62">
        <f t="shared" si="17"/>
        <v>0</v>
      </c>
      <c r="K60" s="62">
        <f t="shared" si="17"/>
        <v>0</v>
      </c>
      <c r="L60" s="62">
        <f t="shared" si="17"/>
        <v>0</v>
      </c>
      <c r="M60" s="63">
        <f t="shared" si="17"/>
        <v>0</v>
      </c>
      <c r="N60" s="64">
        <f t="shared" si="17"/>
        <v>0</v>
      </c>
    </row>
    <row r="61" s="2" customFormat="1" customHeight="1" spans="2:14">
      <c r="B61" s="36">
        <v>7</v>
      </c>
      <c r="C61" s="37">
        <v>31</v>
      </c>
      <c r="D61" s="38" t="str">
        <f>RD01!D61</f>
        <v>记-</v>
      </c>
      <c r="E61" s="39" t="s">
        <v>361</v>
      </c>
      <c r="F61" s="40">
        <f t="shared" ref="F61:F63" si="18">G61</f>
        <v>0</v>
      </c>
      <c r="G61" s="40">
        <f>RD01!G61+RD02!G61+RD03!G61+RD04!G61+RD05!G61+RD06!G61+RD07!G61+RD08!G61+RD09!G61+RD10!G61</f>
        <v>0</v>
      </c>
      <c r="H61" s="41">
        <f>RD01!H61+RD02!H61+RD03!H61+RD04!H61+RD05!H61+RD06!H61+RD07!H61+RD08!H61+RD09!H61+RD10!H61</f>
        <v>0</v>
      </c>
      <c r="I61" s="41">
        <f>RD01!I61+RD02!I61+RD03!I61+RD04!I61+RD05!I61+RD06!I61+RD07!I61+RD08!I61+RD09!I61+RD10!I61</f>
        <v>0</v>
      </c>
      <c r="J61" s="41">
        <f>RD01!J61+RD02!J61+RD03!J61+RD04!J61+RD05!J61+RD06!J61+RD07!J61+RD08!J61+RD09!J61+RD10!J61</f>
        <v>0</v>
      </c>
      <c r="K61" s="41">
        <f>RD01!K61+RD02!K61+RD03!K61+RD04!K61+RD05!K61+RD06!K61+RD07!K61+RD08!K61+RD09!K61+RD10!K61</f>
        <v>0</v>
      </c>
      <c r="L61" s="41">
        <f>RD01!L61+RD02!L61+RD03!L61+RD04!L61+RD05!L61+RD06!L61+RD07!L61+RD08!L61+RD09!L61+RD10!L61</f>
        <v>0</v>
      </c>
      <c r="M61" s="41">
        <f>RD01!M61+RD02!M61+RD03!M61+RD04!M61+RD05!M61+RD06!M61+RD07!M61+RD08!M61+RD09!M61+RD10!M61</f>
        <v>0</v>
      </c>
      <c r="N61" s="42">
        <f>RD01!N61+RD02!N61+RD03!N61+RD04!N61+RD05!N61+RD06!N61+RD07!N61+RD08!N61+RD09!N61+RD10!N61</f>
        <v>0</v>
      </c>
    </row>
    <row r="62" s="2" customFormat="1" customHeight="1" spans="2:14">
      <c r="B62" s="43">
        <v>7</v>
      </c>
      <c r="C62" s="44">
        <v>31</v>
      </c>
      <c r="D62" s="45" t="str">
        <f>RD01!D62</f>
        <v>记-</v>
      </c>
      <c r="E62" s="46" t="s">
        <v>362</v>
      </c>
      <c r="F62" s="47">
        <f t="shared" si="18"/>
        <v>0</v>
      </c>
      <c r="G62" s="48">
        <f>RD01!G62+RD02!G62+RD03!G62+RD04!G62+RD05!G62+RD06!G62+RD07!G62+RD08!G62+RD09!G62+RD10!G62</f>
        <v>0</v>
      </c>
      <c r="H62" s="41">
        <f>RD01!H62+RD02!H62+RD03!H62+RD04!H62+RD05!H62+RD06!H62+RD07!H62+RD08!H62+RD09!H62+RD10!H62</f>
        <v>0</v>
      </c>
      <c r="I62" s="41">
        <f>RD01!I62+RD02!I62+RD03!I62+RD04!I62+RD05!I62+RD06!I62+RD07!I62+RD08!I62+RD09!I62+RD10!I62</f>
        <v>0</v>
      </c>
      <c r="J62" s="41">
        <f>RD01!J62+RD02!J62+RD03!J62+RD04!J62+RD05!J62+RD06!J62+RD07!J62+RD08!J62+RD09!J62+RD10!J62</f>
        <v>0</v>
      </c>
      <c r="K62" s="41">
        <f>RD01!K62+RD02!K62+RD03!K62+RD04!K62+RD05!K62+RD06!K62+RD07!K62+RD08!K62+RD09!K62+RD10!K62</f>
        <v>0</v>
      </c>
      <c r="L62" s="41">
        <f>RD01!L62+RD02!L62+RD03!L62+RD04!L62+RD05!L62+RD06!L62+RD07!L62+RD08!L62+RD09!L62+RD10!L62</f>
        <v>0</v>
      </c>
      <c r="M62" s="41">
        <f>RD01!M62+RD02!M62+RD03!M62+RD04!M62+RD05!M62+RD06!M62+RD07!M62+RD08!M62+RD09!M62+RD10!M62</f>
        <v>0</v>
      </c>
      <c r="N62" s="42">
        <f>RD01!N62+RD02!N62+RD03!N62+RD04!N62+RD05!N62+RD06!N62+RD07!N62+RD08!N62+RD09!N62+RD10!N62</f>
        <v>0</v>
      </c>
    </row>
    <row r="63" s="2" customFormat="1" customHeight="1" spans="2:14">
      <c r="B63" s="43">
        <v>7</v>
      </c>
      <c r="C63" s="44">
        <v>31</v>
      </c>
      <c r="D63" s="45" t="str">
        <f>RD01!D63</f>
        <v>记-</v>
      </c>
      <c r="E63" s="46" t="s">
        <v>363</v>
      </c>
      <c r="F63" s="47">
        <f t="shared" si="18"/>
        <v>0</v>
      </c>
      <c r="G63" s="48">
        <f>RD01!G63+RD02!G63+RD03!G63+RD04!G63+RD05!G63+RD06!G63+RD07!G63+RD08!G63+RD09!G63+RD10!G63</f>
        <v>0</v>
      </c>
      <c r="H63" s="41">
        <f>RD01!H63+RD02!H63+RD03!H63+RD04!H63+RD05!H63+RD06!H63+RD07!H63+RD08!H63+RD09!H63+RD10!H63</f>
        <v>0</v>
      </c>
      <c r="I63" s="41">
        <f>RD01!I63+RD02!I63+RD03!I63+RD04!I63+RD05!I63+RD06!I63+RD07!I63+RD08!I63+RD09!I63+RD10!I63</f>
        <v>0</v>
      </c>
      <c r="J63" s="41">
        <f>RD01!J63+RD02!J63+RD03!J63+RD04!J63+RD05!J63+RD06!J63+RD07!J63+RD08!J63+RD09!J63+RD10!J63</f>
        <v>0</v>
      </c>
      <c r="K63" s="41">
        <f>RD01!K63+RD02!K63+RD03!K63+RD04!K63+RD05!K63+RD06!K63+RD07!K63+RD08!K63+RD09!K63+RD10!K63</f>
        <v>0</v>
      </c>
      <c r="L63" s="41">
        <f>RD01!L63+RD02!L63+RD03!L63+RD04!L63+RD05!L63+RD06!L63+RD07!L63+RD08!L63+RD09!L63+RD10!L63</f>
        <v>0</v>
      </c>
      <c r="M63" s="41">
        <f>RD01!M63+RD02!M63+RD03!M63+RD04!M63+RD05!M63+RD06!M63+RD07!M63+RD08!M63+RD09!M63+RD10!M63</f>
        <v>0</v>
      </c>
      <c r="N63" s="42">
        <f>RD01!N63+RD02!N63+RD03!N63+RD04!N63+RD05!N63+RD06!N63+RD07!N63+RD08!N63+RD09!N63+RD10!N63</f>
        <v>0</v>
      </c>
    </row>
    <row r="64" s="2" customFormat="1" customHeight="1" spans="2:14">
      <c r="B64" s="43">
        <v>7</v>
      </c>
      <c r="C64" s="44">
        <v>31</v>
      </c>
      <c r="D64" s="45" t="str">
        <f>RD01!D64</f>
        <v>记-</v>
      </c>
      <c r="E64" s="49" t="s">
        <v>364</v>
      </c>
      <c r="F64" s="47">
        <f>H64</f>
        <v>0</v>
      </c>
      <c r="G64" s="48">
        <f>RD01!G64+RD02!G64+RD03!G64+RD04!G64+RD05!G64+RD06!G64+RD07!G64+RD08!G64+RD09!G64+RD10!G64</f>
        <v>0</v>
      </c>
      <c r="H64" s="41">
        <f>RD01!H64+RD02!H64+RD03!H64+RD04!H64+RD05!H64+RD06!H64+RD07!H64+RD08!H64+RD09!H64+RD10!H64</f>
        <v>0</v>
      </c>
      <c r="I64" s="41">
        <f>RD01!I64+RD02!I64+RD03!I64+RD04!I64+RD05!I64+RD06!I64+RD07!I64+RD08!I64+RD09!I64+RD10!I64</f>
        <v>0</v>
      </c>
      <c r="J64" s="41">
        <f>RD01!J64+RD02!J64+RD03!J64+RD04!J64+RD05!J64+RD06!J64+RD07!J64+RD08!J64+RD09!J64+RD10!J64</f>
        <v>0</v>
      </c>
      <c r="K64" s="41">
        <f>RD01!K64+RD02!K64+RD03!K64+RD04!K64+RD05!K64+RD06!K64+RD07!K64+RD08!K64+RD09!K64+RD10!K64</f>
        <v>0</v>
      </c>
      <c r="L64" s="41">
        <f>RD01!L64+RD02!L64+RD03!L64+RD04!L64+RD05!L64+RD06!L64+RD07!L64+RD08!L64+RD09!L64+RD10!L64</f>
        <v>0</v>
      </c>
      <c r="M64" s="41">
        <f>RD01!M64+RD02!M64+RD03!M64+RD04!M64+RD05!M64+RD06!M64+RD07!M64+RD08!M64+RD09!M64+RD10!M64</f>
        <v>0</v>
      </c>
      <c r="N64" s="42">
        <f>RD01!N64+RD02!N64+RD03!N64+RD04!N64+RD05!N64+RD06!N64+RD07!N64+RD08!N64+RD09!N64+RD10!N64</f>
        <v>0</v>
      </c>
    </row>
    <row r="65" s="2" customFormat="1" customHeight="1" spans="2:14">
      <c r="B65" s="43">
        <v>7</v>
      </c>
      <c r="C65" s="44">
        <v>31</v>
      </c>
      <c r="D65" s="45" t="str">
        <f>RD01!D65</f>
        <v>记-</v>
      </c>
      <c r="E65" s="49" t="s">
        <v>365</v>
      </c>
      <c r="F65" s="48">
        <f>I65</f>
        <v>0</v>
      </c>
      <c r="G65" s="48">
        <f>RD01!G65+RD02!G65+RD03!G65+RD04!G65+RD05!G65+RD06!G65+RD07!G65+RD08!G65+RD09!G65+RD10!G65</f>
        <v>0</v>
      </c>
      <c r="H65" s="41">
        <f>RD01!H65+RD02!H65+RD03!H65+RD04!H65+RD05!H65+RD06!H65+RD07!H65+RD08!H65+RD09!H65+RD10!H65</f>
        <v>0</v>
      </c>
      <c r="I65" s="41">
        <f>RD01!I65+RD02!I65+RD03!I65+RD04!I65+RD05!I65+RD06!I65+RD07!I65+RD08!I65+RD09!I65+RD10!I65</f>
        <v>0</v>
      </c>
      <c r="J65" s="41">
        <f>RD01!J65+RD02!J65+RD03!J65+RD04!J65+RD05!J65+RD06!J65+RD07!J65+RD08!J65+RD09!J65+RD10!J65</f>
        <v>0</v>
      </c>
      <c r="K65" s="41">
        <f>RD01!K65+RD02!K65+RD03!K65+RD04!K65+RD05!K65+RD06!K65+RD07!K65+RD08!K65+RD09!K65+RD10!K65</f>
        <v>0</v>
      </c>
      <c r="L65" s="41">
        <f>RD01!L65+RD02!L65+RD03!L65+RD04!L65+RD05!L65+RD06!L65+RD07!L65+RD08!L65+RD09!L65+RD10!L65</f>
        <v>0</v>
      </c>
      <c r="M65" s="41">
        <f>RD01!M65+RD02!M65+RD03!M65+RD04!M65+RD05!M65+RD06!M65+RD07!M65+RD08!M65+RD09!M65+RD10!M65</f>
        <v>0</v>
      </c>
      <c r="N65" s="42">
        <f>RD01!N65+RD02!N65+RD03!N65+RD04!N65+RD05!N65+RD06!N65+RD07!N65+RD08!N65+RD09!N65+RD10!N65</f>
        <v>0</v>
      </c>
    </row>
    <row r="66" s="2" customFormat="1" customHeight="1" spans="2:14">
      <c r="B66" s="43">
        <v>7</v>
      </c>
      <c r="C66" s="44">
        <v>31</v>
      </c>
      <c r="D66" s="45" t="str">
        <f>RD01!D66</f>
        <v>记-</v>
      </c>
      <c r="E66" s="51" t="s">
        <v>356</v>
      </c>
      <c r="F66" s="48">
        <f>K66</f>
        <v>0</v>
      </c>
      <c r="G66" s="48">
        <f>RD01!G66+RD02!G66+RD03!G66+RD04!G66+RD05!G66+RD06!G66+RD07!G66+RD08!G66+RD09!G66+RD10!G66</f>
        <v>0</v>
      </c>
      <c r="H66" s="41">
        <f>RD01!H66+RD02!H66+RD03!H66+RD04!H66+RD05!H66+RD06!H66+RD07!H66+RD08!H66+RD09!H66+RD10!H66</f>
        <v>0</v>
      </c>
      <c r="I66" s="41">
        <f>RD01!I66+RD02!I66+RD03!I66+RD04!I66+RD05!I66+RD06!I66+RD07!I66+RD08!I66+RD09!I66+RD10!I66</f>
        <v>0</v>
      </c>
      <c r="J66" s="41">
        <f>RD01!J66+RD02!J66+RD03!J66+RD04!J66+RD05!J66+RD06!J66+RD07!J66+RD08!J66+RD09!J66+RD10!J66</f>
        <v>0</v>
      </c>
      <c r="K66" s="41">
        <f>RD01!K66+RD02!K66+RD03!K66+RD04!K66+RD05!K66+RD06!K66+RD07!K66+RD08!K66+RD09!K66+RD10!K66</f>
        <v>0</v>
      </c>
      <c r="L66" s="41">
        <f>RD01!L66+RD02!L66+RD03!L66+RD04!L66+RD05!L66+RD06!L66+RD07!L66+RD08!L66+RD09!L66+RD10!L66</f>
        <v>0</v>
      </c>
      <c r="M66" s="41">
        <f>RD01!M66+RD02!M66+RD03!M66+RD04!M66+RD05!M66+RD06!M66+RD07!M66+RD08!M66+RD09!M66+RD10!M66</f>
        <v>0</v>
      </c>
      <c r="N66" s="42">
        <f>RD01!N66+RD02!N66+RD03!N66+RD04!N66+RD05!N66+RD06!N66+RD07!N66+RD08!N66+RD09!N66+RD10!N66</f>
        <v>0</v>
      </c>
    </row>
    <row r="67" s="2" customFormat="1" customHeight="1" spans="2:14">
      <c r="B67" s="43">
        <v>7</v>
      </c>
      <c r="C67" s="44">
        <v>31</v>
      </c>
      <c r="D67" s="45" t="str">
        <f>RD01!D67</f>
        <v>记-</v>
      </c>
      <c r="E67" s="49" t="s">
        <v>359</v>
      </c>
      <c r="F67" s="48">
        <f>N67</f>
        <v>0</v>
      </c>
      <c r="G67" s="48">
        <f>RD01!G67+RD02!G67+RD03!G67+RD04!G67+RD05!G67+RD06!G67+RD07!G67+RD08!G67+RD09!G67+RD10!G67</f>
        <v>0</v>
      </c>
      <c r="H67" s="41">
        <f>RD01!H67+RD02!H67+RD03!H67+RD04!H67+RD05!H67+RD06!H67+RD07!H67+RD08!H67+RD09!H67+RD10!H67</f>
        <v>0</v>
      </c>
      <c r="I67" s="41">
        <f>RD01!I67+RD02!I67+RD03!I67+RD04!I67+RD05!I67+RD06!I67+RD07!I67+RD08!I67+RD09!I67+RD10!I67</f>
        <v>0</v>
      </c>
      <c r="J67" s="41">
        <f>RD01!J67+RD02!J67+RD03!J67+RD04!J67+RD05!J67+RD06!J67+RD07!J67+RD08!J67+RD09!J67+RD10!J67</f>
        <v>0</v>
      </c>
      <c r="K67" s="41">
        <f>RD01!K67+RD02!K67+RD03!K67+RD04!K67+RD05!K67+RD06!K67+RD07!K67+RD08!K67+RD09!K67+RD10!K67</f>
        <v>0</v>
      </c>
      <c r="L67" s="41">
        <f>RD01!L67+RD02!L67+RD03!L67+RD04!L67+RD05!L67+RD06!L67+RD07!L67+RD08!L67+RD09!L67+RD10!L67</f>
        <v>0</v>
      </c>
      <c r="M67" s="41">
        <f>RD01!M67+RD02!M67+RD03!M67+RD04!M67+RD05!M67+RD06!M67+RD07!M67+RD08!M67+RD09!M67+RD10!M67</f>
        <v>0</v>
      </c>
      <c r="N67" s="42">
        <f>RD01!N67+RD02!N67+RD03!N67+RD04!N67+RD05!N67+RD06!N67+RD07!N67+RD08!N67+RD09!N67+RD10!N67</f>
        <v>0</v>
      </c>
    </row>
    <row r="68" s="2" customFormat="1" customHeight="1" spans="2:14">
      <c r="B68" s="43"/>
      <c r="C68" s="44"/>
      <c r="D68" s="52"/>
      <c r="E68" s="53" t="s">
        <v>366</v>
      </c>
      <c r="F68" s="48">
        <f t="shared" ref="F68:N68" si="19">SUM(F61:F67)</f>
        <v>0</v>
      </c>
      <c r="G68" s="48">
        <f t="shared" si="19"/>
        <v>0</v>
      </c>
      <c r="H68" s="54">
        <f t="shared" si="19"/>
        <v>0</v>
      </c>
      <c r="I68" s="54">
        <f t="shared" si="19"/>
        <v>0</v>
      </c>
      <c r="J68" s="54">
        <f t="shared" si="19"/>
        <v>0</v>
      </c>
      <c r="K68" s="54">
        <f t="shared" si="19"/>
        <v>0</v>
      </c>
      <c r="L68" s="54">
        <f t="shared" si="19"/>
        <v>0</v>
      </c>
      <c r="M68" s="54">
        <f t="shared" si="19"/>
        <v>0</v>
      </c>
      <c r="N68" s="55">
        <f t="shared" si="19"/>
        <v>0</v>
      </c>
    </row>
    <row r="69" s="2" customFormat="1" customHeight="1" spans="2:14">
      <c r="B69" s="56"/>
      <c r="C69" s="57"/>
      <c r="D69" s="58"/>
      <c r="E69" s="59" t="s">
        <v>367</v>
      </c>
      <c r="F69" s="48">
        <f t="shared" ref="F69:N69" si="20">F68+F60</f>
        <v>0</v>
      </c>
      <c r="G69" s="61">
        <f t="shared" si="20"/>
        <v>0</v>
      </c>
      <c r="H69" s="62">
        <f t="shared" si="20"/>
        <v>0</v>
      </c>
      <c r="I69" s="62">
        <f t="shared" si="20"/>
        <v>0</v>
      </c>
      <c r="J69" s="62">
        <f t="shared" si="20"/>
        <v>0</v>
      </c>
      <c r="K69" s="62">
        <f t="shared" si="20"/>
        <v>0</v>
      </c>
      <c r="L69" s="62">
        <f t="shared" si="20"/>
        <v>0</v>
      </c>
      <c r="M69" s="63">
        <f t="shared" si="20"/>
        <v>0</v>
      </c>
      <c r="N69" s="64">
        <f t="shared" si="20"/>
        <v>0</v>
      </c>
    </row>
    <row r="70" s="2" customFormat="1" customHeight="1" spans="2:14">
      <c r="B70" s="36">
        <v>8</v>
      </c>
      <c r="C70" s="37">
        <v>31</v>
      </c>
      <c r="D70" s="38" t="str">
        <f>RD01!D70</f>
        <v>记-</v>
      </c>
      <c r="E70" s="39" t="s">
        <v>361</v>
      </c>
      <c r="F70" s="40">
        <f t="shared" ref="F70:F72" si="21">G70</f>
        <v>0</v>
      </c>
      <c r="G70" s="40">
        <f>RD01!G70+RD02!G70+RD03!G70+RD04!G70+RD05!G70+RD06!G70+RD07!G70+RD08!G70+RD09!G70+RD10!G70</f>
        <v>0</v>
      </c>
      <c r="H70" s="41">
        <f>RD01!H70+RD02!H70+RD03!H70+RD04!H70+RD05!H70+RD06!H70+RD07!H70+RD08!H70+RD09!H70+RD10!H70</f>
        <v>0</v>
      </c>
      <c r="I70" s="41">
        <f>RD01!I70+RD02!I70+RD03!I70+RD04!I70+RD05!I70+RD06!I70+RD07!I70+RD08!I70+RD09!I70+RD10!I70</f>
        <v>0</v>
      </c>
      <c r="J70" s="41">
        <f>RD01!J70+RD02!J70+RD03!J70+RD04!J70+RD05!J70+RD06!J70+RD07!J70+RD08!J70+RD09!J70+RD10!J70</f>
        <v>0</v>
      </c>
      <c r="K70" s="41">
        <f>RD01!K70+RD02!K70+RD03!K70+RD04!K70+RD05!K70+RD06!K70+RD07!K70+RD08!K70+RD09!K70+RD10!K70</f>
        <v>0</v>
      </c>
      <c r="L70" s="41">
        <f>RD01!L70+RD02!L70+RD03!L70+RD04!L70+RD05!L70+RD06!L70+RD07!L70+RD08!L70+RD09!L70+RD10!L70</f>
        <v>0</v>
      </c>
      <c r="M70" s="41">
        <f>RD01!M70+RD02!M70+RD03!M70+RD04!M70+RD05!M70+RD06!M70+RD07!M70+RD08!M70+RD09!M70+RD10!M70</f>
        <v>0</v>
      </c>
      <c r="N70" s="42">
        <f>RD01!N70+RD02!N70+RD03!N70+RD04!N70+RD05!N70+RD06!N70+RD07!N70+RD08!N70+RD09!N70+RD10!N70</f>
        <v>0</v>
      </c>
    </row>
    <row r="71" s="2" customFormat="1" customHeight="1" spans="2:14">
      <c r="B71" s="43">
        <v>8</v>
      </c>
      <c r="C71" s="44">
        <v>31</v>
      </c>
      <c r="D71" s="45" t="str">
        <f>RD01!D71</f>
        <v>记-</v>
      </c>
      <c r="E71" s="46" t="s">
        <v>362</v>
      </c>
      <c r="F71" s="47">
        <f t="shared" si="21"/>
        <v>0</v>
      </c>
      <c r="G71" s="48">
        <f>RD01!G71+RD02!G71+RD03!G71+RD04!G71+RD05!G71+RD06!G71+RD07!G71+RD08!G71+RD09!G71+RD10!G71</f>
        <v>0</v>
      </c>
      <c r="H71" s="41">
        <f>RD01!H71+RD02!H71+RD03!H71+RD04!H71+RD05!H71+RD06!H71+RD07!H71+RD08!H71+RD09!H71+RD10!H71</f>
        <v>0</v>
      </c>
      <c r="I71" s="41">
        <f>RD01!I71+RD02!I71+RD03!I71+RD04!I71+RD05!I71+RD06!I71+RD07!I71+RD08!I71+RD09!I71+RD10!I71</f>
        <v>0</v>
      </c>
      <c r="J71" s="41">
        <f>RD01!J71+RD02!J71+RD03!J71+RD04!J71+RD05!J71+RD06!J71+RD07!J71+RD08!J71+RD09!J71+RD10!J71</f>
        <v>0</v>
      </c>
      <c r="K71" s="41">
        <f>RD01!K71+RD02!K71+RD03!K71+RD04!K71+RD05!K71+RD06!K71+RD07!K71+RD08!K71+RD09!K71+RD10!K71</f>
        <v>0</v>
      </c>
      <c r="L71" s="41">
        <f>RD01!L71+RD02!L71+RD03!L71+RD04!L71+RD05!L71+RD06!L71+RD07!L71+RD08!L71+RD09!L71+RD10!L71</f>
        <v>0</v>
      </c>
      <c r="M71" s="41">
        <f>RD01!M71+RD02!M71+RD03!M71+RD04!M71+RD05!M71+RD06!M71+RD07!M71+RD08!M71+RD09!M71+RD10!M71</f>
        <v>0</v>
      </c>
      <c r="N71" s="42">
        <f>RD01!N71+RD02!N71+RD03!N71+RD04!N71+RD05!N71+RD06!N71+RD07!N71+RD08!N71+RD09!N71+RD10!N71</f>
        <v>0</v>
      </c>
    </row>
    <row r="72" s="2" customFormat="1" customHeight="1" spans="2:14">
      <c r="B72" s="43">
        <v>8</v>
      </c>
      <c r="C72" s="44">
        <v>31</v>
      </c>
      <c r="D72" s="45" t="str">
        <f>RD01!D72</f>
        <v>记-</v>
      </c>
      <c r="E72" s="46" t="s">
        <v>363</v>
      </c>
      <c r="F72" s="47">
        <f t="shared" si="21"/>
        <v>0</v>
      </c>
      <c r="G72" s="48">
        <f>RD01!G72+RD02!G72+RD03!G72+RD04!G72+RD05!G72+RD06!G72+RD07!G72+RD08!G72+RD09!G72+RD10!G72</f>
        <v>0</v>
      </c>
      <c r="H72" s="41">
        <f>RD01!H72+RD02!H72+RD03!H72+RD04!H72+RD05!H72+RD06!H72+RD07!H72+RD08!H72+RD09!H72+RD10!H72</f>
        <v>0</v>
      </c>
      <c r="I72" s="41">
        <f>RD01!I72+RD02!I72+RD03!I72+RD04!I72+RD05!I72+RD06!I72+RD07!I72+RD08!I72+RD09!I72+RD10!I72</f>
        <v>0</v>
      </c>
      <c r="J72" s="41">
        <f>RD01!J72+RD02!J72+RD03!J72+RD04!J72+RD05!J72+RD06!J72+RD07!J72+RD08!J72+RD09!J72+RD10!J72</f>
        <v>0</v>
      </c>
      <c r="K72" s="41">
        <f>RD01!K72+RD02!K72+RD03!K72+RD04!K72+RD05!K72+RD06!K72+RD07!K72+RD08!K72+RD09!K72+RD10!K72</f>
        <v>0</v>
      </c>
      <c r="L72" s="41">
        <f>RD01!L72+RD02!L72+RD03!L72+RD04!L72+RD05!L72+RD06!L72+RD07!L72+RD08!L72+RD09!L72+RD10!L72</f>
        <v>0</v>
      </c>
      <c r="M72" s="41">
        <f>RD01!M72+RD02!M72+RD03!M72+RD04!M72+RD05!M72+RD06!M72+RD07!M72+RD08!M72+RD09!M72+RD10!M72</f>
        <v>0</v>
      </c>
      <c r="N72" s="42">
        <f>RD01!N72+RD02!N72+RD03!N72+RD04!N72+RD05!N72+RD06!N72+RD07!N72+RD08!N72+RD09!N72+RD10!N72</f>
        <v>0</v>
      </c>
    </row>
    <row r="73" s="2" customFormat="1" customHeight="1" spans="2:14">
      <c r="B73" s="43">
        <v>8</v>
      </c>
      <c r="C73" s="44">
        <v>31</v>
      </c>
      <c r="D73" s="45" t="str">
        <f>RD01!D73</f>
        <v>记-</v>
      </c>
      <c r="E73" s="49" t="s">
        <v>364</v>
      </c>
      <c r="F73" s="47">
        <f>H73</f>
        <v>0</v>
      </c>
      <c r="G73" s="48">
        <f>RD01!G73+RD02!G73+RD03!G73+RD04!G73+RD05!G73+RD06!G73+RD07!G73+RD08!G73+RD09!G73+RD10!G73</f>
        <v>0</v>
      </c>
      <c r="H73" s="41">
        <f>RD01!H73+RD02!H73+RD03!H73+RD04!H73+RD05!H73+RD06!H73+RD07!H73+RD08!H73+RD09!H73+RD10!H73</f>
        <v>0</v>
      </c>
      <c r="I73" s="41">
        <f>RD01!I73+RD02!I73+RD03!I73+RD04!I73+RD05!I73+RD06!I73+RD07!I73+RD08!I73+RD09!I73+RD10!I73</f>
        <v>0</v>
      </c>
      <c r="J73" s="41">
        <f>RD01!J73+RD02!J73+RD03!J73+RD04!J73+RD05!J73+RD06!J73+RD07!J73+RD08!J73+RD09!J73+RD10!J73</f>
        <v>0</v>
      </c>
      <c r="K73" s="41">
        <f>RD01!K73+RD02!K73+RD03!K73+RD04!K73+RD05!K73+RD06!K73+RD07!K73+RD08!K73+RD09!K73+RD10!K73</f>
        <v>0</v>
      </c>
      <c r="L73" s="41">
        <f>RD01!L73+RD02!L73+RD03!L73+RD04!L73+RD05!L73+RD06!L73+RD07!L73+RD08!L73+RD09!L73+RD10!L73</f>
        <v>0</v>
      </c>
      <c r="M73" s="41">
        <f>RD01!M73+RD02!M73+RD03!M73+RD04!M73+RD05!M73+RD06!M73+RD07!M73+RD08!M73+RD09!M73+RD10!M73</f>
        <v>0</v>
      </c>
      <c r="N73" s="42">
        <f>RD01!N73+RD02!N73+RD03!N73+RD04!N73+RD05!N73+RD06!N73+RD07!N73+RD08!N73+RD09!N73+RD10!N73</f>
        <v>0</v>
      </c>
    </row>
    <row r="74" s="2" customFormat="1" customHeight="1" spans="2:14">
      <c r="B74" s="43">
        <v>8</v>
      </c>
      <c r="C74" s="44">
        <v>31</v>
      </c>
      <c r="D74" s="45" t="str">
        <f>RD01!D74</f>
        <v>记-</v>
      </c>
      <c r="E74" s="49" t="s">
        <v>365</v>
      </c>
      <c r="F74" s="48">
        <f>I74</f>
        <v>0</v>
      </c>
      <c r="G74" s="48">
        <f>RD01!G74+RD02!G74+RD03!G74+RD04!G74+RD05!G74+RD06!G74+RD07!G74+RD08!G74+RD09!G74+RD10!G74</f>
        <v>0</v>
      </c>
      <c r="H74" s="41">
        <f>RD01!H74+RD02!H74+RD03!H74+RD04!H74+RD05!H74+RD06!H74+RD07!H74+RD08!H74+RD09!H74+RD10!H74</f>
        <v>0</v>
      </c>
      <c r="I74" s="41">
        <f>RD01!I74+RD02!I74+RD03!I74+RD04!I74+RD05!I74+RD06!I74+RD07!I74+RD08!I74+RD09!I74+RD10!I74</f>
        <v>0</v>
      </c>
      <c r="J74" s="41">
        <f>RD01!J74+RD02!J74+RD03!J74+RD04!J74+RD05!J74+RD06!J74+RD07!J74+RD08!J74+RD09!J74+RD10!J74</f>
        <v>0</v>
      </c>
      <c r="K74" s="41">
        <f>RD01!K74+RD02!K74+RD03!K74+RD04!K74+RD05!K74+RD06!K74+RD07!K74+RD08!K74+RD09!K74+RD10!K74</f>
        <v>0</v>
      </c>
      <c r="L74" s="41">
        <f>RD01!L74+RD02!L74+RD03!L74+RD04!L74+RD05!L74+RD06!L74+RD07!L74+RD08!L74+RD09!L74+RD10!L74</f>
        <v>0</v>
      </c>
      <c r="M74" s="41">
        <f>RD01!M74+RD02!M74+RD03!M74+RD04!M74+RD05!M74+RD06!M74+RD07!M74+RD08!M74+RD09!M74+RD10!M74</f>
        <v>0</v>
      </c>
      <c r="N74" s="42">
        <f>RD01!N74+RD02!N74+RD03!N74+RD04!N74+RD05!N74+RD06!N74+RD07!N74+RD08!N74+RD09!N74+RD10!N74</f>
        <v>0</v>
      </c>
    </row>
    <row r="75" s="2" customFormat="1" customHeight="1" spans="2:14">
      <c r="B75" s="43">
        <v>8</v>
      </c>
      <c r="C75" s="44">
        <v>31</v>
      </c>
      <c r="D75" s="45" t="str">
        <f>RD01!D75</f>
        <v>记-</v>
      </c>
      <c r="E75" s="51" t="s">
        <v>356</v>
      </c>
      <c r="F75" s="48">
        <f>K75</f>
        <v>0</v>
      </c>
      <c r="G75" s="48">
        <f>RD01!G75+RD02!G75+RD03!G75+RD04!G75+RD05!G75+RD06!G75+RD07!G75+RD08!G75+RD09!G75+RD10!G75</f>
        <v>0</v>
      </c>
      <c r="H75" s="41">
        <f>RD01!H75+RD02!H75+RD03!H75+RD04!H75+RD05!H75+RD06!H75+RD07!H75+RD08!H75+RD09!H75+RD10!H75</f>
        <v>0</v>
      </c>
      <c r="I75" s="41">
        <f>RD01!I75+RD02!I75+RD03!I75+RD04!I75+RD05!I75+RD06!I75+RD07!I75+RD08!I75+RD09!I75+RD10!I75</f>
        <v>0</v>
      </c>
      <c r="J75" s="41">
        <f>RD01!J75+RD02!J75+RD03!J75+RD04!J75+RD05!J75+RD06!J75+RD07!J75+RD08!J75+RD09!J75+RD10!J75</f>
        <v>0</v>
      </c>
      <c r="K75" s="41">
        <f>RD01!K75+RD02!K75+RD03!K75+RD04!K75+RD05!K75+RD06!K75+RD07!K75+RD08!K75+RD09!K75+RD10!K75</f>
        <v>0</v>
      </c>
      <c r="L75" s="41">
        <f>RD01!L75+RD02!L75+RD03!L75+RD04!L75+RD05!L75+RD06!L75+RD07!L75+RD08!L75+RD09!L75+RD10!L75</f>
        <v>0</v>
      </c>
      <c r="M75" s="41">
        <f>RD01!M75+RD02!M75+RD03!M75+RD04!M75+RD05!M75+RD06!M75+RD07!M75+RD08!M75+RD09!M75+RD10!M75</f>
        <v>0</v>
      </c>
      <c r="N75" s="42">
        <f>RD01!N75+RD02!N75+RD03!N75+RD04!N75+RD05!N75+RD06!N75+RD07!N75+RD08!N75+RD09!N75+RD10!N75</f>
        <v>0</v>
      </c>
    </row>
    <row r="76" s="2" customFormat="1" customHeight="1" spans="2:14">
      <c r="B76" s="43">
        <v>8</v>
      </c>
      <c r="C76" s="44">
        <v>31</v>
      </c>
      <c r="D76" s="45" t="str">
        <f>RD01!D76</f>
        <v>记-</v>
      </c>
      <c r="E76" s="49" t="s">
        <v>359</v>
      </c>
      <c r="F76" s="48">
        <f>N76</f>
        <v>0</v>
      </c>
      <c r="G76" s="48">
        <f>RD01!G76+RD02!G76+RD03!G76+RD04!G76+RD05!G76+RD06!G76+RD07!G76+RD08!G76+RD09!G76+RD10!G76</f>
        <v>0</v>
      </c>
      <c r="H76" s="41">
        <f>RD01!H76+RD02!H76+RD03!H76+RD04!H76+RD05!H76+RD06!H76+RD07!H76+RD08!H76+RD09!H76+RD10!H76</f>
        <v>0</v>
      </c>
      <c r="I76" s="41">
        <f>RD01!I76+RD02!I76+RD03!I76+RD04!I76+RD05!I76+RD06!I76+RD07!I76+RD08!I76+RD09!I76+RD10!I76</f>
        <v>0</v>
      </c>
      <c r="J76" s="41">
        <f>RD01!J76+RD02!J76+RD03!J76+RD04!J76+RD05!J76+RD06!J76+RD07!J76+RD08!J76+RD09!J76+RD10!J76</f>
        <v>0</v>
      </c>
      <c r="K76" s="41">
        <f>RD01!K76+RD02!K76+RD03!K76+RD04!K76+RD05!K76+RD06!K76+RD07!K76+RD08!K76+RD09!K76+RD10!K76</f>
        <v>0</v>
      </c>
      <c r="L76" s="41">
        <f>RD01!L76+RD02!L76+RD03!L76+RD04!L76+RD05!L76+RD06!L76+RD07!L76+RD08!L76+RD09!L76+RD10!L76</f>
        <v>0</v>
      </c>
      <c r="M76" s="41">
        <f>RD01!M76+RD02!M76+RD03!M76+RD04!M76+RD05!M76+RD06!M76+RD07!M76+RD08!M76+RD09!M76+RD10!M76</f>
        <v>0</v>
      </c>
      <c r="N76" s="42">
        <f>RD01!N76+RD02!N76+RD03!N76+RD04!N76+RD05!N76+RD06!N76+RD07!N76+RD08!N76+RD09!N76+RD10!N76</f>
        <v>0</v>
      </c>
    </row>
    <row r="77" s="2" customFormat="1" customHeight="1" spans="2:14">
      <c r="B77" s="43"/>
      <c r="C77" s="44"/>
      <c r="D77" s="52"/>
      <c r="E77" s="53" t="s">
        <v>366</v>
      </c>
      <c r="F77" s="48">
        <f t="shared" ref="F77:N77" si="22">SUM(F70:F76)</f>
        <v>0</v>
      </c>
      <c r="G77" s="48">
        <f t="shared" si="22"/>
        <v>0</v>
      </c>
      <c r="H77" s="54">
        <f t="shared" si="22"/>
        <v>0</v>
      </c>
      <c r="I77" s="54">
        <f t="shared" si="22"/>
        <v>0</v>
      </c>
      <c r="J77" s="54">
        <f t="shared" si="22"/>
        <v>0</v>
      </c>
      <c r="K77" s="54">
        <f t="shared" si="22"/>
        <v>0</v>
      </c>
      <c r="L77" s="54">
        <f t="shared" si="22"/>
        <v>0</v>
      </c>
      <c r="M77" s="54">
        <f t="shared" si="22"/>
        <v>0</v>
      </c>
      <c r="N77" s="55">
        <f t="shared" si="22"/>
        <v>0</v>
      </c>
    </row>
    <row r="78" s="2" customFormat="1" customHeight="1" spans="2:14">
      <c r="B78" s="56"/>
      <c r="C78" s="57"/>
      <c r="D78" s="58"/>
      <c r="E78" s="59" t="s">
        <v>367</v>
      </c>
      <c r="F78" s="48">
        <f t="shared" ref="F78:N78" si="23">F77+F69</f>
        <v>0</v>
      </c>
      <c r="G78" s="61">
        <f t="shared" si="23"/>
        <v>0</v>
      </c>
      <c r="H78" s="62">
        <f t="shared" si="23"/>
        <v>0</v>
      </c>
      <c r="I78" s="62">
        <f t="shared" si="23"/>
        <v>0</v>
      </c>
      <c r="J78" s="62">
        <f t="shared" si="23"/>
        <v>0</v>
      </c>
      <c r="K78" s="62">
        <f t="shared" si="23"/>
        <v>0</v>
      </c>
      <c r="L78" s="62">
        <f t="shared" si="23"/>
        <v>0</v>
      </c>
      <c r="M78" s="63">
        <f t="shared" si="23"/>
        <v>0</v>
      </c>
      <c r="N78" s="64">
        <f t="shared" si="23"/>
        <v>0</v>
      </c>
    </row>
    <row r="79" s="2" customFormat="1" customHeight="1" spans="2:14">
      <c r="B79" s="36">
        <v>9</v>
      </c>
      <c r="C79" s="37">
        <v>30</v>
      </c>
      <c r="D79" s="38" t="str">
        <f>RD01!D79</f>
        <v>记-</v>
      </c>
      <c r="E79" s="39" t="s">
        <v>361</v>
      </c>
      <c r="F79" s="40">
        <f t="shared" ref="F79:F81" si="24">G79</f>
        <v>0</v>
      </c>
      <c r="G79" s="40">
        <f>RD01!G79+RD02!G79+RD03!G79+RD04!G79+RD05!G79+RD06!G79+RD07!G79+RD08!G79+RD09!G79+RD10!G79</f>
        <v>0</v>
      </c>
      <c r="H79" s="41">
        <f>RD01!H79+RD02!H79+RD03!H79+RD04!H79+RD05!H79+RD06!H79+RD07!H79+RD08!H79+RD09!H79+RD10!H79</f>
        <v>0</v>
      </c>
      <c r="I79" s="41">
        <f>RD01!I79+RD02!I79+RD03!I79+RD04!I79+RD05!I79+RD06!I79+RD07!I79+RD08!I79+RD09!I79+RD10!I79</f>
        <v>0</v>
      </c>
      <c r="J79" s="41">
        <f>RD01!J79+RD02!J79+RD03!J79+RD04!J79+RD05!J79+RD06!J79+RD07!J79+RD08!J79+RD09!J79+RD10!J79</f>
        <v>0</v>
      </c>
      <c r="K79" s="41">
        <f>RD01!K79+RD02!K79+RD03!K79+RD04!K79+RD05!K79+RD06!K79+RD07!K79+RD08!K79+RD09!K79+RD10!K79</f>
        <v>0</v>
      </c>
      <c r="L79" s="41">
        <f>RD01!L79+RD02!L79+RD03!L79+RD04!L79+RD05!L79+RD06!L79+RD07!L79+RD08!L79+RD09!L79+RD10!L79</f>
        <v>0</v>
      </c>
      <c r="M79" s="41">
        <f>RD01!M79+RD02!M79+RD03!M79+RD04!M79+RD05!M79+RD06!M79+RD07!M79+RD08!M79+RD09!M79+RD10!M79</f>
        <v>0</v>
      </c>
      <c r="N79" s="42">
        <f>RD01!N79+RD02!N79+RD03!N79+RD04!N79+RD05!N79+RD06!N79+RD07!N79+RD08!N79+RD09!N79+RD10!N79</f>
        <v>0</v>
      </c>
    </row>
    <row r="80" s="2" customFormat="1" customHeight="1" spans="2:14">
      <c r="B80" s="43">
        <v>9</v>
      </c>
      <c r="C80" s="44">
        <v>30</v>
      </c>
      <c r="D80" s="45" t="str">
        <f>RD01!D80</f>
        <v>记-</v>
      </c>
      <c r="E80" s="46" t="s">
        <v>362</v>
      </c>
      <c r="F80" s="47">
        <f t="shared" si="24"/>
        <v>0</v>
      </c>
      <c r="G80" s="48">
        <f>RD01!G80+RD02!G80+RD03!G80+RD04!G80+RD05!G80+RD06!G80+RD07!G80+RD08!G80+RD09!G80+RD10!G80</f>
        <v>0</v>
      </c>
      <c r="H80" s="41">
        <f>RD01!H80+RD02!H80+RD03!H80+RD04!H80+RD05!H80+RD06!H80+RD07!H80+RD08!H80+RD09!H80+RD10!H80</f>
        <v>0</v>
      </c>
      <c r="I80" s="41">
        <f>RD01!I80+RD02!I80+RD03!I80+RD04!I80+RD05!I80+RD06!I80+RD07!I80+RD08!I80+RD09!I80+RD10!I80</f>
        <v>0</v>
      </c>
      <c r="J80" s="41">
        <f>RD01!J80+RD02!J80+RD03!J80+RD04!J80+RD05!J80+RD06!J80+RD07!J80+RD08!J80+RD09!J80+RD10!J80</f>
        <v>0</v>
      </c>
      <c r="K80" s="41">
        <f>RD01!K80+RD02!K80+RD03!K80+RD04!K80+RD05!K80+RD06!K80+RD07!K80+RD08!K80+RD09!K80+RD10!K80</f>
        <v>0</v>
      </c>
      <c r="L80" s="41">
        <f>RD01!L80+RD02!L80+RD03!L80+RD04!L80+RD05!L80+RD06!L80+RD07!L80+RD08!L80+RD09!L80+RD10!L80</f>
        <v>0</v>
      </c>
      <c r="M80" s="41">
        <f>RD01!M80+RD02!M80+RD03!M80+RD04!M80+RD05!M80+RD06!M80+RD07!M80+RD08!M80+RD09!M80+RD10!M80</f>
        <v>0</v>
      </c>
      <c r="N80" s="42">
        <f>RD01!N80+RD02!N80+RD03!N80+RD04!N80+RD05!N80+RD06!N80+RD07!N80+RD08!N80+RD09!N80+RD10!N80</f>
        <v>0</v>
      </c>
    </row>
    <row r="81" s="2" customFormat="1" customHeight="1" spans="2:14">
      <c r="B81" s="43">
        <v>9</v>
      </c>
      <c r="C81" s="44">
        <v>30</v>
      </c>
      <c r="D81" s="45" t="str">
        <f>RD01!D81</f>
        <v>记-</v>
      </c>
      <c r="E81" s="46" t="s">
        <v>363</v>
      </c>
      <c r="F81" s="47">
        <f t="shared" si="24"/>
        <v>0</v>
      </c>
      <c r="G81" s="48">
        <f>RD01!G81+RD02!G81+RD03!G81+RD04!G81+RD05!G81+RD06!G81+RD07!G81+RD08!G81+RD09!G81+RD10!G81</f>
        <v>0</v>
      </c>
      <c r="H81" s="41">
        <f>RD01!H81+RD02!H81+RD03!H81+RD04!H81+RD05!H81+RD06!H81+RD07!H81+RD08!H81+RD09!H81+RD10!H81</f>
        <v>0</v>
      </c>
      <c r="I81" s="41">
        <f>RD01!I81+RD02!I81+RD03!I81+RD04!I81+RD05!I81+RD06!I81+RD07!I81+RD08!I81+RD09!I81+RD10!I81</f>
        <v>0</v>
      </c>
      <c r="J81" s="41">
        <f>RD01!J81+RD02!J81+RD03!J81+RD04!J81+RD05!J81+RD06!J81+RD07!J81+RD08!J81+RD09!J81+RD10!J81</f>
        <v>0</v>
      </c>
      <c r="K81" s="41">
        <f>RD01!K81+RD02!K81+RD03!K81+RD04!K81+RD05!K81+RD06!K81+RD07!K81+RD08!K81+RD09!K81+RD10!K81</f>
        <v>0</v>
      </c>
      <c r="L81" s="41">
        <f>RD01!L81+RD02!L81+RD03!L81+RD04!L81+RD05!L81+RD06!L81+RD07!L81+RD08!L81+RD09!L81+RD10!L81</f>
        <v>0</v>
      </c>
      <c r="M81" s="41">
        <f>RD01!M81+RD02!M81+RD03!M81+RD04!M81+RD05!M81+RD06!M81+RD07!M81+RD08!M81+RD09!M81+RD10!M81</f>
        <v>0</v>
      </c>
      <c r="N81" s="42">
        <f>RD01!N81+RD02!N81+RD03!N81+RD04!N81+RD05!N81+RD06!N81+RD07!N81+RD08!N81+RD09!N81+RD10!N81</f>
        <v>0</v>
      </c>
    </row>
    <row r="82" s="2" customFormat="1" customHeight="1" spans="2:14">
      <c r="B82" s="43">
        <v>9</v>
      </c>
      <c r="C82" s="44">
        <v>30</v>
      </c>
      <c r="D82" s="45" t="str">
        <f>RD01!D82</f>
        <v>记-</v>
      </c>
      <c r="E82" s="49" t="s">
        <v>364</v>
      </c>
      <c r="F82" s="47">
        <f>H82</f>
        <v>0</v>
      </c>
      <c r="G82" s="48">
        <f>RD01!G82+RD02!G82+RD03!G82+RD04!G82+RD05!G82+RD06!G82+RD07!G82+RD08!G82+RD09!G82+RD10!G82</f>
        <v>0</v>
      </c>
      <c r="H82" s="41">
        <f>RD01!H82+RD02!H82+RD03!H82+RD04!H82+RD05!H82+RD06!H82+RD07!H82+RD08!H82+RD09!H82+RD10!H82</f>
        <v>0</v>
      </c>
      <c r="I82" s="41">
        <f>RD01!I82+RD02!I82+RD03!I82+RD04!I82+RD05!I82+RD06!I82+RD07!I82+RD08!I82+RD09!I82+RD10!I82</f>
        <v>0</v>
      </c>
      <c r="J82" s="41">
        <f>RD01!J82+RD02!J82+RD03!J82+RD04!J82+RD05!J82+RD06!J82+RD07!J82+RD08!J82+RD09!J82+RD10!J82</f>
        <v>0</v>
      </c>
      <c r="K82" s="41">
        <f>RD01!K82+RD02!K82+RD03!K82+RD04!K82+RD05!K82+RD06!K82+RD07!K82+RD08!K82+RD09!K82+RD10!K82</f>
        <v>0</v>
      </c>
      <c r="L82" s="41">
        <f>RD01!L82+RD02!L82+RD03!L82+RD04!L82+RD05!L82+RD06!L82+RD07!L82+RD08!L82+RD09!L82+RD10!L82</f>
        <v>0</v>
      </c>
      <c r="M82" s="41">
        <f>RD01!M82+RD02!M82+RD03!M82+RD04!M82+RD05!M82+RD06!M82+RD07!M82+RD08!M82+RD09!M82+RD10!M82</f>
        <v>0</v>
      </c>
      <c r="N82" s="42">
        <f>RD01!N82+RD02!N82+RD03!N82+RD04!N82+RD05!N82+RD06!N82+RD07!N82+RD08!N82+RD09!N82+RD10!N82</f>
        <v>0</v>
      </c>
    </row>
    <row r="83" s="2" customFormat="1" customHeight="1" spans="2:14">
      <c r="B83" s="43">
        <v>9</v>
      </c>
      <c r="C83" s="44">
        <v>30</v>
      </c>
      <c r="D83" s="45" t="str">
        <f>RD01!D83</f>
        <v>记-</v>
      </c>
      <c r="E83" s="49" t="s">
        <v>365</v>
      </c>
      <c r="F83" s="48">
        <f>I83</f>
        <v>0</v>
      </c>
      <c r="G83" s="48">
        <f>RD01!G83+RD02!G83+RD03!G83+RD04!G83+RD05!G83+RD06!G83+RD07!G83+RD08!G83+RD09!G83+RD10!G83</f>
        <v>0</v>
      </c>
      <c r="H83" s="41">
        <f>RD01!H83+RD02!H83+RD03!H83+RD04!H83+RD05!H83+RD06!H83+RD07!H83+RD08!H83+RD09!H83+RD10!H83</f>
        <v>0</v>
      </c>
      <c r="I83" s="41">
        <f>RD01!I83+RD02!I83+RD03!I83+RD04!I83+RD05!I83+RD06!I83+RD07!I83+RD08!I83+RD09!I83+RD10!I83</f>
        <v>0</v>
      </c>
      <c r="J83" s="41">
        <f>RD01!J83+RD02!J83+RD03!J83+RD04!J83+RD05!J83+RD06!J83+RD07!J83+RD08!J83+RD09!J83+RD10!J83</f>
        <v>0</v>
      </c>
      <c r="K83" s="41">
        <f>RD01!K83+RD02!K83+RD03!K83+RD04!K83+RD05!K83+RD06!K83+RD07!K83+RD08!K83+RD09!K83+RD10!K83</f>
        <v>0</v>
      </c>
      <c r="L83" s="41">
        <f>RD01!L83+RD02!L83+RD03!L83+RD04!L83+RD05!L83+RD06!L83+RD07!L83+RD08!L83+RD09!L83+RD10!L83</f>
        <v>0</v>
      </c>
      <c r="M83" s="41">
        <f>RD01!M83+RD02!M83+RD03!M83+RD04!M83+RD05!M83+RD06!M83+RD07!M83+RD08!M83+RD09!M83+RD10!M83</f>
        <v>0</v>
      </c>
      <c r="N83" s="42">
        <f>RD01!N83+RD02!N83+RD03!N83+RD04!N83+RD05!N83+RD06!N83+RD07!N83+RD08!N83+RD09!N83+RD10!N83</f>
        <v>0</v>
      </c>
    </row>
    <row r="84" s="2" customFormat="1" customHeight="1" spans="2:14">
      <c r="B84" s="43">
        <v>9</v>
      </c>
      <c r="C84" s="44">
        <v>30</v>
      </c>
      <c r="D84" s="45" t="str">
        <f>RD01!D84</f>
        <v>记-</v>
      </c>
      <c r="E84" s="51" t="s">
        <v>356</v>
      </c>
      <c r="F84" s="48">
        <f>K84</f>
        <v>0</v>
      </c>
      <c r="G84" s="48">
        <f>RD01!G84+RD02!G84+RD03!G84+RD04!G84+RD05!G84+RD06!G84+RD07!G84+RD08!G84+RD09!G84+RD10!G84</f>
        <v>0</v>
      </c>
      <c r="H84" s="41">
        <f>RD01!H84+RD02!H84+RD03!H84+RD04!H84+RD05!H84+RD06!H84+RD07!H84+RD08!H84+RD09!H84+RD10!H84</f>
        <v>0</v>
      </c>
      <c r="I84" s="41">
        <f>RD01!I84+RD02!I84+RD03!I84+RD04!I84+RD05!I84+RD06!I84+RD07!I84+RD08!I84+RD09!I84+RD10!I84</f>
        <v>0</v>
      </c>
      <c r="J84" s="41">
        <f>RD01!J84+RD02!J84+RD03!J84+RD04!J84+RD05!J84+RD06!J84+RD07!J84+RD08!J84+RD09!J84+RD10!J84</f>
        <v>0</v>
      </c>
      <c r="K84" s="41">
        <f>RD01!K84+RD02!K84+RD03!K84+RD04!K84+RD05!K84+RD06!K84+RD07!K84+RD08!K84+RD09!K84+RD10!K84</f>
        <v>0</v>
      </c>
      <c r="L84" s="41">
        <f>RD01!L84+RD02!L84+RD03!L84+RD04!L84+RD05!L84+RD06!L84+RD07!L84+RD08!L84+RD09!L84+RD10!L84</f>
        <v>0</v>
      </c>
      <c r="M84" s="41">
        <f>RD01!M84+RD02!M84+RD03!M84+RD04!M84+RD05!M84+RD06!M84+RD07!M84+RD08!M84+RD09!M84+RD10!M84</f>
        <v>0</v>
      </c>
      <c r="N84" s="42">
        <f>RD01!N84+RD02!N84+RD03!N84+RD04!N84+RD05!N84+RD06!N84+RD07!N84+RD08!N84+RD09!N84+RD10!N84</f>
        <v>0</v>
      </c>
    </row>
    <row r="85" s="2" customFormat="1" customHeight="1" spans="2:14">
      <c r="B85" s="43">
        <v>9</v>
      </c>
      <c r="C85" s="44">
        <v>30</v>
      </c>
      <c r="D85" s="45" t="str">
        <f>RD01!D85</f>
        <v>记-</v>
      </c>
      <c r="E85" s="49" t="s">
        <v>359</v>
      </c>
      <c r="F85" s="48">
        <f>N85</f>
        <v>0</v>
      </c>
      <c r="G85" s="48">
        <f>RD01!G85+RD02!G85+RD03!G85+RD04!G85+RD05!G85+RD06!G85+RD07!G85+RD08!G85+RD09!G85+RD10!G85</f>
        <v>0</v>
      </c>
      <c r="H85" s="41">
        <f>RD01!H85+RD02!H85+RD03!H85+RD04!H85+RD05!H85+RD06!H85+RD07!H85+RD08!H85+RD09!H85+RD10!H85</f>
        <v>0</v>
      </c>
      <c r="I85" s="41">
        <f>RD01!I85+RD02!I85+RD03!I85+RD04!I85+RD05!I85+RD06!I85+RD07!I85+RD08!I85+RD09!I85+RD10!I85</f>
        <v>0</v>
      </c>
      <c r="J85" s="41">
        <f>RD01!J85+RD02!J85+RD03!J85+RD04!J85+RD05!J85+RD06!J85+RD07!J85+RD08!J85+RD09!J85+RD10!J85</f>
        <v>0</v>
      </c>
      <c r="K85" s="41">
        <f>RD01!K85+RD02!K85+RD03!K85+RD04!K85+RD05!K85+RD06!K85+RD07!K85+RD08!K85+RD09!K85+RD10!K85</f>
        <v>0</v>
      </c>
      <c r="L85" s="41">
        <f>RD01!L85+RD02!L85+RD03!L85+RD04!L85+RD05!L85+RD06!L85+RD07!L85+RD08!L85+RD09!L85+RD10!L85</f>
        <v>0</v>
      </c>
      <c r="M85" s="41">
        <f>RD01!M85+RD02!M85+RD03!M85+RD04!M85+RD05!M85+RD06!M85+RD07!M85+RD08!M85+RD09!M85+RD10!M85</f>
        <v>0</v>
      </c>
      <c r="N85" s="42">
        <f>RD01!N85+RD02!N85+RD03!N85+RD04!N85+RD05!N85+RD06!N85+RD07!N85+RD08!N85+RD09!N85+RD10!N85</f>
        <v>0</v>
      </c>
    </row>
    <row r="86" s="2" customFormat="1" customHeight="1" spans="2:14">
      <c r="B86" s="43"/>
      <c r="C86" s="44"/>
      <c r="D86" s="52"/>
      <c r="E86" s="53" t="s">
        <v>366</v>
      </c>
      <c r="F86" s="48">
        <f t="shared" ref="F86:N86" si="25">SUM(F79:F85)</f>
        <v>0</v>
      </c>
      <c r="G86" s="48">
        <f t="shared" si="25"/>
        <v>0</v>
      </c>
      <c r="H86" s="54">
        <f t="shared" si="25"/>
        <v>0</v>
      </c>
      <c r="I86" s="54">
        <f t="shared" si="25"/>
        <v>0</v>
      </c>
      <c r="J86" s="54">
        <f t="shared" si="25"/>
        <v>0</v>
      </c>
      <c r="K86" s="54">
        <f t="shared" si="25"/>
        <v>0</v>
      </c>
      <c r="L86" s="54">
        <f t="shared" si="25"/>
        <v>0</v>
      </c>
      <c r="M86" s="54">
        <f t="shared" si="25"/>
        <v>0</v>
      </c>
      <c r="N86" s="55">
        <f t="shared" si="25"/>
        <v>0</v>
      </c>
    </row>
    <row r="87" s="2" customFormat="1" customHeight="1" spans="2:14">
      <c r="B87" s="56"/>
      <c r="C87" s="57"/>
      <c r="D87" s="58"/>
      <c r="E87" s="59" t="s">
        <v>367</v>
      </c>
      <c r="F87" s="47">
        <f t="shared" ref="F87:N87" si="26">F86+F78</f>
        <v>0</v>
      </c>
      <c r="G87" s="61">
        <f t="shared" si="26"/>
        <v>0</v>
      </c>
      <c r="H87" s="62">
        <f t="shared" si="26"/>
        <v>0</v>
      </c>
      <c r="I87" s="62">
        <f t="shared" si="26"/>
        <v>0</v>
      </c>
      <c r="J87" s="62">
        <f t="shared" si="26"/>
        <v>0</v>
      </c>
      <c r="K87" s="62">
        <f t="shared" si="26"/>
        <v>0</v>
      </c>
      <c r="L87" s="62">
        <f t="shared" si="26"/>
        <v>0</v>
      </c>
      <c r="M87" s="62">
        <f t="shared" si="26"/>
        <v>0</v>
      </c>
      <c r="N87" s="64">
        <f t="shared" si="26"/>
        <v>0</v>
      </c>
    </row>
    <row r="88" s="2" customFormat="1" customHeight="1" spans="2:14">
      <c r="B88" s="36">
        <v>10</v>
      </c>
      <c r="C88" s="37">
        <v>31</v>
      </c>
      <c r="D88" s="38" t="str">
        <f>RD01!D88</f>
        <v>记-</v>
      </c>
      <c r="E88" s="39" t="s">
        <v>361</v>
      </c>
      <c r="F88" s="40">
        <f t="shared" ref="F88:F90" si="27">G88</f>
        <v>0</v>
      </c>
      <c r="G88" s="40">
        <f>RD01!G88+RD02!G88+RD03!G88+RD04!G88+RD05!G88+RD06!G88+RD07!G88+RD08!G88+RD09!G88+RD10!G88</f>
        <v>0</v>
      </c>
      <c r="H88" s="41">
        <f>RD01!H88+RD02!H88+RD03!H88+RD04!H88+RD05!H88+RD06!H88+RD07!H88+RD08!H88+RD09!H88+RD10!H88</f>
        <v>0</v>
      </c>
      <c r="I88" s="41">
        <f>RD01!I88+RD02!I88+RD03!I88+RD04!I88+RD05!I88+RD06!I88+RD07!I88+RD08!I88+RD09!I88+RD10!I88</f>
        <v>0</v>
      </c>
      <c r="J88" s="41">
        <f>RD01!J88+RD02!J88+RD03!J88+RD04!J88+RD05!J88+RD06!J88+RD07!J88+RD08!J88+RD09!J88+RD10!J88</f>
        <v>0</v>
      </c>
      <c r="K88" s="41">
        <f>RD01!K88+RD02!K88+RD03!K88+RD04!K88+RD05!K88+RD06!K88+RD07!K88+RD08!K88+RD09!K88+RD10!K88</f>
        <v>0</v>
      </c>
      <c r="L88" s="41">
        <f>RD01!L88+RD02!L88+RD03!L88+RD04!L88+RD05!L88+RD06!L88+RD07!L88+RD08!L88+RD09!L88+RD10!L88</f>
        <v>0</v>
      </c>
      <c r="M88" s="41">
        <f>RD01!M88+RD02!M88+RD03!M88+RD04!M88+RD05!M88+RD06!M88+RD07!M88+RD08!M88+RD09!M88+RD10!M88</f>
        <v>0</v>
      </c>
      <c r="N88" s="42">
        <f>RD01!N88+RD02!N88+RD03!N88+RD04!N88+RD05!N88+RD06!N88+RD07!N88+RD08!N88+RD09!N88+RD10!N88</f>
        <v>0</v>
      </c>
    </row>
    <row r="89" s="2" customFormat="1" customHeight="1" spans="2:14">
      <c r="B89" s="43">
        <v>10</v>
      </c>
      <c r="C89" s="44">
        <v>31</v>
      </c>
      <c r="D89" s="45" t="str">
        <f>RD01!D89</f>
        <v>记-</v>
      </c>
      <c r="E89" s="46" t="s">
        <v>362</v>
      </c>
      <c r="F89" s="47">
        <f t="shared" si="27"/>
        <v>0</v>
      </c>
      <c r="G89" s="48">
        <f>RD01!G89+RD02!G89+RD03!G89+RD04!G89+RD05!G89+RD06!G89+RD07!G89+RD08!G89+RD09!G89+RD10!G89</f>
        <v>0</v>
      </c>
      <c r="H89" s="41">
        <f>RD01!H89+RD02!H89+RD03!H89+RD04!H89+RD05!H89+RD06!H89+RD07!H89+RD08!H89+RD09!H89+RD10!H89</f>
        <v>0</v>
      </c>
      <c r="I89" s="41">
        <f>RD01!I89+RD02!I89+RD03!I89+RD04!I89+RD05!I89+RD06!I89+RD07!I89+RD08!I89+RD09!I89+RD10!I89</f>
        <v>0</v>
      </c>
      <c r="J89" s="41">
        <f>RD01!J89+RD02!J89+RD03!J89+RD04!J89+RD05!J89+RD06!J89+RD07!J89+RD08!J89+RD09!J89+RD10!J89</f>
        <v>0</v>
      </c>
      <c r="K89" s="41">
        <f>RD01!K89+RD02!K89+RD03!K89+RD04!K89+RD05!K89+RD06!K89+RD07!K89+RD08!K89+RD09!K89+RD10!K89</f>
        <v>0</v>
      </c>
      <c r="L89" s="41">
        <f>RD01!L89+RD02!L89+RD03!L89+RD04!L89+RD05!L89+RD06!L89+RD07!L89+RD08!L89+RD09!L89+RD10!L89</f>
        <v>0</v>
      </c>
      <c r="M89" s="41">
        <f>RD01!M89+RD02!M89+RD03!M89+RD04!M89+RD05!M89+RD06!M89+RD07!M89+RD08!M89+RD09!M89+RD10!M89</f>
        <v>0</v>
      </c>
      <c r="N89" s="42">
        <f>RD01!N89+RD02!N89+RD03!N89+RD04!N89+RD05!N89+RD06!N89+RD07!N89+RD08!N89+RD09!N89+RD10!N89</f>
        <v>0</v>
      </c>
    </row>
    <row r="90" s="2" customFormat="1" customHeight="1" spans="2:14">
      <c r="B90" s="43">
        <v>10</v>
      </c>
      <c r="C90" s="44">
        <v>31</v>
      </c>
      <c r="D90" s="45" t="str">
        <f>RD01!D90</f>
        <v>记-</v>
      </c>
      <c r="E90" s="46" t="s">
        <v>363</v>
      </c>
      <c r="F90" s="47">
        <f t="shared" si="27"/>
        <v>0</v>
      </c>
      <c r="G90" s="48">
        <f>RD01!G90+RD02!G90+RD03!G90+RD04!G90+RD05!G90+RD06!G90+RD07!G90+RD08!G90+RD09!G90+RD10!G90</f>
        <v>0</v>
      </c>
      <c r="H90" s="41">
        <f>RD01!H90+RD02!H90+RD03!H90+RD04!H90+RD05!H90+RD06!H90+RD07!H90+RD08!H90+RD09!H90+RD10!H90</f>
        <v>0</v>
      </c>
      <c r="I90" s="41">
        <f>RD01!I90+RD02!I90+RD03!I90+RD04!I90+RD05!I90+RD06!I90+RD07!I90+RD08!I90+RD09!I90+RD10!I90</f>
        <v>0</v>
      </c>
      <c r="J90" s="41">
        <f>RD01!J90+RD02!J90+RD03!J90+RD04!J90+RD05!J90+RD06!J90+RD07!J90+RD08!J90+RD09!J90+RD10!J90</f>
        <v>0</v>
      </c>
      <c r="K90" s="41">
        <f>RD01!K90+RD02!K90+RD03!K90+RD04!K90+RD05!K90+RD06!K90+RD07!K90+RD08!K90+RD09!K90+RD10!K90</f>
        <v>0</v>
      </c>
      <c r="L90" s="41">
        <f>RD01!L90+RD02!L90+RD03!L90+RD04!L90+RD05!L90+RD06!L90+RD07!L90+RD08!L90+RD09!L90+RD10!L90</f>
        <v>0</v>
      </c>
      <c r="M90" s="41">
        <f>RD01!M90+RD02!M90+RD03!M90+RD04!M90+RD05!M90+RD06!M90+RD07!M90+RD08!M90+RD09!M90+RD10!M90</f>
        <v>0</v>
      </c>
      <c r="N90" s="42">
        <f>RD01!N90+RD02!N90+RD03!N90+RD04!N90+RD05!N90+RD06!N90+RD07!N90+RD08!N90+RD09!N90+RD10!N90</f>
        <v>0</v>
      </c>
    </row>
    <row r="91" s="2" customFormat="1" customHeight="1" spans="2:14">
      <c r="B91" s="43">
        <v>10</v>
      </c>
      <c r="C91" s="44">
        <v>31</v>
      </c>
      <c r="D91" s="45" t="str">
        <f>RD01!D91</f>
        <v>记-</v>
      </c>
      <c r="E91" s="49" t="s">
        <v>364</v>
      </c>
      <c r="F91" s="47">
        <f>H91</f>
        <v>0</v>
      </c>
      <c r="G91" s="48">
        <f>RD01!G91+RD02!G91+RD03!G91+RD04!G91+RD05!G91+RD06!G91+RD07!G91+RD08!G91+RD09!G91+RD10!G91</f>
        <v>0</v>
      </c>
      <c r="H91" s="41">
        <f>RD01!H91+RD02!H91+RD03!H91+RD04!H91+RD05!H91+RD06!H91+RD07!H91+RD08!H91+RD09!H91+RD10!H91</f>
        <v>0</v>
      </c>
      <c r="I91" s="41">
        <f>RD01!I91+RD02!I91+RD03!I91+RD04!I91+RD05!I91+RD06!I91+RD07!I91+RD08!I91+RD09!I91+RD10!I91</f>
        <v>0</v>
      </c>
      <c r="J91" s="41">
        <f>RD01!J91+RD02!J91+RD03!J91+RD04!J91+RD05!J91+RD06!J91+RD07!J91+RD08!J91+RD09!J91+RD10!J91</f>
        <v>0</v>
      </c>
      <c r="K91" s="41">
        <f>RD01!K91+RD02!K91+RD03!K91+RD04!K91+RD05!K91+RD06!K91+RD07!K91+RD08!K91+RD09!K91+RD10!K91</f>
        <v>0</v>
      </c>
      <c r="L91" s="41">
        <f>RD01!L91+RD02!L91+RD03!L91+RD04!L91+RD05!L91+RD06!L91+RD07!L91+RD08!L91+RD09!L91+RD10!L91</f>
        <v>0</v>
      </c>
      <c r="M91" s="41">
        <f>RD01!M91+RD02!M91+RD03!M91+RD04!M91+RD05!M91+RD06!M91+RD07!M91+RD08!M91+RD09!M91+RD10!M91</f>
        <v>0</v>
      </c>
      <c r="N91" s="42">
        <f>RD01!N91+RD02!N91+RD03!N91+RD04!N91+RD05!N91+RD06!N91+RD07!N91+RD08!N91+RD09!N91+RD10!N91</f>
        <v>0</v>
      </c>
    </row>
    <row r="92" s="2" customFormat="1" customHeight="1" spans="2:14">
      <c r="B92" s="43">
        <v>10</v>
      </c>
      <c r="C92" s="44">
        <v>31</v>
      </c>
      <c r="D92" s="45" t="str">
        <f>RD01!D92</f>
        <v>记-</v>
      </c>
      <c r="E92" s="49" t="s">
        <v>365</v>
      </c>
      <c r="F92" s="48">
        <f>I92</f>
        <v>0</v>
      </c>
      <c r="G92" s="48">
        <f>RD01!G92+RD02!G92+RD03!G92+RD04!G92+RD05!G92+RD06!G92+RD07!G92+RD08!G92+RD09!G92+RD10!G92</f>
        <v>0</v>
      </c>
      <c r="H92" s="41">
        <f>RD01!H92+RD02!H92+RD03!H92+RD04!H92+RD05!H92+RD06!H92+RD07!H92+RD08!H92+RD09!H92+RD10!H92</f>
        <v>0</v>
      </c>
      <c r="I92" s="41">
        <f>RD01!I92+RD02!I92+RD03!I92+RD04!I92+RD05!I92+RD06!I92+RD07!I92+RD08!I92+RD09!I92+RD10!I92</f>
        <v>0</v>
      </c>
      <c r="J92" s="41">
        <f>RD01!J92+RD02!J92+RD03!J92+RD04!J92+RD05!J92+RD06!J92+RD07!J92+RD08!J92+RD09!J92+RD10!J92</f>
        <v>0</v>
      </c>
      <c r="K92" s="41">
        <f>RD01!K92+RD02!K92+RD03!K92+RD04!K92+RD05!K92+RD06!K92+RD07!K92+RD08!K92+RD09!K92+RD10!K92</f>
        <v>0</v>
      </c>
      <c r="L92" s="41">
        <f>RD01!L92+RD02!L92+RD03!L92+RD04!L92+RD05!L92+RD06!L92+RD07!L92+RD08!L92+RD09!L92+RD10!L92</f>
        <v>0</v>
      </c>
      <c r="M92" s="41">
        <f>RD01!M92+RD02!M92+RD03!M92+RD04!M92+RD05!M92+RD06!M92+RD07!M92+RD08!M92+RD09!M92+RD10!M92</f>
        <v>0</v>
      </c>
      <c r="N92" s="42">
        <f>RD01!N92+RD02!N92+RD03!N92+RD04!N92+RD05!N92+RD06!N92+RD07!N92+RD08!N92+RD09!N92+RD10!N92</f>
        <v>0</v>
      </c>
    </row>
    <row r="93" s="2" customFormat="1" customHeight="1" spans="2:14">
      <c r="B93" s="43">
        <v>10</v>
      </c>
      <c r="C93" s="44">
        <v>31</v>
      </c>
      <c r="D93" s="45" t="str">
        <f>RD01!D93</f>
        <v>记-</v>
      </c>
      <c r="E93" s="51" t="s">
        <v>356</v>
      </c>
      <c r="F93" s="48">
        <f>K93</f>
        <v>0</v>
      </c>
      <c r="G93" s="48">
        <f>RD01!G93+RD02!G93+RD03!G93+RD04!G93+RD05!G93+RD06!G93+RD07!G93+RD08!G93+RD09!G93+RD10!G93</f>
        <v>0</v>
      </c>
      <c r="H93" s="41">
        <f>RD01!H93+RD02!H93+RD03!H93+RD04!H93+RD05!H93+RD06!H93+RD07!H93+RD08!H93+RD09!H93+RD10!H93</f>
        <v>0</v>
      </c>
      <c r="I93" s="41">
        <f>RD01!I93+RD02!I93+RD03!I93+RD04!I93+RD05!I93+RD06!I93+RD07!I93+RD08!I93+RD09!I93+RD10!I93</f>
        <v>0</v>
      </c>
      <c r="J93" s="41">
        <f>RD01!J93+RD02!J93+RD03!J93+RD04!J93+RD05!J93+RD06!J93+RD07!J93+RD08!J93+RD09!J93+RD10!J93</f>
        <v>0</v>
      </c>
      <c r="K93" s="41">
        <f>RD01!K93+RD02!K93+RD03!K93+RD04!K93+RD05!K93+RD06!K93+RD07!K93+RD08!K93+RD09!K93+RD10!K93</f>
        <v>0</v>
      </c>
      <c r="L93" s="41">
        <f>RD01!L93+RD02!L93+RD03!L93+RD04!L93+RD05!L93+RD06!L93+RD07!L93+RD08!L93+RD09!L93+RD10!L93</f>
        <v>0</v>
      </c>
      <c r="M93" s="41">
        <f>RD01!M93+RD02!M93+RD03!M93+RD04!M93+RD05!M93+RD06!M93+RD07!M93+RD08!M93+RD09!M93+RD10!M93</f>
        <v>0</v>
      </c>
      <c r="N93" s="42">
        <f>RD01!N93+RD02!N93+RD03!N93+RD04!N93+RD05!N93+RD06!N93+RD07!N93+RD08!N93+RD09!N93+RD10!N93</f>
        <v>0</v>
      </c>
    </row>
    <row r="94" s="2" customFormat="1" customHeight="1" spans="2:14">
      <c r="B94" s="43">
        <v>10</v>
      </c>
      <c r="C94" s="44">
        <v>31</v>
      </c>
      <c r="D94" s="45" t="str">
        <f>RD01!D94</f>
        <v>记-</v>
      </c>
      <c r="E94" s="49" t="s">
        <v>359</v>
      </c>
      <c r="F94" s="48">
        <f>N94</f>
        <v>0</v>
      </c>
      <c r="G94" s="48">
        <f>RD01!G94+RD02!G94+RD03!G94+RD04!G94+RD05!G94+RD06!G94+RD07!G94+RD08!G94+RD09!G94+RD10!G94</f>
        <v>0</v>
      </c>
      <c r="H94" s="41">
        <f>RD01!H94+RD02!H94+RD03!H94+RD04!H94+RD05!H94+RD06!H94+RD07!H94+RD08!H94+RD09!H94+RD10!H94</f>
        <v>0</v>
      </c>
      <c r="I94" s="41">
        <f>RD01!I94+RD02!I94+RD03!I94+RD04!I94+RD05!I94+RD06!I94+RD07!I94+RD08!I94+RD09!I94+RD10!I94</f>
        <v>0</v>
      </c>
      <c r="J94" s="41">
        <f>RD01!J94+RD02!J94+RD03!J94+RD04!J94+RD05!J94+RD06!J94+RD07!J94+RD08!J94+RD09!J94+RD10!J94</f>
        <v>0</v>
      </c>
      <c r="K94" s="41">
        <f>RD01!K94+RD02!K94+RD03!K94+RD04!K94+RD05!K94+RD06!K94+RD07!K94+RD08!K94+RD09!K94+RD10!K94</f>
        <v>0</v>
      </c>
      <c r="L94" s="41">
        <f>RD01!L94+RD02!L94+RD03!L94+RD04!L94+RD05!L94+RD06!L94+RD07!L94+RD08!L94+RD09!L94+RD10!L94</f>
        <v>0</v>
      </c>
      <c r="M94" s="41">
        <f>RD01!M94+RD02!M94+RD03!M94+RD04!M94+RD05!M94+RD06!M94+RD07!M94+RD08!M94+RD09!M94+RD10!M94</f>
        <v>0</v>
      </c>
      <c r="N94" s="42">
        <f>RD01!N94+RD02!N94+RD03!N94+RD04!N94+RD05!N94+RD06!N94+RD07!N94+RD08!N94+RD09!N94+RD10!N94</f>
        <v>0</v>
      </c>
    </row>
    <row r="95" s="2" customFormat="1" customHeight="1" spans="2:14">
      <c r="B95" s="43"/>
      <c r="C95" s="44"/>
      <c r="D95" s="52"/>
      <c r="E95" s="53" t="s">
        <v>368</v>
      </c>
      <c r="F95" s="48">
        <f t="shared" ref="F95:N95" si="28">SUM(F88:F94)</f>
        <v>0</v>
      </c>
      <c r="G95" s="48">
        <f t="shared" si="28"/>
        <v>0</v>
      </c>
      <c r="H95" s="54">
        <f t="shared" si="28"/>
        <v>0</v>
      </c>
      <c r="I95" s="54">
        <f t="shared" si="28"/>
        <v>0</v>
      </c>
      <c r="J95" s="54">
        <f t="shared" si="28"/>
        <v>0</v>
      </c>
      <c r="K95" s="54">
        <f t="shared" si="28"/>
        <v>0</v>
      </c>
      <c r="L95" s="60">
        <f t="shared" si="28"/>
        <v>0</v>
      </c>
      <c r="M95" s="60">
        <f t="shared" si="28"/>
        <v>0</v>
      </c>
      <c r="N95" s="55">
        <f t="shared" si="28"/>
        <v>0</v>
      </c>
    </row>
    <row r="96" s="2" customFormat="1" customHeight="1" spans="2:14">
      <c r="B96" s="56"/>
      <c r="C96" s="57"/>
      <c r="D96" s="58"/>
      <c r="E96" s="59" t="s">
        <v>367</v>
      </c>
      <c r="F96" s="48">
        <f>F95+F87</f>
        <v>0</v>
      </c>
      <c r="G96" s="48">
        <f t="shared" ref="G96:I96" si="29">G87+G95</f>
        <v>0</v>
      </c>
      <c r="H96" s="62">
        <f t="shared" si="29"/>
        <v>0</v>
      </c>
      <c r="I96" s="62">
        <f t="shared" si="29"/>
        <v>0</v>
      </c>
      <c r="J96" s="62">
        <f t="shared" ref="J96:M96" si="30">J94+J87</f>
        <v>0</v>
      </c>
      <c r="K96" s="62">
        <f>K87+K95</f>
        <v>0</v>
      </c>
      <c r="L96" s="62">
        <f t="shared" si="30"/>
        <v>0</v>
      </c>
      <c r="M96" s="62">
        <f t="shared" si="30"/>
        <v>0</v>
      </c>
      <c r="N96" s="64">
        <f>N87+N95</f>
        <v>0</v>
      </c>
    </row>
    <row r="97" s="3" customFormat="1" customHeight="1" spans="2:14">
      <c r="B97" s="36">
        <v>11</v>
      </c>
      <c r="C97" s="37">
        <v>30</v>
      </c>
      <c r="D97" s="38" t="str">
        <f>RD01!D97</f>
        <v>记-</v>
      </c>
      <c r="E97" s="39" t="s">
        <v>361</v>
      </c>
      <c r="F97" s="40">
        <f t="shared" ref="F97:F99" si="31">G97</f>
        <v>0</v>
      </c>
      <c r="G97" s="40">
        <f>RD01!G97+RD02!G97+RD03!G97+RD04!G97+RD05!G97+RD06!G97+RD07!G97+RD08!G97+RD09!G97+RD10!G97</f>
        <v>0</v>
      </c>
      <c r="H97" s="41">
        <f>RD01!H97+RD02!H97+RD03!H97+RD04!H97+RD05!H97+RD06!H97+RD07!H97+RD08!H97+RD09!H97+RD10!H97</f>
        <v>0</v>
      </c>
      <c r="I97" s="41">
        <f>RD01!I97+RD02!I97+RD03!I97+RD04!I97+RD05!I97+RD06!I97+RD07!I97+RD08!I97+RD09!I97+RD10!I97</f>
        <v>0</v>
      </c>
      <c r="J97" s="41">
        <f>RD01!J97+RD02!J97+RD03!J97+RD04!J97+RD05!J97+RD06!J97+RD07!J97+RD08!J97+RD09!J97+RD10!J97</f>
        <v>0</v>
      </c>
      <c r="K97" s="41">
        <f>RD01!K97+RD02!K97+RD03!K97+RD04!K97+RD05!K97+RD06!K97+RD07!K97+RD08!K97+RD09!K97+RD10!K97</f>
        <v>0</v>
      </c>
      <c r="L97" s="41">
        <f>RD01!L97+RD02!L97+RD03!L97+RD04!L97+RD05!L97+RD06!L97+RD07!L97+RD08!L97+RD09!L97+RD10!L97</f>
        <v>0</v>
      </c>
      <c r="M97" s="41">
        <f>RD01!M97+RD02!M97+RD03!M97+RD04!M97+RD05!M97+RD06!M97+RD07!M97+RD08!M97+RD09!M97+RD10!M97</f>
        <v>0</v>
      </c>
      <c r="N97" s="42">
        <f>RD01!N97+RD02!N97+RD03!N97+RD04!N97+RD05!N97+RD06!N97+RD07!N97+RD08!N97+RD09!N97+RD10!N97</f>
        <v>0</v>
      </c>
    </row>
    <row r="98" s="3" customFormat="1" customHeight="1" spans="2:14">
      <c r="B98" s="43">
        <v>11</v>
      </c>
      <c r="C98" s="44">
        <v>30</v>
      </c>
      <c r="D98" s="45" t="str">
        <f>RD01!D98</f>
        <v>记-</v>
      </c>
      <c r="E98" s="46" t="s">
        <v>362</v>
      </c>
      <c r="F98" s="66">
        <f t="shared" si="31"/>
        <v>0</v>
      </c>
      <c r="G98" s="48">
        <f>RD01!G98+RD02!G98+RD03!G98+RD04!G98+RD05!G98+RD06!G98+RD07!G98+RD08!G98+RD09!G98+RD10!G98</f>
        <v>0</v>
      </c>
      <c r="H98" s="41">
        <f>RD01!H98+RD02!H98+RD03!H98+RD04!H98+RD05!H98+RD06!H98+RD07!H98+RD08!H98+RD09!H98+RD10!H98</f>
        <v>0</v>
      </c>
      <c r="I98" s="41">
        <f>RD01!I98+RD02!I98+RD03!I98+RD04!I98+RD05!I98+RD06!I98+RD07!I98+RD08!I98+RD09!I98+RD10!I98</f>
        <v>0</v>
      </c>
      <c r="J98" s="41">
        <f>RD01!J98+RD02!J98+RD03!J98+RD04!J98+RD05!J98+RD06!J98+RD07!J98+RD08!J98+RD09!J98+RD10!J98</f>
        <v>0</v>
      </c>
      <c r="K98" s="41">
        <f>RD01!K98+RD02!K98+RD03!K98+RD04!K98+RD05!K98+RD06!K98+RD07!K98+RD08!K98+RD09!K98+RD10!K98</f>
        <v>0</v>
      </c>
      <c r="L98" s="41">
        <f>RD01!L98+RD02!L98+RD03!L98+RD04!L98+RD05!L98+RD06!L98+RD07!L98+RD08!L98+RD09!L98+RD10!L98</f>
        <v>0</v>
      </c>
      <c r="M98" s="41">
        <f>RD01!M98+RD02!M98+RD03!M98+RD04!M98+RD05!M98+RD06!M98+RD07!M98+RD08!M98+RD09!M98+RD10!M98</f>
        <v>0</v>
      </c>
      <c r="N98" s="42">
        <f>RD01!N98+RD02!N98+RD03!N98+RD04!N98+RD05!N98+RD06!N98+RD07!N98+RD08!N98+RD09!N98+RD10!N98</f>
        <v>0</v>
      </c>
    </row>
    <row r="99" s="3" customFormat="1" customHeight="1" spans="2:14">
      <c r="B99" s="43">
        <v>11</v>
      </c>
      <c r="C99" s="44">
        <v>30</v>
      </c>
      <c r="D99" s="45" t="str">
        <f>RD01!D99</f>
        <v>记-</v>
      </c>
      <c r="E99" s="46" t="s">
        <v>363</v>
      </c>
      <c r="F99" s="66">
        <f t="shared" si="31"/>
        <v>0</v>
      </c>
      <c r="G99" s="48">
        <f>RD01!G99+RD02!G99+RD03!G99+RD04!G99+RD05!G99+RD06!G99+RD07!G99+RD08!G99+RD09!G99+RD10!G99</f>
        <v>0</v>
      </c>
      <c r="H99" s="41">
        <f>RD01!H99+RD02!H99+RD03!H99+RD04!H99+RD05!H99+RD06!H99+RD07!H99+RD08!H99+RD09!H99+RD10!H99</f>
        <v>0</v>
      </c>
      <c r="I99" s="41">
        <f>RD01!I99+RD02!I99+RD03!I99+RD04!I99+RD05!I99+RD06!I99+RD07!I99+RD08!I99+RD09!I99+RD10!I99</f>
        <v>0</v>
      </c>
      <c r="J99" s="41">
        <f>RD01!J99+RD02!J99+RD03!J99+RD04!J99+RD05!J99+RD06!J99+RD07!J99+RD08!J99+RD09!J99+RD10!J99</f>
        <v>0</v>
      </c>
      <c r="K99" s="41">
        <f>RD01!K99+RD02!K99+RD03!K99+RD04!K99+RD05!K99+RD06!K99+RD07!K99+RD08!K99+RD09!K99+RD10!K99</f>
        <v>0</v>
      </c>
      <c r="L99" s="41">
        <f>RD01!L99+RD02!L99+RD03!L99+RD04!L99+RD05!L99+RD06!L99+RD07!L99+RD08!L99+RD09!L99+RD10!L99</f>
        <v>0</v>
      </c>
      <c r="M99" s="41">
        <f>RD01!M99+RD02!M99+RD03!M99+RD04!M99+RD05!M99+RD06!M99+RD07!M99+RD08!M99+RD09!M99+RD10!M99</f>
        <v>0</v>
      </c>
      <c r="N99" s="42">
        <f>RD01!N99+RD02!N99+RD03!N99+RD04!N99+RD05!N99+RD06!N99+RD07!N99+RD08!N99+RD09!N99+RD10!N99</f>
        <v>0</v>
      </c>
    </row>
    <row r="100" s="3" customFormat="1" customHeight="1" spans="2:14">
      <c r="B100" s="43">
        <v>11</v>
      </c>
      <c r="C100" s="44">
        <v>30</v>
      </c>
      <c r="D100" s="45" t="str">
        <f>RD01!D100</f>
        <v>记-</v>
      </c>
      <c r="E100" s="49" t="s">
        <v>364</v>
      </c>
      <c r="F100" s="66">
        <f>H100</f>
        <v>0</v>
      </c>
      <c r="G100" s="48">
        <f>RD01!G100+RD02!G100+RD03!G100+RD04!G100+RD05!G100+RD06!G100+RD07!G100+RD08!G100+RD09!G100+RD10!G100</f>
        <v>0</v>
      </c>
      <c r="H100" s="41">
        <f>RD01!H100+RD02!H100+RD03!H100+RD04!H100+RD05!H100+RD06!H100+RD07!H100+RD08!H100+RD09!H100+RD10!H100</f>
        <v>0</v>
      </c>
      <c r="I100" s="41">
        <f>RD01!I100+RD02!I100+RD03!I100+RD04!I100+RD05!I100+RD06!I100+RD07!I100+RD08!I100+RD09!I100+RD10!I100</f>
        <v>0</v>
      </c>
      <c r="J100" s="41">
        <f>RD01!J100+RD02!J100+RD03!J100+RD04!J100+RD05!J100+RD06!J100+RD07!J100+RD08!J100+RD09!J100+RD10!J100</f>
        <v>0</v>
      </c>
      <c r="K100" s="41">
        <f>RD01!K100+RD02!K100+RD03!K100+RD04!K100+RD05!K100+RD06!K100+RD07!K100+RD08!K100+RD09!K100+RD10!K100</f>
        <v>0</v>
      </c>
      <c r="L100" s="41">
        <f>RD01!L100+RD02!L100+RD03!L100+RD04!L100+RD05!L100+RD06!L100+RD07!L100+RD08!L100+RD09!L100+RD10!L100</f>
        <v>0</v>
      </c>
      <c r="M100" s="41">
        <f>RD01!M100+RD02!M100+RD03!M100+RD04!M100+RD05!M100+RD06!M100+RD07!M100+RD08!M100+RD09!M100+RD10!M100</f>
        <v>0</v>
      </c>
      <c r="N100" s="42">
        <f>RD01!N100+RD02!N100+RD03!N100+RD04!N100+RD05!N100+RD06!N100+RD07!N100+RD08!N100+RD09!N100+RD10!N100</f>
        <v>0</v>
      </c>
    </row>
    <row r="101" s="3" customFormat="1" customHeight="1" spans="2:14">
      <c r="B101" s="43">
        <v>11</v>
      </c>
      <c r="C101" s="44">
        <v>30</v>
      </c>
      <c r="D101" s="45" t="str">
        <f>RD01!D101</f>
        <v>记-</v>
      </c>
      <c r="E101" s="49" t="s">
        <v>365</v>
      </c>
      <c r="F101" s="67">
        <f>I101</f>
        <v>0</v>
      </c>
      <c r="G101" s="48">
        <f>RD01!G101+RD02!G101+RD03!G101+RD04!G101+RD05!G101+RD06!G101+RD07!G101+RD08!G101+RD09!G101+RD10!G101</f>
        <v>0</v>
      </c>
      <c r="H101" s="41">
        <f>RD01!H101+RD02!H101+RD03!H101+RD04!H101+RD05!H101+RD06!H101+RD07!H101+RD08!H101+RD09!H101+RD10!H101</f>
        <v>0</v>
      </c>
      <c r="I101" s="41">
        <f>RD01!I101+RD02!I101+RD03!I101+RD04!I101+RD05!I101+RD06!I101+RD07!I101+RD08!I101+RD09!I101+RD10!I101</f>
        <v>0</v>
      </c>
      <c r="J101" s="41">
        <f>RD01!J101+RD02!J101+RD03!J101+RD04!J101+RD05!J101+RD06!J101+RD07!J101+RD08!J101+RD09!J101+RD10!J101</f>
        <v>0</v>
      </c>
      <c r="K101" s="41">
        <f>RD01!K101+RD02!K101+RD03!K101+RD04!K101+RD05!K101+RD06!K101+RD07!K101+RD08!K101+RD09!K101+RD10!K101</f>
        <v>0</v>
      </c>
      <c r="L101" s="41">
        <f>RD01!L101+RD02!L101+RD03!L101+RD04!L101+RD05!L101+RD06!L101+RD07!L101+RD08!L101+RD09!L101+RD10!L101</f>
        <v>0</v>
      </c>
      <c r="M101" s="41">
        <f>RD01!M101+RD02!M101+RD03!M101+RD04!M101+RD05!M101+RD06!M101+RD07!M101+RD08!M101+RD09!M101+RD10!M101</f>
        <v>0</v>
      </c>
      <c r="N101" s="42">
        <f>RD01!N101+RD02!N101+RD03!N101+RD04!N101+RD05!N101+RD06!N101+RD07!N101+RD08!N101+RD09!N101+RD10!N101</f>
        <v>0</v>
      </c>
    </row>
    <row r="102" s="3" customFormat="1" customHeight="1" spans="2:14">
      <c r="B102" s="43">
        <v>11</v>
      </c>
      <c r="C102" s="44">
        <v>30</v>
      </c>
      <c r="D102" s="45" t="str">
        <f>RD01!D102</f>
        <v>记-</v>
      </c>
      <c r="E102" s="51" t="s">
        <v>356</v>
      </c>
      <c r="F102" s="67">
        <f>K102</f>
        <v>0</v>
      </c>
      <c r="G102" s="48">
        <f>RD01!G102+RD02!G102+RD03!G102+RD04!G102+RD05!G102+RD06!G102+RD07!G102+RD08!G102+RD09!G102+RD10!G102</f>
        <v>0</v>
      </c>
      <c r="H102" s="41">
        <f>RD01!H102+RD02!H102+RD03!H102+RD04!H102+RD05!H102+RD06!H102+RD07!H102+RD08!H102+RD09!H102+RD10!H102</f>
        <v>0</v>
      </c>
      <c r="I102" s="41">
        <f>RD01!I102+RD02!I102+RD03!I102+RD04!I102+RD05!I102+RD06!I102+RD07!I102+RD08!I102+RD09!I102+RD10!I102</f>
        <v>0</v>
      </c>
      <c r="J102" s="41">
        <f>RD01!J102+RD02!J102+RD03!J102+RD04!J102+RD05!J102+RD06!J102+RD07!J102+RD08!J102+RD09!J102+RD10!J102</f>
        <v>0</v>
      </c>
      <c r="K102" s="41">
        <f>RD01!K102+RD02!K102+RD03!K102+RD04!K102+RD05!K102+RD06!K102+RD07!K102+RD08!K102+RD09!K102+RD10!K102</f>
        <v>0</v>
      </c>
      <c r="L102" s="41">
        <f>RD01!L102+RD02!L102+RD03!L102+RD04!L102+RD05!L102+RD06!L102+RD07!L102+RD08!L102+RD09!L102+RD10!L102</f>
        <v>0</v>
      </c>
      <c r="M102" s="41">
        <f>RD01!M102+RD02!M102+RD03!M102+RD04!M102+RD05!M102+RD06!M102+RD07!M102+RD08!M102+RD09!M102+RD10!M102</f>
        <v>0</v>
      </c>
      <c r="N102" s="42">
        <f>RD01!N102+RD02!N102+RD03!N102+RD04!N102+RD05!N102+RD06!N102+RD07!N102+RD08!N102+RD09!N102+RD10!N102</f>
        <v>0</v>
      </c>
    </row>
    <row r="103" s="3" customFormat="1" customHeight="1" spans="2:14">
      <c r="B103" s="43">
        <v>11</v>
      </c>
      <c r="C103" s="44">
        <v>30</v>
      </c>
      <c r="D103" s="45" t="str">
        <f>RD01!D103</f>
        <v>记-</v>
      </c>
      <c r="E103" s="49" t="s">
        <v>359</v>
      </c>
      <c r="F103" s="67">
        <f>N103</f>
        <v>0</v>
      </c>
      <c r="G103" s="48">
        <f>RD01!G103+RD02!G103+RD03!G103+RD04!G103+RD05!G103+RD06!G103+RD07!G103+RD08!G103+RD09!G103+RD10!G103</f>
        <v>0</v>
      </c>
      <c r="H103" s="41">
        <f>RD01!H103+RD02!H103+RD03!H103+RD04!H103+RD05!H103+RD06!H103+RD07!H103+RD08!H103+RD09!H103+RD10!H103</f>
        <v>0</v>
      </c>
      <c r="I103" s="41">
        <f>RD01!I103+RD02!I103+RD03!I103+RD04!I103+RD05!I103+RD06!I103+RD07!I103+RD08!I103+RD09!I103+RD10!I103</f>
        <v>0</v>
      </c>
      <c r="J103" s="41">
        <f>RD01!J103+RD02!J103+RD03!J103+RD04!J103+RD05!J103+RD06!J103+RD07!J103+RD08!J103+RD09!J103+RD10!J103</f>
        <v>0</v>
      </c>
      <c r="K103" s="41">
        <f>RD01!K103+RD02!K103+RD03!K103+RD04!K103+RD05!K103+RD06!K103+RD07!K103+RD08!K103+RD09!K103+RD10!K103</f>
        <v>0</v>
      </c>
      <c r="L103" s="41">
        <f>RD01!L103+RD02!L103+RD03!L103+RD04!L103+RD05!L103+RD06!L103+RD07!L103+RD08!L103+RD09!L103+RD10!L103</f>
        <v>0</v>
      </c>
      <c r="M103" s="41">
        <f>RD01!M103+RD02!M103+RD03!M103+RD04!M103+RD05!M103+RD06!M103+RD07!M103+RD08!M103+RD09!M103+RD10!M103</f>
        <v>0</v>
      </c>
      <c r="N103" s="42">
        <f>RD01!N103+RD02!N103+RD03!N103+RD04!N103+RD05!N103+RD06!N103+RD07!N103+RD08!N103+RD09!N103+RD10!N103</f>
        <v>0</v>
      </c>
    </row>
    <row r="104" s="3" customFormat="1" customHeight="1" spans="2:14">
      <c r="B104" s="43"/>
      <c r="C104" s="44"/>
      <c r="D104" s="52"/>
      <c r="E104" s="53" t="s">
        <v>366</v>
      </c>
      <c r="F104" s="67">
        <f t="shared" ref="F104:N104" si="32">SUM(F97:F103)</f>
        <v>0</v>
      </c>
      <c r="G104" s="67">
        <f t="shared" si="32"/>
        <v>0</v>
      </c>
      <c r="H104" s="68">
        <f t="shared" si="32"/>
        <v>0</v>
      </c>
      <c r="I104" s="68">
        <f t="shared" si="32"/>
        <v>0</v>
      </c>
      <c r="J104" s="68">
        <f t="shared" si="32"/>
        <v>0</v>
      </c>
      <c r="K104" s="68">
        <f t="shared" si="32"/>
        <v>0</v>
      </c>
      <c r="L104" s="68">
        <f t="shared" si="32"/>
        <v>0</v>
      </c>
      <c r="M104" s="68">
        <f t="shared" si="32"/>
        <v>0</v>
      </c>
      <c r="N104" s="69">
        <f t="shared" si="32"/>
        <v>0</v>
      </c>
    </row>
    <row r="105" s="3" customFormat="1" customHeight="1" spans="2:14">
      <c r="B105" s="56"/>
      <c r="C105" s="57"/>
      <c r="D105" s="58"/>
      <c r="E105" s="59" t="s">
        <v>367</v>
      </c>
      <c r="F105" s="67">
        <f t="shared" ref="F105:N105" si="33">F104+F96</f>
        <v>0</v>
      </c>
      <c r="G105" s="61">
        <f t="shared" si="33"/>
        <v>0</v>
      </c>
      <c r="H105" s="62">
        <f t="shared" si="33"/>
        <v>0</v>
      </c>
      <c r="I105" s="62">
        <f t="shared" si="33"/>
        <v>0</v>
      </c>
      <c r="J105" s="62">
        <f t="shared" si="33"/>
        <v>0</v>
      </c>
      <c r="K105" s="62">
        <f t="shared" si="33"/>
        <v>0</v>
      </c>
      <c r="L105" s="62">
        <f t="shared" si="33"/>
        <v>0</v>
      </c>
      <c r="M105" s="62">
        <f t="shared" si="33"/>
        <v>0</v>
      </c>
      <c r="N105" s="64">
        <f t="shared" si="33"/>
        <v>0</v>
      </c>
    </row>
    <row r="106" s="3" customFormat="1" customHeight="1" spans="2:14">
      <c r="B106" s="36">
        <v>12</v>
      </c>
      <c r="C106" s="37">
        <v>31</v>
      </c>
      <c r="D106" s="38" t="str">
        <f>RD01!D106</f>
        <v>记-</v>
      </c>
      <c r="E106" s="39" t="s">
        <v>361</v>
      </c>
      <c r="F106" s="40">
        <f t="shared" ref="F106:F108" si="34">G106</f>
        <v>0</v>
      </c>
      <c r="G106" s="40">
        <f>RD01!G106+RD02!G106+RD03!G106+RD04!G106+RD05!G106+RD06!G106+RD07!G106+RD08!G106+RD09!G106+RD10!G106</f>
        <v>0</v>
      </c>
      <c r="H106" s="41">
        <f>RD01!H106+RD02!H106+RD03!H106+RD04!H106+RD05!H106+RD06!H106+RD07!H106+RD08!H106+RD09!H106+RD10!H106</f>
        <v>0</v>
      </c>
      <c r="I106" s="41">
        <f>RD01!I106+RD02!I106+RD03!I106+RD04!I106+RD05!I106+RD06!I106+RD07!I106+RD08!I106+RD09!I106+RD10!I106</f>
        <v>0</v>
      </c>
      <c r="J106" s="41">
        <f>RD01!J106+RD02!J106+RD03!J106+RD04!J106+RD05!J106+RD06!J106+RD07!J106+RD08!J106+RD09!J106+RD10!J106</f>
        <v>0</v>
      </c>
      <c r="K106" s="41">
        <f>RD01!K106+RD02!K106+RD03!K106+RD04!K106+RD05!K106+RD06!K106+RD07!K106+RD08!K106+RD09!K106+RD10!K106</f>
        <v>0</v>
      </c>
      <c r="L106" s="41">
        <f>RD01!L106+RD02!L106+RD03!L106+RD04!L106+RD05!L106+RD06!L106+RD07!L106+RD08!L106+RD09!L106+RD10!L106</f>
        <v>0</v>
      </c>
      <c r="M106" s="41">
        <f>RD01!M106+RD02!M106+RD03!M106+RD04!M106+RD05!M106+RD06!M106+RD07!M106+RD08!M106+RD09!M106+RD10!M106</f>
        <v>0</v>
      </c>
      <c r="N106" s="42">
        <f>RD01!N106+RD02!N106+RD03!N106+RD04!N106+RD05!N106+RD06!N106+RD07!N106+RD08!N106+RD09!N106+RD10!N106</f>
        <v>0</v>
      </c>
    </row>
    <row r="107" s="3" customFormat="1" customHeight="1" spans="2:14">
      <c r="B107" s="43">
        <v>12</v>
      </c>
      <c r="C107" s="44">
        <v>31</v>
      </c>
      <c r="D107" s="45" t="str">
        <f>RD01!D107</f>
        <v>记-</v>
      </c>
      <c r="E107" s="46" t="s">
        <v>362</v>
      </c>
      <c r="F107" s="66">
        <f t="shared" si="34"/>
        <v>0</v>
      </c>
      <c r="G107" s="48">
        <f>RD01!G107+RD02!G107+RD03!G107+RD04!G107+RD05!G107+RD06!G107+RD07!G107+RD08!G107+RD09!G107+RD10!G107</f>
        <v>0</v>
      </c>
      <c r="H107" s="41">
        <f>RD01!H107+RD02!H107+RD03!H107+RD04!H107+RD05!H107+RD06!H107+RD07!H107+RD08!H107+RD09!H107+RD10!H107</f>
        <v>0</v>
      </c>
      <c r="I107" s="41">
        <f>RD01!I107+RD02!I107+RD03!I107+RD04!I107+RD05!I107+RD06!I107+RD07!I107+RD08!I107+RD09!I107+RD10!I107</f>
        <v>0</v>
      </c>
      <c r="J107" s="41">
        <f>RD01!J107+RD02!J107+RD03!J107+RD04!J107+RD05!J107+RD06!J107+RD07!J107+RD08!J107+RD09!J107+RD10!J107</f>
        <v>0</v>
      </c>
      <c r="K107" s="41">
        <f>RD01!K107+RD02!K107+RD03!K107+RD04!K107+RD05!K107+RD06!K107+RD07!K107+RD08!K107+RD09!K107+RD10!K107</f>
        <v>0</v>
      </c>
      <c r="L107" s="41">
        <f>RD01!L107+RD02!L107+RD03!L107+RD04!L107+RD05!L107+RD06!L107+RD07!L107+RD08!L107+RD09!L107+RD10!L107</f>
        <v>0</v>
      </c>
      <c r="M107" s="41">
        <f>RD01!M107+RD02!M107+RD03!M107+RD04!M107+RD05!M107+RD06!M107+RD07!M107+RD08!M107+RD09!M107+RD10!M107</f>
        <v>0</v>
      </c>
      <c r="N107" s="42">
        <f>RD01!N107+RD02!N107+RD03!N107+RD04!N107+RD05!N107+RD06!N107+RD07!N107+RD08!N107+RD09!N107+RD10!N107</f>
        <v>0</v>
      </c>
    </row>
    <row r="108" s="3" customFormat="1" customHeight="1" spans="2:14">
      <c r="B108" s="43">
        <v>12</v>
      </c>
      <c r="C108" s="44">
        <v>31</v>
      </c>
      <c r="D108" s="45" t="str">
        <f>RD01!D108</f>
        <v>记-</v>
      </c>
      <c r="E108" s="46" t="s">
        <v>363</v>
      </c>
      <c r="F108" s="66">
        <f t="shared" si="34"/>
        <v>0</v>
      </c>
      <c r="G108" s="48">
        <f>RD01!G108+RD02!G108+RD03!G108+RD04!G108+RD05!G108+RD06!G108+RD07!G108+RD08!G108+RD09!G108+RD10!G108</f>
        <v>0</v>
      </c>
      <c r="H108" s="41">
        <f>RD01!H108+RD02!H108+RD03!H108+RD04!H108+RD05!H108+RD06!H108+RD07!H108+RD08!H108+RD09!H108+RD10!H108</f>
        <v>0</v>
      </c>
      <c r="I108" s="41">
        <f>RD01!I108+RD02!I108+RD03!I108+RD04!I108+RD05!I108+RD06!I108+RD07!I108+RD08!I108+RD09!I108+RD10!I108</f>
        <v>0</v>
      </c>
      <c r="J108" s="41">
        <f>RD01!J108+RD02!J108+RD03!J108+RD04!J108+RD05!J108+RD06!J108+RD07!J108+RD08!J108+RD09!J108+RD10!J108</f>
        <v>0</v>
      </c>
      <c r="K108" s="41">
        <f>RD01!K108+RD02!K108+RD03!K108+RD04!K108+RD05!K108+RD06!K108+RD07!K108+RD08!K108+RD09!K108+RD10!K108</f>
        <v>0</v>
      </c>
      <c r="L108" s="41">
        <f>RD01!L108+RD02!L108+RD03!L108+RD04!L108+RD05!L108+RD06!L108+RD07!L108+RD08!L108+RD09!L108+RD10!L108</f>
        <v>0</v>
      </c>
      <c r="M108" s="41">
        <f>RD01!M108+RD02!M108+RD03!M108+RD04!M108+RD05!M108+RD06!M108+RD07!M108+RD08!M108+RD09!M108+RD10!M108</f>
        <v>0</v>
      </c>
      <c r="N108" s="42">
        <f>RD01!N108+RD02!N108+RD03!N108+RD04!N108+RD05!N108+RD06!N108+RD07!N108+RD08!N108+RD09!N108+RD10!N108</f>
        <v>0</v>
      </c>
    </row>
    <row r="109" s="3" customFormat="1" customHeight="1" spans="2:14">
      <c r="B109" s="43">
        <v>12</v>
      </c>
      <c r="C109" s="44">
        <v>31</v>
      </c>
      <c r="D109" s="45" t="str">
        <f>RD01!D109</f>
        <v>记-</v>
      </c>
      <c r="E109" s="49" t="s">
        <v>364</v>
      </c>
      <c r="F109" s="66">
        <f>H109</f>
        <v>0</v>
      </c>
      <c r="G109" s="48">
        <f>RD01!G109+RD02!G109+RD03!G109+RD04!G109+RD05!G109+RD06!G109+RD07!G109+RD08!G109+RD09!G109+RD10!G109</f>
        <v>0</v>
      </c>
      <c r="H109" s="41">
        <f>RD01!H109+RD02!H109+RD03!H109+RD04!H109+RD05!H109+RD06!H109+RD07!H109+RD08!H109+RD09!H109+RD10!H109</f>
        <v>0</v>
      </c>
      <c r="I109" s="41">
        <f>RD01!I109+RD02!I109+RD03!I109+RD04!I109+RD05!I109+RD06!I109+RD07!I109+RD08!I109+RD09!I109+RD10!I109</f>
        <v>0</v>
      </c>
      <c r="J109" s="41">
        <f>RD01!J109+RD02!J109+RD03!J109+RD04!J109+RD05!J109+RD06!J109+RD07!J109+RD08!J109+RD09!J109+RD10!J109</f>
        <v>0</v>
      </c>
      <c r="K109" s="41">
        <f>RD01!K109+RD02!K109+RD03!K109+RD04!K109+RD05!K109+RD06!K109+RD07!K109+RD08!K109+RD09!K109+RD10!K109</f>
        <v>0</v>
      </c>
      <c r="L109" s="41">
        <f>RD01!L109+RD02!L109+RD03!L109+RD04!L109+RD05!L109+RD06!L109+RD07!L109+RD08!L109+RD09!L109+RD10!L109</f>
        <v>0</v>
      </c>
      <c r="M109" s="41">
        <f>RD01!M109+RD02!M109+RD03!M109+RD04!M109+RD05!M109+RD06!M109+RD07!M109+RD08!M109+RD09!M109+RD10!M109</f>
        <v>0</v>
      </c>
      <c r="N109" s="42">
        <f>RD01!N109+RD02!N109+RD03!N109+RD04!N109+RD05!N109+RD06!N109+RD07!N109+RD08!N109+RD09!N109+RD10!N109</f>
        <v>0</v>
      </c>
    </row>
    <row r="110" s="3" customFormat="1" customHeight="1" spans="2:14">
      <c r="B110" s="43">
        <v>12</v>
      </c>
      <c r="C110" s="44">
        <v>31</v>
      </c>
      <c r="D110" s="45" t="str">
        <f>RD01!D110</f>
        <v>记-</v>
      </c>
      <c r="E110" s="49" t="s">
        <v>365</v>
      </c>
      <c r="F110" s="67">
        <f>I110</f>
        <v>0</v>
      </c>
      <c r="G110" s="48">
        <f>RD01!G110+RD02!G110+RD03!G110+RD04!G110+RD05!G110+RD06!G110+RD07!G110+RD08!G110+RD09!G110+RD10!G110</f>
        <v>0</v>
      </c>
      <c r="H110" s="41">
        <f>RD01!H110+RD02!H110+RD03!H110+RD04!H110+RD05!H110+RD06!H110+RD07!H110+RD08!H110+RD09!H110+RD10!H110</f>
        <v>0</v>
      </c>
      <c r="I110" s="41">
        <f>RD01!I110+RD02!I110+RD03!I110+RD04!I110+RD05!I110+RD06!I110+RD07!I110+RD08!I110+RD09!I110+RD10!I110</f>
        <v>0</v>
      </c>
      <c r="J110" s="41">
        <f>RD01!J110+RD02!J110+RD03!J110+RD04!J110+RD05!J110+RD06!J110+RD07!J110+RD08!J110+RD09!J110+RD10!J110</f>
        <v>0</v>
      </c>
      <c r="K110" s="41">
        <f>RD01!K110+RD02!K110+RD03!K110+RD04!K110+RD05!K110+RD06!K110+RD07!K110+RD08!K110+RD09!K110+RD10!K110</f>
        <v>0</v>
      </c>
      <c r="L110" s="41">
        <f>RD01!L110+RD02!L110+RD03!L110+RD04!L110+RD05!L110+RD06!L110+RD07!L110+RD08!L110+RD09!L110+RD10!L110</f>
        <v>0</v>
      </c>
      <c r="M110" s="41">
        <f>RD01!M110+RD02!M110+RD03!M110+RD04!M110+RD05!M110+RD06!M110+RD07!M110+RD08!M110+RD09!M110+RD10!M110</f>
        <v>0</v>
      </c>
      <c r="N110" s="42">
        <f>RD01!N110+RD02!N110+RD03!N110+RD04!N110+RD05!N110+RD06!N110+RD07!N110+RD08!N110+RD09!N110+RD10!N110</f>
        <v>0</v>
      </c>
    </row>
    <row r="111" s="3" customFormat="1" customHeight="1" spans="2:14">
      <c r="B111" s="43">
        <v>12</v>
      </c>
      <c r="C111" s="44">
        <v>31</v>
      </c>
      <c r="D111" s="45" t="str">
        <f>RD01!D111</f>
        <v>记-</v>
      </c>
      <c r="E111" s="51" t="s">
        <v>356</v>
      </c>
      <c r="F111" s="67">
        <f>K111</f>
        <v>0</v>
      </c>
      <c r="G111" s="48">
        <f>RD01!G111+RD02!G111+RD03!G111+RD04!G111+RD05!G111+RD06!G111+RD07!G111+RD08!G111+RD09!G111+RD10!G111</f>
        <v>0</v>
      </c>
      <c r="H111" s="41">
        <f>RD01!H111+RD02!H111+RD03!H111+RD04!H111+RD05!H111+RD06!H111+RD07!H111+RD08!H111+RD09!H111+RD10!H111</f>
        <v>0</v>
      </c>
      <c r="I111" s="41">
        <f>RD01!I111+RD02!I111+RD03!I111+RD04!I111+RD05!I111+RD06!I111+RD07!I111+RD08!I111+RD09!I111+RD10!I111</f>
        <v>0</v>
      </c>
      <c r="J111" s="41">
        <f>RD01!J111+RD02!J111+RD03!J111+RD04!J111+RD05!J111+RD06!J111+RD07!J111+RD08!J111+RD09!J111+RD10!J111</f>
        <v>0</v>
      </c>
      <c r="K111" s="41">
        <f>RD01!K111+RD02!K111+RD03!K111+RD04!K111+RD05!K111+RD06!K111+RD07!K111+RD08!K111+RD09!K111+RD10!K111</f>
        <v>0</v>
      </c>
      <c r="L111" s="41">
        <f>RD01!L111+RD02!L111+RD03!L111+RD04!L111+RD05!L111+RD06!L111+RD07!L111+RD08!L111+RD09!L111+RD10!L111</f>
        <v>0</v>
      </c>
      <c r="M111" s="41">
        <f>RD01!M111+RD02!M111+RD03!M111+RD04!M111+RD05!M111+RD06!M111+RD07!M111+RD08!M111+RD09!M111+RD10!M111</f>
        <v>0</v>
      </c>
      <c r="N111" s="42">
        <f>RD01!N111+RD02!N111+RD03!N111+RD04!N111+RD05!N111+RD06!N111+RD07!N111+RD08!N111+RD09!N111+RD10!N111</f>
        <v>0</v>
      </c>
    </row>
    <row r="112" s="3" customFormat="1" customHeight="1" spans="2:14">
      <c r="B112" s="43">
        <v>12</v>
      </c>
      <c r="C112" s="44">
        <v>31</v>
      </c>
      <c r="D112" s="45" t="str">
        <f>RD01!D112</f>
        <v>记-</v>
      </c>
      <c r="E112" s="49" t="s">
        <v>359</v>
      </c>
      <c r="F112" s="67">
        <f>N112</f>
        <v>0</v>
      </c>
      <c r="G112" s="48">
        <f>RD01!G112+RD02!G112+RD03!G112+RD04!G112+RD05!G112+RD06!G112+RD07!G112+RD08!G112+RD09!G112+RD10!G112</f>
        <v>0</v>
      </c>
      <c r="H112" s="41">
        <f>RD01!H112+RD02!H112+RD03!H112+RD04!H112+RD05!H112+RD06!H112+RD07!H112+RD08!H112+RD09!H112+RD10!H112</f>
        <v>0</v>
      </c>
      <c r="I112" s="41">
        <f>RD01!I112+RD02!I112+RD03!I112+RD04!I112+RD05!I112+RD06!I112+RD07!I112+RD08!I112+RD09!I112+RD10!I112</f>
        <v>0</v>
      </c>
      <c r="J112" s="41">
        <f>RD01!J112+RD02!J112+RD03!J112+RD04!J112+RD05!J112+RD06!J112+RD07!J112+RD08!J112+RD09!J112+RD10!J112</f>
        <v>0</v>
      </c>
      <c r="K112" s="41">
        <f>RD01!K112+RD02!K112+RD03!K112+RD04!K112+RD05!K112+RD06!K112+RD07!K112+RD08!K112+RD09!K112+RD10!K112</f>
        <v>0</v>
      </c>
      <c r="L112" s="41">
        <f>RD01!L112+RD02!L112+RD03!L112+RD04!L112+RD05!L112+RD06!L112+RD07!L112+RD08!L112+RD09!L112+RD10!L112</f>
        <v>0</v>
      </c>
      <c r="M112" s="41">
        <f>RD01!M112+RD02!M112+RD03!M112+RD04!M112+RD05!M112+RD06!M112+RD07!M112+RD08!M112+RD09!M112+RD10!M112</f>
        <v>0</v>
      </c>
      <c r="N112" s="42">
        <f>RD01!N112+RD02!N112+RD03!N112+RD04!N112+RD05!N112+RD06!N112+RD07!N112+RD08!N112+RD09!N112+RD10!N112</f>
        <v>0</v>
      </c>
    </row>
    <row r="113" s="3" customFormat="1" customHeight="1" spans="2:14">
      <c r="B113" s="43"/>
      <c r="C113" s="44"/>
      <c r="D113" s="52"/>
      <c r="E113" s="53" t="s">
        <v>366</v>
      </c>
      <c r="F113" s="67">
        <f t="shared" ref="F113:N113" si="35">SUM(F106:F112)</f>
        <v>0</v>
      </c>
      <c r="G113" s="67">
        <f t="shared" si="35"/>
        <v>0</v>
      </c>
      <c r="H113" s="68">
        <f t="shared" si="35"/>
        <v>0</v>
      </c>
      <c r="I113" s="68">
        <f t="shared" si="35"/>
        <v>0</v>
      </c>
      <c r="J113" s="68">
        <f t="shared" si="35"/>
        <v>0</v>
      </c>
      <c r="K113" s="68">
        <f t="shared" si="35"/>
        <v>0</v>
      </c>
      <c r="L113" s="68">
        <f t="shared" si="35"/>
        <v>0</v>
      </c>
      <c r="M113" s="68">
        <f t="shared" si="35"/>
        <v>0</v>
      </c>
      <c r="N113" s="69">
        <f t="shared" si="35"/>
        <v>0</v>
      </c>
    </row>
    <row r="114" s="4" customFormat="1" customHeight="1" spans="2:14">
      <c r="B114" s="56"/>
      <c r="C114" s="57"/>
      <c r="D114" s="58"/>
      <c r="E114" s="59" t="s">
        <v>369</v>
      </c>
      <c r="F114" s="70">
        <f t="shared" ref="F114:N114" si="36">F113+F105</f>
        <v>0</v>
      </c>
      <c r="G114" s="61">
        <f t="shared" si="36"/>
        <v>0</v>
      </c>
      <c r="H114" s="62">
        <f t="shared" si="36"/>
        <v>0</v>
      </c>
      <c r="I114" s="62">
        <f t="shared" si="36"/>
        <v>0</v>
      </c>
      <c r="J114" s="62">
        <f t="shared" si="36"/>
        <v>0</v>
      </c>
      <c r="K114" s="62">
        <f t="shared" si="36"/>
        <v>0</v>
      </c>
      <c r="L114" s="62">
        <f t="shared" si="36"/>
        <v>0</v>
      </c>
      <c r="M114" s="62">
        <f t="shared" si="36"/>
        <v>0</v>
      </c>
      <c r="N114" s="64">
        <f t="shared" si="36"/>
        <v>0</v>
      </c>
    </row>
    <row r="115" s="1" customFormat="1" customHeight="1" spans="2:14">
      <c r="D115" s="5"/>
      <c r="E115" s="6"/>
      <c r="F115" s="71"/>
      <c r="G115" s="7"/>
      <c r="H115" s="7"/>
      <c r="I115" s="7"/>
      <c r="J115" s="7"/>
      <c r="K115" s="7"/>
      <c r="L115" s="7"/>
      <c r="M115" s="7"/>
      <c r="N115" s="8"/>
    </row>
    <row r="116" s="1" customFormat="1" customHeight="1" spans="2:14">
      <c r="D116" s="5"/>
      <c r="E116" s="6"/>
      <c r="F116" s="7"/>
      <c r="G116" s="7"/>
      <c r="H116" s="7"/>
      <c r="I116" s="7"/>
      <c r="J116" s="7"/>
      <c r="K116" s="7"/>
      <c r="L116" s="7"/>
      <c r="M116" s="7"/>
      <c r="N116" s="8"/>
    </row>
    <row r="117" s="1" customFormat="1" customHeight="1" spans="2:14">
      <c r="D117" s="5"/>
      <c r="E117" s="6"/>
      <c r="F117" s="7"/>
      <c r="G117" s="7"/>
      <c r="H117" s="7"/>
      <c r="I117" s="7"/>
      <c r="J117" s="7"/>
      <c r="K117" s="7"/>
      <c r="L117" s="7"/>
      <c r="M117" s="7"/>
      <c r="N117" s="8"/>
    </row>
    <row r="118" s="1" customFormat="1" customHeight="1" spans="2:14">
      <c r="D118" s="5"/>
      <c r="E118" s="6"/>
      <c r="F118" s="7"/>
      <c r="G118" s="7"/>
      <c r="H118" s="7"/>
      <c r="I118" s="7"/>
      <c r="J118" s="7"/>
      <c r="K118" s="7"/>
      <c r="L118" s="7"/>
      <c r="M118" s="7"/>
      <c r="N118" s="8"/>
    </row>
    <row r="119" s="1" customFormat="1" customHeight="1" spans="2:14">
      <c r="D119" s="5"/>
      <c r="E119" s="6"/>
      <c r="F119" s="7"/>
      <c r="G119" s="71"/>
      <c r="H119" s="7"/>
      <c r="I119" s="7"/>
      <c r="J119" s="7"/>
      <c r="K119" s="7"/>
      <c r="L119" s="7"/>
      <c r="M119" s="7"/>
      <c r="N119" s="8"/>
    </row>
    <row r="120" s="1" customFormat="1" customHeight="1" spans="2:14">
      <c r="D120" s="5"/>
      <c r="E120" s="6"/>
      <c r="F120" s="7"/>
      <c r="G120" s="71"/>
      <c r="H120" s="7"/>
      <c r="I120" s="7"/>
      <c r="J120" s="7"/>
      <c r="K120" s="7"/>
      <c r="L120" s="7"/>
      <c r="M120" s="7"/>
      <c r="N120" s="8"/>
    </row>
  </sheetData>
  <mergeCells count="7">
    <mergeCell ref="G5:N5"/>
    <mergeCell ref="B5:B6"/>
    <mergeCell ref="C5:C6"/>
    <mergeCell ref="D5:D6"/>
    <mergeCell ref="E5:E6"/>
    <mergeCell ref="F5:F6"/>
    <mergeCell ref="F1:H2"/>
  </mergeCells>
  <pageMargins left="0.75" right="0.75" top="1" bottom="1" header="0.5" footer="0.5"/>
  <pageSetup paperSize="9" scale="67" orientation="portrait"/>
  <headerFooter/>
  <rowBreaks count="1" manualBreakCount="1"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封皮</vt:lpstr>
      <vt:lpstr>立项</vt:lpstr>
      <vt:lpstr>人员人工-研发人员工资</vt:lpstr>
      <vt:lpstr>研发人员考勤表</vt:lpstr>
      <vt:lpstr>研发人员出勤考勤表</vt:lpstr>
      <vt:lpstr>人员人工-研发人员社保</vt:lpstr>
      <vt:lpstr>人员人工-研发人员公积金</vt:lpstr>
      <vt:lpstr>固定资产台账1</vt:lpstr>
      <vt:lpstr>研发设备工时计算表2</vt:lpstr>
      <vt:lpstr>研发设备折旧表3</vt:lpstr>
      <vt:lpstr>研发设备工时记录表4</vt:lpstr>
      <vt:lpstr>直接投入-动力</vt:lpstr>
      <vt:lpstr>直接投入-领料</vt:lpstr>
      <vt:lpstr>领料单</vt:lpstr>
      <vt:lpstr>领料单打印版</vt:lpstr>
      <vt:lpstr>其他费用</vt:lpstr>
      <vt:lpstr>RD01</vt:lpstr>
      <vt:lpstr>RD02</vt:lpstr>
      <vt:lpstr>RD03</vt:lpstr>
      <vt:lpstr>RD04</vt:lpstr>
      <vt:lpstr>RD05</vt:lpstr>
      <vt:lpstr>RD06</vt:lpstr>
      <vt:lpstr>RD07</vt:lpstr>
      <vt:lpstr>RD08</vt:lpstr>
      <vt:lpstr>RD09</vt:lpstr>
      <vt:lpstr>RD10</vt:lpstr>
      <vt:lpstr>调账参考</vt:lpstr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嗨嗨high飞</cp:lastModifiedBy>
  <dcterms:created xsi:type="dcterms:W3CDTF">2020-12-25T08:40:00Z</dcterms:created>
  <dcterms:modified xsi:type="dcterms:W3CDTF">2025-12-29T05:14:31Z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F651BD99A2AD44D8857509C786FAA7B1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